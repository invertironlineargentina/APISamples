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workbookPr codeName="ThisWorkbook"/>
  <bookViews>
    <workbookView xWindow="0" yWindow="0" windowWidth="19200" windowHeight="11595"/>
  </bookViews>
  <sheets>
    <sheet name="Template" sheetId="1" r:id="rId1"/>
    <sheet name="Glosario" sheetId="2" r:id="rId2"/>
    <sheet name="Disclaimer" sheetId="3" r:id="rId3"/>
  </sheets>
  <externalReferences>
    <externalReference r:id="rId4"/>
    <externalReference r:id="rId5"/>
  </externalReferences>
  <definedNames>
    <definedName name="_xlnm._FilterDatabase" localSheetId="0" hidden="1">Template!$CD$40:$CG$51</definedName>
    <definedName name="_xlnm.Print_Area" localSheetId="2">Disclaimer!$A$1:$AR$54</definedName>
    <definedName name="_xlnm.Print_Area" localSheetId="1">Glosario!$A$1:$BC$103</definedName>
    <definedName name="_xlnm.Print_Area" localSheetId="0">Template!$A$1:$BW$110</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AK32" i="3"/>
  <c r="BF31" i="3"/>
  <c r="BF30" i="3"/>
  <c r="BF29" i="3"/>
  <c r="BF28" i="3"/>
  <c r="BF27" i="3"/>
  <c r="BF26" i="3"/>
  <c r="BF25" i="3"/>
  <c r="BF24" i="3"/>
  <c r="BF23" i="3"/>
  <c r="BF22" i="3"/>
  <c r="BQ155" i="2"/>
  <c r="BQ154" i="2"/>
  <c r="BQ152" i="2"/>
  <c r="BQ151" i="2"/>
  <c r="BQ150" i="2"/>
  <c r="BQ149" i="2"/>
  <c r="BQ148" i="2"/>
  <c r="BQ147" i="2"/>
  <c r="BQ146" i="2"/>
  <c r="BQ145" i="2"/>
  <c r="BQ144" i="2"/>
  <c r="BQ143" i="2"/>
  <c r="BQ141" i="2"/>
  <c r="BQ140" i="2"/>
  <c r="BQ139" i="2"/>
  <c r="BQ138" i="2"/>
  <c r="BQ137" i="2"/>
  <c r="BQ136" i="2"/>
  <c r="BQ134" i="2"/>
  <c r="BQ133" i="2"/>
  <c r="BQ132" i="2"/>
  <c r="BQ131" i="2"/>
  <c r="BQ130" i="2"/>
  <c r="BQ129" i="2"/>
  <c r="BQ128" i="2"/>
  <c r="BQ127" i="2"/>
  <c r="BQ126" i="2"/>
  <c r="BQ124" i="2"/>
  <c r="BQ123" i="2"/>
  <c r="BQ122" i="2"/>
  <c r="BQ121" i="2"/>
  <c r="BQ120" i="2"/>
  <c r="BQ119" i="2"/>
  <c r="BQ118" i="2"/>
  <c r="BQ44" i="2"/>
  <c r="BQ43" i="2"/>
  <c r="BQ40" i="2"/>
  <c r="BQ38" i="2"/>
  <c r="BQ37" i="2"/>
  <c r="BQ35" i="2"/>
  <c r="BQ33" i="2"/>
  <c r="BQ32" i="2"/>
  <c r="BQ31" i="2"/>
  <c r="BQ30" i="2"/>
  <c r="BQ29" i="2"/>
  <c r="BQ27" i="2"/>
  <c r="BQ26" i="2"/>
  <c r="BQ25" i="2"/>
  <c r="BQ24" i="2"/>
  <c r="BQ23" i="2"/>
  <c r="BQ22" i="2"/>
  <c r="BQ21" i="2"/>
  <c r="BQ20" i="2"/>
  <c r="BQ19" i="2"/>
  <c r="BQ18" i="2"/>
  <c r="BQ17" i="2"/>
  <c r="BQ16" i="2"/>
  <c r="BW109" i="1"/>
  <c r="AS109" i="1"/>
  <c r="A109" i="1"/>
  <c r="BW106" i="1"/>
  <c r="BM106" i="1"/>
  <c r="BG106" i="1"/>
  <c r="AX106" i="1"/>
  <c r="AT106" i="1"/>
  <c r="AJ106" i="1"/>
  <c r="AG106" i="1"/>
  <c r="O106" i="1"/>
  <c r="L106" i="1"/>
  <c r="E106" i="1"/>
  <c r="A106" i="1"/>
  <c r="BW105" i="1"/>
  <c r="BV105" i="1"/>
  <c r="BP105" i="1"/>
  <c r="BM105" i="1"/>
  <c r="BJ105" i="1"/>
  <c r="BD105" i="1"/>
  <c r="BA105" i="1"/>
  <c r="AX105" i="1"/>
  <c r="AV105" i="1"/>
  <c r="AU105" i="1"/>
  <c r="AT105" i="1"/>
  <c r="AP105" i="1"/>
  <c r="AM105" i="1"/>
  <c r="AJ105" i="1"/>
  <c r="AD105" i="1"/>
  <c r="AA105" i="1"/>
  <c r="X105" i="1"/>
  <c r="R105" i="1"/>
  <c r="O105" i="1"/>
  <c r="L105" i="1"/>
  <c r="F105" i="1"/>
  <c r="E105" i="1"/>
  <c r="C105" i="1"/>
  <c r="A105" i="1"/>
  <c r="BS105" i="1" s="1"/>
  <c r="BW104" i="1"/>
  <c r="BV104" i="1"/>
  <c r="BP104" i="1"/>
  <c r="BD104" i="1"/>
  <c r="BA104" i="1"/>
  <c r="AS104" i="1"/>
  <c r="AP104" i="1"/>
  <c r="AG104" i="1"/>
  <c r="R104" i="1"/>
  <c r="O104" i="1"/>
  <c r="E104" i="1"/>
  <c r="A104" i="1"/>
  <c r="BW103" i="1"/>
  <c r="BS103" i="1"/>
  <c r="BP103" i="1"/>
  <c r="AT103" i="1"/>
  <c r="AD103" i="1"/>
  <c r="R103" i="1"/>
  <c r="A103" i="1"/>
  <c r="BW100" i="1"/>
  <c r="BJ100" i="1"/>
  <c r="BG100" i="1"/>
  <c r="AX100" i="1"/>
  <c r="AS100" i="1"/>
  <c r="AM100" i="1"/>
  <c r="AA100" i="1"/>
  <c r="U100" i="1"/>
  <c r="I100" i="1"/>
  <c r="E100" i="1"/>
  <c r="A100" i="1"/>
  <c r="BW99" i="1"/>
  <c r="BV99" i="1"/>
  <c r="BP99" i="1"/>
  <c r="BM99" i="1"/>
  <c r="BJ99" i="1"/>
  <c r="BD99" i="1"/>
  <c r="BA99" i="1"/>
  <c r="AX99" i="1"/>
  <c r="AV99" i="1"/>
  <c r="AU99" i="1"/>
  <c r="AT99" i="1"/>
  <c r="AP99" i="1"/>
  <c r="AM99" i="1"/>
  <c r="AJ99" i="1"/>
  <c r="AD99" i="1"/>
  <c r="AA99" i="1"/>
  <c r="X99" i="1"/>
  <c r="R99" i="1"/>
  <c r="O99" i="1"/>
  <c r="L99" i="1"/>
  <c r="F99" i="1"/>
  <c r="E99" i="1"/>
  <c r="C99" i="1"/>
  <c r="A99" i="1"/>
  <c r="BS99" i="1" s="1"/>
  <c r="BW96" i="1"/>
  <c r="BV96" i="1"/>
  <c r="BP96" i="1"/>
  <c r="BG96" i="1"/>
  <c r="BA96" i="1"/>
  <c r="AS96" i="1"/>
  <c r="AP96" i="1"/>
  <c r="AM96" i="1"/>
  <c r="U96" i="1"/>
  <c r="O96" i="1"/>
  <c r="F96" i="1"/>
  <c r="A96" i="1"/>
  <c r="BW95" i="1"/>
  <c r="BP95" i="1"/>
  <c r="AG95" i="1"/>
  <c r="A95" i="1"/>
  <c r="BW94" i="1"/>
  <c r="BP94" i="1"/>
  <c r="BG94" i="1"/>
  <c r="AT94" i="1"/>
  <c r="AG94" i="1"/>
  <c r="AD94" i="1"/>
  <c r="L94" i="1"/>
  <c r="F94" i="1"/>
  <c r="A94" i="1"/>
  <c r="BW93" i="1"/>
  <c r="BS93" i="1"/>
  <c r="BG93" i="1"/>
  <c r="BA93" i="1"/>
  <c r="AW93" i="1"/>
  <c r="AU93" i="1"/>
  <c r="AT93" i="1"/>
  <c r="AM93" i="1"/>
  <c r="AJ93" i="1"/>
  <c r="AG93" i="1"/>
  <c r="X93" i="1"/>
  <c r="U93" i="1"/>
  <c r="O93" i="1"/>
  <c r="I93" i="1"/>
  <c r="E93" i="1"/>
  <c r="C93" i="1"/>
  <c r="A93" i="1"/>
  <c r="BW92" i="1"/>
  <c r="BV92" i="1"/>
  <c r="BP92" i="1"/>
  <c r="BM92" i="1"/>
  <c r="BJ92" i="1"/>
  <c r="BD92" i="1"/>
  <c r="BA92" i="1"/>
  <c r="AX92" i="1"/>
  <c r="AU92" i="1"/>
  <c r="AT92" i="1"/>
  <c r="AP92" i="1"/>
  <c r="AM92" i="1"/>
  <c r="AJ92" i="1"/>
  <c r="AD92" i="1"/>
  <c r="AA92" i="1"/>
  <c r="X92" i="1"/>
  <c r="R92" i="1"/>
  <c r="O92" i="1"/>
  <c r="L92" i="1"/>
  <c r="F92" i="1"/>
  <c r="E92" i="1"/>
  <c r="C92" i="1"/>
  <c r="A92" i="1"/>
  <c r="BS92" i="1" s="1"/>
  <c r="BW91" i="1"/>
  <c r="BP91" i="1"/>
  <c r="BG91" i="1"/>
  <c r="AV91" i="1"/>
  <c r="AU91" i="1"/>
  <c r="AG91" i="1"/>
  <c r="AD91" i="1"/>
  <c r="O91" i="1"/>
  <c r="F91" i="1"/>
  <c r="A91" i="1"/>
  <c r="BW90" i="1"/>
  <c r="BV90" i="1"/>
  <c r="BS90" i="1"/>
  <c r="BG90" i="1"/>
  <c r="BD90" i="1"/>
  <c r="AT90" i="1"/>
  <c r="AP90" i="1"/>
  <c r="AJ90" i="1"/>
  <c r="AG90" i="1"/>
  <c r="X90" i="1"/>
  <c r="U90" i="1"/>
  <c r="R90" i="1"/>
  <c r="I90" i="1"/>
  <c r="F90" i="1"/>
  <c r="C90" i="1"/>
  <c r="A90" i="1"/>
  <c r="BW89" i="1"/>
  <c r="BM89" i="1"/>
  <c r="BG89" i="1"/>
  <c r="AW89" i="1"/>
  <c r="AU89" i="1"/>
  <c r="AS89" i="1"/>
  <c r="AJ89" i="1"/>
  <c r="AA89" i="1"/>
  <c r="X89" i="1"/>
  <c r="L89" i="1"/>
  <c r="I89" i="1"/>
  <c r="E89" i="1"/>
  <c r="A89" i="1"/>
  <c r="BW88" i="1"/>
  <c r="BV88" i="1"/>
  <c r="BP88" i="1"/>
  <c r="BM88" i="1"/>
  <c r="BD88" i="1"/>
  <c r="BA88" i="1"/>
  <c r="AX88" i="1"/>
  <c r="AV88" i="1"/>
  <c r="AU88" i="1"/>
  <c r="AT88" i="1"/>
  <c r="AP88" i="1"/>
  <c r="AM88" i="1"/>
  <c r="AJ88" i="1"/>
  <c r="AD88" i="1"/>
  <c r="AA88" i="1"/>
  <c r="X88" i="1"/>
  <c r="R88" i="1"/>
  <c r="O88" i="1"/>
  <c r="L88" i="1"/>
  <c r="F88" i="1"/>
  <c r="E88" i="1"/>
  <c r="C88" i="1"/>
  <c r="A88" i="1"/>
  <c r="BS88" i="1" s="1"/>
  <c r="BW87" i="1"/>
  <c r="BV87" i="1"/>
  <c r="BS87" i="1"/>
  <c r="BM87" i="1"/>
  <c r="BG87" i="1"/>
  <c r="BD87" i="1"/>
  <c r="AW87" i="1"/>
  <c r="AV87" i="1"/>
  <c r="AU87" i="1"/>
  <c r="AP87" i="1"/>
  <c r="AM87" i="1"/>
  <c r="AG87" i="1"/>
  <c r="AA87" i="1"/>
  <c r="U87" i="1"/>
  <c r="R87" i="1"/>
  <c r="I87" i="1"/>
  <c r="F87" i="1"/>
  <c r="E87" i="1"/>
  <c r="A87" i="1"/>
  <c r="BW84" i="1"/>
  <c r="BV84" i="1"/>
  <c r="BP84" i="1"/>
  <c r="BD84" i="1"/>
  <c r="AW84" i="1"/>
  <c r="AT84" i="1"/>
  <c r="AS84" i="1"/>
  <c r="AG84" i="1"/>
  <c r="AD84" i="1"/>
  <c r="X84" i="1"/>
  <c r="L84" i="1"/>
  <c r="I84" i="1"/>
  <c r="C84" i="1"/>
  <c r="A84" i="1"/>
  <c r="BW83" i="1"/>
  <c r="BA83" i="1"/>
  <c r="AX83" i="1"/>
  <c r="AS83" i="1"/>
  <c r="U83" i="1"/>
  <c r="O83" i="1"/>
  <c r="C83" i="1"/>
  <c r="A83" i="1"/>
  <c r="BW82" i="1"/>
  <c r="BV82" i="1"/>
  <c r="BP82" i="1"/>
  <c r="BM82" i="1"/>
  <c r="BJ82" i="1"/>
  <c r="BD82" i="1"/>
  <c r="BA82" i="1"/>
  <c r="AX82" i="1"/>
  <c r="AV82" i="1"/>
  <c r="AU82" i="1"/>
  <c r="AT82" i="1"/>
  <c r="AP82" i="1"/>
  <c r="AM82" i="1"/>
  <c r="AJ82" i="1"/>
  <c r="AD82" i="1"/>
  <c r="AA82" i="1"/>
  <c r="X82" i="1"/>
  <c r="R82" i="1"/>
  <c r="O82" i="1"/>
  <c r="L82" i="1"/>
  <c r="F82" i="1"/>
  <c r="E82" i="1"/>
  <c r="C82" i="1"/>
  <c r="A82" i="1"/>
  <c r="BS82" i="1" s="1"/>
  <c r="BW81" i="1"/>
  <c r="BV81" i="1"/>
  <c r="BP81" i="1"/>
  <c r="BM81" i="1"/>
  <c r="BD81" i="1"/>
  <c r="AU81" i="1"/>
  <c r="AS81" i="1"/>
  <c r="AG81" i="1"/>
  <c r="AD81" i="1"/>
  <c r="AA81" i="1"/>
  <c r="O81" i="1"/>
  <c r="I81" i="1"/>
  <c r="E81" i="1"/>
  <c r="A81" i="1"/>
  <c r="BW80" i="1"/>
  <c r="BS80" i="1"/>
  <c r="BG80" i="1"/>
  <c r="BD80" i="1"/>
  <c r="AX80" i="1"/>
  <c r="AT80" i="1"/>
  <c r="AS80" i="1"/>
  <c r="AJ80" i="1"/>
  <c r="AD80" i="1"/>
  <c r="U80" i="1"/>
  <c r="R80" i="1"/>
  <c r="I80" i="1"/>
  <c r="F80" i="1"/>
  <c r="E80" i="1"/>
  <c r="A80" i="1"/>
  <c r="BW79" i="1"/>
  <c r="BV79" i="1"/>
  <c r="BJ79" i="1"/>
  <c r="BG79" i="1"/>
  <c r="AW79" i="1"/>
  <c r="AV79" i="1"/>
  <c r="AP79" i="1"/>
  <c r="AJ79" i="1"/>
  <c r="X79" i="1"/>
  <c r="U79" i="1"/>
  <c r="I79" i="1"/>
  <c r="F79" i="1"/>
  <c r="A79" i="1"/>
  <c r="BW78" i="1"/>
  <c r="A78" i="1"/>
  <c r="BW77" i="1"/>
  <c r="BV77" i="1"/>
  <c r="BP77" i="1"/>
  <c r="BM77" i="1"/>
  <c r="BJ77" i="1"/>
  <c r="BD77" i="1"/>
  <c r="BA77" i="1"/>
  <c r="AX77" i="1"/>
  <c r="AV77" i="1"/>
  <c r="AU77" i="1"/>
  <c r="AT77" i="1"/>
  <c r="AP77" i="1"/>
  <c r="AM77" i="1"/>
  <c r="AJ77" i="1"/>
  <c r="AD77" i="1"/>
  <c r="AA77" i="1"/>
  <c r="X77" i="1"/>
  <c r="R77" i="1"/>
  <c r="O77" i="1"/>
  <c r="L77" i="1"/>
  <c r="F77" i="1"/>
  <c r="E77" i="1"/>
  <c r="C77" i="1"/>
  <c r="A77" i="1"/>
  <c r="BS77" i="1" s="1"/>
  <c r="BW74" i="1"/>
  <c r="A74" i="1"/>
  <c r="BW73" i="1"/>
  <c r="BS73" i="1"/>
  <c r="BP73" i="1"/>
  <c r="BD73" i="1"/>
  <c r="AT73" i="1"/>
  <c r="AS73" i="1"/>
  <c r="AG73" i="1"/>
  <c r="R73" i="1"/>
  <c r="L73" i="1"/>
  <c r="C73" i="1"/>
  <c r="A73" i="1"/>
  <c r="BW72" i="1"/>
  <c r="BS72" i="1"/>
  <c r="BJ72" i="1"/>
  <c r="BG72" i="1"/>
  <c r="BA72" i="1"/>
  <c r="AU72" i="1"/>
  <c r="AT72" i="1"/>
  <c r="AM72" i="1"/>
  <c r="AJ72" i="1"/>
  <c r="AG72" i="1"/>
  <c r="X72" i="1"/>
  <c r="U72" i="1"/>
  <c r="O72" i="1"/>
  <c r="I72" i="1"/>
  <c r="E72" i="1"/>
  <c r="C72" i="1"/>
  <c r="A72" i="1"/>
  <c r="BW71" i="1"/>
  <c r="BV71" i="1"/>
  <c r="BP71" i="1"/>
  <c r="BM71" i="1"/>
  <c r="BJ71" i="1"/>
  <c r="BD71" i="1"/>
  <c r="BA71" i="1"/>
  <c r="AX71" i="1"/>
  <c r="AV71" i="1"/>
  <c r="AU71" i="1"/>
  <c r="AT71" i="1"/>
  <c r="AP71" i="1"/>
  <c r="AM71" i="1"/>
  <c r="AJ71" i="1"/>
  <c r="AD71" i="1"/>
  <c r="AA71" i="1"/>
  <c r="X71" i="1"/>
  <c r="R71" i="1"/>
  <c r="O71" i="1"/>
  <c r="L71" i="1"/>
  <c r="F71" i="1"/>
  <c r="E71" i="1"/>
  <c r="C71" i="1"/>
  <c r="A71" i="1"/>
  <c r="BS71" i="1" s="1"/>
  <c r="BW70" i="1"/>
  <c r="BS70" i="1"/>
  <c r="BP70" i="1"/>
  <c r="BD70" i="1"/>
  <c r="AU70" i="1"/>
  <c r="AS70" i="1"/>
  <c r="AG70" i="1"/>
  <c r="R70" i="1"/>
  <c r="O70" i="1"/>
  <c r="E70" i="1"/>
  <c r="A70" i="1"/>
  <c r="BW69" i="1"/>
  <c r="BV69" i="1"/>
  <c r="BS69" i="1"/>
  <c r="BJ69" i="1"/>
  <c r="BG69" i="1"/>
  <c r="BD69" i="1"/>
  <c r="AW69" i="1"/>
  <c r="AV69" i="1"/>
  <c r="AT69" i="1"/>
  <c r="AP69" i="1"/>
  <c r="AJ69" i="1"/>
  <c r="AG69" i="1"/>
  <c r="X69" i="1"/>
  <c r="U69" i="1"/>
  <c r="R69" i="1"/>
  <c r="I69" i="1"/>
  <c r="F69" i="1"/>
  <c r="C69" i="1"/>
  <c r="A69" i="1"/>
  <c r="BW68" i="1"/>
  <c r="BJ68" i="1"/>
  <c r="BG68" i="1"/>
  <c r="AW68" i="1"/>
  <c r="AU68" i="1"/>
  <c r="AM68" i="1"/>
  <c r="AJ68" i="1"/>
  <c r="X68" i="1"/>
  <c r="U68" i="1"/>
  <c r="I68" i="1"/>
  <c r="E68" i="1"/>
  <c r="A68" i="1"/>
  <c r="BW67" i="1"/>
  <c r="BV67" i="1"/>
  <c r="BP67" i="1"/>
  <c r="BM67" i="1"/>
  <c r="BJ67" i="1"/>
  <c r="BD67" i="1"/>
  <c r="BA67" i="1"/>
  <c r="AX67" i="1"/>
  <c r="AV67" i="1"/>
  <c r="AU67" i="1"/>
  <c r="AT67" i="1"/>
  <c r="AP67" i="1"/>
  <c r="AM67" i="1"/>
  <c r="AJ67" i="1"/>
  <c r="AD67" i="1"/>
  <c r="AA67" i="1"/>
  <c r="X67" i="1"/>
  <c r="R67" i="1"/>
  <c r="O67" i="1"/>
  <c r="L67" i="1"/>
  <c r="F67" i="1"/>
  <c r="E67" i="1"/>
  <c r="C67" i="1"/>
  <c r="A67" i="1"/>
  <c r="BS67" i="1" s="1"/>
  <c r="BW66" i="1"/>
  <c r="BV66" i="1"/>
  <c r="BS66" i="1"/>
  <c r="BM66" i="1"/>
  <c r="BG66" i="1"/>
  <c r="BD66" i="1"/>
  <c r="AW66" i="1"/>
  <c r="AV66" i="1"/>
  <c r="AU66" i="1"/>
  <c r="AP66" i="1"/>
  <c r="AM66" i="1"/>
  <c r="AG66" i="1"/>
  <c r="AA66" i="1"/>
  <c r="U66" i="1"/>
  <c r="R66" i="1"/>
  <c r="I66" i="1"/>
  <c r="F66" i="1"/>
  <c r="E66" i="1"/>
  <c r="A66" i="1"/>
  <c r="BW65" i="1"/>
  <c r="BV65" i="1"/>
  <c r="BJ65" i="1"/>
  <c r="BG65" i="1"/>
  <c r="AW65" i="1"/>
  <c r="AV65" i="1"/>
  <c r="AP65" i="1"/>
  <c r="AJ65" i="1"/>
  <c r="X65" i="1"/>
  <c r="U65" i="1"/>
  <c r="I65" i="1"/>
  <c r="F65" i="1"/>
  <c r="A65" i="1"/>
  <c r="BW62" i="1"/>
  <c r="BV62" i="1"/>
  <c r="BS62" i="1"/>
  <c r="BJ62" i="1"/>
  <c r="BG62" i="1"/>
  <c r="BD62" i="1"/>
  <c r="AW62" i="1"/>
  <c r="AV62" i="1"/>
  <c r="AT62" i="1"/>
  <c r="AP62" i="1"/>
  <c r="AJ62" i="1"/>
  <c r="AG62" i="1"/>
  <c r="X62" i="1"/>
  <c r="U62" i="1"/>
  <c r="R62" i="1"/>
  <c r="I62" i="1"/>
  <c r="F62" i="1"/>
  <c r="C62" i="1"/>
  <c r="A62" i="1"/>
  <c r="BW61" i="1"/>
  <c r="BG61" i="1"/>
  <c r="AU61" i="1"/>
  <c r="AM61" i="1"/>
  <c r="AJ61" i="1"/>
  <c r="X61" i="1"/>
  <c r="U61" i="1"/>
  <c r="I61" i="1"/>
  <c r="E61" i="1"/>
  <c r="A61" i="1"/>
  <c r="BW60" i="1"/>
  <c r="BV60" i="1"/>
  <c r="BP60" i="1"/>
  <c r="BM60" i="1"/>
  <c r="BJ60" i="1"/>
  <c r="BD60" i="1"/>
  <c r="BA60" i="1"/>
  <c r="AX60" i="1"/>
  <c r="AV60" i="1"/>
  <c r="AU60" i="1"/>
  <c r="AT60" i="1"/>
  <c r="AP60" i="1"/>
  <c r="AM60" i="1"/>
  <c r="AJ60" i="1"/>
  <c r="AD60" i="1"/>
  <c r="AA60" i="1"/>
  <c r="X60" i="1"/>
  <c r="R60" i="1"/>
  <c r="O60" i="1"/>
  <c r="L60" i="1"/>
  <c r="F60" i="1"/>
  <c r="E60" i="1"/>
  <c r="C60" i="1"/>
  <c r="A60" i="1"/>
  <c r="BS60" i="1" s="1"/>
  <c r="BW59" i="1"/>
  <c r="BV59" i="1"/>
  <c r="BS59" i="1"/>
  <c r="BM59" i="1"/>
  <c r="BG59" i="1"/>
  <c r="BD59" i="1"/>
  <c r="AU59" i="1"/>
  <c r="AP59" i="1"/>
  <c r="AM59" i="1"/>
  <c r="AG59" i="1"/>
  <c r="AA59" i="1"/>
  <c r="U59" i="1"/>
  <c r="R59" i="1"/>
  <c r="I59" i="1"/>
  <c r="F59" i="1"/>
  <c r="E59" i="1"/>
  <c r="A59" i="1"/>
  <c r="BW58" i="1"/>
  <c r="BV58" i="1"/>
  <c r="BJ58" i="1"/>
  <c r="BG58" i="1"/>
  <c r="AW58" i="1"/>
  <c r="AV58" i="1"/>
  <c r="AP58" i="1"/>
  <c r="AJ58" i="1"/>
  <c r="X58" i="1"/>
  <c r="U58" i="1"/>
  <c r="I58" i="1"/>
  <c r="F58" i="1"/>
  <c r="A58" i="1"/>
  <c r="BW57" i="1"/>
  <c r="BM57" i="1"/>
  <c r="BJ57" i="1"/>
  <c r="AW57" i="1"/>
  <c r="AS57" i="1"/>
  <c r="AM57" i="1"/>
  <c r="X57" i="1"/>
  <c r="L57" i="1"/>
  <c r="I57" i="1"/>
  <c r="A57" i="1"/>
  <c r="BW56" i="1"/>
  <c r="BV56" i="1"/>
  <c r="BP56" i="1"/>
  <c r="BM56" i="1"/>
  <c r="BJ56" i="1"/>
  <c r="BD56" i="1"/>
  <c r="BA56" i="1"/>
  <c r="AX56" i="1"/>
  <c r="AV56" i="1"/>
  <c r="AU56" i="1"/>
  <c r="AT56" i="1"/>
  <c r="AP56" i="1"/>
  <c r="AM56" i="1"/>
  <c r="AJ56" i="1"/>
  <c r="AD56" i="1"/>
  <c r="AA56" i="1"/>
  <c r="X56" i="1"/>
  <c r="R56" i="1"/>
  <c r="O56" i="1"/>
  <c r="L56" i="1"/>
  <c r="F56" i="1"/>
  <c r="E56" i="1"/>
  <c r="C56" i="1"/>
  <c r="A56" i="1"/>
  <c r="BS56" i="1" s="1"/>
  <c r="BW55" i="1"/>
  <c r="BV55" i="1"/>
  <c r="BM55" i="1"/>
  <c r="BG55" i="1"/>
  <c r="AW55" i="1"/>
  <c r="AV55" i="1"/>
  <c r="AP55" i="1"/>
  <c r="AM55" i="1"/>
  <c r="AA55" i="1"/>
  <c r="U55" i="1"/>
  <c r="I55" i="1"/>
  <c r="F55" i="1"/>
  <c r="A55" i="1"/>
  <c r="BW54" i="1"/>
  <c r="BV54" i="1"/>
  <c r="BP54" i="1"/>
  <c r="BJ54" i="1"/>
  <c r="AW54" i="1"/>
  <c r="AS54" i="1"/>
  <c r="AP54" i="1"/>
  <c r="X54" i="1"/>
  <c r="L54" i="1"/>
  <c r="I54" i="1"/>
  <c r="A54" i="1"/>
  <c r="BW51" i="1"/>
  <c r="BV51" i="1"/>
  <c r="BP51" i="1"/>
  <c r="AW51" i="1"/>
  <c r="AS51" i="1"/>
  <c r="AP51" i="1"/>
  <c r="X51" i="1"/>
  <c r="L51" i="1"/>
  <c r="I51" i="1"/>
  <c r="A51" i="1"/>
  <c r="BW50" i="1"/>
  <c r="BV50" i="1"/>
  <c r="BG50" i="1"/>
  <c r="AW50" i="1"/>
  <c r="AV50" i="1"/>
  <c r="AP50" i="1"/>
  <c r="AJ50" i="1"/>
  <c r="X50" i="1"/>
  <c r="U50" i="1"/>
  <c r="I50" i="1"/>
  <c r="F50" i="1"/>
  <c r="A50" i="1"/>
  <c r="BW49" i="1"/>
  <c r="BV49" i="1"/>
  <c r="BS49" i="1"/>
  <c r="BG49" i="1"/>
  <c r="BD49" i="1"/>
  <c r="AW49" i="1"/>
  <c r="AV49" i="1"/>
  <c r="AT49" i="1"/>
  <c r="AP49" i="1"/>
  <c r="AJ49" i="1"/>
  <c r="AG49" i="1"/>
  <c r="X49" i="1"/>
  <c r="U49" i="1"/>
  <c r="R49" i="1"/>
  <c r="I49" i="1"/>
  <c r="F49" i="1"/>
  <c r="C49" i="1"/>
  <c r="A49" i="1"/>
  <c r="BW48" i="1"/>
  <c r="A48" i="1"/>
  <c r="BW47" i="1"/>
  <c r="BV47" i="1"/>
  <c r="BS47" i="1"/>
  <c r="BP47" i="1"/>
  <c r="BJ47" i="1"/>
  <c r="BD47" i="1"/>
  <c r="BA47" i="1"/>
  <c r="AX47" i="1"/>
  <c r="AV47" i="1"/>
  <c r="AU47" i="1"/>
  <c r="AT47" i="1"/>
  <c r="AP47" i="1"/>
  <c r="AM47" i="1"/>
  <c r="AJ47" i="1"/>
  <c r="AD47" i="1"/>
  <c r="AA47" i="1"/>
  <c r="X47" i="1"/>
  <c r="R47" i="1"/>
  <c r="O47" i="1"/>
  <c r="L47" i="1"/>
  <c r="F47" i="1"/>
  <c r="E47" i="1"/>
  <c r="C47" i="1"/>
  <c r="A47" i="1"/>
  <c r="BW46" i="1"/>
  <c r="BV46" i="1"/>
  <c r="BP46" i="1"/>
  <c r="BM46" i="1"/>
  <c r="BD46" i="1"/>
  <c r="BA46" i="1"/>
  <c r="AX46" i="1"/>
  <c r="AV46" i="1"/>
  <c r="AU46" i="1"/>
  <c r="AT46" i="1"/>
  <c r="AP46" i="1"/>
  <c r="AM46" i="1"/>
  <c r="AJ46" i="1"/>
  <c r="AD46" i="1"/>
  <c r="AA46" i="1"/>
  <c r="X46" i="1"/>
  <c r="R46" i="1"/>
  <c r="O46" i="1"/>
  <c r="L46" i="1"/>
  <c r="F46" i="1"/>
  <c r="E46" i="1"/>
  <c r="C46" i="1"/>
  <c r="A46" i="1"/>
  <c r="BS46" i="1" s="1"/>
  <c r="BW45" i="1"/>
  <c r="BV45" i="1"/>
  <c r="BP45" i="1"/>
  <c r="BM45" i="1"/>
  <c r="BJ45" i="1"/>
  <c r="BD45" i="1"/>
  <c r="BA45" i="1"/>
  <c r="AX45" i="1"/>
  <c r="AV45" i="1"/>
  <c r="AU45" i="1"/>
  <c r="AT45" i="1"/>
  <c r="AP45" i="1"/>
  <c r="AM45" i="1"/>
  <c r="AJ45" i="1"/>
  <c r="AD45" i="1"/>
  <c r="AA45" i="1"/>
  <c r="X45" i="1"/>
  <c r="R45" i="1"/>
  <c r="O45" i="1"/>
  <c r="L45" i="1"/>
  <c r="F45" i="1"/>
  <c r="E45" i="1"/>
  <c r="C45" i="1"/>
  <c r="A45" i="1"/>
  <c r="BS45" i="1" s="1"/>
  <c r="BW44" i="1"/>
  <c r="BV44" i="1"/>
  <c r="BP44" i="1"/>
  <c r="BM44" i="1"/>
  <c r="BJ44" i="1"/>
  <c r="BD44" i="1"/>
  <c r="BA44" i="1"/>
  <c r="AX44" i="1"/>
  <c r="AV44" i="1"/>
  <c r="AU44" i="1"/>
  <c r="AT44" i="1"/>
  <c r="AP44" i="1"/>
  <c r="AM44" i="1"/>
  <c r="AJ44" i="1"/>
  <c r="AD44" i="1"/>
  <c r="AA44" i="1"/>
  <c r="X44" i="1"/>
  <c r="R44" i="1"/>
  <c r="O44" i="1"/>
  <c r="L44" i="1"/>
  <c r="F44" i="1"/>
  <c r="E44" i="1"/>
  <c r="C44" i="1"/>
  <c r="A44" i="1"/>
  <c r="BS44" i="1" s="1"/>
  <c r="BW43" i="1"/>
  <c r="BV43" i="1"/>
  <c r="BP43" i="1"/>
  <c r="BM43" i="1"/>
  <c r="BJ43" i="1"/>
  <c r="BD43" i="1"/>
  <c r="BA43" i="1"/>
  <c r="AX43" i="1"/>
  <c r="AV43" i="1"/>
  <c r="AU43" i="1"/>
  <c r="AT43" i="1"/>
  <c r="AP43" i="1"/>
  <c r="AM43" i="1"/>
  <c r="AJ43" i="1"/>
  <c r="AD43" i="1"/>
  <c r="AA43" i="1"/>
  <c r="X43" i="1"/>
  <c r="R43" i="1"/>
  <c r="O43" i="1"/>
  <c r="L43" i="1"/>
  <c r="F43" i="1"/>
  <c r="E43" i="1"/>
  <c r="C43" i="1"/>
  <c r="A43" i="1"/>
  <c r="BS43" i="1" s="1"/>
  <c r="BW42" i="1"/>
  <c r="BV42" i="1"/>
  <c r="BP42" i="1"/>
  <c r="BM42" i="1"/>
  <c r="BJ42" i="1"/>
  <c r="BD42" i="1"/>
  <c r="BA42" i="1"/>
  <c r="AX42" i="1"/>
  <c r="AV42" i="1"/>
  <c r="AU42" i="1"/>
  <c r="AT42" i="1"/>
  <c r="AP42" i="1"/>
  <c r="AM42" i="1"/>
  <c r="AJ42" i="1"/>
  <c r="AD42" i="1"/>
  <c r="AA42" i="1"/>
  <c r="X42" i="1"/>
  <c r="R42" i="1"/>
  <c r="O42" i="1"/>
  <c r="L42" i="1"/>
  <c r="F42" i="1"/>
  <c r="E42" i="1"/>
  <c r="C42" i="1"/>
  <c r="A42" i="1"/>
  <c r="BS42" i="1" s="1"/>
  <c r="BW41" i="1"/>
  <c r="BV41" i="1"/>
  <c r="BP41" i="1"/>
  <c r="BM41" i="1"/>
  <c r="BD41" i="1"/>
  <c r="BA41" i="1"/>
  <c r="AX41" i="1"/>
  <c r="AV41" i="1"/>
  <c r="AU41" i="1"/>
  <c r="AT41" i="1"/>
  <c r="AP41" i="1"/>
  <c r="AM41" i="1"/>
  <c r="AJ41" i="1"/>
  <c r="AD41" i="1"/>
  <c r="AA41" i="1"/>
  <c r="X41" i="1"/>
  <c r="R41" i="1"/>
  <c r="O41" i="1"/>
  <c r="L41" i="1"/>
  <c r="F41" i="1"/>
  <c r="E41" i="1"/>
  <c r="C41" i="1"/>
  <c r="A41" i="1"/>
  <c r="BS41" i="1" s="1"/>
  <c r="BW39" i="1"/>
  <c r="BV39" i="1"/>
  <c r="BP39" i="1"/>
  <c r="BM39" i="1"/>
  <c r="BJ39" i="1"/>
  <c r="BD39" i="1"/>
  <c r="BA39" i="1"/>
  <c r="AX39" i="1"/>
  <c r="AU39" i="1"/>
  <c r="AT39" i="1"/>
  <c r="AP39" i="1"/>
  <c r="AM39" i="1"/>
  <c r="AJ39" i="1"/>
  <c r="AD39" i="1"/>
  <c r="AA39" i="1"/>
  <c r="X39" i="1"/>
  <c r="R39" i="1"/>
  <c r="O39" i="1"/>
  <c r="L39" i="1"/>
  <c r="F39" i="1"/>
  <c r="E39" i="1"/>
  <c r="C39" i="1"/>
  <c r="A39" i="1"/>
  <c r="BS39" i="1" s="1"/>
  <c r="BW36" i="1"/>
  <c r="BV36" i="1"/>
  <c r="BP36" i="1"/>
  <c r="BM36" i="1"/>
  <c r="BJ36" i="1"/>
  <c r="BD36" i="1"/>
  <c r="BA36" i="1"/>
  <c r="AX36" i="1"/>
  <c r="AV36" i="1"/>
  <c r="AU36" i="1"/>
  <c r="AT36" i="1"/>
  <c r="AP36" i="1"/>
  <c r="AM36" i="1"/>
  <c r="AJ36" i="1"/>
  <c r="AD36" i="1"/>
  <c r="AA36" i="1"/>
  <c r="X36" i="1"/>
  <c r="R36" i="1"/>
  <c r="O36" i="1"/>
  <c r="L36" i="1"/>
  <c r="F36" i="1"/>
  <c r="E36" i="1"/>
  <c r="C36" i="1"/>
  <c r="A36" i="1"/>
  <c r="BS36" i="1" s="1"/>
  <c r="BW35" i="1"/>
  <c r="BV35" i="1"/>
  <c r="BP35" i="1"/>
  <c r="BM35" i="1"/>
  <c r="BJ35" i="1"/>
  <c r="BD35" i="1"/>
  <c r="BA35" i="1"/>
  <c r="AX35" i="1"/>
  <c r="AV35" i="1"/>
  <c r="AU35" i="1"/>
  <c r="AT35" i="1"/>
  <c r="AP35" i="1"/>
  <c r="AM35" i="1"/>
  <c r="AJ35" i="1"/>
  <c r="AD35" i="1"/>
  <c r="AA35" i="1"/>
  <c r="X35" i="1"/>
  <c r="R35" i="1"/>
  <c r="O35" i="1"/>
  <c r="L35" i="1"/>
  <c r="F35" i="1"/>
  <c r="E35" i="1"/>
  <c r="C35" i="1"/>
  <c r="A35" i="1"/>
  <c r="BS35" i="1" s="1"/>
  <c r="BW34" i="1"/>
  <c r="BV34" i="1"/>
  <c r="BP34" i="1"/>
  <c r="BM34" i="1"/>
  <c r="BJ34" i="1"/>
  <c r="BD34" i="1"/>
  <c r="BA34" i="1"/>
  <c r="AX34" i="1"/>
  <c r="AV34" i="1"/>
  <c r="AU34" i="1"/>
  <c r="AT34" i="1"/>
  <c r="AP34" i="1"/>
  <c r="AM34" i="1"/>
  <c r="AJ34" i="1"/>
  <c r="AD34" i="1"/>
  <c r="AA34" i="1"/>
  <c r="X34" i="1"/>
  <c r="R34" i="1"/>
  <c r="O34" i="1"/>
  <c r="L34" i="1"/>
  <c r="F34" i="1"/>
  <c r="E34" i="1"/>
  <c r="C34" i="1"/>
  <c r="A34" i="1"/>
  <c r="BS34" i="1" s="1"/>
  <c r="BW33" i="1"/>
  <c r="BV33" i="1"/>
  <c r="BP33" i="1"/>
  <c r="BM33" i="1"/>
  <c r="BD33" i="1"/>
  <c r="BA33" i="1"/>
  <c r="AX33" i="1"/>
  <c r="AV33" i="1"/>
  <c r="AU33" i="1"/>
  <c r="AT33" i="1"/>
  <c r="AP33" i="1"/>
  <c r="AM33" i="1"/>
  <c r="AJ33" i="1"/>
  <c r="AD33" i="1"/>
  <c r="AA33" i="1"/>
  <c r="X33" i="1"/>
  <c r="R33" i="1"/>
  <c r="O33" i="1"/>
  <c r="L33" i="1"/>
  <c r="F33" i="1"/>
  <c r="E33" i="1"/>
  <c r="C33" i="1"/>
  <c r="A33" i="1"/>
  <c r="BS33" i="1" s="1"/>
  <c r="BW32" i="1"/>
  <c r="BV32" i="1"/>
  <c r="BP32" i="1"/>
  <c r="BM32" i="1"/>
  <c r="BJ32" i="1"/>
  <c r="BD32" i="1"/>
  <c r="BA32" i="1"/>
  <c r="AX32" i="1"/>
  <c r="AV32" i="1"/>
  <c r="AU32" i="1"/>
  <c r="AT32" i="1"/>
  <c r="AP32" i="1"/>
  <c r="AM32" i="1"/>
  <c r="AJ32" i="1"/>
  <c r="AD32" i="1"/>
  <c r="AA32" i="1"/>
  <c r="X32" i="1"/>
  <c r="R32" i="1"/>
  <c r="O32" i="1"/>
  <c r="L32" i="1"/>
  <c r="F32" i="1"/>
  <c r="E32" i="1"/>
  <c r="C32" i="1"/>
  <c r="A32" i="1"/>
  <c r="BS32" i="1" s="1"/>
  <c r="BW31" i="1"/>
  <c r="BV31" i="1"/>
  <c r="BP31" i="1"/>
  <c r="BM31" i="1"/>
  <c r="BD31" i="1"/>
  <c r="BA31" i="1"/>
  <c r="AX31" i="1"/>
  <c r="AV31" i="1"/>
  <c r="AU31" i="1"/>
  <c r="AT31" i="1"/>
  <c r="AP31" i="1"/>
  <c r="AM31" i="1"/>
  <c r="AJ31" i="1"/>
  <c r="AD31" i="1"/>
  <c r="AA31" i="1"/>
  <c r="X31" i="1"/>
  <c r="R31" i="1"/>
  <c r="O31" i="1"/>
  <c r="L31" i="1"/>
  <c r="F31" i="1"/>
  <c r="E31" i="1"/>
  <c r="C31" i="1"/>
  <c r="A31" i="1"/>
  <c r="BS31" i="1" s="1"/>
  <c r="BW30" i="1"/>
  <c r="BV30" i="1"/>
  <c r="BP30" i="1"/>
  <c r="BM30" i="1"/>
  <c r="BJ30" i="1"/>
  <c r="BD30" i="1"/>
  <c r="BA30" i="1"/>
  <c r="AX30" i="1"/>
  <c r="AV30" i="1"/>
  <c r="AU30" i="1"/>
  <c r="AT30" i="1"/>
  <c r="AP30" i="1"/>
  <c r="AM30" i="1"/>
  <c r="AJ30" i="1"/>
  <c r="AD30" i="1"/>
  <c r="AA30" i="1"/>
  <c r="X30" i="1"/>
  <c r="R30" i="1"/>
  <c r="O30" i="1"/>
  <c r="L30" i="1"/>
  <c r="F30" i="1"/>
  <c r="E30" i="1"/>
  <c r="C30" i="1"/>
  <c r="A30" i="1"/>
  <c r="BS30" i="1" s="1"/>
  <c r="BW29" i="1"/>
  <c r="BV29" i="1"/>
  <c r="BP29" i="1"/>
  <c r="BM29" i="1"/>
  <c r="BJ29" i="1"/>
  <c r="BD29" i="1"/>
  <c r="BA29" i="1"/>
  <c r="AX29" i="1"/>
  <c r="AV29" i="1"/>
  <c r="AV37" i="1" s="1"/>
  <c r="AU29" i="1"/>
  <c r="AT29" i="1"/>
  <c r="AP29" i="1"/>
  <c r="AM29" i="1"/>
  <c r="AJ29" i="1"/>
  <c r="AD29" i="1"/>
  <c r="AA29" i="1"/>
  <c r="X29" i="1"/>
  <c r="R29" i="1"/>
  <c r="O29" i="1"/>
  <c r="L29" i="1"/>
  <c r="F29" i="1"/>
  <c r="E29" i="1"/>
  <c r="C29" i="1"/>
  <c r="A29" i="1"/>
  <c r="BS29" i="1" s="1"/>
  <c r="BW26" i="1"/>
  <c r="BJ26" i="1"/>
  <c r="BG26" i="1"/>
  <c r="AX26" i="1"/>
  <c r="AW26" i="1"/>
  <c r="AT26" i="1"/>
  <c r="AS26" i="1"/>
  <c r="AJ26" i="1"/>
  <c r="AG26" i="1"/>
  <c r="X26" i="1"/>
  <c r="U26" i="1"/>
  <c r="F26" i="1"/>
  <c r="E26" i="1"/>
  <c r="A26" i="1"/>
  <c r="BS26" i="1" s="1"/>
  <c r="BW25" i="1"/>
  <c r="BJ25" i="1"/>
  <c r="AT25" i="1"/>
  <c r="X25" i="1"/>
  <c r="A25" i="1"/>
  <c r="BW24" i="1"/>
  <c r="BV24" i="1"/>
  <c r="BS24" i="1"/>
  <c r="BP24" i="1"/>
  <c r="BD24" i="1"/>
  <c r="AW24" i="1"/>
  <c r="AV24" i="1"/>
  <c r="AP24" i="1"/>
  <c r="AG24" i="1"/>
  <c r="AD24" i="1"/>
  <c r="R24" i="1"/>
  <c r="I24" i="1"/>
  <c r="F24" i="1"/>
  <c r="A24" i="1"/>
  <c r="BW23" i="1"/>
  <c r="BV23" i="1"/>
  <c r="BD23" i="1"/>
  <c r="AP23" i="1"/>
  <c r="R23" i="1"/>
  <c r="A23" i="1"/>
  <c r="BW22" i="1"/>
  <c r="BV22" i="1"/>
  <c r="BS22" i="1"/>
  <c r="BP22" i="1"/>
  <c r="BD22" i="1"/>
  <c r="AW22" i="1"/>
  <c r="AV22" i="1"/>
  <c r="AP22" i="1"/>
  <c r="AG22" i="1"/>
  <c r="AD22" i="1"/>
  <c r="R22" i="1"/>
  <c r="I22" i="1"/>
  <c r="F22" i="1"/>
  <c r="A22" i="1"/>
  <c r="BW21" i="1"/>
  <c r="BV21" i="1"/>
  <c r="BJ21" i="1"/>
  <c r="BG21" i="1"/>
  <c r="AW21" i="1"/>
  <c r="AV21" i="1"/>
  <c r="AP21" i="1"/>
  <c r="AJ21" i="1"/>
  <c r="X21" i="1"/>
  <c r="U21" i="1"/>
  <c r="I21" i="1"/>
  <c r="F21" i="1"/>
  <c r="A21" i="1"/>
  <c r="BW20" i="1"/>
  <c r="BV20" i="1"/>
  <c r="BS20" i="1"/>
  <c r="BJ20" i="1"/>
  <c r="BG20" i="1"/>
  <c r="BD20" i="1"/>
  <c r="AW20" i="1"/>
  <c r="AV20" i="1"/>
  <c r="AT20" i="1"/>
  <c r="AP20" i="1"/>
  <c r="AJ20" i="1"/>
  <c r="AG20" i="1"/>
  <c r="X20" i="1"/>
  <c r="U20" i="1"/>
  <c r="R20" i="1"/>
  <c r="I20" i="1"/>
  <c r="F20" i="1"/>
  <c r="C20" i="1"/>
  <c r="A20" i="1"/>
  <c r="BW19" i="1"/>
  <c r="A19" i="1"/>
  <c r="BS19" i="1" s="1"/>
  <c r="BW18" i="1"/>
  <c r="BV18" i="1"/>
  <c r="BJ18" i="1"/>
  <c r="AW18" i="1"/>
  <c r="AP18" i="1"/>
  <c r="X18" i="1"/>
  <c r="I18" i="1"/>
  <c r="A18" i="1"/>
  <c r="BW17" i="1"/>
  <c r="BV17" i="1"/>
  <c r="BJ17" i="1"/>
  <c r="BG17" i="1"/>
  <c r="AW17" i="1"/>
  <c r="AV17" i="1"/>
  <c r="AP17" i="1"/>
  <c r="AJ17" i="1"/>
  <c r="X17" i="1"/>
  <c r="U17" i="1"/>
  <c r="I17" i="1"/>
  <c r="F17" i="1"/>
  <c r="A17" i="1"/>
  <c r="BW16" i="1"/>
  <c r="BV16" i="1"/>
  <c r="BS16" i="1"/>
  <c r="BJ16" i="1"/>
  <c r="BG16" i="1"/>
  <c r="BD16" i="1"/>
  <c r="AW16" i="1"/>
  <c r="AV16" i="1"/>
  <c r="AT16" i="1"/>
  <c r="AP16" i="1"/>
  <c r="AJ16" i="1"/>
  <c r="AG16" i="1"/>
  <c r="X16" i="1"/>
  <c r="U16" i="1"/>
  <c r="R16" i="1"/>
  <c r="I16" i="1"/>
  <c r="F16" i="1"/>
  <c r="C16" i="1"/>
  <c r="A16" i="1"/>
  <c r="BW15" i="1"/>
  <c r="A15" i="1"/>
  <c r="B5" i="1"/>
  <c r="A5" i="1"/>
  <c r="T4" i="1"/>
  <c r="S4" i="1"/>
  <c r="A4" i="1"/>
  <c r="CA2" i="1"/>
  <c r="CA1" i="1"/>
  <c r="BP13" i="2"/>
  <c r="BH19" i="3"/>
  <c r="BJ13" i="2"/>
  <c r="BD13" i="2"/>
  <c r="BS13" i="2"/>
  <c r="BM13" i="2"/>
  <c r="BE19" i="3"/>
  <c r="BZ30" i="1" l="1"/>
  <c r="R37" i="1"/>
  <c r="BD37" i="1"/>
  <c r="O37" i="1"/>
  <c r="AD37" i="1"/>
  <c r="AT37" i="1"/>
  <c r="BA37" i="1"/>
  <c r="BP37" i="1"/>
  <c r="F37" i="1"/>
  <c r="X37" i="1"/>
  <c r="AM37" i="1"/>
  <c r="BS37" i="1"/>
  <c r="L37" i="1"/>
  <c r="AA37" i="1"/>
  <c r="AP37" i="1"/>
  <c r="AX37" i="1"/>
  <c r="BM37" i="1"/>
  <c r="AJ37" i="1"/>
  <c r="AM101" i="1"/>
  <c r="AA101" i="1"/>
  <c r="C15" i="1"/>
  <c r="R15" i="1"/>
  <c r="AG15" i="1"/>
  <c r="AT15" i="1"/>
  <c r="BD15" i="1"/>
  <c r="BS15" i="1"/>
  <c r="CB16" i="1"/>
  <c r="BM18" i="1"/>
  <c r="BZ18" i="1" s="1"/>
  <c r="BA18" i="1"/>
  <c r="AU18" i="1"/>
  <c r="AM18" i="1"/>
  <c r="AA18" i="1"/>
  <c r="O18" i="1"/>
  <c r="E18" i="1"/>
  <c r="L18" i="1"/>
  <c r="AD18" i="1"/>
  <c r="AS18" i="1"/>
  <c r="AX18" i="1"/>
  <c r="BP18" i="1"/>
  <c r="C19" i="1"/>
  <c r="R19" i="1"/>
  <c r="AG19" i="1"/>
  <c r="AT19" i="1"/>
  <c r="BD19" i="1"/>
  <c r="CB20" i="1"/>
  <c r="BM23" i="1"/>
  <c r="BZ23" i="1" s="1"/>
  <c r="BA23" i="1"/>
  <c r="AU23" i="1"/>
  <c r="AM23" i="1"/>
  <c r="AA23" i="1"/>
  <c r="O23" i="1"/>
  <c r="E23" i="1"/>
  <c r="BJ23" i="1"/>
  <c r="CB23" i="1" s="1"/>
  <c r="AX23" i="1"/>
  <c r="AT23" i="1"/>
  <c r="AJ23" i="1"/>
  <c r="X23" i="1"/>
  <c r="L23" i="1"/>
  <c r="C23" i="1"/>
  <c r="U23" i="1"/>
  <c r="AS23" i="1"/>
  <c r="BG23" i="1"/>
  <c r="CA23" i="1" s="1"/>
  <c r="BG25" i="1"/>
  <c r="AW25" i="1"/>
  <c r="AS25" i="1"/>
  <c r="AG25" i="1"/>
  <c r="U25" i="1"/>
  <c r="E25" i="1"/>
  <c r="BS25" i="1"/>
  <c r="BD25" i="1"/>
  <c r="AV25" i="1"/>
  <c r="AP25" i="1"/>
  <c r="AD25" i="1"/>
  <c r="R25" i="1"/>
  <c r="C25" i="1"/>
  <c r="AA25" i="1"/>
  <c r="AU25" i="1"/>
  <c r="BM25" i="1"/>
  <c r="BZ25" i="1" s="1"/>
  <c r="CA25" i="1"/>
  <c r="AU37" i="1"/>
  <c r="BZ29" i="1"/>
  <c r="CA50" i="1"/>
  <c r="CA49" i="1"/>
  <c r="CB47" i="1"/>
  <c r="CA21" i="1"/>
  <c r="CA20" i="1"/>
  <c r="CA17" i="1"/>
  <c r="CA16" i="1"/>
  <c r="BM15" i="1"/>
  <c r="BZ15" i="1" s="1"/>
  <c r="BA15" i="1"/>
  <c r="AU15" i="1"/>
  <c r="AM15" i="1"/>
  <c r="AA15" i="1"/>
  <c r="O15" i="1"/>
  <c r="E15" i="1"/>
  <c r="CB45" i="1"/>
  <c r="CB44" i="1"/>
  <c r="CB43" i="1"/>
  <c r="CB42" i="1"/>
  <c r="CB39" i="1"/>
  <c r="CB36" i="1"/>
  <c r="CB35" i="1"/>
  <c r="CB34" i="1"/>
  <c r="CB32" i="1"/>
  <c r="CB30" i="1"/>
  <c r="CB29" i="1"/>
  <c r="CB26" i="1"/>
  <c r="L15" i="1"/>
  <c r="AD15" i="1"/>
  <c r="AS15" i="1"/>
  <c r="AX15" i="1"/>
  <c r="BP15" i="1"/>
  <c r="CB17" i="1"/>
  <c r="BM19" i="1"/>
  <c r="BZ19" i="1" s="1"/>
  <c r="BA19" i="1"/>
  <c r="AU19" i="1"/>
  <c r="AM19" i="1"/>
  <c r="AA19" i="1"/>
  <c r="O19" i="1"/>
  <c r="E19" i="1"/>
  <c r="L19" i="1"/>
  <c r="AD19" i="1"/>
  <c r="AS19" i="1"/>
  <c r="AX19" i="1"/>
  <c r="BP19" i="1"/>
  <c r="CA26" i="1"/>
  <c r="BM48" i="1"/>
  <c r="BZ48" i="1" s="1"/>
  <c r="BA48" i="1"/>
  <c r="AU48" i="1"/>
  <c r="AM48" i="1"/>
  <c r="AA48" i="1"/>
  <c r="O48" i="1"/>
  <c r="E48" i="1"/>
  <c r="BV48" i="1"/>
  <c r="BJ48" i="1"/>
  <c r="CB48" i="1" s="1"/>
  <c r="AW48" i="1"/>
  <c r="AP48" i="1"/>
  <c r="AP52" i="1" s="1"/>
  <c r="X48" i="1"/>
  <c r="X52" i="1" s="1"/>
  <c r="I48" i="1"/>
  <c r="BG48" i="1"/>
  <c r="CA48" i="1" s="1"/>
  <c r="AV48" i="1"/>
  <c r="AJ48" i="1"/>
  <c r="U48" i="1"/>
  <c r="F48" i="1"/>
  <c r="AD48" i="1"/>
  <c r="AX48" i="1"/>
  <c r="BJ74" i="1"/>
  <c r="AX74" i="1"/>
  <c r="AT74" i="1"/>
  <c r="AJ74" i="1"/>
  <c r="X74" i="1"/>
  <c r="L74" i="1"/>
  <c r="C74" i="1"/>
  <c r="BG74" i="1"/>
  <c r="AM74" i="1"/>
  <c r="U74" i="1"/>
  <c r="F74" i="1"/>
  <c r="BS74" i="1"/>
  <c r="BD74" i="1"/>
  <c r="AU74" i="1"/>
  <c r="AG74" i="1"/>
  <c r="R74" i="1"/>
  <c r="E74" i="1"/>
  <c r="AD74" i="1"/>
  <c r="BA74" i="1"/>
  <c r="BV78" i="1"/>
  <c r="BP78" i="1"/>
  <c r="BD78" i="1"/>
  <c r="AV78" i="1"/>
  <c r="AP78" i="1"/>
  <c r="AD78" i="1"/>
  <c r="R78" i="1"/>
  <c r="F78" i="1"/>
  <c r="BG78" i="1"/>
  <c r="AU78" i="1"/>
  <c r="AJ78" i="1"/>
  <c r="U78" i="1"/>
  <c r="E78" i="1"/>
  <c r="BS78" i="1"/>
  <c r="BA78" i="1"/>
  <c r="AT78" i="1"/>
  <c r="AG78" i="1"/>
  <c r="O78" i="1"/>
  <c r="C78" i="1"/>
  <c r="AA78" i="1"/>
  <c r="AX78" i="1"/>
  <c r="BZ31" i="1"/>
  <c r="BZ32" i="1"/>
  <c r="BZ33" i="1"/>
  <c r="BZ34" i="1"/>
  <c r="BZ35" i="1"/>
  <c r="BZ36" i="1"/>
  <c r="C48" i="1"/>
  <c r="AG48" i="1"/>
  <c r="BD48" i="1"/>
  <c r="I74" i="1"/>
  <c r="AP74" i="1"/>
  <c r="BM74" i="1"/>
  <c r="I78" i="1"/>
  <c r="AM78" i="1"/>
  <c r="BJ78" i="1"/>
  <c r="BJ95" i="1"/>
  <c r="AX95" i="1"/>
  <c r="AT95" i="1"/>
  <c r="AJ95" i="1"/>
  <c r="X95" i="1"/>
  <c r="L95" i="1"/>
  <c r="C95" i="1"/>
  <c r="BV95" i="1"/>
  <c r="BG95" i="1"/>
  <c r="AV95" i="1"/>
  <c r="AM95" i="1"/>
  <c r="U95" i="1"/>
  <c r="F95" i="1"/>
  <c r="BM95" i="1"/>
  <c r="AU95" i="1"/>
  <c r="AD95" i="1"/>
  <c r="I95" i="1"/>
  <c r="BD95" i="1"/>
  <c r="AS95" i="1"/>
  <c r="AA95" i="1"/>
  <c r="E95" i="1"/>
  <c r="AP95" i="1"/>
  <c r="BS95" i="1"/>
  <c r="BM109" i="1"/>
  <c r="BA109" i="1"/>
  <c r="AU109" i="1"/>
  <c r="AM109" i="1"/>
  <c r="AA109" i="1"/>
  <c r="O109" i="1"/>
  <c r="E109" i="1"/>
  <c r="BS109" i="1"/>
  <c r="BD109" i="1"/>
  <c r="AT109" i="1"/>
  <c r="AG109" i="1"/>
  <c r="R109" i="1"/>
  <c r="C109" i="1"/>
  <c r="AV109" i="1"/>
  <c r="AD109" i="1"/>
  <c r="I109" i="1"/>
  <c r="BG109" i="1"/>
  <c r="AP109" i="1"/>
  <c r="L109" i="1"/>
  <c r="BV109" i="1"/>
  <c r="AX109" i="1"/>
  <c r="AJ109" i="1"/>
  <c r="F109" i="1"/>
  <c r="AW109" i="1"/>
  <c r="F15" i="1"/>
  <c r="U15" i="1"/>
  <c r="AJ15" i="1"/>
  <c r="AV15" i="1"/>
  <c r="BG15" i="1"/>
  <c r="CA15" i="1" s="1"/>
  <c r="BM17" i="1"/>
  <c r="BZ17" i="1" s="1"/>
  <c r="BA17" i="1"/>
  <c r="AU17" i="1"/>
  <c r="AM17" i="1"/>
  <c r="AA17" i="1"/>
  <c r="O17" i="1"/>
  <c r="E17" i="1"/>
  <c r="L17" i="1"/>
  <c r="AD17" i="1"/>
  <c r="AS17" i="1"/>
  <c r="AX17" i="1"/>
  <c r="BP17" i="1"/>
  <c r="C18" i="1"/>
  <c r="R18" i="1"/>
  <c r="AG18" i="1"/>
  <c r="AT18" i="1"/>
  <c r="BD18" i="1"/>
  <c r="BS18" i="1"/>
  <c r="F19" i="1"/>
  <c r="U19" i="1"/>
  <c r="AJ19" i="1"/>
  <c r="AV19" i="1"/>
  <c r="BG19" i="1"/>
  <c r="CA19" i="1" s="1"/>
  <c r="BM21" i="1"/>
  <c r="BZ21" i="1" s="1"/>
  <c r="BA21" i="1"/>
  <c r="AU21" i="1"/>
  <c r="AM21" i="1"/>
  <c r="AA21" i="1"/>
  <c r="O21" i="1"/>
  <c r="E21" i="1"/>
  <c r="L21" i="1"/>
  <c r="AD21" i="1"/>
  <c r="AS21" i="1"/>
  <c r="AX21" i="1"/>
  <c r="BP21" i="1"/>
  <c r="CB21" i="1"/>
  <c r="F23" i="1"/>
  <c r="AD23" i="1"/>
  <c r="AV23" i="1"/>
  <c r="BP23" i="1"/>
  <c r="F25" i="1"/>
  <c r="AJ25" i="1"/>
  <c r="AX25" i="1"/>
  <c r="CB25" i="1"/>
  <c r="BZ39" i="1"/>
  <c r="BZ41" i="1"/>
  <c r="BZ42" i="1"/>
  <c r="BZ43" i="1"/>
  <c r="BZ44" i="1"/>
  <c r="BZ45" i="1"/>
  <c r="BZ46" i="1"/>
  <c r="L48" i="1"/>
  <c r="AS48" i="1"/>
  <c r="BP48" i="1"/>
  <c r="O74" i="1"/>
  <c r="AS74" i="1"/>
  <c r="BP74" i="1"/>
  <c r="L78" i="1"/>
  <c r="AS78" i="1"/>
  <c r="BM78" i="1"/>
  <c r="O95" i="1"/>
  <c r="AW95" i="1"/>
  <c r="U109" i="1"/>
  <c r="BP109" i="1"/>
  <c r="I15" i="1"/>
  <c r="X15" i="1"/>
  <c r="AP15" i="1"/>
  <c r="AW15" i="1"/>
  <c r="BJ15" i="1"/>
  <c r="CB15" i="1" s="1"/>
  <c r="BV15" i="1"/>
  <c r="BM16" i="1"/>
  <c r="BZ16" i="1" s="1"/>
  <c r="BA16" i="1"/>
  <c r="AU16" i="1"/>
  <c r="AM16" i="1"/>
  <c r="AA16" i="1"/>
  <c r="O16" i="1"/>
  <c r="E16" i="1"/>
  <c r="L16" i="1"/>
  <c r="AD16" i="1"/>
  <c r="AS16" i="1"/>
  <c r="AX16" i="1"/>
  <c r="BP16" i="1"/>
  <c r="C17" i="1"/>
  <c r="R17" i="1"/>
  <c r="AG17" i="1"/>
  <c r="AT17" i="1"/>
  <c r="BD17" i="1"/>
  <c r="BS17" i="1"/>
  <c r="F18" i="1"/>
  <c r="U18" i="1"/>
  <c r="AJ18" i="1"/>
  <c r="AV18" i="1"/>
  <c r="BG18" i="1"/>
  <c r="CA18" i="1" s="1"/>
  <c r="CB18" i="1"/>
  <c r="I19" i="1"/>
  <c r="X19" i="1"/>
  <c r="AP19" i="1"/>
  <c r="AW19" i="1"/>
  <c r="BJ19" i="1"/>
  <c r="CB19" i="1" s="1"/>
  <c r="BV19" i="1"/>
  <c r="BM20" i="1"/>
  <c r="BZ20" i="1" s="1"/>
  <c r="BA20" i="1"/>
  <c r="AU20" i="1"/>
  <c r="AM20" i="1"/>
  <c r="AA20" i="1"/>
  <c r="O20" i="1"/>
  <c r="E20" i="1"/>
  <c r="L20" i="1"/>
  <c r="AD20" i="1"/>
  <c r="AS20" i="1"/>
  <c r="AX20" i="1"/>
  <c r="BP20" i="1"/>
  <c r="C21" i="1"/>
  <c r="R21" i="1"/>
  <c r="AG21" i="1"/>
  <c r="AT21" i="1"/>
  <c r="BD21" i="1"/>
  <c r="BS21" i="1"/>
  <c r="BM22" i="1"/>
  <c r="BZ22" i="1" s="1"/>
  <c r="BA22" i="1"/>
  <c r="AU22" i="1"/>
  <c r="AM22" i="1"/>
  <c r="AA22" i="1"/>
  <c r="O22" i="1"/>
  <c r="E22" i="1"/>
  <c r="BJ22" i="1"/>
  <c r="CB22" i="1" s="1"/>
  <c r="AX22" i="1"/>
  <c r="AT22" i="1"/>
  <c r="AJ22" i="1"/>
  <c r="X22" i="1"/>
  <c r="L22" i="1"/>
  <c r="C22" i="1"/>
  <c r="U22" i="1"/>
  <c r="AS22" i="1"/>
  <c r="BG22" i="1"/>
  <c r="CA22" i="1" s="1"/>
  <c r="I23" i="1"/>
  <c r="AG23" i="1"/>
  <c r="AW23" i="1"/>
  <c r="BS23" i="1"/>
  <c r="BM24" i="1"/>
  <c r="BZ24" i="1" s="1"/>
  <c r="BA24" i="1"/>
  <c r="AU24" i="1"/>
  <c r="AM24" i="1"/>
  <c r="AA24" i="1"/>
  <c r="O24" i="1"/>
  <c r="E24" i="1"/>
  <c r="BJ24" i="1"/>
  <c r="CB24" i="1" s="1"/>
  <c r="AX24" i="1"/>
  <c r="AT24" i="1"/>
  <c r="AJ24" i="1"/>
  <c r="X24" i="1"/>
  <c r="L24" i="1"/>
  <c r="C24" i="1"/>
  <c r="U24" i="1"/>
  <c r="AS24" i="1"/>
  <c r="BG24" i="1"/>
  <c r="CA24" i="1" s="1"/>
  <c r="I25" i="1"/>
  <c r="AM25" i="1"/>
  <c r="BA25" i="1"/>
  <c r="BV25" i="1"/>
  <c r="R48" i="1"/>
  <c r="AT48" i="1"/>
  <c r="BS48" i="1"/>
  <c r="BM51" i="1"/>
  <c r="BZ51" i="1" s="1"/>
  <c r="BA51" i="1"/>
  <c r="AU51" i="1"/>
  <c r="AM51" i="1"/>
  <c r="AA51" i="1"/>
  <c r="O51" i="1"/>
  <c r="E51" i="1"/>
  <c r="BG51" i="1"/>
  <c r="CA51" i="1" s="1"/>
  <c r="AV51" i="1"/>
  <c r="AJ51" i="1"/>
  <c r="U51" i="1"/>
  <c r="F51" i="1"/>
  <c r="BS51" i="1"/>
  <c r="BD51" i="1"/>
  <c r="AT51" i="1"/>
  <c r="AG51" i="1"/>
  <c r="R51" i="1"/>
  <c r="C51" i="1"/>
  <c r="AD51" i="1"/>
  <c r="AX51" i="1"/>
  <c r="BM54" i="1"/>
  <c r="BA54" i="1"/>
  <c r="AU54" i="1"/>
  <c r="AM54" i="1"/>
  <c r="AA54" i="1"/>
  <c r="O54" i="1"/>
  <c r="E54" i="1"/>
  <c r="BG54" i="1"/>
  <c r="AV54" i="1"/>
  <c r="AJ54" i="1"/>
  <c r="U54" i="1"/>
  <c r="F54" i="1"/>
  <c r="BS54" i="1"/>
  <c r="BD54" i="1"/>
  <c r="AT54" i="1"/>
  <c r="AG54" i="1"/>
  <c r="R54" i="1"/>
  <c r="C54" i="1"/>
  <c r="AD54" i="1"/>
  <c r="AX54" i="1"/>
  <c r="BV57" i="1"/>
  <c r="BP57" i="1"/>
  <c r="BD57" i="1"/>
  <c r="AV57" i="1"/>
  <c r="AP57" i="1"/>
  <c r="AD57" i="1"/>
  <c r="R57" i="1"/>
  <c r="F57" i="1"/>
  <c r="BG57" i="1"/>
  <c r="AU57" i="1"/>
  <c r="AJ57" i="1"/>
  <c r="U57" i="1"/>
  <c r="E57" i="1"/>
  <c r="BS57" i="1"/>
  <c r="BA57" i="1"/>
  <c r="AT57" i="1"/>
  <c r="AG57" i="1"/>
  <c r="O57" i="1"/>
  <c r="C57" i="1"/>
  <c r="AA57" i="1"/>
  <c r="AX57" i="1"/>
  <c r="BJ70" i="1"/>
  <c r="AX70" i="1"/>
  <c r="AT70" i="1"/>
  <c r="AJ70" i="1"/>
  <c r="X70" i="1"/>
  <c r="L70" i="1"/>
  <c r="C70" i="1"/>
  <c r="BV70" i="1"/>
  <c r="BM70" i="1"/>
  <c r="AP70" i="1"/>
  <c r="AA70" i="1"/>
  <c r="I70" i="1"/>
  <c r="BG70" i="1"/>
  <c r="AM70" i="1"/>
  <c r="U70" i="1"/>
  <c r="F70" i="1"/>
  <c r="AD70" i="1"/>
  <c r="BA70" i="1"/>
  <c r="BM73" i="1"/>
  <c r="BA73" i="1"/>
  <c r="AU73" i="1"/>
  <c r="AM73" i="1"/>
  <c r="AA73" i="1"/>
  <c r="O73" i="1"/>
  <c r="E73" i="1"/>
  <c r="BV73" i="1"/>
  <c r="BJ73" i="1"/>
  <c r="AW73" i="1"/>
  <c r="AP73" i="1"/>
  <c r="X73" i="1"/>
  <c r="I73" i="1"/>
  <c r="BG73" i="1"/>
  <c r="AV73" i="1"/>
  <c r="AJ73" i="1"/>
  <c r="U73" i="1"/>
  <c r="F73" i="1"/>
  <c r="AD73" i="1"/>
  <c r="AX73" i="1"/>
  <c r="AA74" i="1"/>
  <c r="BV74" i="1"/>
  <c r="X78" i="1"/>
  <c r="AW78" i="1"/>
  <c r="BV83" i="1"/>
  <c r="BP83" i="1"/>
  <c r="BD83" i="1"/>
  <c r="AP83" i="1"/>
  <c r="AD83" i="1"/>
  <c r="R83" i="1"/>
  <c r="F83" i="1"/>
  <c r="AM83" i="1"/>
  <c r="X83" i="1"/>
  <c r="I83" i="1"/>
  <c r="BM83" i="1"/>
  <c r="AU83" i="1"/>
  <c r="AG83" i="1"/>
  <c r="L83" i="1"/>
  <c r="BG83" i="1"/>
  <c r="AT83" i="1"/>
  <c r="AA83" i="1"/>
  <c r="E83" i="1"/>
  <c r="AJ83" i="1"/>
  <c r="BS83" i="1"/>
  <c r="R95" i="1"/>
  <c r="BA95" i="1"/>
  <c r="BM103" i="1"/>
  <c r="BA103" i="1"/>
  <c r="AU103" i="1"/>
  <c r="AM103" i="1"/>
  <c r="AA103" i="1"/>
  <c r="O103" i="1"/>
  <c r="O107" i="1" s="1"/>
  <c r="E103" i="1"/>
  <c r="BV103" i="1"/>
  <c r="AW103" i="1"/>
  <c r="AP103" i="1"/>
  <c r="X103" i="1"/>
  <c r="I103" i="1"/>
  <c r="BD103" i="1"/>
  <c r="AS103" i="1"/>
  <c r="U103" i="1"/>
  <c r="C103" i="1"/>
  <c r="BG103" i="1"/>
  <c r="AJ103" i="1"/>
  <c r="L103" i="1"/>
  <c r="AX103" i="1"/>
  <c r="AG103" i="1"/>
  <c r="F103" i="1"/>
  <c r="AV103" i="1"/>
  <c r="X109" i="1"/>
  <c r="I26" i="1"/>
  <c r="AA26" i="1"/>
  <c r="AM26" i="1"/>
  <c r="AU26" i="1"/>
  <c r="BA26" i="1"/>
  <c r="BM26" i="1"/>
  <c r="BZ26" i="1" s="1"/>
  <c r="BV26" i="1"/>
  <c r="BM50" i="1"/>
  <c r="BZ50" i="1" s="1"/>
  <c r="BA50" i="1"/>
  <c r="AU50" i="1"/>
  <c r="AM50" i="1"/>
  <c r="AA50" i="1"/>
  <c r="O50" i="1"/>
  <c r="E50" i="1"/>
  <c r="L50" i="1"/>
  <c r="AD50" i="1"/>
  <c r="AS50" i="1"/>
  <c r="AX50" i="1"/>
  <c r="BP50" i="1"/>
  <c r="AX55" i="1"/>
  <c r="AT55" i="1"/>
  <c r="AJ55" i="1"/>
  <c r="X55" i="1"/>
  <c r="L55" i="1"/>
  <c r="C55" i="1"/>
  <c r="O55" i="1"/>
  <c r="AD55" i="1"/>
  <c r="AS55" i="1"/>
  <c r="BA55" i="1"/>
  <c r="BP55" i="1"/>
  <c r="BM58" i="1"/>
  <c r="BA58" i="1"/>
  <c r="AU58" i="1"/>
  <c r="AM58" i="1"/>
  <c r="AA58" i="1"/>
  <c r="O58" i="1"/>
  <c r="E58" i="1"/>
  <c r="L58" i="1"/>
  <c r="AD58" i="1"/>
  <c r="AS58" i="1"/>
  <c r="AX58" i="1"/>
  <c r="BP58" i="1"/>
  <c r="BV61" i="1"/>
  <c r="BP61" i="1"/>
  <c r="BD61" i="1"/>
  <c r="AP61" i="1"/>
  <c r="AD61" i="1"/>
  <c r="R61" i="1"/>
  <c r="F61" i="1"/>
  <c r="L61" i="1"/>
  <c r="AA61" i="1"/>
  <c r="AS61" i="1"/>
  <c r="AX61" i="1"/>
  <c r="BM61" i="1"/>
  <c r="BM65" i="1"/>
  <c r="BA65" i="1"/>
  <c r="AU65" i="1"/>
  <c r="AM65" i="1"/>
  <c r="AA65" i="1"/>
  <c r="O65" i="1"/>
  <c r="E65" i="1"/>
  <c r="L65" i="1"/>
  <c r="AD65" i="1"/>
  <c r="AS65" i="1"/>
  <c r="AX65" i="1"/>
  <c r="BP65" i="1"/>
  <c r="BV68" i="1"/>
  <c r="BP68" i="1"/>
  <c r="BD68" i="1"/>
  <c r="AV68" i="1"/>
  <c r="AP68" i="1"/>
  <c r="AD68" i="1"/>
  <c r="R68" i="1"/>
  <c r="F68" i="1"/>
  <c r="L68" i="1"/>
  <c r="AA68" i="1"/>
  <c r="AS68" i="1"/>
  <c r="AX68" i="1"/>
  <c r="BM68" i="1"/>
  <c r="BM79" i="1"/>
  <c r="BA79" i="1"/>
  <c r="AU79" i="1"/>
  <c r="AM79" i="1"/>
  <c r="AA79" i="1"/>
  <c r="O79" i="1"/>
  <c r="E79" i="1"/>
  <c r="L79" i="1"/>
  <c r="AD79" i="1"/>
  <c r="AS79" i="1"/>
  <c r="AX79" i="1"/>
  <c r="BP79" i="1"/>
  <c r="BJ91" i="1"/>
  <c r="AX91" i="1"/>
  <c r="AT91" i="1"/>
  <c r="AJ91" i="1"/>
  <c r="X91" i="1"/>
  <c r="L91" i="1"/>
  <c r="C91" i="1"/>
  <c r="BV91" i="1"/>
  <c r="BM91" i="1"/>
  <c r="AW91" i="1"/>
  <c r="AP91" i="1"/>
  <c r="AA91" i="1"/>
  <c r="I91" i="1"/>
  <c r="R91" i="1"/>
  <c r="AM91" i="1"/>
  <c r="BA91" i="1"/>
  <c r="BS91" i="1"/>
  <c r="BM94" i="1"/>
  <c r="BA94" i="1"/>
  <c r="AU94" i="1"/>
  <c r="AM94" i="1"/>
  <c r="AA94" i="1"/>
  <c r="O94" i="1"/>
  <c r="E94" i="1"/>
  <c r="BV94" i="1"/>
  <c r="AP94" i="1"/>
  <c r="X94" i="1"/>
  <c r="I94" i="1"/>
  <c r="R94" i="1"/>
  <c r="AJ94" i="1"/>
  <c r="AX94" i="1"/>
  <c r="BS94" i="1"/>
  <c r="C26" i="1"/>
  <c r="R26" i="1"/>
  <c r="AD26" i="1"/>
  <c r="AP26" i="1"/>
  <c r="AV26" i="1"/>
  <c r="BD26" i="1"/>
  <c r="I29" i="1"/>
  <c r="U29" i="1"/>
  <c r="AG29" i="1"/>
  <c r="AS29" i="1"/>
  <c r="AW29" i="1"/>
  <c r="BG29" i="1"/>
  <c r="I30" i="1"/>
  <c r="U30" i="1"/>
  <c r="AG30" i="1"/>
  <c r="AS30" i="1"/>
  <c r="AW30" i="1"/>
  <c r="BG30" i="1"/>
  <c r="CA30" i="1" s="1"/>
  <c r="I31" i="1"/>
  <c r="U31" i="1"/>
  <c r="AG31" i="1"/>
  <c r="AS31" i="1"/>
  <c r="AW31" i="1"/>
  <c r="BG31" i="1"/>
  <c r="CA31" i="1" s="1"/>
  <c r="I32" i="1"/>
  <c r="U32" i="1"/>
  <c r="AG32" i="1"/>
  <c r="AS32" i="1"/>
  <c r="AW32" i="1"/>
  <c r="BG32" i="1"/>
  <c r="CA32" i="1" s="1"/>
  <c r="I33" i="1"/>
  <c r="U33" i="1"/>
  <c r="AG33" i="1"/>
  <c r="AS33" i="1"/>
  <c r="AW33" i="1"/>
  <c r="BG33" i="1"/>
  <c r="CA33" i="1" s="1"/>
  <c r="I34" i="1"/>
  <c r="U34" i="1"/>
  <c r="AG34" i="1"/>
  <c r="AS34" i="1"/>
  <c r="AW34" i="1"/>
  <c r="BG34" i="1"/>
  <c r="CA34" i="1" s="1"/>
  <c r="I35" i="1"/>
  <c r="U35" i="1"/>
  <c r="AG35" i="1"/>
  <c r="AS35" i="1"/>
  <c r="AW35" i="1"/>
  <c r="BG35" i="1"/>
  <c r="CA35" i="1" s="1"/>
  <c r="I36" i="1"/>
  <c r="U36" i="1"/>
  <c r="AG36" i="1"/>
  <c r="AS36" i="1"/>
  <c r="AW36" i="1"/>
  <c r="BG36" i="1"/>
  <c r="CA36" i="1" s="1"/>
  <c r="I39" i="1"/>
  <c r="U39" i="1"/>
  <c r="AG39" i="1"/>
  <c r="AS39" i="1"/>
  <c r="BG39" i="1"/>
  <c r="I41" i="1"/>
  <c r="U41" i="1"/>
  <c r="AG41" i="1"/>
  <c r="AS41" i="1"/>
  <c r="AW41" i="1"/>
  <c r="BG41" i="1"/>
  <c r="CA41" i="1" s="1"/>
  <c r="I42" i="1"/>
  <c r="U42" i="1"/>
  <c r="AG42" i="1"/>
  <c r="AS42" i="1"/>
  <c r="AW42" i="1"/>
  <c r="BG42" i="1"/>
  <c r="CA42" i="1" s="1"/>
  <c r="I43" i="1"/>
  <c r="U43" i="1"/>
  <c r="AG43" i="1"/>
  <c r="AS43" i="1"/>
  <c r="AW43" i="1"/>
  <c r="BG43" i="1"/>
  <c r="CA43" i="1" s="1"/>
  <c r="I44" i="1"/>
  <c r="U44" i="1"/>
  <c r="AG44" i="1"/>
  <c r="AS44" i="1"/>
  <c r="AW44" i="1"/>
  <c r="BG44" i="1"/>
  <c r="CA44" i="1" s="1"/>
  <c r="I45" i="1"/>
  <c r="U45" i="1"/>
  <c r="AG45" i="1"/>
  <c r="AS45" i="1"/>
  <c r="AW45" i="1"/>
  <c r="BG45" i="1"/>
  <c r="CA45" i="1" s="1"/>
  <c r="I46" i="1"/>
  <c r="U46" i="1"/>
  <c r="AG46" i="1"/>
  <c r="AS46" i="1"/>
  <c r="AW46" i="1"/>
  <c r="BG46" i="1"/>
  <c r="CA46" i="1" s="1"/>
  <c r="BM47" i="1"/>
  <c r="BZ47" i="1" s="1"/>
  <c r="I47" i="1"/>
  <c r="U47" i="1"/>
  <c r="AG47" i="1"/>
  <c r="AS47" i="1"/>
  <c r="AW47" i="1"/>
  <c r="BG47" i="1"/>
  <c r="CA47" i="1" s="1"/>
  <c r="BM49" i="1"/>
  <c r="BZ49" i="1" s="1"/>
  <c r="BA49" i="1"/>
  <c r="AU49" i="1"/>
  <c r="AM49" i="1"/>
  <c r="AA49" i="1"/>
  <c r="O49" i="1"/>
  <c r="E49" i="1"/>
  <c r="L49" i="1"/>
  <c r="AD49" i="1"/>
  <c r="AS49" i="1"/>
  <c r="AX49" i="1"/>
  <c r="BP49" i="1"/>
  <c r="C50" i="1"/>
  <c r="R50" i="1"/>
  <c r="AG50" i="1"/>
  <c r="AT50" i="1"/>
  <c r="BD50" i="1"/>
  <c r="BS50" i="1"/>
  <c r="E55" i="1"/>
  <c r="R55" i="1"/>
  <c r="AG55" i="1"/>
  <c r="AU55" i="1"/>
  <c r="BD55" i="1"/>
  <c r="BS55" i="1"/>
  <c r="C58" i="1"/>
  <c r="R58" i="1"/>
  <c r="AG58" i="1"/>
  <c r="AT58" i="1"/>
  <c r="BD58" i="1"/>
  <c r="BS58" i="1"/>
  <c r="AX59" i="1"/>
  <c r="AT59" i="1"/>
  <c r="AJ59" i="1"/>
  <c r="X59" i="1"/>
  <c r="L59" i="1"/>
  <c r="C59" i="1"/>
  <c r="O59" i="1"/>
  <c r="AD59" i="1"/>
  <c r="AS59" i="1"/>
  <c r="BA59" i="1"/>
  <c r="BP59" i="1"/>
  <c r="C61" i="1"/>
  <c r="O61" i="1"/>
  <c r="AG61" i="1"/>
  <c r="AT61" i="1"/>
  <c r="BA61" i="1"/>
  <c r="BS61" i="1"/>
  <c r="BM62" i="1"/>
  <c r="BA62" i="1"/>
  <c r="AU62" i="1"/>
  <c r="AM62" i="1"/>
  <c r="AA62" i="1"/>
  <c r="O62" i="1"/>
  <c r="E62" i="1"/>
  <c r="L62" i="1"/>
  <c r="AD62" i="1"/>
  <c r="AS62" i="1"/>
  <c r="AX62" i="1"/>
  <c r="BP62" i="1"/>
  <c r="C65" i="1"/>
  <c r="R65" i="1"/>
  <c r="AG65" i="1"/>
  <c r="AT65" i="1"/>
  <c r="BD65" i="1"/>
  <c r="BS65" i="1"/>
  <c r="BJ66" i="1"/>
  <c r="AX66" i="1"/>
  <c r="AT66" i="1"/>
  <c r="AJ66" i="1"/>
  <c r="X66" i="1"/>
  <c r="L66" i="1"/>
  <c r="C66" i="1"/>
  <c r="O66" i="1"/>
  <c r="AD66" i="1"/>
  <c r="AS66" i="1"/>
  <c r="BA66" i="1"/>
  <c r="BP66" i="1"/>
  <c r="C68" i="1"/>
  <c r="O68" i="1"/>
  <c r="AG68" i="1"/>
  <c r="AT68" i="1"/>
  <c r="BA68" i="1"/>
  <c r="BS68" i="1"/>
  <c r="BM69" i="1"/>
  <c r="BA69" i="1"/>
  <c r="AU69" i="1"/>
  <c r="AM69" i="1"/>
  <c r="AA69" i="1"/>
  <c r="O69" i="1"/>
  <c r="E69" i="1"/>
  <c r="L69" i="1"/>
  <c r="AD69" i="1"/>
  <c r="AS69" i="1"/>
  <c r="AX69" i="1"/>
  <c r="BP69" i="1"/>
  <c r="BV72" i="1"/>
  <c r="BP72" i="1"/>
  <c r="BD72" i="1"/>
  <c r="AP72" i="1"/>
  <c r="AD72" i="1"/>
  <c r="R72" i="1"/>
  <c r="F72" i="1"/>
  <c r="L72" i="1"/>
  <c r="AA72" i="1"/>
  <c r="AS72" i="1"/>
  <c r="AX72" i="1"/>
  <c r="BM72" i="1"/>
  <c r="C79" i="1"/>
  <c r="R79" i="1"/>
  <c r="AG79" i="1"/>
  <c r="AT79" i="1"/>
  <c r="BD79" i="1"/>
  <c r="BS79" i="1"/>
  <c r="BM80" i="1"/>
  <c r="BA80" i="1"/>
  <c r="AU80" i="1"/>
  <c r="AM80" i="1"/>
  <c r="AA80" i="1"/>
  <c r="BV80" i="1"/>
  <c r="BJ80" i="1"/>
  <c r="AW80" i="1"/>
  <c r="AP80" i="1"/>
  <c r="X80" i="1"/>
  <c r="L80" i="1"/>
  <c r="C80" i="1"/>
  <c r="O80" i="1"/>
  <c r="AG80" i="1"/>
  <c r="AV80" i="1"/>
  <c r="BP80" i="1"/>
  <c r="AX81" i="1"/>
  <c r="AT81" i="1"/>
  <c r="AJ81" i="1"/>
  <c r="X81" i="1"/>
  <c r="L81" i="1"/>
  <c r="C81" i="1"/>
  <c r="BG81" i="1"/>
  <c r="AM81" i="1"/>
  <c r="U81" i="1"/>
  <c r="F81" i="1"/>
  <c r="R81" i="1"/>
  <c r="AP81" i="1"/>
  <c r="BA81" i="1"/>
  <c r="BS81" i="1"/>
  <c r="BM84" i="1"/>
  <c r="BA84" i="1"/>
  <c r="AU84" i="1"/>
  <c r="AM84" i="1"/>
  <c r="AA84" i="1"/>
  <c r="O84" i="1"/>
  <c r="E84" i="1"/>
  <c r="BG84" i="1"/>
  <c r="AV84" i="1"/>
  <c r="AJ84" i="1"/>
  <c r="U84" i="1"/>
  <c r="F84" i="1"/>
  <c r="R84" i="1"/>
  <c r="AP84" i="1"/>
  <c r="AX84" i="1"/>
  <c r="BS84" i="1"/>
  <c r="BV89" i="1"/>
  <c r="BP89" i="1"/>
  <c r="BD89" i="1"/>
  <c r="AV89" i="1"/>
  <c r="AP89" i="1"/>
  <c r="AD89" i="1"/>
  <c r="R89" i="1"/>
  <c r="F89" i="1"/>
  <c r="BS89" i="1"/>
  <c r="BA89" i="1"/>
  <c r="AT89" i="1"/>
  <c r="AG89" i="1"/>
  <c r="O89" i="1"/>
  <c r="C89" i="1"/>
  <c r="U89" i="1"/>
  <c r="AM89" i="1"/>
  <c r="AX89" i="1"/>
  <c r="E91" i="1"/>
  <c r="U91" i="1"/>
  <c r="AS91" i="1"/>
  <c r="BD91" i="1"/>
  <c r="C94" i="1"/>
  <c r="U94" i="1"/>
  <c r="AS94" i="1"/>
  <c r="BD94" i="1"/>
  <c r="BJ96" i="1"/>
  <c r="AX96" i="1"/>
  <c r="AT96" i="1"/>
  <c r="AJ96" i="1"/>
  <c r="X96" i="1"/>
  <c r="L96" i="1"/>
  <c r="C96" i="1"/>
  <c r="BS96" i="1"/>
  <c r="BD96" i="1"/>
  <c r="AU96" i="1"/>
  <c r="AG96" i="1"/>
  <c r="R96" i="1"/>
  <c r="E96" i="1"/>
  <c r="BM96" i="1"/>
  <c r="AD96" i="1"/>
  <c r="I96" i="1"/>
  <c r="AA96" i="1"/>
  <c r="BV100" i="1"/>
  <c r="BP100" i="1"/>
  <c r="BP101" i="1" s="1"/>
  <c r="BD100" i="1"/>
  <c r="BD101" i="1" s="1"/>
  <c r="AP100" i="1"/>
  <c r="AP101" i="1" s="1"/>
  <c r="AD100" i="1"/>
  <c r="AD101" i="1" s="1"/>
  <c r="R100" i="1"/>
  <c r="R101" i="1" s="1"/>
  <c r="F100" i="1"/>
  <c r="F101" i="1" s="1"/>
  <c r="BS100" i="1"/>
  <c r="BS101" i="1" s="1"/>
  <c r="BA100" i="1"/>
  <c r="BA101" i="1" s="1"/>
  <c r="AT100" i="1"/>
  <c r="AT101" i="1" s="1"/>
  <c r="AG100" i="1"/>
  <c r="O100" i="1"/>
  <c r="O101" i="1" s="1"/>
  <c r="C100" i="1"/>
  <c r="BM100" i="1"/>
  <c r="BM101" i="1" s="1"/>
  <c r="AJ100" i="1"/>
  <c r="AJ101" i="1" s="1"/>
  <c r="L100" i="1"/>
  <c r="L101" i="1" s="1"/>
  <c r="X100" i="1"/>
  <c r="X101" i="1" s="1"/>
  <c r="AU100" i="1"/>
  <c r="AU101" i="1" s="1"/>
  <c r="BJ104" i="1"/>
  <c r="AX104" i="1"/>
  <c r="AT104" i="1"/>
  <c r="AT107" i="1" s="1"/>
  <c r="AJ104" i="1"/>
  <c r="X104" i="1"/>
  <c r="L104" i="1"/>
  <c r="C104" i="1"/>
  <c r="BG104" i="1"/>
  <c r="AM104" i="1"/>
  <c r="U104" i="1"/>
  <c r="F104" i="1"/>
  <c r="BM104" i="1"/>
  <c r="AU104" i="1"/>
  <c r="AD104" i="1"/>
  <c r="I104" i="1"/>
  <c r="AA104" i="1"/>
  <c r="BS104" i="1"/>
  <c r="BV106" i="1"/>
  <c r="BP106" i="1"/>
  <c r="BP107" i="1" s="1"/>
  <c r="BD106" i="1"/>
  <c r="AP106" i="1"/>
  <c r="AD106" i="1"/>
  <c r="R106" i="1"/>
  <c r="R107" i="1" s="1"/>
  <c r="F106" i="1"/>
  <c r="BJ106" i="1"/>
  <c r="AM106" i="1"/>
  <c r="X106" i="1"/>
  <c r="I106" i="1"/>
  <c r="BA106" i="1"/>
  <c r="AS106" i="1"/>
  <c r="U106" i="1"/>
  <c r="C106" i="1"/>
  <c r="AA106" i="1"/>
  <c r="AU106" i="1"/>
  <c r="BS106" i="1"/>
  <c r="I56" i="1"/>
  <c r="U56" i="1"/>
  <c r="AG56" i="1"/>
  <c r="AS56" i="1"/>
  <c r="AW56" i="1"/>
  <c r="BG56" i="1"/>
  <c r="I60" i="1"/>
  <c r="U60" i="1"/>
  <c r="AG60" i="1"/>
  <c r="AS60" i="1"/>
  <c r="AW60" i="1"/>
  <c r="BG60" i="1"/>
  <c r="I67" i="1"/>
  <c r="U67" i="1"/>
  <c r="AG67" i="1"/>
  <c r="AS67" i="1"/>
  <c r="AW67" i="1"/>
  <c r="BG67" i="1"/>
  <c r="I71" i="1"/>
  <c r="U71" i="1"/>
  <c r="AG71" i="1"/>
  <c r="AS71" i="1"/>
  <c r="AW71" i="1"/>
  <c r="BG71" i="1"/>
  <c r="I77" i="1"/>
  <c r="U77" i="1"/>
  <c r="AG77" i="1"/>
  <c r="AS77" i="1"/>
  <c r="AW77" i="1"/>
  <c r="BG77" i="1"/>
  <c r="AX87" i="1"/>
  <c r="AT87" i="1"/>
  <c r="AJ87" i="1"/>
  <c r="X87" i="1"/>
  <c r="L87" i="1"/>
  <c r="C87" i="1"/>
  <c r="O87" i="1"/>
  <c r="AD87" i="1"/>
  <c r="AS87" i="1"/>
  <c r="BA87" i="1"/>
  <c r="BP87" i="1"/>
  <c r="BM90" i="1"/>
  <c r="BA90" i="1"/>
  <c r="AU90" i="1"/>
  <c r="AM90" i="1"/>
  <c r="AA90" i="1"/>
  <c r="O90" i="1"/>
  <c r="E90" i="1"/>
  <c r="L90" i="1"/>
  <c r="AD90" i="1"/>
  <c r="AS90" i="1"/>
  <c r="AX90" i="1"/>
  <c r="BP90" i="1"/>
  <c r="BV93" i="1"/>
  <c r="BP93" i="1"/>
  <c r="BD93" i="1"/>
  <c r="AV93" i="1"/>
  <c r="AP93" i="1"/>
  <c r="AD93" i="1"/>
  <c r="R93" i="1"/>
  <c r="F93" i="1"/>
  <c r="L93" i="1"/>
  <c r="AA93" i="1"/>
  <c r="AS93" i="1"/>
  <c r="AX93" i="1"/>
  <c r="BM93" i="1"/>
  <c r="AX101" i="1"/>
  <c r="I82" i="1"/>
  <c r="U82" i="1"/>
  <c r="AG82" i="1"/>
  <c r="AS82" i="1"/>
  <c r="AW82" i="1"/>
  <c r="BG82" i="1"/>
  <c r="I88" i="1"/>
  <c r="U88" i="1"/>
  <c r="AG88" i="1"/>
  <c r="AS88" i="1"/>
  <c r="AW88" i="1"/>
  <c r="BG88" i="1"/>
  <c r="I92" i="1"/>
  <c r="U92" i="1"/>
  <c r="AG92" i="1"/>
  <c r="AS92" i="1"/>
  <c r="BG92" i="1"/>
  <c r="BJ101" i="1"/>
  <c r="I99" i="1"/>
  <c r="I101" i="1" s="1"/>
  <c r="U99" i="1"/>
  <c r="U101" i="1" s="1"/>
  <c r="AG99" i="1"/>
  <c r="AS99" i="1"/>
  <c r="AS101" i="1" s="1"/>
  <c r="AW99" i="1"/>
  <c r="BG99" i="1"/>
  <c r="BG101" i="1" s="1"/>
  <c r="I105" i="1"/>
  <c r="U105" i="1"/>
  <c r="AG105" i="1"/>
  <c r="AS105" i="1"/>
  <c r="AW105" i="1"/>
  <c r="BG105" i="1"/>
  <c r="AJ52" i="1" l="1"/>
  <c r="AT75" i="1"/>
  <c r="AG101" i="1"/>
  <c r="AU97" i="1"/>
  <c r="L85" i="1"/>
  <c r="AD52" i="1"/>
  <c r="AT52" i="1"/>
  <c r="AU52" i="1"/>
  <c r="F75" i="1"/>
  <c r="AA85" i="1"/>
  <c r="BM85" i="1"/>
  <c r="AX85" i="1"/>
  <c r="BD97" i="1"/>
  <c r="R85" i="1"/>
  <c r="AS107" i="1"/>
  <c r="AJ75" i="1"/>
  <c r="AP63" i="1"/>
  <c r="BG97" i="1"/>
  <c r="I85" i="1"/>
  <c r="I75" i="1"/>
  <c r="I63" i="1"/>
  <c r="F97" i="1"/>
  <c r="AS63" i="1"/>
  <c r="BA52" i="1"/>
  <c r="AS85" i="1"/>
  <c r="AD85" i="1"/>
  <c r="AG107" i="1"/>
  <c r="BD107" i="1"/>
  <c r="AA97" i="1"/>
  <c r="X97" i="1"/>
  <c r="R97" i="1"/>
  <c r="BS85" i="1"/>
  <c r="X75" i="1"/>
  <c r="BJ75" i="1"/>
  <c r="X107" i="1"/>
  <c r="AM107" i="1"/>
  <c r="BD52" i="1"/>
  <c r="AA52" i="1"/>
  <c r="I97" i="1"/>
  <c r="AG97" i="1"/>
  <c r="AJ97" i="1"/>
  <c r="BG75" i="1"/>
  <c r="U75" i="1"/>
  <c r="BS107" i="1"/>
  <c r="BS75" i="1"/>
  <c r="BS52" i="1"/>
  <c r="F107" i="1"/>
  <c r="AJ107" i="1"/>
  <c r="CA39" i="1"/>
  <c r="L52" i="1"/>
  <c r="BA85" i="1"/>
  <c r="AJ85" i="1"/>
  <c r="BD85" i="1"/>
  <c r="AD27" i="1"/>
  <c r="AP85" i="1"/>
  <c r="BG107" i="1"/>
  <c r="R52" i="1"/>
  <c r="AX97" i="1"/>
  <c r="AM97" i="1"/>
  <c r="BP85" i="1"/>
  <c r="AP75" i="1"/>
  <c r="BG63" i="1"/>
  <c r="BP52" i="1"/>
  <c r="O52" i="1"/>
  <c r="AD107" i="1"/>
  <c r="O85" i="1"/>
  <c r="BM97" i="1"/>
  <c r="AX52" i="1"/>
  <c r="AP97" i="1"/>
  <c r="AS97" i="1"/>
  <c r="L97" i="1"/>
  <c r="AW52" i="1"/>
  <c r="I52" i="1"/>
  <c r="BG37" i="1"/>
  <c r="CA29" i="1"/>
  <c r="U37" i="1"/>
  <c r="AU85" i="1"/>
  <c r="BP63" i="1"/>
  <c r="AT85" i="1"/>
  <c r="F85" i="1"/>
  <c r="BA75" i="1"/>
  <c r="BP27" i="1"/>
  <c r="AV27" i="1"/>
  <c r="AG27" i="1"/>
  <c r="AD97" i="1"/>
  <c r="AG75" i="1"/>
  <c r="AS52" i="1"/>
  <c r="AW37" i="1"/>
  <c r="AW39" i="1" s="1"/>
  <c r="I37" i="1"/>
  <c r="AD75" i="1"/>
  <c r="AA75" i="1"/>
  <c r="BM75" i="1"/>
  <c r="AP107" i="1"/>
  <c r="AU107" i="1"/>
  <c r="AT63" i="1"/>
  <c r="AM63" i="1"/>
  <c r="X27" i="1"/>
  <c r="AJ27" i="1"/>
  <c r="L27" i="1"/>
  <c r="AU27" i="1"/>
  <c r="BS27" i="1"/>
  <c r="R27" i="1"/>
  <c r="BM52" i="1"/>
  <c r="AS75" i="1"/>
  <c r="AW59" i="1"/>
  <c r="U97" i="1"/>
  <c r="BP97" i="1"/>
  <c r="O97" i="1"/>
  <c r="AG85" i="1"/>
  <c r="R75" i="1"/>
  <c r="AG52" i="1"/>
  <c r="AS37" i="1"/>
  <c r="BP75" i="1"/>
  <c r="L75" i="1"/>
  <c r="AM75" i="1"/>
  <c r="AX107" i="1"/>
  <c r="BA107" i="1"/>
  <c r="X85" i="1"/>
  <c r="BD63" i="1"/>
  <c r="AU63" i="1"/>
  <c r="BJ27" i="1"/>
  <c r="I27" i="1"/>
  <c r="U27" i="1"/>
  <c r="AV52" i="1"/>
  <c r="AM52" i="1"/>
  <c r="AX27" i="1"/>
  <c r="O27" i="1"/>
  <c r="BA27" i="1"/>
  <c r="BD27" i="1"/>
  <c r="O75" i="1"/>
  <c r="AX63" i="1"/>
  <c r="F63" i="1"/>
  <c r="AP27" i="1"/>
  <c r="AM27" i="1"/>
  <c r="BA97" i="1"/>
  <c r="AT97" i="1"/>
  <c r="BG85" i="1"/>
  <c r="U85" i="1"/>
  <c r="BS97" i="1"/>
  <c r="BD75" i="1"/>
  <c r="BG52" i="1"/>
  <c r="U52" i="1"/>
  <c r="AG37" i="1"/>
  <c r="AX75" i="1"/>
  <c r="AU75" i="1"/>
  <c r="L107" i="1"/>
  <c r="U107" i="1"/>
  <c r="I107" i="1"/>
  <c r="AA107" i="1"/>
  <c r="BM107" i="1"/>
  <c r="R63" i="1"/>
  <c r="BS63" i="1"/>
  <c r="BA63" i="1"/>
  <c r="AW27" i="1"/>
  <c r="BG27" i="1"/>
  <c r="F27" i="1"/>
  <c r="AM85" i="1"/>
  <c r="F52" i="1"/>
  <c r="AS27" i="1"/>
  <c r="AA27" i="1"/>
  <c r="BM27" i="1"/>
  <c r="AT27" i="1"/>
  <c r="AV39" i="1" l="1"/>
  <c r="AW61" i="1"/>
  <c r="AV59" i="1"/>
  <c r="AV61" i="1" s="1"/>
  <c r="AV63" i="1" l="1"/>
  <c r="AW63" i="1"/>
  <c r="AV70" i="1" l="1"/>
  <c r="AW70" i="1"/>
  <c r="AW72" i="1" l="1"/>
  <c r="AW74" i="1"/>
  <c r="AW75" i="1" s="1"/>
  <c r="AV72" i="1"/>
  <c r="AV74" i="1"/>
  <c r="AV75" i="1" s="1"/>
  <c r="AW83" i="1" l="1"/>
  <c r="AV83" i="1"/>
  <c r="AV81" i="1"/>
  <c r="AW81" i="1"/>
  <c r="AW85" i="1" l="1"/>
  <c r="AW90" i="1"/>
  <c r="AV85" i="1"/>
  <c r="AV90" i="1" l="1"/>
  <c r="AW92" i="1"/>
  <c r="AV92" i="1"/>
  <c r="AW94" i="1"/>
  <c r="AW97" i="1" l="1"/>
  <c r="AV94" i="1"/>
  <c r="AW100" i="1"/>
  <c r="AW101" i="1" s="1"/>
  <c r="AW96" i="1"/>
  <c r="AV96" i="1"/>
  <c r="AV97" i="1" l="1"/>
  <c r="AW104" i="1"/>
  <c r="AW106" i="1" s="1"/>
  <c r="BJ41" i="1"/>
  <c r="CB41" i="1" s="1"/>
  <c r="BJ93" i="1"/>
  <c r="BJ49" i="1"/>
  <c r="CB49" i="1" s="1"/>
  <c r="BJ50" i="1"/>
  <c r="BJ33" i="1"/>
  <c r="CB33" i="1" s="1"/>
  <c r="BJ89" i="1"/>
  <c r="BJ31" i="1"/>
  <c r="BJ88" i="1"/>
  <c r="BJ84" i="1"/>
  <c r="BJ61" i="1"/>
  <c r="BJ59" i="1"/>
  <c r="BJ81" i="1"/>
  <c r="BJ103" i="1"/>
  <c r="BJ107" i="1" s="1"/>
  <c r="BJ46" i="1"/>
  <c r="CB46" i="1" s="1"/>
  <c r="BJ90" i="1"/>
  <c r="BJ87" i="1"/>
  <c r="BJ94" i="1"/>
  <c r="BJ51" i="1"/>
  <c r="CB51" i="1" s="1"/>
  <c r="BJ97" i="1" l="1"/>
  <c r="CB50" i="1"/>
  <c r="BJ52" i="1"/>
  <c r="BJ37" i="1"/>
  <c r="CB31" i="1"/>
  <c r="AW107" i="1"/>
  <c r="AV100" i="1"/>
  <c r="AV101" i="1" s="1"/>
  <c r="AV104" i="1" s="1"/>
  <c r="AV106" i="1" l="1"/>
  <c r="AV107" i="1" s="1"/>
  <c r="BJ55" i="1" l="1"/>
  <c r="BJ63" i="1" s="1"/>
  <c r="BJ83" i="1"/>
  <c r="BJ85" i="1" s="1"/>
  <c r="BJ109" i="1" l="1"/>
  <c r="BU70" i="1" l="1"/>
  <c r="BU49" i="1" l="1"/>
  <c r="BU93" i="1"/>
  <c r="BU41" i="1"/>
  <c r="BU48" i="1"/>
  <c r="BU50" i="1"/>
  <c r="BU72" i="1"/>
  <c r="BU83" i="1"/>
  <c r="BU56" i="1"/>
  <c r="BU99" i="1"/>
  <c r="BT50" i="1" l="1"/>
  <c r="BT48" i="1"/>
  <c r="BT83" i="1"/>
  <c r="BT93" i="1"/>
  <c r="BT49" i="1"/>
  <c r="BU57" i="1" l="1"/>
  <c r="BU100" i="1"/>
  <c r="BU101" i="1" s="1"/>
  <c r="BT56" i="1"/>
  <c r="BT70" i="1"/>
  <c r="BU62" i="1" l="1"/>
  <c r="BT100" i="1"/>
  <c r="BT57" i="1"/>
  <c r="BU58" i="1" l="1"/>
  <c r="BT41" i="1"/>
  <c r="BT62" i="1"/>
  <c r="BU59" i="1" l="1"/>
  <c r="BU23" i="1"/>
  <c r="BT59" i="1" l="1"/>
  <c r="BU109" i="1" l="1"/>
  <c r="BT109" i="1" l="1"/>
  <c r="BU90" i="1"/>
  <c r="BU95" i="1" l="1"/>
  <c r="BU68" i="1" l="1"/>
  <c r="BT99" i="1" l="1"/>
  <c r="BT101" i="1" s="1"/>
  <c r="BU45" i="1"/>
  <c r="BT95" i="1" l="1"/>
  <c r="BU73" i="1"/>
  <c r="BT45" i="1"/>
  <c r="BU78" i="1" l="1"/>
  <c r="BT73" i="1"/>
  <c r="BU79" i="1" l="1"/>
  <c r="BT78" i="1"/>
  <c r="BT68" i="1"/>
  <c r="BU21" i="1" l="1"/>
  <c r="BU87" i="1" l="1"/>
  <c r="BU103" i="1" l="1"/>
  <c r="BT87" i="1"/>
  <c r="BT58" i="1"/>
  <c r="BT103" i="1" l="1"/>
  <c r="BU67" i="1"/>
  <c r="BT90" i="1" l="1"/>
  <c r="BU96" i="1"/>
  <c r="BT96" i="1" l="1"/>
  <c r="BU94" i="1"/>
  <c r="BU69" i="1" l="1"/>
  <c r="BU80" i="1" l="1"/>
  <c r="BT80" i="1" l="1"/>
  <c r="BU66" i="1"/>
  <c r="BU92" i="1" l="1"/>
  <c r="BT66" i="1"/>
  <c r="BU91" i="1" l="1"/>
  <c r="BU71" i="1" l="1"/>
  <c r="BU30" i="1"/>
  <c r="BT71" i="1" l="1"/>
  <c r="BT30" i="1"/>
  <c r="BT67" i="1" l="1"/>
  <c r="BU61" i="1" l="1"/>
  <c r="BT61" i="1" l="1"/>
  <c r="BU55" i="1" l="1"/>
  <c r="BT55" i="1" l="1"/>
  <c r="BU84" i="1"/>
  <c r="BU65" i="1" l="1"/>
  <c r="BT84" i="1"/>
  <c r="BU34" i="1"/>
  <c r="BT79" i="1" l="1"/>
  <c r="BU39" i="1"/>
  <c r="BU36" i="1"/>
  <c r="BT39" i="1" l="1"/>
  <c r="BT36" i="1"/>
  <c r="BU104" i="1" l="1"/>
  <c r="BU106" i="1" l="1"/>
  <c r="BT104" i="1"/>
  <c r="BU17" i="1"/>
  <c r="BT106" i="1" l="1"/>
  <c r="BT17" i="1"/>
  <c r="BU32" i="1"/>
  <c r="BT32" i="1" l="1"/>
  <c r="BU88" i="1" l="1"/>
  <c r="BU31" i="1"/>
  <c r="BT88" i="1" l="1"/>
  <c r="BT69" i="1"/>
  <c r="BT31" i="1"/>
  <c r="BU18" i="1" l="1"/>
  <c r="BT18" i="1" l="1"/>
  <c r="BU20" i="1"/>
  <c r="BU22" i="1"/>
  <c r="BT20" i="1"/>
  <c r="BT22" i="1" l="1"/>
  <c r="BU89" i="1" l="1"/>
  <c r="BU97" i="1" s="1"/>
  <c r="BT89" i="1" l="1"/>
  <c r="BU42" i="1" l="1"/>
  <c r="BT42" i="1" l="1"/>
  <c r="BU44" i="1"/>
  <c r="BT44" i="1" l="1"/>
  <c r="BU74" i="1" l="1"/>
  <c r="BU75" i="1" s="1"/>
  <c r="BT74" i="1" l="1"/>
  <c r="BU15" i="1"/>
  <c r="BU43" i="1" l="1"/>
  <c r="BT15" i="1"/>
  <c r="BT43" i="1" l="1"/>
  <c r="BU82" i="1"/>
  <c r="BU16" i="1" l="1"/>
  <c r="BT82" i="1"/>
  <c r="BU25" i="1"/>
  <c r="BT16" i="1" l="1"/>
  <c r="BT25" i="1"/>
  <c r="BU81" i="1" l="1"/>
  <c r="BT81" i="1" l="1"/>
  <c r="BU46" i="1"/>
  <c r="BT21" i="1" l="1"/>
  <c r="BU77" i="1"/>
  <c r="BU85" i="1" s="1"/>
  <c r="BT46" i="1"/>
  <c r="BT77" i="1" l="1"/>
  <c r="BT85" i="1" s="1"/>
  <c r="BU29" i="1" l="1"/>
  <c r="BT29" i="1" l="1"/>
  <c r="BT91" i="1" l="1"/>
  <c r="BT23" i="1"/>
  <c r="BU19" i="1" l="1"/>
  <c r="BT19" i="1" l="1"/>
  <c r="BT94" i="1" l="1"/>
  <c r="BT65" i="1" l="1"/>
  <c r="BT34" i="1"/>
  <c r="BT72" i="1" l="1"/>
  <c r="BT75" i="1" s="1"/>
  <c r="BT92" i="1" l="1"/>
  <c r="BT97" i="1" s="1"/>
  <c r="BU60" i="1" l="1"/>
  <c r="BU105" i="1"/>
  <c r="BU107" i="1" s="1"/>
  <c r="BU35" i="1"/>
  <c r="BU33" i="1"/>
  <c r="BU37" i="1" l="1"/>
  <c r="BU24" i="1"/>
  <c r="BU51" i="1"/>
  <c r="BU54" i="1"/>
  <c r="BU63" i="1" s="1"/>
  <c r="BU26" i="1"/>
  <c r="BU47" i="1"/>
  <c r="BU27" i="1" l="1"/>
  <c r="BU52" i="1"/>
  <c r="BT105" i="1"/>
  <c r="BT107" i="1" s="1"/>
  <c r="BT33" i="1"/>
  <c r="BT24" i="1" l="1"/>
  <c r="BT51" i="1" l="1"/>
  <c r="BT26" i="1" l="1"/>
  <c r="BT27" i="1" s="1"/>
  <c r="BT47" i="1" l="1"/>
  <c r="BT52" i="1" s="1"/>
  <c r="BT60" i="1" l="1"/>
  <c r="BT35" i="1"/>
  <c r="BT37" i="1" s="1"/>
  <c r="BT54" i="1" l="1"/>
  <c r="BT63" i="1" s="1"/>
</calcChain>
</file>

<file path=xl/comments1.xml><?xml version="1.0" encoding="utf-8"?>
<comments xmlns="http://schemas.openxmlformats.org/spreadsheetml/2006/main">
  <authors>
    <author>Flavia Matsuda</author>
  </authors>
  <commentList>
    <comment ref="AH54"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<sst xmlns="http://schemas.openxmlformats.org/spreadsheetml/2006/main" count="525" uniqueCount="268">
  <si>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</si>
  <si>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</si>
  <si>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</si>
  <si>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sortearon por P/S; en los sectores Industrial y Telecomunicaciones se sortearon por P/E; y en el sector Financiero se sortearon por P/BV. Se recomienda consultar el glosario antes de interpretar el reporte.</t>
  </si>
  <si>
    <t>Copiar celdas de columnas CD-CG como VALOR</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</si>
  <si>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</si>
  <si>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t>Ordenar por columna de color azul de menor a mayor</t>
  </si>
  <si>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</si>
  <si>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Pegar CI en CD</t>
  </si>
  <si>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</si>
  <si>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</si>
  <si>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</si>
  <si>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</si>
  <si>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</si>
  <si>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</si>
  <si>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</si>
  <si>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</si>
  <si>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</si>
  <si>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</si>
  <si>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</si>
  <si>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</si>
  <si>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</si>
  <si>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</si>
  <si>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</si>
  <si>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</si>
  <si>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</si>
  <si>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</si>
  <si>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</si>
  <si>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</si>
  <si>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</si>
  <si>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</si>
  <si>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</si>
  <si>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</si>
  <si>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</si>
  <si>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</si>
  <si>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</si>
  <si>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</si>
  <si>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</si>
  <si>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</si>
  <si>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</si>
  <si>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</si>
  <si>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</si>
  <si>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</si>
  <si>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</si>
  <si>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</si>
  <si>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</si>
  <si>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</si>
  <si>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</si>
  <si>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PATY</t>
  </si>
  <si>
    <t>-</t>
  </si>
  <si>
    <t>PATA</t>
  </si>
  <si>
    <t>LEDE</t>
  </si>
  <si>
    <t>MOLI</t>
  </si>
  <si>
    <t>MOLA</t>
  </si>
  <si>
    <t>SEMI</t>
  </si>
  <si>
    <t>INTR</t>
  </si>
  <si>
    <t>MORI</t>
  </si>
  <si>
    <t>ESME</t>
  </si>
  <si>
    <t>INVJ</t>
  </si>
  <si>
    <t>SAMI</t>
  </si>
  <si>
    <t>OVOP</t>
  </si>
  <si>
    <t>Prom.</t>
  </si>
  <si>
    <t>CONSUMO DISCRECIONAL</t>
  </si>
  <si>
    <t>GCLA</t>
  </si>
  <si>
    <t>GRIM</t>
  </si>
  <si>
    <t>MIRG</t>
  </si>
  <si>
    <t>LONG</t>
  </si>
  <si>
    <t>TGLT</t>
  </si>
  <si>
    <t>DOM</t>
  </si>
  <si>
    <t>HAVA</t>
  </si>
  <si>
    <t>ROSE</t>
  </si>
  <si>
    <t>PSUR</t>
  </si>
  <si>
    <t>SALUD</t>
  </si>
  <si>
    <t>ENERGÍA</t>
  </si>
  <si>
    <t>YPFD</t>
  </si>
  <si>
    <t>APBR</t>
  </si>
  <si>
    <t>REP</t>
  </si>
  <si>
    <t>PESA</t>
  </si>
  <si>
    <t>CARC</t>
  </si>
  <si>
    <t>COME</t>
  </si>
  <si>
    <t>PETR</t>
  </si>
  <si>
    <t>TS</t>
  </si>
  <si>
    <t>TGSU2</t>
  </si>
  <si>
    <t>TGNO4</t>
  </si>
  <si>
    <t>PGR</t>
  </si>
  <si>
    <t>FINANCIERO</t>
  </si>
  <si>
    <t>BYMA</t>
  </si>
  <si>
    <t>BHIP</t>
  </si>
  <si>
    <t>BPAT</t>
  </si>
  <si>
    <t>BMA</t>
  </si>
  <si>
    <t>BRIO</t>
  </si>
  <si>
    <t>FRAN</t>
  </si>
  <si>
    <t>SUPV</t>
  </si>
  <si>
    <t>GGAL</t>
  </si>
  <si>
    <t>STD</t>
  </si>
  <si>
    <t>INDUSTRIAL</t>
  </si>
  <si>
    <t>INAG</t>
  </si>
  <si>
    <t>GARO</t>
  </si>
  <si>
    <t>DYCA</t>
  </si>
  <si>
    <t>CAPU</t>
  </si>
  <si>
    <t>FERR</t>
  </si>
  <si>
    <t>AGRO</t>
  </si>
  <si>
    <t>OEST</t>
  </si>
  <si>
    <t>AUSO</t>
  </si>
  <si>
    <t>CADO</t>
  </si>
  <si>
    <t>POLL</t>
  </si>
  <si>
    <t>MATERIALES BÁSICOS</t>
  </si>
  <si>
    <t>INDU</t>
  </si>
  <si>
    <t>CELU</t>
  </si>
  <si>
    <t>COLO</t>
  </si>
  <si>
    <t>FIPL</t>
  </si>
  <si>
    <t>ERAR</t>
  </si>
  <si>
    <t>RIGO</t>
  </si>
  <si>
    <t>ALUA</t>
  </si>
  <si>
    <t>JMIN</t>
  </si>
  <si>
    <t>SERVICIOS PÚBLICOS</t>
  </si>
  <si>
    <t>CEPU</t>
  </si>
  <si>
    <t>METR</t>
  </si>
  <si>
    <t>PAMP</t>
  </si>
  <si>
    <t>CGPA2</t>
  </si>
  <si>
    <t>GBAN</t>
  </si>
  <si>
    <t>DGCU2</t>
  </si>
  <si>
    <t>TRAN</t>
  </si>
  <si>
    <t>CECO2</t>
  </si>
  <si>
    <t>CAPX</t>
  </si>
  <si>
    <t>EDN</t>
  </si>
  <si>
    <t>TELECOMUNICACIONES</t>
  </si>
  <si>
    <t>TEF</t>
  </si>
  <si>
    <t>TECO2</t>
  </si>
  <si>
    <t>INMOBILIARIO</t>
  </si>
  <si>
    <t>CRES</t>
  </si>
  <si>
    <t>IRSA</t>
  </si>
  <si>
    <t>CTIO</t>
  </si>
  <si>
    <t>IRCP</t>
  </si>
  <si>
    <t>INFORMACIÓN TECNOLÓGICA</t>
  </si>
  <si>
    <t>BOLT</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</si>
  <si>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</si>
  <si>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</si>
  <si>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</si>
  <si>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</si>
  <si>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</si>
  <si>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</si>
  <si>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</si>
  <si>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</si>
  <si>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</si>
  <si>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</si>
  <si>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</si>
  <si>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</si>
  <si>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</si>
  <si>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</si>
  <si>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</si>
  <si>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</si>
  <si>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</si>
  <si>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</si>
  <si>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</si>
  <si>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</si>
  <si>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</si>
  <si>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</si>
  <si>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</si>
  <si>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</si>
  <si>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</si>
  <si>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</si>
  <si>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</si>
  <si>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</si>
  <si>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</si>
  <si>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</si>
  <si>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</si>
  <si>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</si>
  <si>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</si>
  <si>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</si>
  <si>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</si>
  <si>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</si>
  <si>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</si>
  <si>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</si>
  <si>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</si>
  <si>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</si>
  <si>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</si>
  <si>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</si>
  <si>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</si>
  <si>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</si>
  <si>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</si>
  <si>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</si>
  <si>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</si>
  <si>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</si>
  <si>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</si>
  <si>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</si>
  <si>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</si>
  <si>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</si>
  <si>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</si>
  <si>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</si>
  <si>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</si>
  <si>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</si>
  <si>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</si>
  <si>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</si>
  <si>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</si>
  <si>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</si>
  <si>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</si>
  <si>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</si>
  <si>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</si>
  <si>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</si>
  <si>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</si>
  <si>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</si>
  <si>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</si>
  <si>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</si>
  <si>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</si>
  <si>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</si>
  <si>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</si>
  <si>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</si>
  <si>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</si>
  <si>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</si>
  <si>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</si>
  <si>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</si>
  <si>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</si>
  <si>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</si>
  <si>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</si>
  <si>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</si>
  <si>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</si>
  <si>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</si>
  <si>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</si>
  <si>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</si>
  <si>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PETROLERA DEL CONOSUR SA</t>
  </si>
  <si>
    <t>DOMEC SAIC y F</t>
  </si>
  <si>
    <t>REPSOL SA</t>
  </si>
  <si>
    <t>DYCASA SA</t>
  </si>
  <si>
    <t>RIGOLLEAU SA</t>
  </si>
  <si>
    <t>EMPRESA DISTRIBUIDORA Y COMERCIALIZADORA NORTE SA</t>
  </si>
  <si>
    <t>INSTITUTO ROSENBUSCH SA DE BIOLOGIA EXPERIMENTAL AGROPECUARIA</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</si>
  <si>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</si>
  <si>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</si>
  <si>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</si>
  <si>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</si>
  <si>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</si>
  <si>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</si>
  <si>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</si>
  <si>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</si>
  <si>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</si>
  <si>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</si>
  <si>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</si>
  <si>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</si>
  <si>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</si>
  <si>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</si>
  <si>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</si>
  <si>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</si>
  <si>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</si>
  <si>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</si>
  <si>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</si>
  <si>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</si>
  <si>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</si>
  <si>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</si>
  <si>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</si>
  <si>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</si>
  <si>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</si>
  <si>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Cláusula Legal</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</si>
  <si>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</si>
  <si>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</si>
  <si>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</si>
  <si>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Samanta Corderi</t>
  </si>
  <si>
    <t>Gerente de Inversiones</t>
  </si>
  <si>
    <t>Analista Cuantitativo</t>
  </si>
  <si>
    <t>Analista Research</t>
  </si>
  <si>
    <t>@aleebianchi</t>
  </si>
  <si>
    <t xml:space="preserve"> @FlaviMatsuda</t>
  </si>
  <si>
    <t>scorderi@invertironline.com</t>
  </si>
  <si>
    <t>fb.com/alejandro.emilio.bianchi</t>
  </si>
  <si>
    <t>fmatsuda@invertironline.com</t>
  </si>
  <si>
    <t>www.invertironline.com</t>
  </si>
  <si>
    <t xml:space="preserve"> @InvertirOnline</t>
  </si>
  <si>
    <t>InvertirOnline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</si>
</sst>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_(&quot;$&quot;* #,##0.00_);_(&quot;$&quot;* \(#,##0.00\);_(&quot;$&quot;* &quot;-&quot;??_);_(@_)"/>
    <numFmt numFmtId="165" formatCode="_(* #,##0.00_);_(* \(#,##0.00\);_(* &quot;-&quot;??_);_(@_)"/>
    <numFmt numFmtId="166" formatCode="_(* #,##0_);_(* \(#,##0\);_(* &quot;-&quot;??_);_(@_)"/>
    <numFmt numFmtId="167" formatCode="0.0"/>
    <numFmt numFmtId="168" formatCode="0.0%"/>
    <numFmt numFmtId="169" formatCode="m/d/yy;@"/>
    <numFmt numFmtId="170" formatCode="_(* #,##0.0_);_(* \(#,##0.0\);_(* &quot;-&quot;??_);_(@_)"/>
    <numFmt numFmtId="171" formatCode="[$-409]d\-mmm;@"/>
  </numFmts>
  <fonts count="62" x14ac:knownFonts="1">
    <font>
      <sz val="11"/>
      <color theme="1"/>
      <name val="Calibri"/>
      <family val="2"/>
      <scheme val="minor"/>
    </font>
    <font>
      <sz val="11"/>
      <color theme="1"/>
      <name val="Calibri"/>
      <family val="2"/>
      <scheme val="minor"/>
    </font>
    <font>
      <sz val="11"/>
      <color theme="0"/>
      <name val="Calibri"/>
      <family val="2"/>
      <scheme val="minor"/>
    </font>
    <font>
      <sz val="11"/>
      <color rgb="FF000000"/>
      <name val="Calibri"/>
      <family val="2"/>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b/>
      <sz val="12"/>
      <color theme="7" tint="-0.249977111117893"/>
      <name val="Calibri"/>
      <family val="2"/>
      <scheme val="minor"/>
    </font>
    <font>
      <vertAlign val="superscript"/>
      <sz val="10"/>
      <color theme="0"/>
      <name val="Calibri"/>
      <family val="2"/>
      <scheme val="minor"/>
    </font>
    <font>
      <b/>
      <sz val="10"/>
      <name val="Arial"/>
      <family val="2"/>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b/>
      <sz val="8"/>
      <color rgb="FF0070C0"/>
      <name val="Arial"/>
      <family val="2"/>
    </font>
    <font>
      <sz val="7"/>
      <name val="Calibri"/>
      <family val="2"/>
      <scheme val="minor"/>
    </font>
    <font>
      <b/>
      <sz val="7"/>
      <color theme="1"/>
      <name val="Calibri"/>
      <family val="2"/>
      <scheme val="minor"/>
    </font>
    <font>
      <b/>
      <sz val="8"/>
      <color rgb="FF0070C0"/>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12"/>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s>
  <fills count="9">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00B050"/>
        <bgColor indexed="64"/>
      </patternFill>
    </fill>
    <fill>
      <patternFill patternType="solid">
        <fgColor rgb="FFFFFFFF"/>
        <bgColor indexed="64"/>
      </patternFill>
    </fill>
  </fills>
  <borders count="23">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7">
    <xf numFmtId="0" fontId="0" fillId="0" borderId="0"/>
    <xf numFmtId="165"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4" fillId="0" borderId="0"/>
    <xf numFmtId="0" fontId="4" fillId="0" borderId="0"/>
    <xf numFmtId="0" fontId="57" fillId="0" borderId="0" applyNumberFormat="0" applyFill="0" applyBorder="0" applyAlignment="0" applyProtection="0"/>
  </cellStyleXfs>
  <cellXfs count="474">
    <xf numFmtId="0" fontId="0" fillId="0" borderId="0" xfId="0"/>
    <xf numFmtId="14" fontId="5" fillId="0" borderId="0" xfId="4" applyNumberFormat="1" applyFont="1" applyBorder="1" applyAlignment="1">
      <alignment vertical="top"/>
    </xf>
    <xf numFmtId="0" fontId="6" fillId="0" borderId="0" xfId="4" applyFont="1" applyBorder="1" applyAlignment="1">
      <alignment wrapText="1"/>
    </xf>
    <xf numFmtId="0" fontId="6" fillId="0" borderId="0" xfId="4" applyFont="1" applyBorder="1" applyAlignment="1">
      <alignment horizontal="center" wrapText="1"/>
    </xf>
    <xf numFmtId="0" fontId="8" fillId="0" borderId="0" xfId="4" applyFont="1" applyBorder="1" applyAlignment="1">
      <alignment horizontal="center"/>
    </xf>
    <xf numFmtId="0" fontId="4" fillId="0" borderId="0" xfId="4" applyBorder="1"/>
    <xf numFmtId="14" fontId="4" fillId="0" borderId="0" xfId="4" applyNumberFormat="1" applyBorder="1"/>
    <xf numFmtId="14" fontId="9" fillId="0" borderId="0" xfId="4" applyNumberFormat="1" applyFont="1" applyBorder="1"/>
    <xf numFmtId="0" fontId="10" fillId="0" borderId="1" xfId="0" applyFont="1" applyBorder="1" applyAlignment="1">
      <alignment horizontal="left"/>
    </xf>
    <xf numFmtId="0" fontId="11" fillId="0" borderId="1" xfId="4" applyFont="1" applyFill="1" applyBorder="1" applyAlignment="1">
      <alignment vertical="center" wrapText="1"/>
    </xf>
    <xf numFmtId="2" fontId="0" fillId="0" borderId="1" xfId="0" applyNumberFormat="1" applyFill="1" applyBorder="1"/>
    <xf numFmtId="0" fontId="12" fillId="0" borderId="1" xfId="4" applyFont="1" applyFill="1" applyBorder="1" applyAlignment="1">
      <alignment vertical="center" wrapText="1"/>
    </xf>
    <xf numFmtId="0" fontId="12" fillId="0" borderId="1" xfId="4" applyNumberFormat="1" applyFont="1" applyFill="1" applyBorder="1" applyAlignment="1">
      <alignment vertical="center" wrapText="1"/>
    </xf>
    <xf numFmtId="0" fontId="6" fillId="0" borderId="1" xfId="4" applyFont="1" applyBorder="1" applyAlignment="1">
      <alignment wrapText="1"/>
    </xf>
    <xf numFmtId="0" fontId="6" fillId="0" borderId="1" xfId="4" applyFont="1" applyBorder="1" applyAlignment="1">
      <alignment horizontal="center" wrapText="1"/>
    </xf>
    <xf numFmtId="0" fontId="9" fillId="0" borderId="0" xfId="4" applyFont="1" applyFill="1" applyBorder="1" applyAlignment="1">
      <alignment horizontal="left"/>
    </xf>
    <xf numFmtId="0" fontId="13" fillId="0" borderId="0" xfId="4"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2" fillId="0" borderId="0" xfId="4" applyFont="1" applyFill="1" applyBorder="1" applyAlignment="1">
      <alignment vertical="center" wrapText="1"/>
    </xf>
    <xf numFmtId="0" fontId="12" fillId="0" borderId="0" xfId="4" applyNumberFormat="1" applyFont="1" applyFill="1" applyBorder="1" applyAlignment="1">
      <alignment vertical="center" wrapText="1"/>
    </xf>
    <xf numFmtId="0" fontId="14" fillId="0" borderId="0" xfId="4" applyFont="1" applyFill="1" applyBorder="1" applyAlignment="1">
      <alignment horizontal="left" vertical="top" wrapText="1"/>
    </xf>
    <xf numFmtId="0" fontId="15" fillId="0" borderId="0" xfId="4" applyFont="1" applyFill="1" applyBorder="1" applyAlignment="1">
      <alignment horizontal="left" vertical="top" wrapText="1"/>
    </xf>
    <xf numFmtId="0" fontId="15" fillId="0" borderId="0" xfId="4" applyNumberFormat="1" applyFont="1" applyFill="1" applyBorder="1" applyAlignment="1">
      <alignment horizontal="left" vertical="top" wrapText="1"/>
    </xf>
    <xf numFmtId="0" fontId="16" fillId="0" borderId="0" xfId="4" applyFont="1" applyFill="1" applyBorder="1" applyAlignment="1">
      <alignment horizontal="left" vertical="center"/>
    </xf>
    <xf numFmtId="0" fontId="18" fillId="0" borderId="0" xfId="4" applyFont="1" applyFill="1" applyBorder="1" applyAlignment="1">
      <alignment horizontal="left" vertical="top" wrapText="1"/>
    </xf>
    <xf numFmtId="0" fontId="18" fillId="0" borderId="0" xfId="4" applyNumberFormat="1" applyFont="1" applyFill="1" applyBorder="1" applyAlignment="1">
      <alignment horizontal="left" vertical="top" wrapText="1"/>
    </xf>
    <xf numFmtId="0" fontId="21" fillId="0" borderId="0" xfId="0" applyFont="1" applyFill="1" applyBorder="1" applyAlignment="1">
      <alignment horizontal="right" vertical="center"/>
    </xf>
    <xf numFmtId="0" fontId="20" fillId="2" borderId="9" xfId="4" applyFont="1" applyFill="1" applyBorder="1" applyAlignment="1">
      <alignment horizontal="center" vertical="center" wrapText="1"/>
    </xf>
    <xf numFmtId="0" fontId="20" fillId="2" borderId="9" xfId="4" applyNumberFormat="1" applyFont="1" applyFill="1" applyBorder="1" applyAlignment="1">
      <alignment horizontal="center" vertical="center" wrapText="1"/>
    </xf>
    <xf numFmtId="0" fontId="20" fillId="2" borderId="9" xfId="4" applyFont="1" applyFill="1" applyBorder="1" applyAlignment="1">
      <alignment horizontal="center" vertical="center"/>
    </xf>
    <xf numFmtId="0" fontId="21" fillId="0" borderId="0" xfId="4" applyFont="1" applyBorder="1" applyAlignment="1">
      <alignment horizontal="right" vertical="center"/>
    </xf>
    <xf numFmtId="0" fontId="4" fillId="4" borderId="0" xfId="4" applyFill="1" applyBorder="1" applyAlignment="1">
      <alignment horizontal="right"/>
    </xf>
    <xf numFmtId="0" fontId="23" fillId="4" borderId="0" xfId="4" applyFont="1" applyFill="1" applyBorder="1" applyAlignment="1">
      <alignment horizontal="right"/>
    </xf>
    <xf numFmtId="2" fontId="24" fillId="5" borderId="0" xfId="0" applyNumberFormat="1" applyFont="1" applyFill="1" applyBorder="1" applyAlignment="1">
      <alignment horizontal="left" vertical="center"/>
    </xf>
    <xf numFmtId="0" fontId="8" fillId="4" borderId="0" xfId="4" applyFont="1" applyFill="1" applyBorder="1" applyAlignment="1">
      <alignment horizontal="center"/>
    </xf>
    <xf numFmtId="2" fontId="25" fillId="0" borderId="0" xfId="0" applyNumberFormat="1" applyFont="1" applyFill="1" applyBorder="1" applyAlignment="1">
      <alignment horizontal="center" vertical="center" wrapText="1"/>
    </xf>
    <xf numFmtId="0" fontId="4" fillId="4" borderId="0" xfId="4" applyFill="1" applyBorder="1"/>
    <xf numFmtId="14" fontId="4" fillId="4" borderId="0" xfId="4" applyNumberFormat="1" applyFill="1" applyBorder="1"/>
    <xf numFmtId="166" fontId="12" fillId="0" borderId="6" xfId="1" applyNumberFormat="1" applyFont="1" applyFill="1" applyBorder="1" applyAlignment="1">
      <alignment horizontal="center" vertical="center" wrapText="1"/>
    </xf>
    <xf numFmtId="168" fontId="12" fillId="0" borderId="9" xfId="3" applyNumberFormat="1" applyFont="1" applyFill="1" applyBorder="1" applyAlignment="1">
      <alignment horizontal="center" wrapText="1"/>
    </xf>
    <xf numFmtId="2" fontId="12" fillId="0" borderId="9" xfId="3" applyNumberFormat="1" applyFont="1" applyFill="1" applyBorder="1" applyAlignment="1">
      <alignment horizontal="center" wrapText="1"/>
    </xf>
    <xf numFmtId="167" fontId="12" fillId="0" borderId="9" xfId="3" applyNumberFormat="1" applyFont="1" applyFill="1" applyBorder="1" applyAlignment="1">
      <alignment horizontal="center" wrapText="1"/>
    </xf>
    <xf numFmtId="2" fontId="12" fillId="0" borderId="9" xfId="4" applyNumberFormat="1" applyFont="1" applyFill="1" applyBorder="1" applyAlignment="1">
      <alignment horizontal="center" wrapText="1"/>
    </xf>
    <xf numFmtId="168" fontId="12" fillId="0" borderId="5" xfId="3" applyNumberFormat="1" applyFont="1" applyFill="1" applyBorder="1" applyAlignment="1">
      <alignment horizontal="center" wrapText="1"/>
    </xf>
    <xf numFmtId="169" fontId="12" fillId="6" borderId="9" xfId="3" applyNumberFormat="1" applyFont="1" applyFill="1" applyBorder="1" applyAlignment="1">
      <alignment horizontal="center" wrapText="1"/>
    </xf>
    <xf numFmtId="169" fontId="27" fillId="6" borderId="0" xfId="3" applyNumberFormat="1" applyFont="1" applyFill="1" applyBorder="1" applyAlignment="1">
      <alignment horizontal="center" wrapText="1"/>
    </xf>
    <xf numFmtId="2" fontId="28" fillId="0" borderId="0" xfId="4" applyNumberFormat="1" applyFont="1" applyFill="1" applyBorder="1" applyAlignment="1">
      <alignment horizontal="right" vertical="center" wrapText="1"/>
    </xf>
    <xf numFmtId="2" fontId="28" fillId="0" borderId="0" xfId="4" applyNumberFormat="1" applyFont="1" applyBorder="1" applyAlignment="1">
      <alignment horizontal="right" vertical="center" wrapText="1"/>
    </xf>
    <xf numFmtId="0" fontId="28" fillId="0" borderId="0" xfId="4" applyFont="1" applyBorder="1" applyAlignment="1">
      <alignment vertical="center" wrapText="1"/>
    </xf>
    <xf numFmtId="2" fontId="29" fillId="0" borderId="0" xfId="4" applyNumberFormat="1" applyFont="1" applyFill="1" applyBorder="1" applyAlignment="1">
      <alignment horizontal="right" vertical="center" wrapText="1"/>
    </xf>
    <xf numFmtId="14" fontId="28" fillId="0" borderId="0" xfId="4" applyNumberFormat="1" applyFont="1" applyBorder="1" applyAlignment="1">
      <alignment vertical="center" wrapText="1"/>
    </xf>
    <xf numFmtId="166" fontId="12" fillId="4" borderId="6" xfId="1" applyNumberFormat="1" applyFont="1" applyFill="1" applyBorder="1" applyAlignment="1">
      <alignment horizontal="center" vertical="center" wrapText="1"/>
    </xf>
    <xf numFmtId="168" fontId="12" fillId="4" borderId="9" xfId="3" applyNumberFormat="1" applyFont="1" applyFill="1" applyBorder="1" applyAlignment="1">
      <alignment horizontal="center" wrapText="1"/>
    </xf>
    <xf numFmtId="2" fontId="12" fillId="4" borderId="9" xfId="3" applyNumberFormat="1" applyFont="1" applyFill="1" applyBorder="1" applyAlignment="1">
      <alignment horizontal="center" wrapText="1"/>
    </xf>
    <xf numFmtId="167" fontId="12" fillId="4" borderId="5" xfId="3" applyNumberFormat="1" applyFont="1" applyFill="1" applyBorder="1" applyAlignment="1">
      <alignment horizontal="center" wrapText="1"/>
    </xf>
    <xf numFmtId="168" fontId="12" fillId="4" borderId="5" xfId="3" applyNumberFormat="1" applyFont="1" applyFill="1" applyBorder="1" applyAlignment="1">
      <alignment horizontal="center" wrapText="1"/>
    </xf>
    <xf numFmtId="2" fontId="12" fillId="4" borderId="9" xfId="4" applyNumberFormat="1" applyFont="1" applyFill="1" applyBorder="1" applyAlignment="1">
      <alignment horizontal="center" wrapText="1"/>
    </xf>
    <xf numFmtId="169" fontId="12" fillId="4" borderId="9" xfId="3" applyNumberFormat="1" applyFont="1" applyFill="1" applyBorder="1" applyAlignment="1">
      <alignment horizontal="center" wrapText="1"/>
    </xf>
    <xf numFmtId="169" fontId="27" fillId="4" borderId="0" xfId="3" applyNumberFormat="1" applyFont="1" applyFill="1" applyBorder="1" applyAlignment="1">
      <alignment horizontal="center" wrapText="1"/>
    </xf>
    <xf numFmtId="0" fontId="28" fillId="0" borderId="0" xfId="4" applyFont="1" applyFill="1" applyBorder="1" applyAlignment="1">
      <alignment horizontal="center"/>
    </xf>
    <xf numFmtId="0" fontId="28" fillId="0" borderId="0" xfId="4" applyFont="1" applyFill="1" applyBorder="1" applyAlignment="1">
      <alignment vertical="center" wrapText="1"/>
    </xf>
    <xf numFmtId="14" fontId="28" fillId="0" borderId="0" xfId="4" applyNumberFormat="1" applyFont="1" applyFill="1" applyBorder="1" applyAlignment="1">
      <alignment vertical="center" wrapText="1"/>
    </xf>
    <xf numFmtId="166" fontId="12" fillId="6" borderId="6" xfId="1" applyNumberFormat="1" applyFont="1" applyFill="1" applyBorder="1" applyAlignment="1">
      <alignment horizontal="center" vertical="center" wrapText="1"/>
    </xf>
    <xf numFmtId="168" fontId="12" fillId="6" borderId="9" xfId="3" applyNumberFormat="1" applyFont="1" applyFill="1" applyBorder="1" applyAlignment="1">
      <alignment horizontal="center" wrapText="1"/>
    </xf>
    <xf numFmtId="2" fontId="12" fillId="6" borderId="9" xfId="4" applyNumberFormat="1" applyFont="1" applyFill="1" applyBorder="1" applyAlignment="1">
      <alignment horizontal="center" wrapText="1"/>
    </xf>
    <xf numFmtId="168" fontId="12" fillId="6" borderId="5" xfId="3" applyNumberFormat="1" applyFont="1" applyFill="1" applyBorder="1" applyAlignment="1">
      <alignment horizontal="center" wrapText="1"/>
    </xf>
    <xf numFmtId="2" fontId="29" fillId="0" borderId="0" xfId="4" applyNumberFormat="1" applyFont="1" applyFill="1" applyBorder="1" applyAlignment="1">
      <alignment horizontal="right"/>
    </xf>
    <xf numFmtId="2" fontId="28" fillId="0" borderId="0" xfId="4" applyNumberFormat="1" applyFont="1" applyFill="1" applyBorder="1" applyAlignment="1">
      <alignment horizontal="right"/>
    </xf>
    <xf numFmtId="2" fontId="29" fillId="0" borderId="0" xfId="4" applyNumberFormat="1" applyFont="1" applyBorder="1" applyAlignment="1">
      <alignment horizontal="right" vertical="center" wrapText="1"/>
    </xf>
    <xf numFmtId="0" fontId="28" fillId="0" borderId="0" xfId="4" applyFont="1" applyFill="1" applyBorder="1"/>
    <xf numFmtId="14" fontId="28" fillId="0" borderId="0" xfId="4" applyNumberFormat="1" applyFont="1" applyFill="1" applyBorder="1"/>
    <xf numFmtId="170" fontId="12" fillId="4" borderId="5" xfId="1" applyNumberFormat="1" applyFont="1" applyFill="1" applyBorder="1" applyAlignment="1">
      <alignment horizontal="center" vertical="center" wrapText="1"/>
    </xf>
    <xf numFmtId="165" fontId="12" fillId="0" borderId="5" xfId="1" applyNumberFormat="1" applyFont="1" applyFill="1" applyBorder="1" applyAlignment="1">
      <alignment horizontal="center" vertical="center" wrapText="1"/>
    </xf>
    <xf numFmtId="166" fontId="12" fillId="4" borderId="5" xfId="1" applyNumberFormat="1" applyFont="1" applyFill="1" applyBorder="1" applyAlignment="1">
      <alignment horizontal="center" vertical="center" wrapText="1"/>
    </xf>
    <xf numFmtId="166" fontId="12" fillId="4" borderId="2" xfId="1" applyNumberFormat="1" applyFont="1" applyFill="1" applyBorder="1" applyAlignment="1">
      <alignment horizontal="center" vertical="center" wrapText="1"/>
    </xf>
    <xf numFmtId="168" fontId="12" fillId="4" borderId="4" xfId="3" applyNumberFormat="1" applyFont="1" applyFill="1" applyBorder="1" applyAlignment="1">
      <alignment horizontal="center" wrapText="1"/>
    </xf>
    <xf numFmtId="2" fontId="12" fillId="4" borderId="4" xfId="3" applyNumberFormat="1" applyFont="1" applyFill="1" applyBorder="1" applyAlignment="1">
      <alignment horizontal="center" wrapText="1"/>
    </xf>
    <xf numFmtId="167" fontId="12" fillId="4" borderId="2" xfId="3" applyNumberFormat="1" applyFont="1" applyFill="1" applyBorder="1" applyAlignment="1">
      <alignment horizontal="center" wrapText="1"/>
    </xf>
    <xf numFmtId="168" fontId="12" fillId="4" borderId="2"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169" fontId="12" fillId="4" borderId="4" xfId="3" applyNumberFormat="1" applyFont="1" applyFill="1" applyBorder="1" applyAlignment="1">
      <alignment horizontal="center" wrapText="1"/>
    </xf>
    <xf numFmtId="165" fontId="12" fillId="0" borderId="13" xfId="1" applyNumberFormat="1" applyFont="1" applyFill="1" applyBorder="1" applyAlignment="1">
      <alignment horizontal="center" vertical="center" wrapText="1"/>
    </xf>
    <xf numFmtId="168" fontId="12" fillId="0" borderId="13" xfId="3" applyNumberFormat="1" applyFont="1" applyFill="1" applyBorder="1" applyAlignment="1">
      <alignment horizontal="center" wrapText="1"/>
    </xf>
    <xf numFmtId="2" fontId="12" fillId="0" borderId="13" xfId="3" applyNumberFormat="1" applyFont="1" applyFill="1" applyBorder="1" applyAlignment="1">
      <alignment horizontal="center" wrapText="1"/>
    </xf>
    <xf numFmtId="167" fontId="12" fillId="0" borderId="13" xfId="3" applyNumberFormat="1" applyFont="1" applyFill="1" applyBorder="1" applyAlignment="1">
      <alignment horizontal="center" wrapText="1"/>
    </xf>
    <xf numFmtId="2" fontId="12" fillId="0" borderId="13" xfId="4" applyNumberFormat="1" applyFont="1" applyFill="1" applyBorder="1" applyAlignment="1">
      <alignment horizontal="center" wrapText="1"/>
    </xf>
    <xf numFmtId="14" fontId="12" fillId="0" borderId="16" xfId="3" applyNumberFormat="1" applyFont="1" applyFill="1" applyBorder="1" applyAlignment="1">
      <alignment horizontal="center" wrapText="1"/>
    </xf>
    <xf numFmtId="2" fontId="24" fillId="5" borderId="6" xfId="0" applyNumberFormat="1" applyFont="1" applyFill="1" applyBorder="1" applyAlignment="1">
      <alignment vertical="center"/>
    </xf>
    <xf numFmtId="167" fontId="24" fillId="5" borderId="6" xfId="0" applyNumberFormat="1" applyFont="1" applyFill="1" applyBorder="1" applyAlignment="1">
      <alignment horizontal="center" vertical="center"/>
    </xf>
    <xf numFmtId="168" fontId="24" fillId="5" borderId="6" xfId="0" applyNumberFormat="1" applyFont="1" applyFill="1" applyBorder="1" applyAlignment="1">
      <alignment horizontal="center" vertical="center"/>
    </xf>
    <xf numFmtId="2" fontId="24" fillId="5" borderId="7" xfId="0" applyNumberFormat="1" applyFont="1" applyFill="1" applyBorder="1" applyAlignment="1">
      <alignment vertical="center"/>
    </xf>
    <xf numFmtId="2" fontId="24" fillId="5" borderId="0" xfId="0" applyNumberFormat="1" applyFont="1" applyFill="1" applyBorder="1" applyAlignment="1">
      <alignment vertical="center"/>
    </xf>
    <xf numFmtId="0" fontId="8" fillId="5" borderId="0" xfId="4" applyFont="1" applyFill="1" applyBorder="1" applyAlignment="1">
      <alignment horizontal="center"/>
    </xf>
    <xf numFmtId="2" fontId="28" fillId="5" borderId="0" xfId="4" applyNumberFormat="1" applyFont="1" applyFill="1" applyBorder="1" applyAlignment="1">
      <alignment horizontal="right" vertical="center" wrapText="1"/>
    </xf>
    <xf numFmtId="0" fontId="28" fillId="5" borderId="0" xfId="4" applyFont="1" applyFill="1" applyBorder="1" applyAlignment="1">
      <alignment horizontal="right" vertical="center" wrapText="1"/>
    </xf>
    <xf numFmtId="0" fontId="28" fillId="0" borderId="0" xfId="4" applyFont="1" applyBorder="1" applyAlignment="1">
      <alignment horizontal="right" vertical="center" wrapText="1"/>
    </xf>
    <xf numFmtId="0" fontId="28" fillId="5" borderId="0" xfId="4" applyFont="1" applyFill="1" applyBorder="1" applyAlignment="1">
      <alignment vertical="center" wrapText="1"/>
    </xf>
    <xf numFmtId="14" fontId="28" fillId="5" borderId="0" xfId="4" applyNumberFormat="1" applyFont="1" applyFill="1" applyBorder="1" applyAlignment="1">
      <alignment vertical="center" wrapText="1"/>
    </xf>
    <xf numFmtId="170" fontId="12" fillId="4" borderId="6" xfId="1" applyNumberFormat="1" applyFont="1" applyFill="1" applyBorder="1" applyAlignment="1">
      <alignment horizontal="center" vertical="center" wrapText="1"/>
    </xf>
    <xf numFmtId="166" fontId="12" fillId="0" borderId="8" xfId="1" applyNumberFormat="1" applyFont="1" applyFill="1" applyBorder="1" applyAlignment="1">
      <alignment horizontal="center" vertical="center" wrapText="1"/>
    </xf>
    <xf numFmtId="168" fontId="12" fillId="0" borderId="4" xfId="3" applyNumberFormat="1" applyFont="1" applyFill="1" applyBorder="1" applyAlignment="1">
      <alignment horizontal="center" wrapText="1"/>
    </xf>
    <xf numFmtId="2" fontId="12" fillId="0" borderId="4" xfId="3" applyNumberFormat="1" applyFont="1" applyFill="1" applyBorder="1" applyAlignment="1">
      <alignment horizontal="center" wrapText="1"/>
    </xf>
    <xf numFmtId="167" fontId="12" fillId="0" borderId="4" xfId="3" applyNumberFormat="1" applyFont="1" applyFill="1" applyBorder="1" applyAlignment="1">
      <alignment horizontal="center" wrapText="1"/>
    </xf>
    <xf numFmtId="2" fontId="12" fillId="0" borderId="4" xfId="4" applyNumberFormat="1" applyFont="1" applyFill="1" applyBorder="1" applyAlignment="1">
      <alignment horizontal="center" wrapText="1"/>
    </xf>
    <xf numFmtId="168" fontId="12" fillId="0" borderId="2" xfId="3" applyNumberFormat="1" applyFont="1" applyFill="1" applyBorder="1" applyAlignment="1">
      <alignment horizontal="center" wrapText="1"/>
    </xf>
    <xf numFmtId="169" fontId="12" fillId="6" borderId="4" xfId="3" applyNumberFormat="1" applyFont="1" applyFill="1" applyBorder="1" applyAlignment="1">
      <alignment horizontal="center" wrapText="1"/>
    </xf>
    <xf numFmtId="2" fontId="28" fillId="5" borderId="0" xfId="4" applyNumberFormat="1" applyFont="1" applyFill="1" applyBorder="1" applyAlignment="1">
      <alignment horizontal="right"/>
    </xf>
    <xf numFmtId="165" fontId="12" fillId="4" borderId="13" xfId="1" applyNumberFormat="1" applyFont="1" applyFill="1" applyBorder="1" applyAlignment="1">
      <alignment horizontal="center" vertical="center" wrapText="1"/>
    </xf>
    <xf numFmtId="168" fontId="12" fillId="4" borderId="13" xfId="3" applyNumberFormat="1" applyFont="1" applyFill="1" applyBorder="1" applyAlignment="1">
      <alignment horizontal="center" wrapText="1"/>
    </xf>
    <xf numFmtId="2" fontId="12" fillId="4" borderId="13" xfId="3" applyNumberFormat="1" applyFont="1" applyFill="1" applyBorder="1" applyAlignment="1">
      <alignment horizontal="center" wrapText="1"/>
    </xf>
    <xf numFmtId="167" fontId="12" fillId="4" borderId="13" xfId="3" applyNumberFormat="1" applyFont="1" applyFill="1" applyBorder="1" applyAlignment="1">
      <alignment horizontal="center" wrapText="1"/>
    </xf>
    <xf numFmtId="2" fontId="12" fillId="4" borderId="13" xfId="4" applyNumberFormat="1" applyFont="1" applyFill="1" applyBorder="1" applyAlignment="1">
      <alignment horizontal="center" wrapText="1"/>
    </xf>
    <xf numFmtId="14" fontId="12" fillId="4" borderId="16" xfId="3" applyNumberFormat="1" applyFont="1" applyFill="1" applyBorder="1" applyAlignment="1">
      <alignment horizontal="center" wrapText="1"/>
    </xf>
    <xf numFmtId="0" fontId="28" fillId="5" borderId="0" xfId="4" applyFont="1" applyFill="1" applyBorder="1" applyAlignment="1">
      <alignment horizontal="right"/>
    </xf>
    <xf numFmtId="0" fontId="28" fillId="5" borderId="0" xfId="4" applyFont="1" applyFill="1" applyBorder="1"/>
    <xf numFmtId="14" fontId="28" fillId="5" borderId="0" xfId="4" applyNumberFormat="1" applyFont="1" applyFill="1" applyBorder="1"/>
    <xf numFmtId="166" fontId="12" fillId="0" borderId="5" xfId="1" applyNumberFormat="1" applyFont="1" applyFill="1" applyBorder="1" applyAlignment="1">
      <alignment horizontal="center" vertical="center" wrapText="1"/>
    </xf>
    <xf numFmtId="167" fontId="12" fillId="0" borderId="5" xfId="3" applyNumberFormat="1" applyFont="1" applyFill="1" applyBorder="1" applyAlignment="1">
      <alignment horizontal="center" wrapText="1"/>
    </xf>
    <xf numFmtId="2" fontId="28" fillId="0" borderId="0" xfId="4" applyNumberFormat="1" applyFont="1" applyBorder="1" applyAlignment="1">
      <alignment horizontal="right"/>
    </xf>
    <xf numFmtId="0" fontId="28" fillId="0" borderId="0" xfId="4" applyFont="1" applyBorder="1"/>
    <xf numFmtId="14" fontId="28" fillId="0" borderId="0" xfId="4" applyNumberFormat="1" applyFont="1" applyBorder="1"/>
    <xf numFmtId="0" fontId="30" fillId="5" borderId="0" xfId="4" applyFont="1" applyFill="1" applyBorder="1" applyAlignment="1"/>
    <xf numFmtId="2" fontId="12" fillId="5" borderId="0" xfId="4" applyNumberFormat="1" applyFont="1" applyFill="1" applyBorder="1" applyAlignment="1">
      <alignment horizontal="right"/>
    </xf>
    <xf numFmtId="0" fontId="30" fillId="5" borderId="0" xfId="4" applyFont="1" applyFill="1" applyBorder="1" applyAlignment="1">
      <alignment horizontal="right"/>
    </xf>
    <xf numFmtId="0" fontId="30" fillId="5" borderId="0" xfId="4" applyFont="1" applyFill="1" applyBorder="1" applyAlignment="1">
      <alignment horizontal="center" vertical="center" wrapText="1"/>
    </xf>
    <xf numFmtId="2" fontId="31" fillId="5" borderId="0" xfId="0" applyNumberFormat="1" applyFont="1" applyFill="1" applyBorder="1" applyAlignment="1">
      <alignment horizontal="left" vertical="center"/>
    </xf>
    <xf numFmtId="0" fontId="30" fillId="5" borderId="17" xfId="4" applyFont="1" applyFill="1" applyBorder="1" applyAlignment="1">
      <alignment horizontal="center" vertical="center" wrapText="1"/>
    </xf>
    <xf numFmtId="0" fontId="4" fillId="0" borderId="0" xfId="5" applyFont="1"/>
    <xf numFmtId="2" fontId="29" fillId="0" borderId="0" xfId="4" applyNumberFormat="1" applyFont="1" applyBorder="1" applyAlignment="1">
      <alignment horizontal="right"/>
    </xf>
    <xf numFmtId="0" fontId="4" fillId="7" borderId="0" xfId="5" applyFont="1" applyFill="1"/>
    <xf numFmtId="170" fontId="12" fillId="0" borderId="2" xfId="1" applyNumberFormat="1" applyFont="1" applyFill="1" applyBorder="1" applyAlignment="1">
      <alignment horizontal="center" vertical="center" wrapText="1"/>
    </xf>
    <xf numFmtId="166" fontId="12" fillId="0" borderId="9" xfId="1" applyNumberFormat="1" applyFont="1" applyFill="1" applyBorder="1" applyAlignment="1">
      <alignment horizontal="center" vertical="center" wrapText="1"/>
    </xf>
    <xf numFmtId="166" fontId="12" fillId="4" borderId="9" xfId="1" applyNumberFormat="1" applyFont="1" applyFill="1" applyBorder="1" applyAlignment="1">
      <alignment horizontal="center" vertical="center" wrapText="1"/>
    </xf>
    <xf numFmtId="2" fontId="28" fillId="4" borderId="0" xfId="4" applyNumberFormat="1" applyFont="1" applyFill="1" applyBorder="1" applyAlignment="1">
      <alignment horizontal="right"/>
    </xf>
    <xf numFmtId="170" fontId="12" fillId="0" borderId="5" xfId="1" applyNumberFormat="1" applyFont="1" applyFill="1" applyBorder="1" applyAlignment="1">
      <alignment horizontal="center" vertical="center" wrapText="1"/>
    </xf>
    <xf numFmtId="2" fontId="29" fillId="5" borderId="0" xfId="4" applyNumberFormat="1" applyFont="1" applyFill="1" applyBorder="1" applyAlignment="1">
      <alignment horizontal="right"/>
    </xf>
    <xf numFmtId="166" fontId="12" fillId="0" borderId="2" xfId="1" applyNumberFormat="1" applyFont="1" applyFill="1" applyBorder="1" applyAlignment="1">
      <alignment horizontal="center" vertical="center" wrapText="1"/>
    </xf>
    <xf numFmtId="0" fontId="12" fillId="5" borderId="0" xfId="4" applyFont="1" applyFill="1" applyBorder="1" applyAlignment="1">
      <alignment horizontal="right"/>
    </xf>
    <xf numFmtId="0" fontId="12" fillId="5" borderId="0" xfId="4" applyFont="1" applyFill="1" applyBorder="1"/>
    <xf numFmtId="14" fontId="12" fillId="5" borderId="0" xfId="4" applyNumberFormat="1" applyFont="1" applyFill="1" applyBorder="1"/>
    <xf numFmtId="2" fontId="12" fillId="0" borderId="0" xfId="4" applyNumberFormat="1" applyFont="1" applyBorder="1" applyAlignment="1">
      <alignment horizontal="right"/>
    </xf>
    <xf numFmtId="0" fontId="12" fillId="0" borderId="0" xfId="4" applyFont="1" applyBorder="1"/>
    <xf numFmtId="14" fontId="12" fillId="0" borderId="0" xfId="4" applyNumberFormat="1" applyFont="1" applyBorder="1"/>
    <xf numFmtId="2" fontId="32" fillId="0" borderId="0" xfId="4" applyNumberFormat="1" applyFont="1" applyBorder="1" applyAlignment="1">
      <alignment horizontal="right"/>
    </xf>
    <xf numFmtId="166" fontId="12" fillId="4" borderId="4" xfId="1" applyNumberFormat="1" applyFont="1" applyFill="1" applyBorder="1" applyAlignment="1">
      <alignment horizontal="center" vertical="center" wrapText="1"/>
    </xf>
    <xf numFmtId="0" fontId="4" fillId="5" borderId="0" xfId="4" applyFill="1" applyBorder="1" applyAlignment="1">
      <alignment horizontal="right"/>
    </xf>
    <xf numFmtId="0" fontId="4" fillId="5" borderId="0" xfId="4" applyFill="1" applyBorder="1"/>
    <xf numFmtId="0" fontId="30" fillId="6" borderId="0" xfId="4" applyFont="1" applyFill="1" applyBorder="1"/>
    <xf numFmtId="2" fontId="30" fillId="6" borderId="0" xfId="4" applyNumberFormat="1" applyFont="1" applyFill="1" applyBorder="1" applyAlignment="1">
      <alignment wrapText="1"/>
    </xf>
    <xf numFmtId="2" fontId="30" fillId="6" borderId="0" xfId="4" applyNumberFormat="1" applyFont="1" applyFill="1" applyBorder="1" applyAlignment="1">
      <alignment horizontal="center" wrapText="1"/>
    </xf>
    <xf numFmtId="0" fontId="30" fillId="6" borderId="0" xfId="4" applyNumberFormat="1" applyFont="1" applyFill="1" applyBorder="1" applyAlignment="1">
      <alignment horizontal="center" wrapText="1"/>
    </xf>
    <xf numFmtId="0" fontId="8" fillId="0" borderId="0" xfId="4" applyFont="1" applyBorder="1"/>
    <xf numFmtId="0" fontId="30" fillId="0" borderId="0" xfId="4" applyFont="1" applyBorder="1"/>
    <xf numFmtId="2" fontId="30" fillId="0" borderId="0" xfId="4" applyNumberFormat="1" applyFont="1" applyFill="1" applyBorder="1" applyAlignment="1">
      <alignment horizontal="center" wrapText="1"/>
    </xf>
    <xf numFmtId="0" fontId="30" fillId="0" borderId="0" xfId="4" applyNumberFormat="1" applyFont="1" applyFill="1" applyBorder="1" applyAlignment="1">
      <alignment horizontal="center" wrapText="1"/>
    </xf>
    <xf numFmtId="0" fontId="30" fillId="0" borderId="0" xfId="4" applyNumberFormat="1" applyFont="1" applyBorder="1"/>
    <xf numFmtId="0" fontId="33" fillId="0" borderId="0" xfId="4" applyFont="1" applyBorder="1" applyAlignment="1"/>
    <xf numFmtId="0" fontId="4" fillId="0" borderId="0" xfId="4" applyFont="1"/>
    <xf numFmtId="14" fontId="4" fillId="0" borderId="0" xfId="4" applyNumberFormat="1" applyFont="1"/>
    <xf numFmtId="0" fontId="6" fillId="0" borderId="0" xfId="4" applyFont="1" applyAlignment="1">
      <alignment wrapText="1"/>
    </xf>
    <xf numFmtId="0" fontId="34" fillId="0" borderId="18" xfId="4" applyFont="1" applyFill="1" applyBorder="1" applyAlignment="1">
      <alignment vertical="center"/>
    </xf>
    <xf numFmtId="0" fontId="34" fillId="0" borderId="0" xfId="4" applyFont="1"/>
    <xf numFmtId="0" fontId="34" fillId="0" borderId="0" xfId="4" applyFont="1" applyFill="1" applyBorder="1" applyAlignment="1">
      <alignment vertical="center"/>
    </xf>
    <xf numFmtId="0" fontId="36" fillId="0" borderId="0" xfId="0" applyFont="1"/>
    <xf numFmtId="49" fontId="37" fillId="0" borderId="0" xfId="4" applyNumberFormat="1" applyFont="1" applyFill="1" applyBorder="1" applyAlignment="1">
      <alignment vertical="top" wrapText="1"/>
    </xf>
    <xf numFmtId="0" fontId="36" fillId="0" borderId="0" xfId="0" applyFont="1" applyAlignment="1"/>
    <xf numFmtId="0" fontId="37" fillId="0" borderId="0" xfId="0" applyFont="1" applyAlignment="1">
      <alignment horizontal="left"/>
    </xf>
    <xf numFmtId="0" fontId="36" fillId="0" borderId="0" xfId="0" applyFont="1" applyAlignment="1">
      <alignment horizontal="left"/>
    </xf>
    <xf numFmtId="0" fontId="28" fillId="0" borderId="0" xfId="4" applyFont="1"/>
    <xf numFmtId="14" fontId="28" fillId="0" borderId="0" xfId="4" applyNumberFormat="1" applyFont="1"/>
    <xf numFmtId="0" fontId="28" fillId="0" borderId="0" xfId="4" applyFont="1" applyFill="1"/>
    <xf numFmtId="14" fontId="28" fillId="0" borderId="0" xfId="4" applyNumberFormat="1" applyFont="1" applyFill="1"/>
    <xf numFmtId="0" fontId="4" fillId="0" borderId="0" xfId="4" applyFont="1" applyFill="1"/>
    <xf numFmtId="168" fontId="4" fillId="0" borderId="0" xfId="4" applyNumberFormat="1" applyFont="1"/>
    <xf numFmtId="0" fontId="28" fillId="0" borderId="0" xfId="4" applyFont="1" applyAlignment="1">
      <alignment vertical="center" wrapText="1"/>
    </xf>
    <xf numFmtId="14" fontId="28" fillId="0" borderId="0" xfId="4" applyNumberFormat="1" applyFont="1" applyAlignment="1">
      <alignment vertical="center" wrapText="1"/>
    </xf>
    <xf numFmtId="0" fontId="4" fillId="0" borderId="0" xfId="4" applyFont="1" applyAlignment="1">
      <alignment vertical="center" wrapText="1"/>
    </xf>
    <xf numFmtId="49" fontId="37" fillId="0" borderId="0" xfId="4" applyNumberFormat="1" applyFont="1" applyFill="1" applyBorder="1" applyAlignment="1">
      <alignment wrapText="1"/>
    </xf>
    <xf numFmtId="0" fontId="34" fillId="0" borderId="0" xfId="4" applyFont="1" applyFill="1" applyBorder="1" applyAlignment="1"/>
    <xf numFmtId="0" fontId="12" fillId="0" borderId="0" xfId="4" applyFont="1" applyFill="1" applyBorder="1" applyAlignment="1">
      <alignment vertical="center"/>
    </xf>
    <xf numFmtId="49" fontId="25" fillId="0" borderId="0" xfId="4" applyNumberFormat="1" applyFont="1" applyFill="1" applyBorder="1" applyAlignment="1">
      <alignment vertical="top" wrapText="1"/>
    </xf>
    <xf numFmtId="0" fontId="38" fillId="0" borderId="0" xfId="4" applyFont="1"/>
    <xf numFmtId="0" fontId="39" fillId="0" borderId="0" xfId="4" applyFont="1" applyFill="1" applyBorder="1" applyAlignment="1">
      <alignment horizontal="justify" vertical="center"/>
    </xf>
    <xf numFmtId="0" fontId="40" fillId="0" borderId="0" xfId="4" applyFont="1"/>
    <xf numFmtId="0" fontId="41" fillId="0" borderId="18" xfId="0" applyFont="1" applyFill="1" applyBorder="1" applyAlignment="1"/>
    <xf numFmtId="0" fontId="41" fillId="0" borderId="21" xfId="0" applyFont="1" applyFill="1" applyBorder="1" applyAlignment="1"/>
    <xf numFmtId="0" fontId="41" fillId="0" borderId="0" xfId="0" applyFont="1" applyFill="1"/>
    <xf numFmtId="0" fontId="42" fillId="0" borderId="0" xfId="4" applyFont="1" applyFill="1" applyBorder="1" applyAlignment="1">
      <alignment vertical="center"/>
    </xf>
    <xf numFmtId="49" fontId="41" fillId="0" borderId="0" xfId="4" applyNumberFormat="1" applyFont="1" applyFill="1" applyBorder="1" applyAlignment="1">
      <alignment vertical="top" wrapText="1"/>
    </xf>
    <xf numFmtId="0" fontId="41" fillId="0" borderId="0" xfId="0" applyFont="1" applyFill="1" applyBorder="1" applyAlignment="1"/>
    <xf numFmtId="0" fontId="41" fillId="0" borderId="22" xfId="0" applyFont="1" applyFill="1" applyBorder="1" applyAlignment="1"/>
    <xf numFmtId="0" fontId="41" fillId="0" borderId="0" xfId="0" applyFont="1"/>
    <xf numFmtId="0" fontId="41" fillId="0" borderId="0" xfId="0" applyFont="1" applyFill="1" applyBorder="1"/>
    <xf numFmtId="0" fontId="43" fillId="0" borderId="0" xfId="0" applyFont="1" applyFill="1"/>
    <xf numFmtId="0" fontId="44" fillId="0" borderId="0" xfId="4" applyFont="1" applyFill="1" applyBorder="1" applyAlignment="1">
      <alignment vertical="center"/>
    </xf>
    <xf numFmtId="49" fontId="25" fillId="0" borderId="0" xfId="4" applyNumberFormat="1" applyFont="1" applyFill="1" applyBorder="1" applyAlignment="1">
      <alignment horizontal="left" vertical="top" wrapText="1"/>
    </xf>
    <xf numFmtId="0" fontId="25" fillId="0" borderId="0" xfId="0" applyFont="1"/>
    <xf numFmtId="171" fontId="25" fillId="0" borderId="0" xfId="0" applyNumberFormat="1" applyFont="1" applyFill="1" applyBorder="1" applyAlignment="1">
      <alignment horizontal="right"/>
    </xf>
    <xf numFmtId="166" fontId="25" fillId="0" borderId="0" xfId="0" applyNumberFormat="1" applyFont="1" applyFill="1" applyBorder="1" applyAlignment="1">
      <alignment horizontal="right"/>
    </xf>
    <xf numFmtId="0" fontId="25" fillId="0" borderId="0" xfId="0" applyFont="1" applyFill="1" applyBorder="1" applyAlignment="1">
      <alignment horizontal="center"/>
    </xf>
    <xf numFmtId="0" fontId="25" fillId="0" borderId="0" xfId="0" applyFont="1" applyFill="1" applyBorder="1"/>
    <xf numFmtId="164" fontId="25" fillId="0" borderId="0" xfId="2" applyFont="1" applyFill="1" applyBorder="1" applyAlignment="1">
      <alignment horizontal="right"/>
    </xf>
    <xf numFmtId="0" fontId="12" fillId="0" borderId="0" xfId="4" applyFont="1"/>
    <xf numFmtId="14" fontId="12" fillId="0" borderId="0" xfId="4" applyNumberFormat="1" applyFont="1"/>
    <xf numFmtId="0" fontId="12" fillId="0" borderId="0" xfId="4" applyFont="1" applyFill="1" applyBorder="1"/>
    <xf numFmtId="0" fontId="12" fillId="0" borderId="0" xfId="4" applyFont="1" applyFill="1" applyBorder="1" applyAlignment="1">
      <alignment horizontal="center"/>
    </xf>
    <xf numFmtId="170" fontId="12" fillId="0" borderId="0" xfId="4" applyNumberFormat="1" applyFont="1" applyFill="1" applyBorder="1"/>
    <xf numFmtId="0" fontId="12" fillId="0" borderId="0" xfId="4" applyFont="1" applyAlignment="1">
      <alignment horizontal="center"/>
    </xf>
    <xf numFmtId="0" fontId="28" fillId="0" borderId="0" xfId="4" applyFont="1" applyAlignment="1">
      <alignment horizontal="center"/>
    </xf>
    <xf numFmtId="166" fontId="28" fillId="0" borderId="0" xfId="4" applyNumberFormat="1" applyFont="1"/>
    <xf numFmtId="170" fontId="28" fillId="0" borderId="0" xfId="4" applyNumberFormat="1" applyFont="1"/>
    <xf numFmtId="165" fontId="28" fillId="0" borderId="0" xfId="4" applyNumberFormat="1" applyFont="1"/>
    <xf numFmtId="0" fontId="4" fillId="0" borderId="0" xfId="4" applyFont="1" applyAlignment="1">
      <alignment horizontal="center"/>
    </xf>
    <xf numFmtId="0" fontId="4" fillId="0" borderId="0" xfId="4"/>
    <xf numFmtId="0" fontId="5" fillId="0" borderId="0" xfId="4" applyFont="1" applyBorder="1" applyAlignment="1">
      <alignment vertical="center"/>
    </xf>
    <xf numFmtId="0" fontId="18" fillId="0" borderId="0" xfId="4" applyFont="1" applyAlignment="1">
      <alignment horizontal="right"/>
    </xf>
    <xf numFmtId="0" fontId="47" fillId="0" borderId="1" xfId="4" applyFont="1" applyFill="1" applyBorder="1" applyAlignment="1">
      <alignment vertical="center" wrapText="1"/>
    </xf>
    <xf numFmtId="0" fontId="10" fillId="0" borderId="18" xfId="0" applyFont="1" applyBorder="1" applyAlignment="1">
      <alignment horizontal="left"/>
    </xf>
    <xf numFmtId="0" fontId="11" fillId="0" borderId="0" xfId="4" applyFont="1" applyFill="1" applyBorder="1" applyAlignment="1">
      <alignment horizontal="center" vertical="center" wrapText="1"/>
    </xf>
    <xf numFmtId="2" fontId="0" fillId="0" borderId="0" xfId="0" applyNumberFormat="1" applyFill="1" applyBorder="1"/>
    <xf numFmtId="0" fontId="47" fillId="0" borderId="0" xfId="4" applyFont="1" applyFill="1" applyBorder="1" applyAlignment="1">
      <alignment vertical="center" wrapText="1"/>
    </xf>
    <xf numFmtId="14" fontId="4" fillId="0" borderId="0" xfId="4" applyNumberFormat="1"/>
    <xf numFmtId="0" fontId="4" fillId="0" borderId="0" xfId="4" applyAlignment="1"/>
    <xf numFmtId="0" fontId="37" fillId="0" borderId="0" xfId="0" applyFont="1" applyAlignment="1">
      <alignment wrapText="1"/>
    </xf>
    <xf numFmtId="0" fontId="37" fillId="0" borderId="0" xfId="0" applyFont="1" applyAlignment="1"/>
    <xf numFmtId="0" fontId="28" fillId="0" borderId="0" xfId="4" applyFont="1" applyAlignment="1"/>
    <xf numFmtId="0" fontId="4" fillId="0" borderId="0" xfId="4" applyFill="1"/>
    <xf numFmtId="0" fontId="4" fillId="0" borderId="0" xfId="4" applyAlignment="1">
      <alignment vertical="center" wrapText="1"/>
    </xf>
    <xf numFmtId="0" fontId="34" fillId="0" borderId="0" xfId="4" applyFont="1" applyBorder="1" applyAlignment="1">
      <alignment vertical="top" wrapText="1"/>
    </xf>
    <xf numFmtId="170" fontId="34" fillId="0" borderId="0" xfId="4" applyNumberFormat="1" applyFont="1" applyBorder="1" applyAlignment="1">
      <alignment vertical="top" wrapText="1"/>
    </xf>
    <xf numFmtId="0" fontId="34" fillId="0" borderId="0" xfId="4" applyFont="1" applyFill="1" applyBorder="1" applyAlignment="1">
      <alignment vertical="top" wrapText="1"/>
    </xf>
    <xf numFmtId="10" fontId="47" fillId="0" borderId="0" xfId="4" applyNumberFormat="1" applyFont="1" applyFill="1" applyBorder="1" applyAlignment="1">
      <alignment vertical="center" wrapText="1"/>
    </xf>
    <xf numFmtId="0" fontId="49" fillId="0" borderId="0" xfId="0" applyFont="1" applyAlignment="1">
      <alignment horizontal="left" vertical="center"/>
    </xf>
    <xf numFmtId="10" fontId="47" fillId="0" borderId="0" xfId="4" applyNumberFormat="1" applyFont="1" applyFill="1" applyBorder="1" applyAlignment="1">
      <alignment vertical="center"/>
    </xf>
    <xf numFmtId="166" fontId="34" fillId="0" borderId="0" xfId="4" applyNumberFormat="1" applyFont="1" applyBorder="1" applyAlignment="1">
      <alignment vertical="top" wrapText="1"/>
    </xf>
    <xf numFmtId="10" fontId="50" fillId="0" borderId="0" xfId="4" applyNumberFormat="1" applyFont="1" applyBorder="1" applyAlignment="1">
      <alignment vertical="center" wrapText="1"/>
    </xf>
    <xf numFmtId="0" fontId="44" fillId="0" borderId="0" xfId="4" applyFont="1" applyFill="1" applyBorder="1" applyAlignment="1">
      <alignment vertical="top" wrapText="1"/>
    </xf>
    <xf numFmtId="0" fontId="34" fillId="0" borderId="0" xfId="4" applyFont="1" applyAlignment="1">
      <alignment horizontal="center"/>
    </xf>
    <xf numFmtId="166" fontId="4" fillId="0" borderId="0" xfId="4" applyNumberFormat="1"/>
    <xf numFmtId="0" fontId="20" fillId="0" borderId="0" xfId="4" applyFont="1" applyFill="1" applyBorder="1" applyAlignment="1">
      <alignment vertical="top" wrapText="1"/>
    </xf>
    <xf numFmtId="168" fontId="28" fillId="0" borderId="0" xfId="4" applyNumberFormat="1" applyFont="1"/>
    <xf numFmtId="0" fontId="51" fillId="0" borderId="0" xfId="4" applyFont="1"/>
    <xf numFmtId="0" fontId="2" fillId="0" borderId="0" xfId="4" applyFont="1" applyFill="1" applyBorder="1" applyAlignment="1">
      <alignment vertical="top" wrapText="1"/>
    </xf>
    <xf numFmtId="0" fontId="52" fillId="0" borderId="0" xfId="0" applyFont="1" applyFill="1" applyAlignment="1">
      <alignment horizontal="center" vertical="center"/>
    </xf>
    <xf numFmtId="0" fontId="53" fillId="0" borderId="0" xfId="0" applyFont="1" applyFill="1" applyAlignment="1">
      <alignment horizontal="center" vertical="center"/>
    </xf>
    <xf numFmtId="0" fontId="34" fillId="0" borderId="0" xfId="4" applyFont="1" applyFill="1" applyBorder="1" applyAlignment="1">
      <alignment horizontal="center" vertical="top" wrapText="1"/>
    </xf>
    <xf numFmtId="0" fontId="44" fillId="0" borderId="0" xfId="4" applyFont="1" applyFill="1" applyBorder="1" applyAlignment="1">
      <alignment horizontal="center" vertical="top" wrapText="1"/>
    </xf>
    <xf numFmtId="0" fontId="35" fillId="0" borderId="0" xfId="4" applyFont="1" applyFill="1" applyBorder="1" applyAlignment="1">
      <alignment vertical="center" wrapText="1"/>
    </xf>
    <xf numFmtId="0" fontId="4" fillId="0" borderId="0" xfId="4" applyAlignment="1">
      <alignment horizontal="center"/>
    </xf>
    <xf numFmtId="20" fontId="37" fillId="0" borderId="0" xfId="0" applyNumberFormat="1" applyFont="1" applyFill="1" applyBorder="1" applyAlignment="1">
      <alignment horizontal="center"/>
    </xf>
    <xf numFmtId="171" fontId="37" fillId="0" borderId="0" xfId="0" applyNumberFormat="1" applyFont="1" applyFill="1" applyBorder="1" applyAlignment="1">
      <alignment horizontal="center"/>
    </xf>
    <xf numFmtId="0" fontId="54" fillId="0" borderId="0" xfId="0" applyFont="1" applyFill="1" applyAlignment="1">
      <alignment horizontal="center" vertical="center"/>
    </xf>
    <xf numFmtId="0" fontId="19" fillId="0" borderId="0" xfId="0" applyFont="1" applyFill="1" applyBorder="1" applyAlignment="1">
      <alignment horizontal="center"/>
    </xf>
    <xf numFmtId="0" fontId="55" fillId="0" borderId="0" xfId="0" applyFont="1" applyFill="1" applyBorder="1" applyAlignment="1">
      <alignment horizontal="center"/>
    </xf>
    <xf numFmtId="0" fontId="56" fillId="0" borderId="0" xfId="0" applyFont="1" applyFill="1" applyAlignment="1">
      <alignment horizontal="center" vertical="center"/>
    </xf>
    <xf numFmtId="0" fontId="37" fillId="0" borderId="0" xfId="0" applyFont="1" applyFill="1" applyBorder="1" applyAlignment="1">
      <alignment horizontal="center"/>
    </xf>
    <xf numFmtId="0" fontId="47" fillId="0" borderId="0" xfId="0" applyFont="1" applyFill="1" applyAlignment="1">
      <alignment horizontal="center"/>
    </xf>
    <xf numFmtId="10" fontId="25" fillId="0" borderId="0" xfId="0" applyNumberFormat="1" applyFont="1" applyFill="1" applyBorder="1" applyAlignment="1">
      <alignment horizontal="center"/>
    </xf>
    <xf numFmtId="14" fontId="28" fillId="0" borderId="0" xfId="4" applyNumberFormat="1" applyFont="1" applyAlignment="1"/>
    <xf numFmtId="0" fontId="37" fillId="0" borderId="0" xfId="0" applyFont="1" applyBorder="1" applyAlignment="1">
      <alignment horizontal="center"/>
    </xf>
    <xf numFmtId="10" fontId="25" fillId="0" borderId="0" xfId="0" applyNumberFormat="1" applyFont="1" applyBorder="1" applyAlignment="1">
      <alignment horizontal="center"/>
    </xf>
    <xf numFmtId="166" fontId="34" fillId="0" borderId="0" xfId="4" applyNumberFormat="1" applyFont="1"/>
    <xf numFmtId="0" fontId="35" fillId="0" borderId="0" xfId="0" applyFont="1" applyFill="1" applyBorder="1" applyAlignment="1">
      <alignment horizontal="center"/>
    </xf>
    <xf numFmtId="10" fontId="37" fillId="0" borderId="0" xfId="0" applyNumberFormat="1" applyFont="1" applyBorder="1" applyAlignment="1">
      <alignment horizontal="center"/>
    </xf>
    <xf numFmtId="10" fontId="58" fillId="0" borderId="0" xfId="6" applyNumberFormat="1" applyFont="1" applyBorder="1" applyAlignment="1">
      <alignment horizontal="center"/>
    </xf>
    <xf numFmtId="0" fontId="58" fillId="0" borderId="0" xfId="4" applyFont="1" applyAlignment="1">
      <alignment horizontal="center"/>
    </xf>
    <xf numFmtId="0" fontId="58" fillId="0" borderId="0" xfId="4" applyFont="1"/>
    <xf numFmtId="10" fontId="59" fillId="0" borderId="0" xfId="6" applyNumberFormat="1" applyFont="1" applyBorder="1" applyAlignment="1">
      <alignment horizontal="center"/>
    </xf>
    <xf numFmtId="0" fontId="25" fillId="0" borderId="0" xfId="0" applyFont="1" applyBorder="1" applyAlignment="1">
      <alignment horizontal="center"/>
    </xf>
    <xf numFmtId="0" fontId="59" fillId="0" borderId="0" xfId="4" applyFont="1" applyAlignment="1">
      <alignment horizontal="center"/>
    </xf>
    <xf numFmtId="0" fontId="59" fillId="0" borderId="0" xfId="4" applyFont="1"/>
    <xf numFmtId="170" fontId="25" fillId="0" borderId="0" xfId="0" applyNumberFormat="1" applyFont="1" applyBorder="1" applyAlignment="1">
      <alignment horizontal="center"/>
    </xf>
    <xf numFmtId="0" fontId="12" fillId="0" borderId="0" xfId="4" applyFont="1" applyFill="1" applyBorder="1" applyAlignment="1">
      <alignment vertical="top" wrapText="1"/>
    </xf>
    <xf numFmtId="166" fontId="12" fillId="0" borderId="0" xfId="4" applyNumberFormat="1" applyFont="1" applyFill="1" applyBorder="1"/>
    <xf numFmtId="4" fontId="60" fillId="8" borderId="0" xfId="0" applyNumberFormat="1" applyFont="1" applyFill="1" applyAlignment="1">
      <alignment horizontal="right" wrapText="1"/>
    </xf>
    <xf numFmtId="4" fontId="61" fillId="8" borderId="0" xfId="0" applyNumberFormat="1" applyFont="1" applyFill="1" applyAlignment="1">
      <alignment horizontal="right" wrapText="1"/>
    </xf>
    <xf numFmtId="2" fontId="4" fillId="0" borderId="0" xfId="4" applyNumberFormat="1"/>
    <xf numFmtId="0" fontId="61" fillId="8" borderId="0" xfId="0" applyFont="1" applyFill="1" applyAlignment="1">
      <alignment horizontal="right" wrapText="1"/>
    </xf>
    <xf numFmtId="2" fontId="30" fillId="0" borderId="0" xfId="4" applyNumberFormat="1" applyFont="1" applyFill="1" applyBorder="1" applyAlignment="1">
      <alignment horizontal="center" wrapText="1"/>
    </xf>
    <xf numFmtId="2" fontId="30" fillId="6" borderId="0" xfId="4" applyNumberFormat="1" applyFont="1" applyFill="1" applyBorder="1" applyAlignment="1">
      <alignment horizontal="center" wrapText="1"/>
    </xf>
    <xf numFmtId="2" fontId="12" fillId="0" borderId="9" xfId="4" applyNumberFormat="1" applyFont="1" applyFill="1" applyBorder="1" applyAlignment="1">
      <alignment horizontal="center" wrapText="1"/>
    </xf>
    <xf numFmtId="2" fontId="12" fillId="0" borderId="5" xfId="4" applyNumberFormat="1" applyFont="1" applyFill="1" applyBorder="1" applyAlignment="1">
      <alignment horizontal="center" wrapText="1"/>
    </xf>
    <xf numFmtId="168" fontId="12" fillId="0" borderId="9" xfId="3" applyNumberFormat="1" applyFont="1" applyFill="1" applyBorder="1" applyAlignment="1">
      <alignment horizontal="center" wrapText="1"/>
    </xf>
    <xf numFmtId="167" fontId="12" fillId="0" borderId="9" xfId="4" applyNumberFormat="1" applyFont="1" applyFill="1" applyBorder="1" applyAlignment="1">
      <alignment horizontal="center" wrapText="1"/>
    </xf>
    <xf numFmtId="2" fontId="12" fillId="0" borderId="13" xfId="4" applyNumberFormat="1" applyFont="1" applyFill="1" applyBorder="1" applyAlignment="1">
      <alignment horizontal="center" wrapText="1"/>
    </xf>
    <xf numFmtId="2" fontId="12" fillId="0" borderId="15" xfId="4" applyNumberFormat="1" applyFont="1" applyFill="1" applyBorder="1" applyAlignment="1">
      <alignment horizontal="center" wrapText="1"/>
    </xf>
    <xf numFmtId="2" fontId="12" fillId="0" borderId="14" xfId="4" applyNumberFormat="1" applyFont="1" applyFill="1" applyBorder="1" applyAlignment="1">
      <alignment horizontal="center" wrapText="1"/>
    </xf>
    <xf numFmtId="0" fontId="26" fillId="0" borderId="9" xfId="4" applyFont="1" applyFill="1" applyBorder="1" applyAlignment="1">
      <alignment horizontal="center" vertical="center" wrapText="1"/>
    </xf>
    <xf numFmtId="165" fontId="12" fillId="0" borderId="9" xfId="1" applyNumberFormat="1" applyFont="1" applyFill="1" applyBorder="1" applyAlignment="1">
      <alignment horizontal="center" vertical="center" wrapText="1"/>
    </xf>
    <xf numFmtId="2" fontId="12" fillId="0" borderId="5" xfId="3" applyNumberFormat="1" applyFont="1" applyFill="1" applyBorder="1" applyAlignment="1">
      <alignment horizontal="center" wrapText="1"/>
    </xf>
    <xf numFmtId="2" fontId="12" fillId="0" borderId="6" xfId="3" applyNumberFormat="1" applyFont="1" applyFill="1" applyBorder="1" applyAlignment="1">
      <alignment horizontal="center" wrapText="1"/>
    </xf>
    <xf numFmtId="2" fontId="12" fillId="0" borderId="7" xfId="3" applyNumberFormat="1" applyFont="1" applyFill="1" applyBorder="1" applyAlignment="1">
      <alignment horizontal="center" wrapText="1"/>
    </xf>
    <xf numFmtId="2" fontId="12" fillId="0" borderId="6" xfId="4" applyNumberFormat="1" applyFont="1" applyFill="1" applyBorder="1" applyAlignment="1">
      <alignment horizontal="center" wrapText="1"/>
    </xf>
    <xf numFmtId="2" fontId="12" fillId="0" borderId="7" xfId="4" applyNumberFormat="1" applyFont="1" applyFill="1" applyBorder="1" applyAlignment="1">
      <alignment horizontal="center" wrapText="1"/>
    </xf>
    <xf numFmtId="10" fontId="12" fillId="0" borderId="5" xfId="3" applyNumberFormat="1" applyFont="1" applyFill="1" applyBorder="1" applyAlignment="1">
      <alignment horizontal="center" wrapText="1"/>
    </xf>
    <xf numFmtId="10" fontId="12" fillId="0" borderId="6" xfId="3" applyNumberFormat="1" applyFont="1" applyFill="1" applyBorder="1" applyAlignment="1">
      <alignment horizontal="center" wrapText="1"/>
    </xf>
    <xf numFmtId="10" fontId="12" fillId="0" borderId="7" xfId="3" applyNumberFormat="1" applyFont="1" applyFill="1" applyBorder="1" applyAlignment="1">
      <alignment horizontal="center" wrapText="1"/>
    </xf>
    <xf numFmtId="168" fontId="12" fillId="0" borderId="13" xfId="3" applyNumberFormat="1" applyFont="1" applyFill="1" applyBorder="1" applyAlignment="1">
      <alignment horizontal="center" wrapText="1"/>
    </xf>
    <xf numFmtId="168" fontId="12" fillId="0" borderId="15" xfId="3" applyNumberFormat="1" applyFont="1" applyFill="1" applyBorder="1" applyAlignment="1">
      <alignment horizontal="center" wrapText="1"/>
    </xf>
    <xf numFmtId="168" fontId="12" fillId="0" borderId="14" xfId="3" applyNumberFormat="1" applyFont="1" applyFill="1" applyBorder="1" applyAlignment="1">
      <alignment horizontal="center" wrapText="1"/>
    </xf>
    <xf numFmtId="2" fontId="12" fillId="0" borderId="13" xfId="3" applyNumberFormat="1" applyFont="1" applyFill="1" applyBorder="1" applyAlignment="1">
      <alignment horizontal="center" wrapText="1"/>
    </xf>
    <xf numFmtId="2" fontId="12" fillId="0" borderId="15" xfId="3" applyNumberFormat="1" applyFont="1" applyFill="1" applyBorder="1" applyAlignment="1">
      <alignment horizontal="center" wrapText="1"/>
    </xf>
    <xf numFmtId="2" fontId="12" fillId="0" borderId="14"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2" fontId="12" fillId="4" borderId="2" xfId="4" applyNumberFormat="1" applyFont="1" applyFill="1" applyBorder="1" applyAlignment="1">
      <alignment horizontal="center" wrapText="1"/>
    </xf>
    <xf numFmtId="0" fontId="26" fillId="0" borderId="13" xfId="4" applyFont="1" applyFill="1" applyBorder="1" applyAlignment="1">
      <alignment horizontal="center" vertical="center" wrapText="1"/>
    </xf>
    <xf numFmtId="0" fontId="26" fillId="0" borderId="14" xfId="4" applyFont="1" applyFill="1" applyBorder="1" applyAlignment="1">
      <alignment horizontal="center" vertical="center" wrapText="1"/>
    </xf>
    <xf numFmtId="165" fontId="12" fillId="0" borderId="13" xfId="1" applyNumberFormat="1" applyFont="1" applyFill="1" applyBorder="1" applyAlignment="1">
      <alignment horizontal="center" vertical="center" wrapText="1"/>
    </xf>
    <xf numFmtId="165" fontId="12" fillId="0" borderId="14" xfId="1" applyNumberFormat="1" applyFont="1" applyFill="1" applyBorder="1" applyAlignment="1">
      <alignment horizontal="center" vertical="center" wrapText="1"/>
    </xf>
    <xf numFmtId="10" fontId="12" fillId="0" borderId="13" xfId="3" applyNumberFormat="1" applyFont="1" applyFill="1" applyBorder="1" applyAlignment="1">
      <alignment horizontal="center" wrapText="1"/>
    </xf>
    <xf numFmtId="10" fontId="12" fillId="0" borderId="15" xfId="3" applyNumberFormat="1" applyFont="1" applyFill="1" applyBorder="1" applyAlignment="1">
      <alignment horizontal="center" wrapText="1"/>
    </xf>
    <xf numFmtId="10" fontId="12" fillId="0" borderId="14" xfId="3" applyNumberFormat="1" applyFont="1" applyFill="1" applyBorder="1" applyAlignment="1">
      <alignment horizontal="center" wrapText="1"/>
    </xf>
    <xf numFmtId="168" fontId="12" fillId="4" borderId="4" xfId="3" applyNumberFormat="1" applyFont="1" applyFill="1" applyBorder="1" applyAlignment="1">
      <alignment horizontal="center" wrapText="1"/>
    </xf>
    <xf numFmtId="167" fontId="12" fillId="4" borderId="4" xfId="4" applyNumberFormat="1" applyFont="1" applyFill="1" applyBorder="1" applyAlignment="1">
      <alignment horizontal="center" wrapText="1"/>
    </xf>
    <xf numFmtId="9" fontId="12" fillId="4" borderId="4" xfId="3" applyNumberFormat="1" applyFont="1" applyFill="1" applyBorder="1" applyAlignment="1">
      <alignment horizontal="center" wrapText="1"/>
    </xf>
    <xf numFmtId="0" fontId="26" fillId="4" borderId="4" xfId="4" applyFont="1" applyFill="1" applyBorder="1" applyAlignment="1">
      <alignment horizontal="center" vertical="center" wrapText="1"/>
    </xf>
    <xf numFmtId="165" fontId="12" fillId="4" borderId="4" xfId="1" applyNumberFormat="1" applyFont="1" applyFill="1" applyBorder="1" applyAlignment="1">
      <alignment horizontal="center" vertical="center" wrapText="1"/>
    </xf>
    <xf numFmtId="2" fontId="12" fillId="4" borderId="4" xfId="3" applyNumberFormat="1" applyFont="1" applyFill="1" applyBorder="1" applyAlignment="1">
      <alignment horizontal="center" wrapText="1"/>
    </xf>
    <xf numFmtId="2" fontId="12" fillId="4" borderId="8" xfId="4" applyNumberFormat="1" applyFont="1" applyFill="1" applyBorder="1" applyAlignment="1">
      <alignment horizontal="center" wrapText="1"/>
    </xf>
    <xf numFmtId="2" fontId="12" fillId="4" borderId="3" xfId="4" applyNumberFormat="1" applyFont="1" applyFill="1" applyBorder="1" applyAlignment="1">
      <alignment horizontal="center" wrapText="1"/>
    </xf>
    <xf numFmtId="10" fontId="12" fillId="4" borderId="2" xfId="3" applyNumberFormat="1" applyFont="1" applyFill="1" applyBorder="1" applyAlignment="1">
      <alignment horizontal="center" wrapText="1"/>
    </xf>
    <xf numFmtId="10" fontId="12" fillId="4" borderId="8" xfId="3" applyNumberFormat="1" applyFont="1" applyFill="1" applyBorder="1" applyAlignment="1">
      <alignment horizontal="center" wrapText="1"/>
    </xf>
    <xf numFmtId="10" fontId="12" fillId="4" borderId="3" xfId="3" applyNumberFormat="1" applyFont="1" applyFill="1" applyBorder="1" applyAlignment="1">
      <alignment horizontal="center" wrapText="1"/>
    </xf>
    <xf numFmtId="2" fontId="12" fillId="4" borderId="9" xfId="4" applyNumberFormat="1" applyFont="1" applyFill="1" applyBorder="1" applyAlignment="1">
      <alignment horizontal="center" wrapText="1"/>
    </xf>
    <xf numFmtId="2" fontId="12" fillId="4" borderId="5" xfId="4" applyNumberFormat="1" applyFont="1" applyFill="1" applyBorder="1" applyAlignment="1">
      <alignment horizontal="center" wrapText="1"/>
    </xf>
    <xf numFmtId="2" fontId="12" fillId="0" borderId="9" xfId="3" applyNumberFormat="1" applyFont="1" applyFill="1" applyBorder="1" applyAlignment="1">
      <alignment horizontal="center" wrapText="1"/>
    </xf>
    <xf numFmtId="168" fontId="12" fillId="4" borderId="9" xfId="3" applyNumberFormat="1" applyFont="1" applyFill="1" applyBorder="1" applyAlignment="1">
      <alignment horizontal="center" wrapText="1"/>
    </xf>
    <xf numFmtId="167" fontId="12" fillId="4" borderId="9" xfId="4" applyNumberFormat="1" applyFont="1" applyFill="1" applyBorder="1" applyAlignment="1">
      <alignment horizontal="center" wrapText="1"/>
    </xf>
    <xf numFmtId="9" fontId="12" fillId="4" borderId="9" xfId="3" applyNumberFormat="1" applyFont="1" applyFill="1" applyBorder="1" applyAlignment="1">
      <alignment horizontal="center" wrapText="1"/>
    </xf>
    <xf numFmtId="0" fontId="26" fillId="4" borderId="9" xfId="4" applyFont="1" applyFill="1" applyBorder="1" applyAlignment="1">
      <alignment horizontal="center" vertical="center" wrapText="1"/>
    </xf>
    <xf numFmtId="165" fontId="12" fillId="4" borderId="9" xfId="1" applyNumberFormat="1" applyFont="1" applyFill="1" applyBorder="1" applyAlignment="1">
      <alignment horizontal="center" vertical="center" wrapText="1"/>
    </xf>
    <xf numFmtId="2" fontId="12" fillId="4" borderId="9" xfId="3" applyNumberFormat="1" applyFont="1" applyFill="1" applyBorder="1" applyAlignment="1">
      <alignment horizontal="center" wrapText="1"/>
    </xf>
    <xf numFmtId="2" fontId="12" fillId="4" borderId="6" xfId="4" applyNumberFormat="1" applyFont="1" applyFill="1" applyBorder="1" applyAlignment="1">
      <alignment horizontal="center" wrapText="1"/>
    </xf>
    <xf numFmtId="2" fontId="12" fillId="4" borderId="7" xfId="4" applyNumberFormat="1" applyFont="1" applyFill="1" applyBorder="1" applyAlignment="1">
      <alignment horizontal="center" wrapText="1"/>
    </xf>
    <xf numFmtId="10" fontId="12" fillId="4" borderId="5" xfId="3" applyNumberFormat="1" applyFont="1" applyFill="1" applyBorder="1" applyAlignment="1">
      <alignment horizontal="center" wrapText="1"/>
    </xf>
    <xf numFmtId="10" fontId="12" fillId="4" borderId="6" xfId="3" applyNumberFormat="1" applyFont="1" applyFill="1" applyBorder="1" applyAlignment="1">
      <alignment horizontal="center" wrapText="1"/>
    </xf>
    <xf numFmtId="10" fontId="12" fillId="4" borderId="7" xfId="3" applyNumberFormat="1" applyFont="1" applyFill="1" applyBorder="1" applyAlignment="1">
      <alignment horizontal="center" wrapText="1"/>
    </xf>
    <xf numFmtId="2" fontId="12" fillId="4" borderId="2" xfId="3" applyNumberFormat="1" applyFont="1" applyFill="1" applyBorder="1" applyAlignment="1">
      <alignment horizontal="center" wrapText="1"/>
    </xf>
    <xf numFmtId="2" fontId="12" fillId="4" borderId="8" xfId="3" applyNumberFormat="1" applyFont="1" applyFill="1" applyBorder="1" applyAlignment="1">
      <alignment horizontal="center" wrapText="1"/>
    </xf>
    <xf numFmtId="2" fontId="12" fillId="4" borderId="3" xfId="3" applyNumberFormat="1" applyFont="1" applyFill="1" applyBorder="1" applyAlignment="1">
      <alignment horizontal="center" wrapText="1"/>
    </xf>
    <xf numFmtId="2" fontId="12" fillId="4" borderId="13" xfId="4" applyNumberFormat="1" applyFont="1" applyFill="1" applyBorder="1" applyAlignment="1">
      <alignment horizontal="center" wrapText="1"/>
    </xf>
    <xf numFmtId="2" fontId="12" fillId="4" borderId="15" xfId="4" applyNumberFormat="1" applyFont="1" applyFill="1" applyBorder="1" applyAlignment="1">
      <alignment horizontal="center" wrapText="1"/>
    </xf>
    <xf numFmtId="2" fontId="12" fillId="4" borderId="14" xfId="4" applyNumberFormat="1" applyFont="1" applyFill="1" applyBorder="1" applyAlignment="1">
      <alignment horizontal="center" wrapText="1"/>
    </xf>
    <xf numFmtId="168" fontId="12" fillId="4" borderId="13" xfId="3" applyNumberFormat="1" applyFont="1" applyFill="1" applyBorder="1" applyAlignment="1">
      <alignment horizontal="center" wrapText="1"/>
    </xf>
    <xf numFmtId="168" fontId="12" fillId="4" borderId="15" xfId="3" applyNumberFormat="1" applyFont="1" applyFill="1" applyBorder="1" applyAlignment="1">
      <alignment horizontal="center" wrapText="1"/>
    </xf>
    <xf numFmtId="168" fontId="12" fillId="4" borderId="14" xfId="3" applyNumberFormat="1" applyFont="1" applyFill="1" applyBorder="1" applyAlignment="1">
      <alignment horizontal="center" wrapText="1"/>
    </xf>
    <xf numFmtId="2" fontId="12" fillId="4" borderId="13" xfId="3" applyNumberFormat="1" applyFont="1" applyFill="1" applyBorder="1" applyAlignment="1">
      <alignment horizontal="center" wrapText="1"/>
    </xf>
    <xf numFmtId="2" fontId="12" fillId="4" borderId="15" xfId="3" applyNumberFormat="1" applyFont="1" applyFill="1" applyBorder="1" applyAlignment="1">
      <alignment horizontal="center" wrapText="1"/>
    </xf>
    <xf numFmtId="2" fontId="12" fillId="4" borderId="14" xfId="3" applyNumberFormat="1" applyFont="1" applyFill="1" applyBorder="1" applyAlignment="1">
      <alignment horizontal="center" wrapText="1"/>
    </xf>
    <xf numFmtId="2" fontId="12" fillId="0" borderId="4" xfId="4" applyNumberFormat="1" applyFont="1" applyFill="1" applyBorder="1" applyAlignment="1">
      <alignment horizontal="center" wrapText="1"/>
    </xf>
    <xf numFmtId="2" fontId="12" fillId="0" borderId="2" xfId="4" applyNumberFormat="1" applyFont="1" applyFill="1" applyBorder="1" applyAlignment="1">
      <alignment horizontal="center" wrapText="1"/>
    </xf>
    <xf numFmtId="0" fontId="26" fillId="4" borderId="13" xfId="4" applyFont="1" applyFill="1" applyBorder="1" applyAlignment="1">
      <alignment horizontal="center" vertical="center" wrapText="1"/>
    </xf>
    <xf numFmtId="0" fontId="26" fillId="4" borderId="14" xfId="4" applyFont="1" applyFill="1" applyBorder="1" applyAlignment="1">
      <alignment horizontal="center" vertical="center" wrapText="1"/>
    </xf>
    <xf numFmtId="165" fontId="12" fillId="4" borderId="13" xfId="1" applyNumberFormat="1" applyFont="1" applyFill="1" applyBorder="1" applyAlignment="1">
      <alignment horizontal="center" vertical="center" wrapText="1"/>
    </xf>
    <xf numFmtId="165" fontId="12" fillId="4" borderId="14" xfId="1" applyNumberFormat="1" applyFont="1" applyFill="1" applyBorder="1" applyAlignment="1">
      <alignment horizontal="center" vertical="center" wrapText="1"/>
    </xf>
    <xf numFmtId="10" fontId="12" fillId="4" borderId="13" xfId="3" applyNumberFormat="1" applyFont="1" applyFill="1" applyBorder="1" applyAlignment="1">
      <alignment horizontal="center" wrapText="1"/>
    </xf>
    <xf numFmtId="10" fontId="12" fillId="4" borderId="15" xfId="3" applyNumberFormat="1" applyFont="1" applyFill="1" applyBorder="1" applyAlignment="1">
      <alignment horizontal="center" wrapText="1"/>
    </xf>
    <xf numFmtId="10" fontId="12" fillId="4" borderId="14" xfId="3" applyNumberFormat="1" applyFont="1" applyFill="1" applyBorder="1" applyAlignment="1">
      <alignment horizontal="center" wrapText="1"/>
    </xf>
    <xf numFmtId="168" fontId="12" fillId="0" borderId="4" xfId="3" applyNumberFormat="1" applyFont="1" applyFill="1" applyBorder="1" applyAlignment="1">
      <alignment horizontal="center" wrapText="1"/>
    </xf>
    <xf numFmtId="167" fontId="12" fillId="0" borderId="4" xfId="4" applyNumberFormat="1" applyFont="1" applyFill="1" applyBorder="1" applyAlignment="1">
      <alignment horizontal="center" wrapText="1"/>
    </xf>
    <xf numFmtId="0" fontId="26" fillId="0" borderId="4" xfId="4" applyFont="1" applyFill="1" applyBorder="1" applyAlignment="1">
      <alignment horizontal="center" vertical="center" wrapText="1"/>
    </xf>
    <xf numFmtId="165" fontId="12" fillId="0" borderId="4" xfId="1" applyNumberFormat="1" applyFont="1" applyFill="1" applyBorder="1" applyAlignment="1">
      <alignment horizontal="center" vertical="center" wrapText="1"/>
    </xf>
    <xf numFmtId="2" fontId="12" fillId="0" borderId="2" xfId="3" applyNumberFormat="1" applyFont="1" applyFill="1" applyBorder="1" applyAlignment="1">
      <alignment horizontal="center" wrapText="1"/>
    </xf>
    <xf numFmtId="2" fontId="12" fillId="0" borderId="8" xfId="3" applyNumberFormat="1" applyFont="1" applyFill="1" applyBorder="1" applyAlignment="1">
      <alignment horizontal="center" wrapText="1"/>
    </xf>
    <xf numFmtId="2" fontId="12" fillId="0" borderId="3" xfId="3" applyNumberFormat="1" applyFont="1" applyFill="1" applyBorder="1" applyAlignment="1">
      <alignment horizontal="center" wrapText="1"/>
    </xf>
    <xf numFmtId="2" fontId="12" fillId="0" borderId="8" xfId="4" applyNumberFormat="1" applyFont="1" applyFill="1" applyBorder="1" applyAlignment="1">
      <alignment horizontal="center" wrapText="1"/>
    </xf>
    <xf numFmtId="2" fontId="12" fillId="0" borderId="3" xfId="4" applyNumberFormat="1" applyFont="1" applyFill="1" applyBorder="1" applyAlignment="1">
      <alignment horizontal="center" wrapText="1"/>
    </xf>
    <xf numFmtId="10" fontId="12" fillId="0" borderId="2" xfId="3" applyNumberFormat="1" applyFont="1" applyFill="1" applyBorder="1" applyAlignment="1">
      <alignment horizontal="center" wrapText="1"/>
    </xf>
    <xf numFmtId="10" fontId="12" fillId="0" borderId="8" xfId="3" applyNumberFormat="1" applyFont="1" applyFill="1" applyBorder="1" applyAlignment="1">
      <alignment horizontal="center" wrapText="1"/>
    </xf>
    <xf numFmtId="10" fontId="12" fillId="0" borderId="3" xfId="3" applyNumberFormat="1" applyFont="1" applyFill="1" applyBorder="1" applyAlignment="1">
      <alignment horizontal="center" wrapText="1"/>
    </xf>
    <xf numFmtId="2" fontId="12" fillId="4" borderId="5" xfId="3" applyNumberFormat="1" applyFont="1" applyFill="1" applyBorder="1" applyAlignment="1">
      <alignment horizontal="center" wrapText="1"/>
    </xf>
    <xf numFmtId="2" fontId="12" fillId="4" borderId="6" xfId="3" applyNumberFormat="1" applyFont="1" applyFill="1" applyBorder="1" applyAlignment="1">
      <alignment horizontal="center" wrapText="1"/>
    </xf>
    <xf numFmtId="2" fontId="12" fillId="4" borderId="7" xfId="3" applyNumberFormat="1" applyFont="1" applyFill="1" applyBorder="1" applyAlignment="1">
      <alignment horizontal="center" wrapText="1"/>
    </xf>
    <xf numFmtId="168" fontId="12" fillId="4" borderId="2" xfId="3" applyNumberFormat="1" applyFont="1" applyFill="1" applyBorder="1" applyAlignment="1">
      <alignment horizontal="center" wrapText="1"/>
    </xf>
    <xf numFmtId="168" fontId="12" fillId="4" borderId="8" xfId="3" applyNumberFormat="1" applyFont="1" applyFill="1" applyBorder="1" applyAlignment="1">
      <alignment horizontal="center" wrapText="1"/>
    </xf>
    <xf numFmtId="168" fontId="12" fillId="4" borderId="3" xfId="3" applyNumberFormat="1" applyFont="1" applyFill="1" applyBorder="1" applyAlignment="1">
      <alignment horizontal="center" wrapText="1"/>
    </xf>
    <xf numFmtId="9" fontId="12" fillId="4" borderId="2" xfId="3" applyNumberFormat="1" applyFont="1" applyFill="1" applyBorder="1" applyAlignment="1">
      <alignment horizontal="center" wrapText="1"/>
    </xf>
    <xf numFmtId="9" fontId="12" fillId="4" borderId="8" xfId="3" applyNumberFormat="1" applyFont="1" applyFill="1" applyBorder="1" applyAlignment="1">
      <alignment horizontal="center" wrapText="1"/>
    </xf>
    <xf numFmtId="9" fontId="12" fillId="4" borderId="3" xfId="3" applyNumberFormat="1" applyFont="1" applyFill="1" applyBorder="1" applyAlignment="1">
      <alignment horizontal="center" wrapText="1"/>
    </xf>
    <xf numFmtId="168" fontId="12" fillId="0" borderId="5" xfId="3" applyNumberFormat="1" applyFont="1" applyFill="1" applyBorder="1" applyAlignment="1">
      <alignment horizontal="center" wrapText="1"/>
    </xf>
    <xf numFmtId="168" fontId="12" fillId="0" borderId="6" xfId="3" applyNumberFormat="1" applyFont="1" applyFill="1" applyBorder="1" applyAlignment="1">
      <alignment horizontal="center" wrapText="1"/>
    </xf>
    <xf numFmtId="168" fontId="12" fillId="0" borderId="7" xfId="3" applyNumberFormat="1" applyFont="1" applyFill="1" applyBorder="1" applyAlignment="1">
      <alignment horizontal="center" wrapText="1"/>
    </xf>
    <xf numFmtId="168" fontId="12" fillId="4" borderId="5" xfId="3" applyNumberFormat="1" applyFont="1" applyFill="1" applyBorder="1" applyAlignment="1">
      <alignment horizontal="center" wrapText="1"/>
    </xf>
    <xf numFmtId="168" fontId="12" fillId="4" borderId="6" xfId="3" applyNumberFormat="1" applyFont="1" applyFill="1" applyBorder="1" applyAlignment="1">
      <alignment horizontal="center" wrapText="1"/>
    </xf>
    <xf numFmtId="168" fontId="12" fillId="4" borderId="7" xfId="3" applyNumberFormat="1" applyFont="1" applyFill="1" applyBorder="1" applyAlignment="1">
      <alignment horizontal="center" wrapText="1"/>
    </xf>
    <xf numFmtId="9" fontId="12" fillId="4" borderId="5" xfId="3" applyNumberFormat="1" applyFont="1" applyFill="1" applyBorder="1" applyAlignment="1">
      <alignment horizontal="center" wrapText="1"/>
    </xf>
    <xf numFmtId="9" fontId="12" fillId="4" borderId="6" xfId="3" applyNumberFormat="1" applyFont="1" applyFill="1" applyBorder="1" applyAlignment="1">
      <alignment horizontal="center" wrapText="1"/>
    </xf>
    <xf numFmtId="9" fontId="12" fillId="4" borderId="7" xfId="3" applyNumberFormat="1" applyFont="1" applyFill="1" applyBorder="1" applyAlignment="1">
      <alignment horizontal="center" wrapText="1"/>
    </xf>
    <xf numFmtId="2" fontId="26" fillId="0" borderId="9" xfId="4" applyNumberFormat="1" applyFont="1" applyFill="1" applyBorder="1" applyAlignment="1">
      <alignment horizontal="center" vertical="center" wrapText="1"/>
    </xf>
    <xf numFmtId="168" fontId="12" fillId="0" borderId="2" xfId="3" applyNumberFormat="1" applyFont="1" applyFill="1" applyBorder="1" applyAlignment="1">
      <alignment horizontal="center" wrapText="1"/>
    </xf>
    <xf numFmtId="168" fontId="12" fillId="0" borderId="8" xfId="3" applyNumberFormat="1" applyFont="1" applyFill="1" applyBorder="1" applyAlignment="1">
      <alignment horizontal="center" wrapText="1"/>
    </xf>
    <xf numFmtId="168" fontId="12" fillId="0" borderId="3" xfId="3" applyNumberFormat="1" applyFont="1" applyFill="1" applyBorder="1" applyAlignment="1">
      <alignment horizontal="center" wrapText="1"/>
    </xf>
    <xf numFmtId="2" fontId="26" fillId="0" borderId="4" xfId="4" applyNumberFormat="1" applyFont="1" applyFill="1" applyBorder="1" applyAlignment="1">
      <alignment horizontal="center" vertical="center" wrapText="1"/>
    </xf>
    <xf numFmtId="165" fontId="12" fillId="0" borderId="2" xfId="1" applyNumberFormat="1" applyFont="1" applyFill="1" applyBorder="1" applyAlignment="1">
      <alignment horizontal="center" vertical="center" wrapText="1"/>
    </xf>
    <xf numFmtId="165" fontId="12" fillId="0" borderId="3" xfId="1" applyNumberFormat="1" applyFont="1" applyFill="1" applyBorder="1" applyAlignment="1">
      <alignment horizontal="center" vertical="center" wrapText="1"/>
    </xf>
    <xf numFmtId="165" fontId="12" fillId="4" borderId="5" xfId="1" applyNumberFormat="1" applyFont="1" applyFill="1" applyBorder="1" applyAlignment="1">
      <alignment horizontal="center" vertical="center" wrapText="1"/>
    </xf>
    <xf numFmtId="165" fontId="12" fillId="4" borderId="7" xfId="1" applyNumberFormat="1" applyFont="1" applyFill="1" applyBorder="1" applyAlignment="1">
      <alignment horizontal="center" vertical="center" wrapText="1"/>
    </xf>
    <xf numFmtId="165" fontId="12" fillId="0" borderId="5" xfId="1" applyNumberFormat="1" applyFont="1" applyFill="1" applyBorder="1" applyAlignment="1">
      <alignment horizontal="center" vertical="center" wrapText="1"/>
    </xf>
    <xf numFmtId="165" fontId="12" fillId="0" borderId="7" xfId="1" applyNumberFormat="1" applyFont="1" applyFill="1" applyBorder="1" applyAlignment="1">
      <alignment horizontal="center" vertical="center" wrapText="1"/>
    </xf>
    <xf numFmtId="2" fontId="26" fillId="4" borderId="4" xfId="4" applyNumberFormat="1" applyFont="1" applyFill="1" applyBorder="1" applyAlignment="1">
      <alignment horizontal="center" vertical="center" wrapText="1"/>
    </xf>
    <xf numFmtId="0" fontId="26" fillId="0" borderId="5" xfId="4" applyFont="1" applyFill="1" applyBorder="1" applyAlignment="1">
      <alignment horizontal="center" vertical="center" wrapText="1"/>
    </xf>
    <xf numFmtId="0" fontId="26" fillId="0" borderId="7" xfId="4" applyFont="1" applyFill="1" applyBorder="1" applyAlignment="1">
      <alignment horizontal="center" vertical="center" wrapText="1"/>
    </xf>
    <xf numFmtId="167" fontId="12" fillId="0" borderId="5" xfId="4" applyNumberFormat="1" applyFont="1" applyFill="1" applyBorder="1" applyAlignment="1">
      <alignment horizontal="center" wrapText="1"/>
    </xf>
    <xf numFmtId="167" fontId="12" fillId="0" borderId="6" xfId="4" applyNumberFormat="1" applyFont="1" applyFill="1" applyBorder="1" applyAlignment="1">
      <alignment horizontal="center" wrapText="1"/>
    </xf>
    <xf numFmtId="167" fontId="12" fillId="0" borderId="7" xfId="4" applyNumberFormat="1" applyFont="1" applyFill="1" applyBorder="1" applyAlignment="1">
      <alignment horizontal="center" wrapText="1"/>
    </xf>
    <xf numFmtId="167" fontId="12" fillId="4" borderId="5" xfId="4" applyNumberFormat="1" applyFont="1" applyFill="1" applyBorder="1" applyAlignment="1">
      <alignment horizontal="center" wrapText="1"/>
    </xf>
    <xf numFmtId="167" fontId="12" fillId="4" borderId="6" xfId="4" applyNumberFormat="1" applyFont="1" applyFill="1" applyBorder="1" applyAlignment="1">
      <alignment horizontal="center" wrapText="1"/>
    </xf>
    <xf numFmtId="167" fontId="12" fillId="4" borderId="7" xfId="4" applyNumberFormat="1" applyFont="1" applyFill="1" applyBorder="1" applyAlignment="1">
      <alignment horizontal="center" wrapText="1"/>
    </xf>
    <xf numFmtId="0" fontId="26" fillId="4" borderId="5" xfId="4" applyFont="1" applyFill="1" applyBorder="1" applyAlignment="1">
      <alignment horizontal="center" vertical="center" wrapText="1"/>
    </xf>
    <xf numFmtId="0" fontId="26" fillId="4" borderId="7" xfId="4" applyFont="1" applyFill="1" applyBorder="1" applyAlignment="1">
      <alignment horizontal="center" vertical="center" wrapText="1"/>
    </xf>
    <xf numFmtId="2" fontId="12" fillId="6" borderId="5" xfId="4" applyNumberFormat="1" applyFont="1" applyFill="1" applyBorder="1" applyAlignment="1">
      <alignment horizontal="center" wrapText="1"/>
    </xf>
    <xf numFmtId="2" fontId="12" fillId="6" borderId="6" xfId="4" applyNumberFormat="1" applyFont="1" applyFill="1" applyBorder="1" applyAlignment="1">
      <alignment horizontal="center" wrapText="1"/>
    </xf>
    <xf numFmtId="2" fontId="12" fillId="6" borderId="7" xfId="4" applyNumberFormat="1" applyFont="1" applyFill="1" applyBorder="1" applyAlignment="1">
      <alignment horizontal="center" wrapText="1"/>
    </xf>
    <xf numFmtId="168" fontId="12" fillId="6" borderId="5" xfId="3" applyNumberFormat="1" applyFont="1" applyFill="1" applyBorder="1" applyAlignment="1">
      <alignment horizontal="center" wrapText="1"/>
    </xf>
    <xf numFmtId="168" fontId="12" fillId="6" borderId="6" xfId="3" applyNumberFormat="1" applyFont="1" applyFill="1" applyBorder="1" applyAlignment="1">
      <alignment horizontal="center" wrapText="1"/>
    </xf>
    <xf numFmtId="168" fontId="12" fillId="6" borderId="7" xfId="3" applyNumberFormat="1" applyFont="1" applyFill="1" applyBorder="1" applyAlignment="1">
      <alignment horizontal="center" wrapText="1"/>
    </xf>
    <xf numFmtId="167" fontId="12" fillId="6" borderId="5" xfId="4" applyNumberFormat="1" applyFont="1" applyFill="1" applyBorder="1" applyAlignment="1">
      <alignment horizontal="center" wrapText="1"/>
    </xf>
    <xf numFmtId="167" fontId="12" fillId="6" borderId="6" xfId="4" applyNumberFormat="1" applyFont="1" applyFill="1" applyBorder="1" applyAlignment="1">
      <alignment horizontal="center" wrapText="1"/>
    </xf>
    <xf numFmtId="167" fontId="12" fillId="6" borderId="7" xfId="4" applyNumberFormat="1" applyFont="1" applyFill="1" applyBorder="1" applyAlignment="1">
      <alignment horizontal="center" wrapText="1"/>
    </xf>
    <xf numFmtId="0" fontId="26" fillId="6" borderId="5" xfId="4" applyFont="1" applyFill="1" applyBorder="1" applyAlignment="1">
      <alignment horizontal="center" vertical="center" wrapText="1"/>
    </xf>
    <xf numFmtId="0" fontId="26" fillId="6" borderId="7" xfId="4" applyFont="1" applyFill="1" applyBorder="1" applyAlignment="1">
      <alignment horizontal="center" vertical="center" wrapText="1"/>
    </xf>
    <xf numFmtId="165" fontId="12" fillId="6" borderId="5" xfId="1" applyNumberFormat="1" applyFont="1" applyFill="1" applyBorder="1" applyAlignment="1">
      <alignment horizontal="center" vertical="center" wrapText="1"/>
    </xf>
    <xf numFmtId="165" fontId="12" fillId="6" borderId="7" xfId="1" applyNumberFormat="1" applyFont="1" applyFill="1" applyBorder="1" applyAlignment="1">
      <alignment horizontal="center" vertical="center" wrapText="1"/>
    </xf>
    <xf numFmtId="2" fontId="12" fillId="6" borderId="5" xfId="3" applyNumberFormat="1" applyFont="1" applyFill="1" applyBorder="1" applyAlignment="1">
      <alignment horizontal="center" wrapText="1"/>
    </xf>
    <xf numFmtId="2" fontId="12" fillId="6" borderId="6" xfId="3" applyNumberFormat="1" applyFont="1" applyFill="1" applyBorder="1" applyAlignment="1">
      <alignment horizontal="center" wrapText="1"/>
    </xf>
    <xf numFmtId="2" fontId="12" fillId="6" borderId="7" xfId="3" applyNumberFormat="1" applyFont="1" applyFill="1" applyBorder="1" applyAlignment="1">
      <alignment horizontal="center" wrapText="1"/>
    </xf>
    <xf numFmtId="10" fontId="12" fillId="6" borderId="5" xfId="3" applyNumberFormat="1" applyFont="1" applyFill="1" applyBorder="1" applyAlignment="1">
      <alignment horizontal="center" wrapText="1"/>
    </xf>
    <xf numFmtId="10" fontId="12" fillId="6" borderId="6" xfId="3" applyNumberFormat="1" applyFont="1" applyFill="1" applyBorder="1" applyAlignment="1">
      <alignment horizontal="center" wrapText="1"/>
    </xf>
    <xf numFmtId="10" fontId="12" fillId="6" borderId="7" xfId="3" applyNumberFormat="1" applyFont="1" applyFill="1" applyBorder="1" applyAlignment="1">
      <alignment horizontal="center" wrapText="1"/>
    </xf>
    <xf numFmtId="0" fontId="20" fillId="2" borderId="5" xfId="4" applyFont="1" applyFill="1" applyBorder="1" applyAlignment="1">
      <alignment horizontal="center" vertical="center" wrapText="1"/>
    </xf>
    <xf numFmtId="0" fontId="20" fillId="2" borderId="6" xfId="4" applyFont="1" applyFill="1" applyBorder="1" applyAlignment="1">
      <alignment horizontal="center" vertical="center" wrapText="1"/>
    </xf>
    <xf numFmtId="0" fontId="20" fillId="2" borderId="7" xfId="4" applyFont="1" applyFill="1" applyBorder="1" applyAlignment="1">
      <alignment horizontal="center" vertical="center" wrapText="1"/>
    </xf>
    <xf numFmtId="2" fontId="24" fillId="5" borderId="6" xfId="0" applyNumberFormat="1" applyFont="1" applyFill="1" applyBorder="1" applyAlignment="1">
      <alignment horizontal="left" vertical="center"/>
    </xf>
    <xf numFmtId="2" fontId="24" fillId="5" borderId="7" xfId="0" applyNumberFormat="1" applyFont="1" applyFill="1" applyBorder="1" applyAlignment="1">
      <alignment horizontal="left" vertical="center"/>
    </xf>
    <xf numFmtId="2" fontId="26" fillId="0" borderId="5" xfId="4" applyNumberFormat="1" applyFont="1" applyFill="1" applyBorder="1" applyAlignment="1">
      <alignment horizontal="center" vertical="center" wrapText="1"/>
    </xf>
    <xf numFmtId="0" fontId="19" fillId="2" borderId="2" xfId="4" applyFont="1" applyFill="1" applyBorder="1" applyAlignment="1">
      <alignment horizontal="center" vertical="center"/>
    </xf>
    <xf numFmtId="0" fontId="19" fillId="2" borderId="10" xfId="4" applyFont="1" applyFill="1" applyBorder="1" applyAlignment="1">
      <alignment horizontal="center" vertical="center"/>
    </xf>
    <xf numFmtId="0" fontId="20" fillId="3" borderId="5" xfId="4" applyFont="1" applyFill="1" applyBorder="1" applyAlignment="1">
      <alignment horizontal="center" vertical="center" wrapText="1"/>
    </xf>
    <xf numFmtId="0" fontId="20" fillId="3" borderId="6" xfId="4" applyFont="1" applyFill="1" applyBorder="1" applyAlignment="1">
      <alignment horizontal="center" vertical="center" wrapText="1"/>
    </xf>
    <xf numFmtId="0" fontId="20" fillId="3" borderId="7" xfId="4" applyFont="1" applyFill="1" applyBorder="1" applyAlignment="1">
      <alignment horizontal="center" vertical="center" wrapText="1"/>
    </xf>
    <xf numFmtId="0" fontId="19" fillId="2" borderId="8" xfId="4" applyFont="1" applyFill="1" applyBorder="1" applyAlignment="1">
      <alignment horizontal="center" vertical="center"/>
    </xf>
    <xf numFmtId="0" fontId="19" fillId="2" borderId="3" xfId="4" applyFont="1" applyFill="1" applyBorder="1" applyAlignment="1">
      <alignment horizontal="center" vertical="center"/>
    </xf>
    <xf numFmtId="0" fontId="19" fillId="2" borderId="6" xfId="4" applyFont="1" applyFill="1" applyBorder="1" applyAlignment="1">
      <alignment horizontal="center" vertical="center"/>
    </xf>
    <xf numFmtId="0" fontId="19" fillId="2" borderId="7" xfId="4" applyFont="1" applyFill="1" applyBorder="1" applyAlignment="1">
      <alignment horizontal="center" vertical="center"/>
    </xf>
    <xf numFmtId="0" fontId="19" fillId="2" borderId="5" xfId="4" applyFont="1" applyFill="1" applyBorder="1" applyAlignment="1">
      <alignment horizontal="center" vertical="center"/>
    </xf>
    <xf numFmtId="0" fontId="20" fillId="2" borderId="4" xfId="4" applyFont="1" applyFill="1" applyBorder="1" applyAlignment="1">
      <alignment horizontal="center" vertical="center" wrapText="1"/>
    </xf>
    <xf numFmtId="0" fontId="20" fillId="2" borderId="12" xfId="4" applyFont="1" applyFill="1" applyBorder="1" applyAlignment="1">
      <alignment horizontal="center" vertical="center" wrapText="1"/>
    </xf>
    <xf numFmtId="0" fontId="20" fillId="2" borderId="9" xfId="4" applyFont="1" applyFill="1" applyBorder="1" applyAlignment="1">
      <alignment horizontal="center" vertical="center" wrapText="1"/>
    </xf>
    <xf numFmtId="14" fontId="5" fillId="0" borderId="0" xfId="4" applyNumberFormat="1" applyFont="1" applyBorder="1" applyAlignment="1">
      <alignment horizontal="left" vertical="top" wrapText="1"/>
    </xf>
    <xf numFmtId="0" fontId="6" fillId="0" borderId="0" xfId="4" applyFont="1" applyBorder="1" applyAlignment="1">
      <alignment horizontal="center" wrapText="1"/>
    </xf>
    <xf numFmtId="0" fontId="6" fillId="0" borderId="1" xfId="4" applyFont="1" applyBorder="1" applyAlignment="1">
      <alignment horizontal="center" wrapText="1"/>
    </xf>
    <xf numFmtId="0" fontId="14" fillId="0" borderId="0" xfId="4" applyFont="1" applyFill="1" applyBorder="1" applyAlignment="1">
      <alignment horizontal="left" vertical="top" wrapText="1"/>
    </xf>
    <xf numFmtId="0" fontId="19" fillId="2" borderId="11" xfId="4" applyFont="1" applyFill="1" applyBorder="1" applyAlignment="1">
      <alignment horizontal="center" vertical="center"/>
    </xf>
    <xf numFmtId="0" fontId="19" fillId="2" borderId="4" xfId="4" applyFont="1" applyFill="1" applyBorder="1" applyAlignment="1">
      <alignment horizontal="center" vertical="center"/>
    </xf>
    <xf numFmtId="0" fontId="19" fillId="2" borderId="12" xfId="4" applyFont="1" applyFill="1" applyBorder="1" applyAlignment="1">
      <alignment horizontal="center" vertical="center"/>
    </xf>
    <xf numFmtId="0" fontId="41" fillId="0" borderId="0" xfId="0" applyFont="1" applyFill="1" applyAlignment="1">
      <alignment horizontal="center"/>
    </xf>
    <xf numFmtId="0" fontId="41" fillId="0" borderId="0" xfId="0" applyFont="1" applyFill="1" applyBorder="1" applyAlignment="1">
      <alignment horizontal="justify"/>
    </xf>
    <xf numFmtId="0" fontId="41" fillId="0" borderId="22" xfId="0" applyFont="1" applyFill="1" applyBorder="1" applyAlignment="1">
      <alignment horizontal="justify"/>
    </xf>
    <xf numFmtId="0" fontId="35" fillId="0" borderId="0" xfId="4" applyFont="1" applyFill="1" applyBorder="1" applyAlignment="1">
      <alignment horizontal="left" vertical="center" wrapText="1"/>
    </xf>
    <xf numFmtId="0" fontId="39" fillId="0" borderId="1" xfId="4" applyFont="1" applyFill="1" applyBorder="1" applyAlignment="1">
      <alignment horizontal="center" vertical="center"/>
    </xf>
    <xf numFmtId="0" fontId="39" fillId="0" borderId="19" xfId="4" applyFont="1" applyFill="1" applyBorder="1" applyAlignment="1">
      <alignment horizontal="center" vertical="center"/>
    </xf>
    <xf numFmtId="0" fontId="39" fillId="0" borderId="20" xfId="4" applyFont="1" applyFill="1" applyBorder="1" applyAlignment="1">
      <alignment horizontal="center" vertical="center"/>
    </xf>
    <xf numFmtId="0" fontId="37" fillId="0" borderId="0" xfId="0" applyFont="1" applyAlignment="1">
      <alignment horizontal="left" wrapText="1"/>
    </xf>
    <xf numFmtId="166" fontId="37" fillId="0" borderId="0" xfId="0" applyNumberFormat="1" applyFont="1" applyAlignment="1">
      <alignment horizontal="left" wrapText="1"/>
    </xf>
    <xf numFmtId="0" fontId="37" fillId="0" borderId="0" xfId="0" applyFont="1" applyAlignment="1">
      <alignment horizontal="left"/>
    </xf>
    <xf numFmtId="0" fontId="36" fillId="0" borderId="0" xfId="0" applyFont="1" applyAlignment="1">
      <alignment horizontal="left"/>
    </xf>
    <xf numFmtId="170" fontId="36" fillId="0" borderId="0" xfId="0" applyNumberFormat="1" applyFont="1" applyAlignment="1">
      <alignment horizontal="left"/>
    </xf>
    <xf numFmtId="170" fontId="37" fillId="0" borderId="0" xfId="0" applyNumberFormat="1" applyFont="1" applyAlignment="1">
      <alignment horizontal="left" wrapText="1"/>
    </xf>
    <xf numFmtId="166" fontId="37" fillId="0" borderId="0" xfId="0" applyNumberFormat="1" applyFont="1" applyAlignment="1">
      <alignment horizontal="left"/>
    </xf>
    <xf numFmtId="0" fontId="5" fillId="0" borderId="0" xfId="4" applyFont="1" applyBorder="1" applyAlignment="1">
      <alignment horizontal="left" vertical="center"/>
    </xf>
    <xf numFmtId="0" fontId="5" fillId="0" borderId="1" xfId="4" applyFont="1" applyBorder="1" applyAlignment="1">
      <alignment horizontal="left" vertical="center"/>
    </xf>
    <xf numFmtId="0" fontId="48" fillId="0" borderId="0" xfId="4" applyFont="1" applyBorder="1" applyAlignment="1">
      <alignment horizontal="justify" vertical="top" wrapText="1"/>
    </xf>
    <xf numFmtId="0" fontId="20" fillId="0" borderId="0" xfId="4" applyFont="1" applyFill="1" applyBorder="1" applyAlignment="1">
      <alignment horizontal="center" vertical="top" wrapText="1"/>
    </xf>
  </cellXfs>
  <cellStyles count="7">
    <cellStyle name="Hipervínculo" xfId="6" builtinId="8"/>
    <cellStyle name="Millares" xfId="1" builtinId="3"/>
    <cellStyle name="Moneda" xfId="2" builtinId="4"/>
    <cellStyle name="Normal" xfId="0" builtinId="0"/>
    <cellStyle name="Normal 2" xfId="4"/>
    <cellStyle name="Normal 3" xfId="5"/>
    <cellStyle name="Porcentaj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3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mc:AlternateContent xmlns:mc="http://schemas.openxmlformats.org/markup-compatibility/2006">
    <mc:Choice xmlns:a14="http://schemas.microsoft.com/office/drawing/2010/main" Requires="a14">
      <xdr:twoCellAnchor>
        <xdr:from>
          <xdr:col>75</xdr:col>
          <xdr:colOff>781050</xdr:colOff>
          <xdr:row>3</xdr:row>
          <xdr:rowOff>133350</xdr:rowOff>
        </xdr:from>
        <xdr:to>
          <xdr:col>76</xdr:col>
          <xdr:colOff>295275</xdr:colOff>
          <xdr:row>5</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_tradnl" sz="1100" b="0" i="0" u="none" strike="noStrike" baseline="0">
                  <a:solidFill>
                    <a:srgbClr val="000000"/>
                  </a:solidFill>
                  <a:latin typeface="Calibri"/>
                </a:rPr>
                <a:t>PDF</a:t>
              </a:r>
            </a:p>
          </xdr:txBody>
        </xdr:sp>
        <xdr:clientData fPrintsWithSheet="0"/>
      </xdr:twoCellAnchor>
    </mc:Choice>
    <mc:Fallback/>
  </mc:AlternateContent>
  <xdr:twoCellAnchor editAs="oneCell">
    <xdr:from>
      <xdr:col>64</xdr:col>
      <xdr:colOff>19052</xdr:colOff>
      <xdr:row>2</xdr:row>
      <xdr:rowOff>38101</xdr:rowOff>
    </xdr:from>
    <xdr:to>
      <xdr:col>65</xdr:col>
      <xdr:colOff>55437</xdr:colOff>
      <xdr:row>3</xdr:row>
      <xdr:rowOff>31624</xdr:rowOff>
    </xdr:to>
    <xdr:pic>
      <xdr:nvPicPr>
        <xdr:cNvPr id="4" name="5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687177"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41</xdr:row>
      <xdr:rowOff>98054</xdr:rowOff>
    </xdr:from>
    <xdr:to>
      <xdr:col>48</xdr:col>
      <xdr:colOff>156882</xdr:colOff>
      <xdr:row>43</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72782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41</xdr:row>
      <xdr:rowOff>47625</xdr:rowOff>
    </xdr:from>
    <xdr:to>
      <xdr:col>10</xdr:col>
      <xdr:colOff>114300</xdr:colOff>
      <xdr:row>41</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67740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39</xdr:row>
      <xdr:rowOff>47625</xdr:rowOff>
    </xdr:from>
    <xdr:to>
      <xdr:col>18</xdr:col>
      <xdr:colOff>114300</xdr:colOff>
      <xdr:row>39</xdr:row>
      <xdr:rowOff>266700</xdr:rowOff>
    </xdr:to>
    <xdr:pic>
      <xdr:nvPicPr>
        <xdr:cNvPr id="4"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20115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123825</xdr:colOff>
      <xdr:row>37</xdr:row>
      <xdr:rowOff>28575</xdr:rowOff>
    </xdr:from>
    <xdr:to>
      <xdr:col>8</xdr:col>
      <xdr:colOff>93356</xdr:colOff>
      <xdr:row>37</xdr:row>
      <xdr:rowOff>150506</xdr:rowOff>
    </xdr:to>
    <xdr:pic>
      <xdr:nvPicPr>
        <xdr:cNvPr id="2" name="12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733550" y="6200775"/>
          <a:ext cx="121931" cy="121931"/>
        </a:xfrm>
        <a:prstGeom prst="rect">
          <a:avLst/>
        </a:prstGeom>
      </xdr:spPr>
    </xdr:pic>
    <xdr:clientData/>
  </xdr:twoCellAnchor>
  <xdr:twoCellAnchor editAs="oneCell">
    <xdr:from>
      <xdr:col>18</xdr:col>
      <xdr:colOff>161925</xdr:colOff>
      <xdr:row>37</xdr:row>
      <xdr:rowOff>19050</xdr:rowOff>
    </xdr:from>
    <xdr:to>
      <xdr:col>19</xdr:col>
      <xdr:colOff>64781</xdr:colOff>
      <xdr:row>37</xdr:row>
      <xdr:rowOff>140981</xdr:rowOff>
    </xdr:to>
    <xdr:pic>
      <xdr:nvPicPr>
        <xdr:cNvPr id="3" name="1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4152900" y="6191250"/>
          <a:ext cx="121931"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14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15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16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17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48</xdr:col>
      <xdr:colOff>123825</xdr:colOff>
      <xdr:row>31</xdr:row>
      <xdr:rowOff>28575</xdr:rowOff>
    </xdr:from>
    <xdr:to>
      <xdr:col>48</xdr:col>
      <xdr:colOff>240993</xdr:colOff>
      <xdr:row>31</xdr:row>
      <xdr:rowOff>150506</xdr:rowOff>
    </xdr:to>
    <xdr:pic>
      <xdr:nvPicPr>
        <xdr:cNvPr id="8" name="18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049125" y="5229225"/>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gregori/AppData/Local/Temp/TortoiseGit/Rep9AA.tmp/Reporte%20de%20Ratios%20Argentina%20Reuters_FM%20_v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gregori/AppData/Local/Temp/TortoiseGit/Rep9AA.tmp/Reporte%20de%20Ratios%20Argentina%20Reuters_FM%20_v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Ult 5 años"/>
      <sheetName val="Reporte de Ratios Argentina Reu"/>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Server response is not valid.</v>
          </cell>
          <cell r="EM1" t="str">
            <v>Server response is not valid.</v>
          </cell>
          <cell r="EN1" t="str">
            <v>Server response is not valid.</v>
          </cell>
        </row>
        <row r="2">
          <cell r="E2" t="str">
            <v>Server response is not valid.</v>
          </cell>
          <cell r="G2" t="str">
            <v>Server response is not valid.</v>
          </cell>
          <cell r="I2" t="str">
            <v>Server response is not valid.</v>
          </cell>
          <cell r="K2" t="str">
            <v>Updated at 16:53:16</v>
          </cell>
          <cell r="L2" t="str">
            <v>Server response is not valid.</v>
          </cell>
          <cell r="M2" t="str">
            <v>Server response is not valid.</v>
          </cell>
          <cell r="N2" t="str">
            <v>Server response is not valid.</v>
          </cell>
          <cell r="O2" t="str">
            <v>Server response is not valid.</v>
          </cell>
          <cell r="Q2" t="str">
            <v>Dividend Yield</v>
          </cell>
          <cell r="S2" t="str">
            <v>Server response is not valid.</v>
          </cell>
          <cell r="T2" t="str">
            <v>Server response is not valid.</v>
          </cell>
          <cell r="U2" t="str">
            <v>Server response is not valid.</v>
          </cell>
          <cell r="W2" t="str">
            <v>Server response is not valid.</v>
          </cell>
          <cell r="X2" t="str">
            <v>Server response is not valid.</v>
          </cell>
          <cell r="Y2" t="str">
            <v>Server response is not valid.</v>
          </cell>
          <cell r="Z2" t="str">
            <v>Server response is not valid.</v>
          </cell>
          <cell r="AC2" t="str">
            <v>Server response is not valid.</v>
          </cell>
          <cell r="AD2" t="str">
            <v>Server response is not valid.</v>
          </cell>
          <cell r="AE2" t="str">
            <v>Server response is not valid.</v>
          </cell>
          <cell r="AF2" t="str">
            <v>Server response is not valid.</v>
          </cell>
          <cell r="AH2" t="str">
            <v>Server response is not valid.</v>
          </cell>
          <cell r="AI2" t="str">
            <v>Server response is not valid.</v>
          </cell>
          <cell r="AJ2" t="str">
            <v>Server response is not valid.</v>
          </cell>
          <cell r="AK2" t="str">
            <v>Server response is not valid.</v>
          </cell>
          <cell r="AL2" t="str">
            <v>Server response is not valid.</v>
          </cell>
          <cell r="AM2" t="str">
            <v>Server response is not valid.</v>
          </cell>
          <cell r="AN2" t="str">
            <v>Server response is not valid.</v>
          </cell>
          <cell r="AO2" t="str">
            <v>Server response is not valid.</v>
          </cell>
          <cell r="AQ2" t="str">
            <v>Server response is not valid.</v>
          </cell>
          <cell r="AR2" t="str">
            <v>Server response is not valid.</v>
          </cell>
          <cell r="AS2" t="str">
            <v>Server response is not valid.</v>
          </cell>
          <cell r="AT2" t="str">
            <v>Server response is not valid.</v>
          </cell>
          <cell r="AV2" t="str">
            <v>Server response is not valid.</v>
          </cell>
          <cell r="AW2" t="str">
            <v>Server response is not valid.</v>
          </cell>
          <cell r="AX2" t="str">
            <v>Server response is not valid.</v>
          </cell>
          <cell r="AY2" t="str">
            <v>Server response is not valid.</v>
          </cell>
          <cell r="BC2" t="str">
            <v>Server response is not valid.</v>
          </cell>
          <cell r="BF2" t="str">
            <v>Server response is not valid.</v>
          </cell>
          <cell r="BG2" t="str">
            <v>Server response is not valid.</v>
          </cell>
          <cell r="BH2" t="str">
            <v>Server response is not valid.</v>
          </cell>
          <cell r="BI2" t="str">
            <v>Server response is not valid.</v>
          </cell>
          <cell r="BK2" t="str">
            <v>Server response is not valid.</v>
          </cell>
          <cell r="BL2" t="str">
            <v>Server response is not valid.</v>
          </cell>
          <cell r="BM2" t="str">
            <v>Server response is not valid.</v>
          </cell>
          <cell r="BN2" t="str">
            <v>Server response is not valid.</v>
          </cell>
          <cell r="BO2" t="str">
            <v>Server response is not valid.</v>
          </cell>
          <cell r="BQ2" t="str">
            <v>Server response is not valid.</v>
          </cell>
          <cell r="BR2" t="str">
            <v>Server response is not valid.</v>
          </cell>
          <cell r="BS2" t="str">
            <v>Server response is not valid.</v>
          </cell>
          <cell r="BT2" t="str">
            <v>Server response is not valid.</v>
          </cell>
          <cell r="BU2" t="str">
            <v>Server response is not valid.</v>
          </cell>
          <cell r="BY2" t="str">
            <v>Server response is not valid.</v>
          </cell>
          <cell r="BZ2" t="str">
            <v>Server response is not valid.</v>
          </cell>
          <cell r="CA2" t="str">
            <v>Server response is not valid.</v>
          </cell>
          <cell r="CB2" t="str">
            <v>Server response is not valid.</v>
          </cell>
          <cell r="CC2" t="str">
            <v>Server response is not valid.</v>
          </cell>
          <cell r="CD2" t="str">
            <v>Server response is not valid.</v>
          </cell>
          <cell r="CE2" t="str">
            <v>Server response is not valid.</v>
          </cell>
          <cell r="CF2" t="str">
            <v>Server response is not valid.</v>
          </cell>
          <cell r="CG2" t="str">
            <v>Server response is not valid.</v>
          </cell>
          <cell r="CH2" t="str">
            <v>Server response is not valid.</v>
          </cell>
          <cell r="CI2" t="str">
            <v>Server response is not valid.</v>
          </cell>
          <cell r="CJ2" t="str">
            <v>Server response is not valid.</v>
          </cell>
          <cell r="CP2" t="str">
            <v>Server response is not valid.</v>
          </cell>
          <cell r="CQ2" t="str">
            <v>Server response is not valid.</v>
          </cell>
          <cell r="CR2" t="str">
            <v>Server response is not valid.</v>
          </cell>
          <cell r="CS2" t="str">
            <v>Server response is not valid.</v>
          </cell>
          <cell r="CT2" t="str">
            <v>Server response is not valid.</v>
          </cell>
          <cell r="CU2" t="str">
            <v>Server response is not valid.</v>
          </cell>
          <cell r="CV2" t="str">
            <v>Server response is not valid.</v>
          </cell>
          <cell r="CW2" t="str">
            <v>Server response is not valid.</v>
          </cell>
          <cell r="DG2" t="str">
            <v>Server response is not valid.</v>
          </cell>
          <cell r="DH2" t="str">
            <v>Server response is not valid.</v>
          </cell>
          <cell r="DI2" t="str">
            <v>Updated at 16:19:32</v>
          </cell>
          <cell r="DK2" t="str">
            <v>Server response is not valid.</v>
          </cell>
          <cell r="DM2" t="str">
            <v>Server response is not valid.</v>
          </cell>
          <cell r="DN2" t="str">
            <v>Server response is not valid.</v>
          </cell>
          <cell r="DO2" t="str">
            <v>Server response is not valid.</v>
          </cell>
          <cell r="DP2" t="str">
            <v>Server response is not valid.</v>
          </cell>
          <cell r="DQ2" t="str">
            <v>Server response is not valid.</v>
          </cell>
          <cell r="DT2" t="str">
            <v>Server response is not valid.</v>
          </cell>
          <cell r="DU2" t="str">
            <v>Server response is not valid.</v>
          </cell>
          <cell r="DV2" t="str">
            <v>Server response is not valid.</v>
          </cell>
          <cell r="DW2" t="str">
            <v>Server response is not valid.</v>
          </cell>
          <cell r="ED2" t="str">
            <v>Server response is not valid.</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Server response is not valid.</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8.35</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25.96152</v>
          </cell>
          <cell r="BD5">
            <v>15.56737</v>
          </cell>
          <cell r="BE5">
            <v>3.5229300000000001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72595466</v>
          </cell>
          <cell r="CS5">
            <v>-196962013.40000001</v>
          </cell>
          <cell r="CT5">
            <v>-93250443.799999997</v>
          </cell>
          <cell r="CU5">
            <v>-2789276</v>
          </cell>
          <cell r="CV5">
            <v>-25804978.75</v>
          </cell>
          <cell r="CW5">
            <v>39407782.68</v>
          </cell>
          <cell r="CX5" t="str">
            <v>-</v>
          </cell>
          <cell r="CY5">
            <v>-6.5876581469756559</v>
          </cell>
          <cell r="CZ5">
            <v>1.3685759743558754</v>
          </cell>
          <cell r="DA5">
            <v>-1.1121831207842465</v>
          </cell>
          <cell r="DB5">
            <v>-32.431773621541936</v>
          </cell>
          <cell r="DC5">
            <v>0.89190938589709168</v>
          </cell>
          <cell r="DD5">
            <v>-1.6548193528050588</v>
          </cell>
          <cell r="DE5">
            <v>14.504116845457022</v>
          </cell>
          <cell r="DG5">
            <v>31.616355015055699</v>
          </cell>
          <cell r="DH5">
            <v>2537178226</v>
          </cell>
          <cell r="DI5">
            <v>8.2799999999999994</v>
          </cell>
          <cell r="DJ5" t="e">
            <v>#N/A</v>
          </cell>
          <cell r="DK5">
            <v>21950262514.942101</v>
          </cell>
          <cell r="DM5" t="str">
            <v>NULL</v>
          </cell>
          <cell r="DN5" t="str">
            <v>NULL</v>
          </cell>
          <cell r="DO5" t="str">
            <v>NULL</v>
          </cell>
          <cell r="DP5" t="str">
            <v>NULL</v>
          </cell>
          <cell r="DQ5" t="str">
            <v>NULL</v>
          </cell>
          <cell r="DR5" t="e">
            <v>#VALUE!</v>
          </cell>
          <cell r="DS5" t="e">
            <v>#N/A</v>
          </cell>
          <cell r="DT5" t="str">
            <v>NULL</v>
          </cell>
          <cell r="DU5" t="str">
            <v>NULL</v>
          </cell>
          <cell r="DV5" t="str">
            <v>NULL</v>
          </cell>
          <cell r="DW5" t="str">
            <v>NULL</v>
          </cell>
          <cell r="DX5">
            <v>0</v>
          </cell>
          <cell r="DY5" t="e">
            <v>#DIV/0!</v>
          </cell>
          <cell r="DZ5" t="e">
            <v>#N/A</v>
          </cell>
          <cell r="EA5" t="e">
            <v>#VALUE!</v>
          </cell>
          <cell r="EB5" t="e">
            <v>#N/A</v>
          </cell>
          <cell r="EC5" t="str">
            <v>NULL</v>
          </cell>
          <cell r="ED5">
            <v>0.87453148486465004</v>
          </cell>
          <cell r="EE5">
            <v>0.81759371944481996</v>
          </cell>
          <cell r="EG5" t="str">
            <v>-</v>
          </cell>
          <cell r="EH5" t="str">
            <v>-</v>
          </cell>
          <cell r="EK5">
            <v>0</v>
          </cell>
          <cell r="EM5">
            <v>-2104.2713090465099</v>
          </cell>
          <cell r="EN5" t="str">
            <v>NULL</v>
          </cell>
        </row>
        <row r="6">
          <cell r="A6" t="str">
            <v>AGRO</v>
          </cell>
          <cell r="B6" t="str">
            <v>AGR.BA</v>
          </cell>
          <cell r="C6" t="str">
            <v>AGROMETAL SAI</v>
          </cell>
          <cell r="D6">
            <v>43008</v>
          </cell>
          <cell r="E6">
            <v>624908350</v>
          </cell>
          <cell r="F6">
            <v>381824020</v>
          </cell>
          <cell r="G6">
            <v>1.6366400000000001</v>
          </cell>
          <cell r="H6">
            <v>1.0911500000000001</v>
          </cell>
          <cell r="I6">
            <v>1.5130399999999999</v>
          </cell>
          <cell r="J6">
            <v>1.03026</v>
          </cell>
          <cell r="K6">
            <v>22.6</v>
          </cell>
          <cell r="L6">
            <v>0</v>
          </cell>
          <cell r="M6">
            <v>0</v>
          </cell>
          <cell r="N6">
            <v>0</v>
          </cell>
          <cell r="O6">
            <v>0</v>
          </cell>
          <cell r="P6">
            <v>0</v>
          </cell>
          <cell r="Q6">
            <v>0</v>
          </cell>
          <cell r="S6">
            <v>93.646222902000005</v>
          </cell>
          <cell r="T6">
            <v>125.098594933</v>
          </cell>
          <cell r="U6">
            <v>43008</v>
          </cell>
          <cell r="V6">
            <v>682762350</v>
          </cell>
          <cell r="W6">
            <v>646312300</v>
          </cell>
          <cell r="X6">
            <v>409675650</v>
          </cell>
          <cell r="Y6">
            <v>361868190</v>
          </cell>
          <cell r="Z6">
            <v>209940950</v>
          </cell>
          <cell r="AA6">
            <v>3.2521637631915068</v>
          </cell>
          <cell r="AC6">
            <v>319932890</v>
          </cell>
          <cell r="AD6">
            <v>204852420</v>
          </cell>
          <cell r="AE6">
            <v>58290710</v>
          </cell>
          <cell r="AF6">
            <v>215992280</v>
          </cell>
          <cell r="AG6">
            <v>1.9019444607348155</v>
          </cell>
          <cell r="AH6">
            <v>166842730</v>
          </cell>
          <cell r="AI6">
            <v>155226340</v>
          </cell>
          <cell r="AJ6">
            <v>102154920</v>
          </cell>
          <cell r="AK6">
            <v>91040760</v>
          </cell>
          <cell r="AL6">
            <v>223723050</v>
          </cell>
          <cell r="AM6">
            <v>141795020</v>
          </cell>
          <cell r="AN6">
            <v>50477540</v>
          </cell>
          <cell r="AO6">
            <v>147945570</v>
          </cell>
          <cell r="AP6">
            <v>83.373780998755933</v>
          </cell>
          <cell r="AQ6">
            <v>149454850</v>
          </cell>
          <cell r="AR6">
            <v>121397780</v>
          </cell>
          <cell r="AS6">
            <v>78436300</v>
          </cell>
          <cell r="AT6">
            <v>97437970</v>
          </cell>
          <cell r="AU6">
            <v>51.014199443276624</v>
          </cell>
          <cell r="AV6">
            <v>208282320</v>
          </cell>
          <cell r="AW6">
            <v>189104210</v>
          </cell>
          <cell r="AX6">
            <v>133369910</v>
          </cell>
          <cell r="AY6">
            <v>79477860</v>
          </cell>
          <cell r="AZ6">
            <v>98.74058119855691</v>
          </cell>
          <cell r="BA6">
            <v>66.380999643077587</v>
          </cell>
          <cell r="BC6">
            <v>28.870809999999999</v>
          </cell>
          <cell r="BD6">
            <v>17.141079999999999</v>
          </cell>
          <cell r="BE6">
            <v>8.5808300000000006</v>
          </cell>
          <cell r="BF6">
            <v>44199190</v>
          </cell>
          <cell r="BG6">
            <v>24601260</v>
          </cell>
          <cell r="BH6">
            <v>-8202680</v>
          </cell>
          <cell r="BI6">
            <v>24434100</v>
          </cell>
          <cell r="BJ6">
            <v>0.10641376963646286</v>
          </cell>
          <cell r="BK6">
            <v>-6196690</v>
          </cell>
          <cell r="BL6">
            <v>-1207490</v>
          </cell>
          <cell r="BM6">
            <v>-646690</v>
          </cell>
          <cell r="BN6">
            <v>-5236620</v>
          </cell>
          <cell r="BO6">
            <v>-5125930</v>
          </cell>
          <cell r="BP6">
            <v>-1717450</v>
          </cell>
          <cell r="BQ6">
            <v>-52015610</v>
          </cell>
          <cell r="BR6">
            <v>-26575440</v>
          </cell>
          <cell r="BS6">
            <v>-29015880</v>
          </cell>
          <cell r="BT6">
            <v>37885900</v>
          </cell>
          <cell r="BU6">
            <v>44882970</v>
          </cell>
          <cell r="BV6">
            <v>-125914460</v>
          </cell>
          <cell r="BW6">
            <v>-0.15972590828593752</v>
          </cell>
          <cell r="BX6">
            <v>0.16191777879666289</v>
          </cell>
          <cell r="BY6">
            <v>209940950</v>
          </cell>
          <cell r="BZ6">
            <v>165756490</v>
          </cell>
          <cell r="CA6">
            <v>141169950</v>
          </cell>
          <cell r="CB6">
            <v>149387350</v>
          </cell>
          <cell r="CC6" t="str">
            <v>NULL</v>
          </cell>
          <cell r="CD6" t="str">
            <v>NULL</v>
          </cell>
          <cell r="CE6" t="str">
            <v>NULL</v>
          </cell>
          <cell r="CF6" t="str">
            <v>NULL</v>
          </cell>
          <cell r="CG6" t="str">
            <v>NULL</v>
          </cell>
          <cell r="CH6" t="str">
            <v>NULL</v>
          </cell>
          <cell r="CI6" t="str">
            <v>NULL</v>
          </cell>
          <cell r="CJ6" t="str">
            <v>NULL</v>
          </cell>
          <cell r="CK6">
            <v>209940950</v>
          </cell>
          <cell r="CL6">
            <v>165756490</v>
          </cell>
          <cell r="CM6">
            <v>141169950</v>
          </cell>
          <cell r="CN6">
            <v>149387350</v>
          </cell>
          <cell r="CO6">
            <v>0.51050665695826791</v>
          </cell>
          <cell r="CP6">
            <v>44199190</v>
          </cell>
          <cell r="CQ6">
            <v>21313260</v>
          </cell>
          <cell r="CR6">
            <v>50611130</v>
          </cell>
          <cell r="CS6">
            <v>-18284880</v>
          </cell>
          <cell r="CT6">
            <v>3797350</v>
          </cell>
          <cell r="CU6">
            <v>29828280</v>
          </cell>
          <cell r="CV6">
            <v>-3648610</v>
          </cell>
          <cell r="CW6">
            <v>24967420</v>
          </cell>
          <cell r="CX6">
            <v>1.0737883364628407</v>
          </cell>
          <cell r="CY6">
            <v>1.0218342001485241</v>
          </cell>
          <cell r="CZ6">
            <v>3.7679224583371616</v>
          </cell>
          <cell r="DA6">
            <v>-5.8151684727507345</v>
          </cell>
          <cell r="DB6">
            <v>-0.87269296117644057</v>
          </cell>
          <cell r="DC6">
            <v>9.1752448192599374</v>
          </cell>
          <cell r="DD6">
            <v>-1.1461348429273028</v>
          </cell>
          <cell r="DE6">
            <v>5.6800755701743313</v>
          </cell>
          <cell r="DG6">
            <v>12.1601759487589</v>
          </cell>
          <cell r="DH6">
            <v>75000000</v>
          </cell>
          <cell r="DI6">
            <v>22.85</v>
          </cell>
          <cell r="DJ6">
            <v>1713750000</v>
          </cell>
          <cell r="DK6">
            <v>1825829260</v>
          </cell>
          <cell r="DM6">
            <v>209940950</v>
          </cell>
          <cell r="DN6" t="str">
            <v>NULL</v>
          </cell>
          <cell r="DO6" t="str">
            <v>NULL</v>
          </cell>
          <cell r="DP6">
            <v>2363120</v>
          </cell>
          <cell r="DQ6" t="str">
            <v>NULL</v>
          </cell>
          <cell r="DR6">
            <v>207577830</v>
          </cell>
          <cell r="DS6">
            <v>8.2559394709926384</v>
          </cell>
          <cell r="DT6">
            <v>0.58594000000000002</v>
          </cell>
          <cell r="DU6">
            <v>0.32612999999999998</v>
          </cell>
          <cell r="DV6">
            <v>-0.10874</v>
          </cell>
          <cell r="DW6">
            <v>0.32390999999999998</v>
          </cell>
          <cell r="DX6">
            <v>1.1272399999999998</v>
          </cell>
          <cell r="DY6">
            <v>20.048969163620885</v>
          </cell>
          <cell r="DZ6">
            <v>2.1446852540640142</v>
          </cell>
          <cell r="EA6">
            <v>-127631910</v>
          </cell>
          <cell r="EB6">
            <v>-13.427284759743861</v>
          </cell>
          <cell r="EC6">
            <v>20.4038181753664</v>
          </cell>
          <cell r="ED6">
            <v>1.15305540728677</v>
          </cell>
          <cell r="EE6">
            <v>1.3822960331304099</v>
          </cell>
          <cell r="EG6">
            <v>0.48018596608089803</v>
          </cell>
          <cell r="EH6">
            <v>0.12660017690424219</v>
          </cell>
          <cell r="EK6">
            <v>0</v>
          </cell>
          <cell r="EM6">
            <v>20.932982345272499</v>
          </cell>
          <cell r="EN6">
            <v>20.8148011215</v>
          </cell>
        </row>
        <row r="7">
          <cell r="A7" t="str">
            <v>ALUA</v>
          </cell>
          <cell r="B7" t="str">
            <v>ALU.BA</v>
          </cell>
          <cell r="C7" t="str">
            <v>ALUAR ALUMINIO ARGENTINO SAIC</v>
          </cell>
          <cell r="D7">
            <v>43100</v>
          </cell>
          <cell r="E7">
            <v>9852358000</v>
          </cell>
          <cell r="F7">
            <v>4973758910</v>
          </cell>
          <cell r="G7" t="str">
            <v>NULL</v>
          </cell>
          <cell r="H7" t="str">
            <v>NULL</v>
          </cell>
          <cell r="I7">
            <v>2.2769599999999999</v>
          </cell>
          <cell r="J7">
            <v>0.72323999999999999</v>
          </cell>
          <cell r="K7">
            <v>15.05</v>
          </cell>
          <cell r="L7">
            <v>0.3715</v>
          </cell>
          <cell r="M7">
            <v>0</v>
          </cell>
          <cell r="N7" t="str">
            <v>NULL</v>
          </cell>
          <cell r="O7">
            <v>0</v>
          </cell>
          <cell r="P7">
            <v>0.3715</v>
          </cell>
          <cell r="Q7">
            <v>2.46843853820598E-2</v>
          </cell>
          <cell r="S7" t="str">
            <v>NULL</v>
          </cell>
          <cell r="T7">
            <v>6.0081970309999999</v>
          </cell>
          <cell r="U7">
            <v>43100</v>
          </cell>
          <cell r="V7">
            <v>15178004320</v>
          </cell>
          <cell r="W7">
            <v>14939945120</v>
          </cell>
          <cell r="X7">
            <v>14280970440</v>
          </cell>
          <cell r="Y7">
            <v>13619654190</v>
          </cell>
          <cell r="Z7">
            <v>9014068380</v>
          </cell>
          <cell r="AA7">
            <v>1.6838128667490762</v>
          </cell>
          <cell r="AC7">
            <v>5607912770</v>
          </cell>
          <cell r="AD7">
            <v>4965427220</v>
          </cell>
          <cell r="AE7">
            <v>4148106110</v>
          </cell>
          <cell r="AF7">
            <v>3175000740</v>
          </cell>
          <cell r="AG7">
            <v>1.5423020844810666</v>
          </cell>
          <cell r="AH7">
            <v>1445194190</v>
          </cell>
          <cell r="AI7">
            <v>1352420990</v>
          </cell>
          <cell r="AJ7">
            <v>841700270</v>
          </cell>
          <cell r="AK7">
            <v>848139560</v>
          </cell>
          <cell r="AL7">
            <v>3831754830</v>
          </cell>
          <cell r="AM7">
            <v>3361283510</v>
          </cell>
          <cell r="AN7">
            <v>3080015840</v>
          </cell>
          <cell r="AO7">
            <v>2227799000</v>
          </cell>
          <cell r="AP7">
            <v>32.75618581919062</v>
          </cell>
          <cell r="AQ7">
            <v>1066870220</v>
          </cell>
          <cell r="AR7">
            <v>1205090420</v>
          </cell>
          <cell r="AS7">
            <v>676153580</v>
          </cell>
          <cell r="AT7">
            <v>598785190</v>
          </cell>
          <cell r="AU7">
            <v>18.084850811788293</v>
          </cell>
          <cell r="AV7">
            <v>6934509490</v>
          </cell>
          <cell r="AW7">
            <v>6956319730</v>
          </cell>
          <cell r="AX7">
            <v>6787749720</v>
          </cell>
          <cell r="AY7">
            <v>6689058920</v>
          </cell>
          <cell r="AZ7">
            <v>199.77012118824035</v>
          </cell>
          <cell r="BA7">
            <v>185.09878618083803</v>
          </cell>
          <cell r="BC7">
            <v>28.514520000000001</v>
          </cell>
          <cell r="BD7">
            <v>21.319900000000001</v>
          </cell>
          <cell r="BE7">
            <v>13.34807</v>
          </cell>
          <cell r="BF7" t="str">
            <v>NULL</v>
          </cell>
          <cell r="BG7">
            <v>787631560</v>
          </cell>
          <cell r="BH7">
            <v>573658550</v>
          </cell>
          <cell r="BI7">
            <v>535103900</v>
          </cell>
          <cell r="BJ7">
            <v>0.10596483351999274</v>
          </cell>
          <cell r="BK7">
            <v>-1207985070</v>
          </cell>
          <cell r="BL7">
            <v>-257624840</v>
          </cell>
          <cell r="BM7">
            <v>-507219210</v>
          </cell>
          <cell r="BN7">
            <v>-323547020</v>
          </cell>
          <cell r="BO7">
            <v>-208621890</v>
          </cell>
          <cell r="BP7">
            <v>-1506582390</v>
          </cell>
          <cell r="BQ7">
            <v>2867529500</v>
          </cell>
          <cell r="BR7">
            <v>1526822900</v>
          </cell>
          <cell r="BS7">
            <v>2948845750</v>
          </cell>
          <cell r="BT7">
            <v>1793065790</v>
          </cell>
          <cell r="BU7">
            <v>1396880460</v>
          </cell>
          <cell r="BV7">
            <v>4419494790</v>
          </cell>
          <cell r="BW7">
            <v>0.16276484522555651</v>
          </cell>
          <cell r="BX7">
            <v>0.1307439240207442</v>
          </cell>
          <cell r="BY7">
            <v>9014068380</v>
          </cell>
          <cell r="BZ7">
            <v>9145245690</v>
          </cell>
          <cell r="CA7">
            <v>9385463140</v>
          </cell>
          <cell r="CB7">
            <v>8774028150</v>
          </cell>
          <cell r="CC7" t="str">
            <v>NULL</v>
          </cell>
          <cell r="CD7" t="str">
            <v>NULL</v>
          </cell>
          <cell r="CE7" t="str">
            <v>NULL</v>
          </cell>
          <cell r="CF7" t="str">
            <v>NULL</v>
          </cell>
          <cell r="CG7" t="str">
            <v>NULL</v>
          </cell>
          <cell r="CH7" t="str">
            <v>NULL</v>
          </cell>
          <cell r="CI7" t="str">
            <v>NULL</v>
          </cell>
          <cell r="CJ7" t="str">
            <v>NULL</v>
          </cell>
          <cell r="CK7">
            <v>9014068380</v>
          </cell>
          <cell r="CL7">
            <v>9145245690</v>
          </cell>
          <cell r="CM7">
            <v>9385463140</v>
          </cell>
          <cell r="CN7">
            <v>8774028150</v>
          </cell>
          <cell r="CO7">
            <v>0.20886083572436095</v>
          </cell>
          <cell r="CP7" t="str">
            <v>NULL</v>
          </cell>
          <cell r="CQ7">
            <v>386657270</v>
          </cell>
          <cell r="CR7">
            <v>1949439740</v>
          </cell>
          <cell r="CS7">
            <v>1193479770</v>
          </cell>
          <cell r="CT7">
            <v>1276918120</v>
          </cell>
          <cell r="CU7">
            <v>698215620</v>
          </cell>
          <cell r="CV7">
            <v>223698240</v>
          </cell>
          <cell r="CW7">
            <v>320235230</v>
          </cell>
          <cell r="CX7" t="str">
            <v>-</v>
          </cell>
          <cell r="CY7">
            <v>0.6433355320352423</v>
          </cell>
          <cell r="CZ7">
            <v>0.63340828139885441</v>
          </cell>
          <cell r="DA7">
            <v>-6.5343539803476181E-2</v>
          </cell>
          <cell r="DB7">
            <v>0.82883064117070315</v>
          </cell>
          <cell r="DC7">
            <v>2.121238772374785</v>
          </cell>
          <cell r="DD7">
            <v>-0.30145649496465454</v>
          </cell>
          <cell r="DE7">
            <v>0.95046869685030333</v>
          </cell>
          <cell r="DG7">
            <v>10.7128915397239</v>
          </cell>
          <cell r="DH7">
            <v>2800000000</v>
          </cell>
          <cell r="DI7">
            <v>15.15</v>
          </cell>
          <cell r="DJ7">
            <v>42420000000</v>
          </cell>
          <cell r="DK7">
            <v>44834198746.445099</v>
          </cell>
          <cell r="DM7">
            <v>9014068380</v>
          </cell>
          <cell r="DN7" t="str">
            <v>NULL</v>
          </cell>
          <cell r="DO7" t="str">
            <v>NULL</v>
          </cell>
          <cell r="DP7">
            <v>53708970</v>
          </cell>
          <cell r="DQ7" t="str">
            <v>NULL</v>
          </cell>
          <cell r="DR7">
            <v>8960359410</v>
          </cell>
          <cell r="DS7">
            <v>4.7341850989434811</v>
          </cell>
          <cell r="DT7" t="str">
            <v>NULL</v>
          </cell>
          <cell r="DU7">
            <v>0.28129999999999999</v>
          </cell>
          <cell r="DV7">
            <v>0.20488000000000001</v>
          </cell>
          <cell r="DW7">
            <v>0.19111</v>
          </cell>
          <cell r="DX7">
            <v>0.67728999999999995</v>
          </cell>
          <cell r="DY7">
            <v>22.220909802300348</v>
          </cell>
          <cell r="DZ7">
            <v>2.3703029086862029</v>
          </cell>
          <cell r="EA7">
            <v>2912912400</v>
          </cell>
          <cell r="EB7">
            <v>14.562744832285379</v>
          </cell>
          <cell r="EC7">
            <v>19.561431479800799</v>
          </cell>
          <cell r="ED7">
            <v>1.1052709895049599</v>
          </cell>
          <cell r="EE7">
            <v>0.98413231722873795</v>
          </cell>
          <cell r="EG7">
            <v>0.39122953311222508</v>
          </cell>
          <cell r="EH7">
            <v>-1.1415385219383456E-2</v>
          </cell>
          <cell r="EK7">
            <v>1.3552769072100299</v>
          </cell>
          <cell r="EM7" t="str">
            <v>NaN</v>
          </cell>
          <cell r="EN7">
            <v>93.538742656899998</v>
          </cell>
        </row>
        <row r="8">
          <cell r="A8" t="str">
            <v>APBR</v>
          </cell>
          <cell r="B8" t="str">
            <v>APBR.BA</v>
          </cell>
          <cell r="C8" t="str">
            <v>PETROLEO BRASILEIRO PETROBRAS SA</v>
          </cell>
          <cell r="D8">
            <v>43008</v>
          </cell>
          <cell r="E8">
            <v>787187081040.04602</v>
          </cell>
          <cell r="F8">
            <v>389639612829.75897</v>
          </cell>
          <cell r="G8">
            <v>2.0203000000000002</v>
          </cell>
          <cell r="H8">
            <v>1.6574599999999999</v>
          </cell>
          <cell r="I8">
            <v>2.03572</v>
          </cell>
          <cell r="J8">
            <v>1.65524</v>
          </cell>
          <cell r="K8">
            <v>126.9</v>
          </cell>
          <cell r="L8">
            <v>0</v>
          </cell>
          <cell r="M8">
            <v>0</v>
          </cell>
          <cell r="N8">
            <v>0</v>
          </cell>
          <cell r="O8" t="str">
            <v>NULL</v>
          </cell>
          <cell r="P8">
            <v>0</v>
          </cell>
          <cell r="Q8">
            <v>0</v>
          </cell>
          <cell r="S8">
            <v>135.50946654200001</v>
          </cell>
          <cell r="T8">
            <v>143.87882537199999</v>
          </cell>
          <cell r="U8">
            <v>43008</v>
          </cell>
          <cell r="V8">
            <v>4396187900929.9702</v>
          </cell>
          <cell r="W8">
            <v>4058477671112.7202</v>
          </cell>
          <cell r="X8">
            <v>3877650618635.9302</v>
          </cell>
          <cell r="Y8">
            <v>3922783115086.6802</v>
          </cell>
          <cell r="Z8">
            <v>1431529637502.3701</v>
          </cell>
          <cell r="AA8">
            <v>3.0709723262175155</v>
          </cell>
          <cell r="AC8">
            <v>392778692351.48999</v>
          </cell>
          <cell r="AD8">
            <v>336489603484.25702</v>
          </cell>
          <cell r="AE8">
            <v>336396079090.61798</v>
          </cell>
          <cell r="AF8">
            <v>343517953399.729</v>
          </cell>
          <cell r="AG8">
            <v>0.43345854063710743</v>
          </cell>
          <cell r="AH8">
            <v>103627905674.701</v>
          </cell>
          <cell r="AI8">
            <v>85388079121.676804</v>
          </cell>
          <cell r="AJ8">
            <v>73439793467.819397</v>
          </cell>
          <cell r="AK8">
            <v>91526488995.450607</v>
          </cell>
          <cell r="AL8">
            <v>276638218827.10199</v>
          </cell>
          <cell r="AM8">
            <v>229163101351.96399</v>
          </cell>
          <cell r="AN8">
            <v>219354944924.75201</v>
          </cell>
          <cell r="AO8">
            <v>232346968523.29999</v>
          </cell>
          <cell r="AP8">
            <v>33.734488566773706</v>
          </cell>
          <cell r="AQ8">
            <v>90371583791.990906</v>
          </cell>
          <cell r="AR8">
            <v>72711206484.589996</v>
          </cell>
          <cell r="AS8">
            <v>69094913224.463699</v>
          </cell>
          <cell r="AT8">
            <v>75746563998.524506</v>
          </cell>
          <cell r="AU8">
            <v>19.939285956496608</v>
          </cell>
          <cell r="AV8">
            <v>141373422850.63599</v>
          </cell>
          <cell r="AW8">
            <v>133704844085.534</v>
          </cell>
          <cell r="AX8">
            <v>128781659942.36301</v>
          </cell>
          <cell r="AY8">
            <v>134611824664.94501</v>
          </cell>
          <cell r="AZ8">
            <v>51.316325211991192</v>
          </cell>
          <cell r="BA8">
            <v>37.521122601714097</v>
          </cell>
          <cell r="BC8">
            <v>31.840589999999999</v>
          </cell>
          <cell r="BD8">
            <v>6.0550800000000002</v>
          </cell>
          <cell r="BE8">
            <v>-5.2457799999999999</v>
          </cell>
          <cell r="BF8">
            <v>1454695388.11919</v>
          </cell>
          <cell r="BG8">
            <v>1587120346.00611</v>
          </cell>
          <cell r="BH8">
            <v>21891701248.799198</v>
          </cell>
          <cell r="BI8">
            <v>12232122218.123699</v>
          </cell>
          <cell r="BJ8">
            <v>2.6373903826338526E-2</v>
          </cell>
          <cell r="BK8">
            <v>-164681361738.47</v>
          </cell>
          <cell r="BL8">
            <v>-103870999606.811</v>
          </cell>
          <cell r="BM8">
            <v>-49323985910.983002</v>
          </cell>
          <cell r="BN8">
            <v>-240202817533.505</v>
          </cell>
          <cell r="BO8">
            <v>-172868447942.55701</v>
          </cell>
          <cell r="BP8">
            <v>-41136899706.895996</v>
          </cell>
          <cell r="BQ8">
            <v>365861358891.63</v>
          </cell>
          <cell r="BR8">
            <v>215356158848.259</v>
          </cell>
          <cell r="BS8">
            <v>114280683637.528</v>
          </cell>
          <cell r="BT8">
            <v>437183845444.48499</v>
          </cell>
          <cell r="BU8">
            <v>311382629107.98102</v>
          </cell>
          <cell r="BV8">
            <v>168759413421.177</v>
          </cell>
          <cell r="BW8">
            <v>9.0564940497003116E-2</v>
          </cell>
          <cell r="BX8">
            <v>9.1455951149720573E-3</v>
          </cell>
          <cell r="BY8">
            <v>1431529637502.3701</v>
          </cell>
          <cell r="BZ8">
            <v>1299002755345.8601</v>
          </cell>
          <cell r="CA8">
            <v>1268626301633.05</v>
          </cell>
          <cell r="CB8">
            <v>1219459738104.02</v>
          </cell>
          <cell r="CC8" t="str">
            <v>NULL</v>
          </cell>
          <cell r="CD8" t="str">
            <v>NULL</v>
          </cell>
          <cell r="CE8" t="str">
            <v>NULL</v>
          </cell>
          <cell r="CF8" t="str">
            <v>NULL</v>
          </cell>
          <cell r="CG8" t="str">
            <v>NULL</v>
          </cell>
          <cell r="CH8" t="str">
            <v>NULL</v>
          </cell>
          <cell r="CI8" t="str">
            <v>NULL</v>
          </cell>
          <cell r="CJ8" t="str">
            <v>NULL</v>
          </cell>
          <cell r="CK8">
            <v>1431529637502.3701</v>
          </cell>
          <cell r="CL8">
            <v>1299002755345.8601</v>
          </cell>
          <cell r="CM8">
            <v>1268626301633.05</v>
          </cell>
          <cell r="CN8">
            <v>1219459738104.02</v>
          </cell>
          <cell r="CO8">
            <v>2.848695660060846E-2</v>
          </cell>
          <cell r="CP8">
            <v>1454695388.11919</v>
          </cell>
          <cell r="CQ8">
            <v>-77494863297.431595</v>
          </cell>
          <cell r="CR8">
            <v>-72242621418.910599</v>
          </cell>
          <cell r="CS8">
            <v>-113816839441.315</v>
          </cell>
          <cell r="CT8">
            <v>-69385508995.1073</v>
          </cell>
          <cell r="CU8">
            <v>65037551867.219902</v>
          </cell>
          <cell r="CV8">
            <v>50847145299.145302</v>
          </cell>
          <cell r="CW8">
            <v>76938284905.781906</v>
          </cell>
          <cell r="CX8">
            <v>1.0187715072486283</v>
          </cell>
          <cell r="CY8">
            <v>-0.48039453948071287</v>
          </cell>
          <cell r="CZ8">
            <v>0.36527299674175584</v>
          </cell>
          <cell r="DA8">
            <v>-0.64035460847222092</v>
          </cell>
          <cell r="DB8">
            <v>-2.066853025722188</v>
          </cell>
          <cell r="DC8">
            <v>0.27907971007200527</v>
          </cell>
          <cell r="DD8">
            <v>-0.33911777002291688</v>
          </cell>
          <cell r="DE8">
            <v>0.98162513152705566</v>
          </cell>
          <cell r="DG8">
            <v>5.8274923140339201</v>
          </cell>
          <cell r="DH8">
            <v>13044496930</v>
          </cell>
          <cell r="DI8">
            <v>126.95</v>
          </cell>
          <cell r="DJ8">
            <v>1493819746550.8999</v>
          </cell>
          <cell r="DK8">
            <v>3259552550808.5601</v>
          </cell>
          <cell r="DM8">
            <v>1431529637502.3701</v>
          </cell>
          <cell r="DN8" t="str">
            <v>NULL</v>
          </cell>
          <cell r="DO8" t="str">
            <v>NULL</v>
          </cell>
          <cell r="DP8">
            <v>52084657430.252403</v>
          </cell>
          <cell r="DQ8">
            <v>3904708673.37256</v>
          </cell>
          <cell r="DR8">
            <v>1375540271398.7451</v>
          </cell>
          <cell r="DS8">
            <v>1.0859876498067773</v>
          </cell>
          <cell r="DT8">
            <v>0.111508417156956</v>
          </cell>
          <cell r="DU8">
            <v>0.121645742975532</v>
          </cell>
          <cell r="DV8">
            <v>1.67821614473263</v>
          </cell>
          <cell r="DW8">
            <v>0.93773105864994499</v>
          </cell>
          <cell r="DX8">
            <v>2.849101363515063</v>
          </cell>
          <cell r="DY8">
            <v>44.557909250156037</v>
          </cell>
          <cell r="DZ8">
            <v>1.0600613678751869</v>
          </cell>
          <cell r="EA8">
            <v>127622513714.28101</v>
          </cell>
          <cell r="EB8">
            <v>11.704986080240017</v>
          </cell>
          <cell r="EC8">
            <v>33.627981802141498</v>
          </cell>
          <cell r="ED8">
            <v>0.88479401887146703</v>
          </cell>
          <cell r="EE8">
            <v>0.74632711798485596</v>
          </cell>
          <cell r="EG8">
            <v>0.54156614897138922</v>
          </cell>
          <cell r="EH8">
            <v>-0.12505399853373322</v>
          </cell>
          <cell r="EK8" t="str">
            <v>NULL</v>
          </cell>
          <cell r="EM8">
            <v>180.22065620421901</v>
          </cell>
          <cell r="EN8">
            <v>29.6505649064</v>
          </cell>
        </row>
        <row r="9">
          <cell r="A9" t="str">
            <v>AUSO</v>
          </cell>
          <cell r="B9" t="str">
            <v>AUS.BA</v>
          </cell>
          <cell r="C9" t="str">
            <v>AUTOPISTAS DEL SOL SA</v>
          </cell>
          <cell r="D9">
            <v>43008</v>
          </cell>
          <cell r="E9">
            <v>680192350</v>
          </cell>
          <cell r="F9">
            <v>494801990</v>
          </cell>
          <cell r="G9">
            <v>1.3746799999999999</v>
          </cell>
          <cell r="H9">
            <v>1.3746799999999999</v>
          </cell>
          <cell r="I9">
            <v>1.0927</v>
          </cell>
          <cell r="J9">
            <v>1.0927</v>
          </cell>
          <cell r="K9">
            <v>108</v>
          </cell>
          <cell r="L9">
            <v>0</v>
          </cell>
          <cell r="M9">
            <v>4.0774800000000004</v>
          </cell>
          <cell r="N9">
            <v>0</v>
          </cell>
          <cell r="O9" t="str">
            <v>NULL</v>
          </cell>
          <cell r="P9">
            <v>4.0774800000000004</v>
          </cell>
          <cell r="Q9">
            <v>3.7754444444444452E-2</v>
          </cell>
          <cell r="S9">
            <v>0</v>
          </cell>
          <cell r="T9">
            <v>0</v>
          </cell>
          <cell r="U9">
            <v>43008</v>
          </cell>
          <cell r="V9">
            <v>1171957680</v>
          </cell>
          <cell r="W9">
            <v>1069567310</v>
          </cell>
          <cell r="X9">
            <v>1390929110</v>
          </cell>
          <cell r="Y9">
            <v>1228458470</v>
          </cell>
          <cell r="Z9">
            <v>356050460</v>
          </cell>
          <cell r="AA9">
            <v>3.2915494056657026</v>
          </cell>
          <cell r="AC9">
            <v>618856910</v>
          </cell>
          <cell r="AD9">
            <v>559032400</v>
          </cell>
          <cell r="AE9">
            <v>502410740</v>
          </cell>
          <cell r="AF9">
            <v>512075160</v>
          </cell>
          <cell r="AG9">
            <v>2.2550866540751588</v>
          </cell>
          <cell r="AH9">
            <v>111088940</v>
          </cell>
          <cell r="AI9">
            <v>118732190</v>
          </cell>
          <cell r="AJ9">
            <v>81605920</v>
          </cell>
          <cell r="AK9">
            <v>85265540</v>
          </cell>
          <cell r="AL9">
            <v>407023800</v>
          </cell>
          <cell r="AM9">
            <v>384862920</v>
          </cell>
          <cell r="AN9">
            <v>355268650</v>
          </cell>
          <cell r="AO9">
            <v>348725640</v>
          </cell>
          <cell r="AP9">
            <v>24.198581702364148</v>
          </cell>
          <cell r="AQ9">
            <v>193506270</v>
          </cell>
          <cell r="AR9">
            <v>195610560</v>
          </cell>
          <cell r="AS9">
            <v>163890000</v>
          </cell>
          <cell r="AT9">
            <v>118096100</v>
          </cell>
          <cell r="AU9">
            <v>27.932327497217049</v>
          </cell>
          <cell r="AV9" t="str">
            <v>NULL</v>
          </cell>
          <cell r="AW9" t="str">
            <v>NULL</v>
          </cell>
          <cell r="AX9" t="str">
            <v>NULL</v>
          </cell>
          <cell r="AY9" t="str">
            <v>NULL</v>
          </cell>
          <cell r="AZ9" t="e">
            <v>#DIV/0!</v>
          </cell>
          <cell r="BA9" t="e">
            <v>#DIV/0!</v>
          </cell>
          <cell r="BC9">
            <v>35.29468</v>
          </cell>
          <cell r="BD9">
            <v>25.33014</v>
          </cell>
          <cell r="BE9">
            <v>15.61031</v>
          </cell>
          <cell r="BF9">
            <v>100933750</v>
          </cell>
          <cell r="BG9">
            <v>74424320</v>
          </cell>
          <cell r="BH9">
            <v>74631480</v>
          </cell>
          <cell r="BI9">
            <v>89189350</v>
          </cell>
          <cell r="BJ9">
            <v>0.15470841781685718</v>
          </cell>
          <cell r="BK9">
            <v>-51250510</v>
          </cell>
          <cell r="BL9">
            <v>-26066460</v>
          </cell>
          <cell r="BM9">
            <v>-12907110</v>
          </cell>
          <cell r="BN9">
            <v>-45060840</v>
          </cell>
          <cell r="BO9">
            <v>-28602850</v>
          </cell>
          <cell r="BP9">
            <v>-35554770</v>
          </cell>
          <cell r="BQ9">
            <v>249819030</v>
          </cell>
          <cell r="BR9">
            <v>125590360</v>
          </cell>
          <cell r="BS9">
            <v>122755630</v>
          </cell>
          <cell r="BT9">
            <v>428018660</v>
          </cell>
          <cell r="BU9">
            <v>296373860</v>
          </cell>
          <cell r="BV9">
            <v>76200800</v>
          </cell>
          <cell r="BW9">
            <v>1.8539723408020108E-2</v>
          </cell>
          <cell r="BX9">
            <v>0.27910718007421392</v>
          </cell>
          <cell r="BY9">
            <v>356050460</v>
          </cell>
          <cell r="BZ9">
            <v>255116710</v>
          </cell>
          <cell r="CA9">
            <v>541076400</v>
          </cell>
          <cell r="CB9">
            <v>466444920</v>
          </cell>
          <cell r="CC9" t="str">
            <v>NULL</v>
          </cell>
          <cell r="CD9" t="str">
            <v>NULL</v>
          </cell>
          <cell r="CE9" t="str">
            <v>NULL</v>
          </cell>
          <cell r="CF9" t="str">
            <v>NULL</v>
          </cell>
          <cell r="CG9" t="str">
            <v>NULL</v>
          </cell>
          <cell r="CH9" t="str">
            <v>NULL</v>
          </cell>
          <cell r="CI9" t="str">
            <v>NULL</v>
          </cell>
          <cell r="CJ9" t="str">
            <v>NULL</v>
          </cell>
          <cell r="CK9">
            <v>356050460</v>
          </cell>
          <cell r="CL9">
            <v>255116710</v>
          </cell>
          <cell r="CM9">
            <v>541076400</v>
          </cell>
          <cell r="CN9">
            <v>466444920</v>
          </cell>
          <cell r="CO9">
            <v>0.83815731586501863</v>
          </cell>
          <cell r="CP9">
            <v>100933750</v>
          </cell>
          <cell r="CQ9">
            <v>90307390</v>
          </cell>
          <cell r="CR9">
            <v>291302030</v>
          </cell>
          <cell r="CS9">
            <v>75226720</v>
          </cell>
          <cell r="CT9">
            <v>18121770</v>
          </cell>
          <cell r="CU9">
            <v>-17533300</v>
          </cell>
          <cell r="CV9">
            <v>4140670</v>
          </cell>
          <cell r="CW9">
            <v>-33712190</v>
          </cell>
          <cell r="CX9">
            <v>0.11766877550109678</v>
          </cell>
          <cell r="CY9">
            <v>0.78909531215023887</v>
          </cell>
          <cell r="CZ9">
            <v>2.8723212975389596</v>
          </cell>
          <cell r="DA9">
            <v>3.1511794929523989</v>
          </cell>
          <cell r="DB9">
            <v>2.0335629915646227</v>
          </cell>
          <cell r="DC9">
            <v>-5.2344113392277096</v>
          </cell>
          <cell r="DD9">
            <v>1.1228241179229235</v>
          </cell>
          <cell r="DE9">
            <v>3.459117636171777</v>
          </cell>
          <cell r="DG9">
            <v>4.3001609094600903</v>
          </cell>
          <cell r="DH9">
            <v>26554267</v>
          </cell>
          <cell r="DI9">
            <v>108.55</v>
          </cell>
          <cell r="DJ9">
            <v>9594093186.6000004</v>
          </cell>
          <cell r="DK9">
            <v>2583268000.3499999</v>
          </cell>
          <cell r="DM9">
            <v>356050460</v>
          </cell>
          <cell r="DN9" t="str">
            <v>NULL</v>
          </cell>
          <cell r="DO9" t="str">
            <v>NULL</v>
          </cell>
          <cell r="DP9">
            <v>422923170</v>
          </cell>
          <cell r="DQ9" t="str">
            <v>NULL</v>
          </cell>
          <cell r="DR9">
            <v>-66872710</v>
          </cell>
          <cell r="DS9">
            <v>-143.46798846046468</v>
          </cell>
          <cell r="DT9">
            <v>1.1419900000000001</v>
          </cell>
          <cell r="DU9">
            <v>0.84206000000000003</v>
          </cell>
          <cell r="DV9">
            <v>0.84440000000000004</v>
          </cell>
          <cell r="DW9">
            <v>1.00911</v>
          </cell>
          <cell r="DX9">
            <v>3.8375599999999999</v>
          </cell>
          <cell r="DY9">
            <v>28.14288245656094</v>
          </cell>
          <cell r="DZ9">
            <v>4.3761182587902008</v>
          </cell>
          <cell r="EA9">
            <v>40646030</v>
          </cell>
          <cell r="EB9">
            <v>236.04010494013806</v>
          </cell>
          <cell r="EC9">
            <v>28.9376583037138</v>
          </cell>
          <cell r="ED9">
            <v>0.80231912904798997</v>
          </cell>
          <cell r="EE9">
            <v>0.87782119382586798</v>
          </cell>
          <cell r="EG9">
            <v>0.63480955477734169</v>
          </cell>
          <cell r="EH9">
            <v>0.27831265312485054</v>
          </cell>
          <cell r="EK9">
            <v>4.3116627698334096</v>
          </cell>
          <cell r="EM9">
            <v>7.1704091827526</v>
          </cell>
          <cell r="EN9">
            <v>7.1299272429</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17.2</v>
          </cell>
          <cell r="L10">
            <v>0</v>
          </cell>
          <cell r="M10">
            <v>0</v>
          </cell>
          <cell r="N10">
            <v>0</v>
          </cell>
          <cell r="O10" t="str">
            <v>NULL</v>
          </cell>
          <cell r="P10">
            <v>0</v>
          </cell>
          <cell r="Q10">
            <v>0</v>
          </cell>
          <cell r="S10">
            <v>7.2536739109999999</v>
          </cell>
          <cell r="T10">
            <v>6.2340700519999999</v>
          </cell>
          <cell r="U10">
            <v>43008</v>
          </cell>
          <cell r="V10">
            <v>55449522000</v>
          </cell>
          <cell r="W10">
            <v>55261858000</v>
          </cell>
          <cell r="X10">
            <v>56129745000</v>
          </cell>
          <cell r="Y10">
            <v>52108110000</v>
          </cell>
          <cell r="Z10">
            <v>7167430000</v>
          </cell>
          <cell r="AA10">
            <v>7.7363185967634145</v>
          </cell>
          <cell r="AC10" t="str">
            <v>NULL</v>
          </cell>
          <cell r="AD10" t="str">
            <v>NULL</v>
          </cell>
          <cell r="AE10" t="str">
            <v>NULL</v>
          </cell>
          <cell r="AF10" t="str">
            <v>NULL</v>
          </cell>
          <cell r="AG10">
            <v>0</v>
          </cell>
          <cell r="AH10">
            <v>3406591000</v>
          </cell>
          <cell r="AI10">
            <v>3405343000</v>
          </cell>
          <cell r="AJ10">
            <v>3244221000</v>
          </cell>
          <cell r="AK10">
            <v>3412327000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6.5614299999999997</v>
          </cell>
          <cell r="BF10">
            <v>486225000</v>
          </cell>
          <cell r="BG10">
            <v>372277000</v>
          </cell>
          <cell r="BH10">
            <v>252696000</v>
          </cell>
          <cell r="BI10">
            <v>136355000</v>
          </cell>
          <cell r="BJ10" t="e">
            <v>#DIV/0!</v>
          </cell>
          <cell r="BK10">
            <v>-1084775000</v>
          </cell>
          <cell r="BL10">
            <v>-1018386000</v>
          </cell>
          <cell r="BM10">
            <v>-9050000</v>
          </cell>
          <cell r="BN10">
            <v>-378366000</v>
          </cell>
          <cell r="BO10">
            <v>-361060000</v>
          </cell>
          <cell r="BP10">
            <v>-732765000</v>
          </cell>
          <cell r="BQ10">
            <v>-9004617000</v>
          </cell>
          <cell r="BR10">
            <v>-7274004000</v>
          </cell>
          <cell r="BS10">
            <v>-6261272000</v>
          </cell>
          <cell r="BT10">
            <v>-10397007000</v>
          </cell>
          <cell r="BU10">
            <v>-8786971000</v>
          </cell>
          <cell r="BV10">
            <v>-6478918000</v>
          </cell>
          <cell r="BW10" t="e">
            <v>#DIV/0!</v>
          </cell>
          <cell r="BX10">
            <v>2.2791639349641939E-2</v>
          </cell>
          <cell r="BY10">
            <v>7167430000</v>
          </cell>
          <cell r="BZ10">
            <v>6681205000</v>
          </cell>
          <cell r="CA10">
            <v>6308928000</v>
          </cell>
          <cell r="CB10">
            <v>6056228000</v>
          </cell>
          <cell r="CC10" t="str">
            <v>NULL</v>
          </cell>
          <cell r="CD10" t="str">
            <v>NULL</v>
          </cell>
          <cell r="CE10" t="str">
            <v>NULL</v>
          </cell>
          <cell r="CF10" t="str">
            <v>NULL</v>
          </cell>
          <cell r="CG10" t="str">
            <v>NULL</v>
          </cell>
          <cell r="CH10" t="str">
            <v>NULL</v>
          </cell>
          <cell r="CI10" t="str">
            <v>NULL</v>
          </cell>
          <cell r="CJ10" t="str">
            <v>NULL</v>
          </cell>
          <cell r="CK10">
            <v>7167430000</v>
          </cell>
          <cell r="CL10">
            <v>6681205000</v>
          </cell>
          <cell r="CM10">
            <v>6308928000</v>
          </cell>
          <cell r="CN10">
            <v>6056228000</v>
          </cell>
          <cell r="CO10">
            <v>0.19036590319957919</v>
          </cell>
          <cell r="CP10">
            <v>486225000</v>
          </cell>
          <cell r="CQ10">
            <v>103631000</v>
          </cell>
          <cell r="CR10">
            <v>615328000</v>
          </cell>
          <cell r="CS10">
            <v>1085814000</v>
          </cell>
          <cell r="CT10">
            <v>549972000</v>
          </cell>
          <cell r="CU10">
            <v>420950000</v>
          </cell>
          <cell r="CV10">
            <v>343607000</v>
          </cell>
          <cell r="CW10">
            <v>251517000</v>
          </cell>
          <cell r="CX10">
            <v>3.6918875626019245</v>
          </cell>
          <cell r="CY10">
            <v>0.28774737979622966</v>
          </cell>
          <cell r="CZ10">
            <v>-0.43330257300053232</v>
          </cell>
          <cell r="DA10">
            <v>0.97430778294167708</v>
          </cell>
          <cell r="DB10">
            <v>0.30650195985271411</v>
          </cell>
          <cell r="DC10">
            <v>0.22509145622760895</v>
          </cell>
          <cell r="DD10">
            <v>0.36613827295968071</v>
          </cell>
          <cell r="DE10">
            <v>0.50042503253677961</v>
          </cell>
          <cell r="DG10">
            <v>2.43231794036301</v>
          </cell>
          <cell r="DH10">
            <v>1500033565</v>
          </cell>
          <cell r="DI10">
            <v>16.3</v>
          </cell>
          <cell r="DJ10">
            <v>24450000000</v>
          </cell>
          <cell r="DK10">
            <v>8797898305.0000095</v>
          </cell>
          <cell r="DM10">
            <v>7167430000</v>
          </cell>
          <cell r="DN10" t="str">
            <v>NULL</v>
          </cell>
          <cell r="DO10" t="str">
            <v>NULL</v>
          </cell>
          <cell r="DP10">
            <v>549251000</v>
          </cell>
          <cell r="DQ10">
            <v>10791000</v>
          </cell>
          <cell r="DR10">
            <v>6607388000</v>
          </cell>
          <cell r="DS10">
            <v>3.7004032455790399</v>
          </cell>
          <cell r="DT10">
            <v>0.33227000000000001</v>
          </cell>
          <cell r="DU10">
            <v>0.25440000000000002</v>
          </cell>
          <cell r="DV10">
            <v>0.17268</v>
          </cell>
          <cell r="DW10">
            <v>9.3179999999999999E-2</v>
          </cell>
          <cell r="DX10">
            <v>0.85253000000000001</v>
          </cell>
          <cell r="DY10">
            <v>20.175243099949562</v>
          </cell>
          <cell r="DZ10" t="e">
            <v>#DIV/0!</v>
          </cell>
          <cell r="EA10">
            <v>-7211683000</v>
          </cell>
          <cell r="EB10">
            <v>-3.3903320487048583</v>
          </cell>
          <cell r="EC10">
            <v>19.940647249950199</v>
          </cell>
          <cell r="ED10">
            <v>1.27916753039145</v>
          </cell>
          <cell r="EE10">
            <v>1.0394296319117899</v>
          </cell>
          <cell r="EG10">
            <v>0.52798765582341256</v>
          </cell>
          <cell r="EH10">
            <v>4.850738737404936E-2</v>
          </cell>
          <cell r="EK10" t="str">
            <v>NULL</v>
          </cell>
          <cell r="EM10">
            <v>28.051431438368201</v>
          </cell>
          <cell r="EN10">
            <v>27.893061625600001</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210</v>
          </cell>
          <cell r="L11">
            <v>0</v>
          </cell>
          <cell r="M11">
            <v>1.2</v>
          </cell>
          <cell r="N11">
            <v>0</v>
          </cell>
          <cell r="O11">
            <v>0</v>
          </cell>
          <cell r="P11">
            <v>1.2</v>
          </cell>
          <cell r="Q11">
            <v>5.7142857142857143E-3</v>
          </cell>
          <cell r="S11">
            <v>36.226686391999998</v>
          </cell>
          <cell r="T11">
            <v>41.301998406999999</v>
          </cell>
          <cell r="U11">
            <v>43008</v>
          </cell>
          <cell r="V11">
            <v>206345112000</v>
          </cell>
          <cell r="W11">
            <v>187767925000</v>
          </cell>
          <cell r="X11">
            <v>166992326000</v>
          </cell>
          <cell r="Y11">
            <v>154998960000</v>
          </cell>
          <cell r="Z11">
            <v>40118897000</v>
          </cell>
          <cell r="AA11">
            <v>5.1433396087634211</v>
          </cell>
          <cell r="AC11" t="str">
            <v>NULL</v>
          </cell>
          <cell r="AD11" t="str">
            <v>NULL</v>
          </cell>
          <cell r="AE11" t="str">
            <v>NULL</v>
          </cell>
          <cell r="AF11" t="str">
            <v>NULL</v>
          </cell>
          <cell r="AG11">
            <v>0</v>
          </cell>
          <cell r="AH11">
            <v>9550521000</v>
          </cell>
          <cell r="AI11">
            <v>9586978000</v>
          </cell>
          <cell r="AJ11">
            <v>8480386000</v>
          </cell>
          <cell r="AK11">
            <v>9136232000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22.605039999999999</v>
          </cell>
          <cell r="BF11">
            <v>2597810000</v>
          </cell>
          <cell r="BG11">
            <v>2015267000</v>
          </cell>
          <cell r="BH11">
            <v>1764045000</v>
          </cell>
          <cell r="BI11">
            <v>1695253000</v>
          </cell>
          <cell r="BJ11" t="e">
            <v>#DIV/0!</v>
          </cell>
          <cell r="BK11">
            <v>-215628000</v>
          </cell>
          <cell r="BL11">
            <v>-129108000</v>
          </cell>
          <cell r="BM11">
            <v>-80401000</v>
          </cell>
          <cell r="BN11">
            <v>-400420000</v>
          </cell>
          <cell r="BO11">
            <v>-268279000</v>
          </cell>
          <cell r="BP11">
            <v>-27750000</v>
          </cell>
          <cell r="BQ11">
            <v>-12344283000</v>
          </cell>
          <cell r="BR11">
            <v>4847884000</v>
          </cell>
          <cell r="BS11">
            <v>284918000</v>
          </cell>
          <cell r="BT11">
            <v>12629637000</v>
          </cell>
          <cell r="BU11">
            <v>16146614000</v>
          </cell>
          <cell r="BV11">
            <v>-28205979000</v>
          </cell>
          <cell r="BW11" t="e">
            <v>#DIV/0!</v>
          </cell>
          <cell r="BX11">
            <v>4.5090497240302237E-2</v>
          </cell>
          <cell r="BY11">
            <v>40118897000</v>
          </cell>
          <cell r="BZ11">
            <v>35827540000</v>
          </cell>
          <cell r="CA11">
            <v>23869943000</v>
          </cell>
          <cell r="CB11">
            <v>22105898000</v>
          </cell>
          <cell r="CC11" t="str">
            <v>NULL</v>
          </cell>
          <cell r="CD11" t="str">
            <v>NULL</v>
          </cell>
          <cell r="CE11" t="str">
            <v>NULL</v>
          </cell>
          <cell r="CF11" t="str">
            <v>NULL</v>
          </cell>
          <cell r="CG11" t="str">
            <v>NULL</v>
          </cell>
          <cell r="CH11" t="str">
            <v>NULL</v>
          </cell>
          <cell r="CI11" t="str">
            <v>NULL</v>
          </cell>
          <cell r="CJ11" t="str">
            <v>NULL</v>
          </cell>
          <cell r="CK11">
            <v>40118897000</v>
          </cell>
          <cell r="CL11">
            <v>35827540000</v>
          </cell>
          <cell r="CM11">
            <v>23869943000</v>
          </cell>
          <cell r="CN11">
            <v>22105898000</v>
          </cell>
          <cell r="CO11">
            <v>0.26483675116372085</v>
          </cell>
          <cell r="CP11">
            <v>2597810000</v>
          </cell>
          <cell r="CQ11">
            <v>1632692000</v>
          </cell>
          <cell r="CR11">
            <v>6540832000</v>
          </cell>
          <cell r="CS11">
            <v>5009889000</v>
          </cell>
          <cell r="CT11">
            <v>3479531000</v>
          </cell>
          <cell r="CU11">
            <v>2443564000</v>
          </cell>
          <cell r="CV11">
            <v>1493618000</v>
          </cell>
          <cell r="CW11">
            <v>1176097000</v>
          </cell>
          <cell r="CX11">
            <v>0.59112067677185909</v>
          </cell>
          <cell r="CY11">
            <v>0.41506816328875662</v>
          </cell>
          <cell r="CZ11">
            <v>0.30558421553850801</v>
          </cell>
          <cell r="DA11">
            <v>0.43981732020780973</v>
          </cell>
          <cell r="DB11">
            <v>0.42395738355942392</v>
          </cell>
          <cell r="DC11">
            <v>0.6360033154394229</v>
          </cell>
          <cell r="DD11">
            <v>0.26997858169861844</v>
          </cell>
          <cell r="DE11">
            <v>0.14365027145992709</v>
          </cell>
          <cell r="DG11">
            <v>6.8866273945762799</v>
          </cell>
          <cell r="DH11">
            <v>669663021</v>
          </cell>
          <cell r="DI11">
            <v>200.4</v>
          </cell>
          <cell r="DJ11">
            <v>134200469408.39999</v>
          </cell>
          <cell r="DK11">
            <v>117053837668.5</v>
          </cell>
          <cell r="DM11">
            <v>40118897000</v>
          </cell>
          <cell r="DN11" t="str">
            <v>NULL</v>
          </cell>
          <cell r="DO11" t="str">
            <v>NULL</v>
          </cell>
          <cell r="DP11">
            <v>819907000</v>
          </cell>
          <cell r="DQ11">
            <v>16393000</v>
          </cell>
          <cell r="DR11">
            <v>39282597000</v>
          </cell>
          <cell r="DS11">
            <v>3.4162830275299769</v>
          </cell>
          <cell r="DT11">
            <v>3.7547999999999999</v>
          </cell>
          <cell r="DU11">
            <v>2.7509800000000002</v>
          </cell>
          <cell r="DV11">
            <v>3.0177200000000002</v>
          </cell>
          <cell r="DW11">
            <v>2.9000300000000001</v>
          </cell>
          <cell r="DX11">
            <v>12.42353</v>
          </cell>
          <cell r="DY11">
            <v>16.903408290558321</v>
          </cell>
          <cell r="DZ11" t="e">
            <v>#DIV/0!</v>
          </cell>
          <cell r="EA11">
            <v>-28233729000</v>
          </cell>
          <cell r="EB11">
            <v>-4.7531967671858011</v>
          </cell>
          <cell r="EC11">
            <v>15.9777454555992</v>
          </cell>
          <cell r="ED11">
            <v>1.0067073229899299</v>
          </cell>
          <cell r="EE11">
            <v>0.93298162380522498</v>
          </cell>
          <cell r="EG11">
            <v>0.47093706519264589</v>
          </cell>
          <cell r="EH11">
            <v>0.17836131538959465</v>
          </cell>
          <cell r="EK11">
            <v>0.69689336690176296</v>
          </cell>
          <cell r="EM11">
            <v>14.726167965094399</v>
          </cell>
          <cell r="EN11">
            <v>14.6430285193</v>
          </cell>
        </row>
        <row r="12">
          <cell r="A12" t="str">
            <v>BOLT</v>
          </cell>
          <cell r="B12" t="str">
            <v>BOL.BA</v>
          </cell>
          <cell r="C12" t="str">
            <v>BOLDT SA</v>
          </cell>
          <cell r="D12">
            <v>43039</v>
          </cell>
          <cell r="E12">
            <v>1354434530</v>
          </cell>
          <cell r="F12">
            <v>400026560</v>
          </cell>
          <cell r="G12">
            <v>3.3858600000000001</v>
          </cell>
          <cell r="H12">
            <v>3.1887400000000001</v>
          </cell>
          <cell r="I12">
            <v>2.6327600000000002</v>
          </cell>
          <cell r="J12">
            <v>2.3589000000000002</v>
          </cell>
          <cell r="K12">
            <v>9.32</v>
          </cell>
          <cell r="L12" t="str">
            <v>NULL</v>
          </cell>
          <cell r="M12">
            <v>0</v>
          </cell>
          <cell r="N12">
            <v>3.5720000000000002E-2</v>
          </cell>
          <cell r="O12">
            <v>0</v>
          </cell>
          <cell r="P12">
            <v>3.5720000000000002E-2</v>
          </cell>
          <cell r="Q12">
            <v>3.832618025751073E-3</v>
          </cell>
          <cell r="S12">
            <v>1.8277544443</v>
          </cell>
          <cell r="T12">
            <v>1.803038779</v>
          </cell>
          <cell r="U12">
            <v>43039</v>
          </cell>
          <cell r="V12">
            <v>2252426940</v>
          </cell>
          <cell r="W12">
            <v>2142125210</v>
          </cell>
          <cell r="X12">
            <v>1984474690</v>
          </cell>
          <cell r="Y12">
            <v>1946498250</v>
          </cell>
          <cell r="Z12">
            <v>1689660780</v>
          </cell>
          <cell r="AA12">
            <v>1.3330645811640369</v>
          </cell>
          <cell r="AC12">
            <v>450041290</v>
          </cell>
          <cell r="AD12">
            <v>447642440</v>
          </cell>
          <cell r="AE12">
            <v>422815340</v>
          </cell>
          <cell r="AF12">
            <v>324701630</v>
          </cell>
          <cell r="AG12">
            <v>0.98804110092460939</v>
          </cell>
          <cell r="AH12">
            <v>121882770</v>
          </cell>
          <cell r="AI12">
            <v>115121550</v>
          </cell>
          <cell r="AJ12">
            <v>128160970</v>
          </cell>
          <cell r="AK12">
            <v>127829050</v>
          </cell>
          <cell r="AL12">
            <v>225827540</v>
          </cell>
          <cell r="AM12">
            <v>234746440</v>
          </cell>
          <cell r="AN12">
            <v>200411170</v>
          </cell>
          <cell r="AO12">
            <v>161765430</v>
          </cell>
          <cell r="AP12">
            <v>54.677243162806398</v>
          </cell>
          <cell r="AQ12">
            <v>413856940</v>
          </cell>
          <cell r="AR12">
            <v>436617100</v>
          </cell>
          <cell r="AS12">
            <v>344158220</v>
          </cell>
          <cell r="AT12">
            <v>381259600</v>
          </cell>
          <cell r="AU12">
            <v>87.405829711232201</v>
          </cell>
          <cell r="AV12">
            <v>78853210</v>
          </cell>
          <cell r="AW12">
            <v>96208510</v>
          </cell>
          <cell r="AX12">
            <v>133641390</v>
          </cell>
          <cell r="AY12">
            <v>123940760</v>
          </cell>
          <cell r="AZ12">
            <v>47.983865459566125</v>
          </cell>
          <cell r="BA12">
            <v>80.712452007991914</v>
          </cell>
          <cell r="BC12">
            <v>49.990870000000001</v>
          </cell>
          <cell r="BD12">
            <v>29.526309999999999</v>
          </cell>
          <cell r="BE12">
            <v>29.563960000000002</v>
          </cell>
          <cell r="BF12">
            <v>66530970</v>
          </cell>
          <cell r="BG12">
            <v>99971300</v>
          </cell>
          <cell r="BH12">
            <v>81080590</v>
          </cell>
          <cell r="BI12">
            <v>238803640</v>
          </cell>
          <cell r="BJ12">
            <v>0.29563961406046085</v>
          </cell>
          <cell r="BK12">
            <v>-62901550</v>
          </cell>
          <cell r="BL12">
            <v>-58696760</v>
          </cell>
          <cell r="BM12">
            <v>-43418040</v>
          </cell>
          <cell r="BN12">
            <v>-35721940</v>
          </cell>
          <cell r="BO12">
            <v>-88255880</v>
          </cell>
          <cell r="BP12">
            <v>-18063710</v>
          </cell>
          <cell r="BQ12">
            <v>422623620</v>
          </cell>
          <cell r="BR12">
            <v>245861520</v>
          </cell>
          <cell r="BS12">
            <v>183980270</v>
          </cell>
          <cell r="BT12">
            <v>20455230</v>
          </cell>
          <cell r="BU12">
            <v>377285180</v>
          </cell>
          <cell r="BV12">
            <v>229318710</v>
          </cell>
          <cell r="BW12">
            <v>0.12840682598785669</v>
          </cell>
          <cell r="BX12">
            <v>0.23368447983381191</v>
          </cell>
          <cell r="BY12">
            <v>1689660780</v>
          </cell>
          <cell r="BZ12">
            <v>1621345050</v>
          </cell>
          <cell r="CA12">
            <v>1448819970</v>
          </cell>
          <cell r="CB12">
            <v>1425500510</v>
          </cell>
          <cell r="CC12" t="str">
            <v>NULL</v>
          </cell>
          <cell r="CD12" t="str">
            <v>NULL</v>
          </cell>
          <cell r="CE12" t="str">
            <v>NULL</v>
          </cell>
          <cell r="CF12" t="str">
            <v>NULL</v>
          </cell>
          <cell r="CG12" t="str">
            <v>NULL</v>
          </cell>
          <cell r="CH12" t="str">
            <v>NULL</v>
          </cell>
          <cell r="CI12" t="str">
            <v>NULL</v>
          </cell>
          <cell r="CJ12" t="str">
            <v>NULL</v>
          </cell>
          <cell r="CK12">
            <v>1689660780</v>
          </cell>
          <cell r="CL12">
            <v>1621345050</v>
          </cell>
          <cell r="CM12">
            <v>1448819970</v>
          </cell>
          <cell r="CN12">
            <v>1425500510</v>
          </cell>
          <cell r="CO12">
            <v>0.3145421765145322</v>
          </cell>
          <cell r="CP12">
            <v>66530970</v>
          </cell>
          <cell r="CQ12">
            <v>37386490</v>
          </cell>
          <cell r="CR12">
            <v>486386500</v>
          </cell>
          <cell r="CS12">
            <v>186127590</v>
          </cell>
          <cell r="CT12">
            <v>256336470</v>
          </cell>
          <cell r="CU12">
            <v>99671010</v>
          </cell>
          <cell r="CV12">
            <v>87608830</v>
          </cell>
          <cell r="CW12">
            <v>115303920</v>
          </cell>
          <cell r="CX12">
            <v>0.77954576639850393</v>
          </cell>
          <cell r="CY12">
            <v>0.56172221322744265</v>
          </cell>
          <cell r="CZ12">
            <v>1.6131886196989926</v>
          </cell>
          <cell r="DA12">
            <v>-0.27389344949628125</v>
          </cell>
          <cell r="DB12">
            <v>1.57182574953339</v>
          </cell>
          <cell r="DC12">
            <v>0.13768224047735833</v>
          </cell>
          <cell r="DD12">
            <v>-0.24019209407624653</v>
          </cell>
          <cell r="DE12">
            <v>0.95485872626968105</v>
          </cell>
          <cell r="DG12">
            <v>12.4279383470522</v>
          </cell>
          <cell r="DH12">
            <v>840000000</v>
          </cell>
          <cell r="DI12">
            <v>9.15</v>
          </cell>
          <cell r="DJ12">
            <v>7686000000</v>
          </cell>
          <cell r="DK12">
            <v>7562033860.00002</v>
          </cell>
          <cell r="DM12">
            <v>1689660780</v>
          </cell>
          <cell r="DN12" t="str">
            <v>NULL</v>
          </cell>
          <cell r="DO12" t="str">
            <v>NULL</v>
          </cell>
          <cell r="DP12">
            <v>7834380</v>
          </cell>
          <cell r="DQ12" t="str">
            <v>NULL</v>
          </cell>
          <cell r="DR12">
            <v>1681826400</v>
          </cell>
          <cell r="DS12">
            <v>4.5700317226557985</v>
          </cell>
          <cell r="DT12">
            <v>7.9200000000000007E-2</v>
          </cell>
          <cell r="DU12">
            <v>0.11901</v>
          </cell>
          <cell r="DV12">
            <v>9.6519999999999995E-2</v>
          </cell>
          <cell r="DW12">
            <v>0.28428999999999999</v>
          </cell>
          <cell r="DX12">
            <v>0.57901999999999998</v>
          </cell>
          <cell r="DY12">
            <v>16.096162481434149</v>
          </cell>
          <cell r="DZ12">
            <v>4.6717704411382757</v>
          </cell>
          <cell r="EA12">
            <v>211255000</v>
          </cell>
          <cell r="EB12">
            <v>36.382570826725996</v>
          </cell>
          <cell r="EC12">
            <v>16.337950329867699</v>
          </cell>
          <cell r="ED12">
            <v>1.0301162756253599</v>
          </cell>
          <cell r="EE12">
            <v>0.94249931993476999</v>
          </cell>
          <cell r="EG12">
            <v>0.44069215653017019</v>
          </cell>
          <cell r="EH12">
            <v>0.18354280957367197</v>
          </cell>
          <cell r="EK12">
            <v>0.377529598308668</v>
          </cell>
          <cell r="EM12">
            <v>14.5652243530217</v>
          </cell>
          <cell r="EN12">
            <v>14.482993545699999</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63.1</v>
          </cell>
          <cell r="L13">
            <v>2.2728299999999999</v>
          </cell>
          <cell r="M13">
            <v>0</v>
          </cell>
          <cell r="N13">
            <v>0</v>
          </cell>
          <cell r="O13">
            <v>0</v>
          </cell>
          <cell r="P13">
            <v>2.2728299999999999</v>
          </cell>
          <cell r="Q13">
            <v>3.6019492868462753E-2</v>
          </cell>
          <cell r="S13">
            <v>92.555159687</v>
          </cell>
          <cell r="T13">
            <v>98.815548078999996</v>
          </cell>
          <cell r="U13">
            <v>43008</v>
          </cell>
          <cell r="V13">
            <v>84469477000</v>
          </cell>
          <cell r="W13">
            <v>92659536000</v>
          </cell>
          <cell r="X13">
            <v>73086384000</v>
          </cell>
          <cell r="Y13">
            <v>72116987000</v>
          </cell>
          <cell r="Z13">
            <v>10124287000</v>
          </cell>
          <cell r="AA13">
            <v>8.3432519248022103</v>
          </cell>
          <cell r="AC13" t="str">
            <v>NULL</v>
          </cell>
          <cell r="AD13" t="str">
            <v>NULL</v>
          </cell>
          <cell r="AE13" t="str">
            <v>NULL</v>
          </cell>
          <cell r="AF13" t="str">
            <v>NULL</v>
          </cell>
          <cell r="AG13">
            <v>0</v>
          </cell>
          <cell r="AH13">
            <v>3415270000</v>
          </cell>
          <cell r="AI13">
            <v>14203995000</v>
          </cell>
          <cell r="AJ13">
            <v>2382520000</v>
          </cell>
          <cell r="AK13">
            <v>1102764000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23.252559999999999</v>
          </cell>
          <cell r="BF13">
            <v>940799000</v>
          </cell>
          <cell r="BG13">
            <v>823444000</v>
          </cell>
          <cell r="BH13">
            <v>759289000</v>
          </cell>
          <cell r="BI13">
            <v>851924000</v>
          </cell>
          <cell r="BJ13" t="e">
            <v>#DIV/0!</v>
          </cell>
          <cell r="BK13">
            <v>-41862000</v>
          </cell>
          <cell r="BL13">
            <v>-31404000</v>
          </cell>
          <cell r="BM13">
            <v>-13042000</v>
          </cell>
          <cell r="BN13">
            <v>-309181000</v>
          </cell>
          <cell r="BO13">
            <v>-263093000</v>
          </cell>
          <cell r="BP13">
            <v>208189000</v>
          </cell>
          <cell r="BQ13">
            <v>2332222000</v>
          </cell>
          <cell r="BR13">
            <v>-42425000</v>
          </cell>
          <cell r="BS13">
            <v>985465000</v>
          </cell>
          <cell r="BT13">
            <v>2474783000</v>
          </cell>
          <cell r="BU13">
            <v>791678000</v>
          </cell>
          <cell r="BV13">
            <v>2526009000</v>
          </cell>
          <cell r="BW13" t="e">
            <v>#DIV/0!</v>
          </cell>
          <cell r="BX13">
            <v>4.1887891723594237E-2</v>
          </cell>
          <cell r="BY13">
            <v>10124287000</v>
          </cell>
          <cell r="BZ13">
            <v>9183488000</v>
          </cell>
          <cell r="CA13">
            <v>9994541000</v>
          </cell>
          <cell r="CB13">
            <v>9235252000</v>
          </cell>
          <cell r="CC13" t="str">
            <v>NULL</v>
          </cell>
          <cell r="CD13" t="str">
            <v>NULL</v>
          </cell>
          <cell r="CE13" t="str">
            <v>NULL</v>
          </cell>
          <cell r="CF13" t="str">
            <v>NULL</v>
          </cell>
          <cell r="CG13" t="str">
            <v>NULL</v>
          </cell>
          <cell r="CH13" t="str">
            <v>NULL</v>
          </cell>
          <cell r="CI13" t="str">
            <v>NULL</v>
          </cell>
          <cell r="CJ13" t="str">
            <v>NULL</v>
          </cell>
          <cell r="CK13">
            <v>10124287000</v>
          </cell>
          <cell r="CL13">
            <v>9183488000</v>
          </cell>
          <cell r="CM13">
            <v>9994541000</v>
          </cell>
          <cell r="CN13">
            <v>9235252000</v>
          </cell>
          <cell r="CO13">
            <v>0.350354853736489</v>
          </cell>
          <cell r="CP13">
            <v>940799000</v>
          </cell>
          <cell r="CQ13">
            <v>841156000</v>
          </cell>
          <cell r="CR13">
            <v>3268992000</v>
          </cell>
          <cell r="CS13">
            <v>2405533000</v>
          </cell>
          <cell r="CT13">
            <v>2175977000</v>
          </cell>
          <cell r="CU13">
            <v>1229685000</v>
          </cell>
          <cell r="CV13">
            <v>884644000</v>
          </cell>
          <cell r="CW13">
            <v>591917000</v>
          </cell>
          <cell r="CX13">
            <v>0.11845959607968082</v>
          </cell>
          <cell r="CY13">
            <v>0.42371143575055059</v>
          </cell>
          <cell r="CZ13">
            <v>0.35894706079692118</v>
          </cell>
          <cell r="DA13">
            <v>0.10549560036709948</v>
          </cell>
          <cell r="DB13">
            <v>0.76954016679068227</v>
          </cell>
          <cell r="DC13">
            <v>0.39003373108278594</v>
          </cell>
          <cell r="DD13">
            <v>0.4945406197152642</v>
          </cell>
          <cell r="DE13">
            <v>0.24041849682249197</v>
          </cell>
          <cell r="DG13">
            <v>5.5429260651275198</v>
          </cell>
          <cell r="DH13">
            <v>719145237</v>
          </cell>
          <cell r="DI13">
            <v>62</v>
          </cell>
          <cell r="DJ13" t="e">
            <v>#N/A</v>
          </cell>
          <cell r="DK13">
            <v>40440822738.050102</v>
          </cell>
          <cell r="DM13">
            <v>10124287000</v>
          </cell>
          <cell r="DN13" t="str">
            <v>NULL</v>
          </cell>
          <cell r="DO13" t="str">
            <v>NULL</v>
          </cell>
          <cell r="DP13">
            <v>90751000</v>
          </cell>
          <cell r="DQ13" t="str">
            <v>NULL</v>
          </cell>
          <cell r="DR13">
            <v>10033536000</v>
          </cell>
          <cell r="DS13" t="e">
            <v>#N/A</v>
          </cell>
          <cell r="DT13">
            <v>1.3082199999999999</v>
          </cell>
          <cell r="DU13">
            <v>1.14503</v>
          </cell>
          <cell r="DV13">
            <v>1.05582</v>
          </cell>
          <cell r="DW13">
            <v>1.1846300000000001</v>
          </cell>
          <cell r="DX13">
            <v>4.6936999999999998</v>
          </cell>
          <cell r="DY13">
            <v>13.443551995227647</v>
          </cell>
          <cell r="DZ13" t="e">
            <v>#N/A</v>
          </cell>
          <cell r="EA13">
            <v>2734198000</v>
          </cell>
          <cell r="EB13" t="e">
            <v>#N/A</v>
          </cell>
          <cell r="EC13">
            <v>12.9854911903189</v>
          </cell>
          <cell r="ED13">
            <v>0.92633545188366695</v>
          </cell>
          <cell r="EE13">
            <v>0.91440090094801296</v>
          </cell>
          <cell r="EG13">
            <v>0.44019745811899641</v>
          </cell>
          <cell r="EH13">
            <v>0.17287419897306378</v>
          </cell>
          <cell r="EK13" t="str">
            <v>NULL</v>
          </cell>
          <cell r="EM13">
            <v>12.5157101789469</v>
          </cell>
          <cell r="EN13">
            <v>12.4450503025</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52.4</v>
          </cell>
          <cell r="L14">
            <v>0</v>
          </cell>
          <cell r="M14">
            <v>0</v>
          </cell>
          <cell r="N14">
            <v>0.72299999999999998</v>
          </cell>
          <cell r="O14">
            <v>0</v>
          </cell>
          <cell r="P14">
            <v>0.72299999999999998</v>
          </cell>
          <cell r="Q14">
            <v>1.3797709923664123E-2</v>
          </cell>
          <cell r="S14">
            <v>123.637631226</v>
          </cell>
          <cell r="T14">
            <v>105.631901466</v>
          </cell>
          <cell r="U14">
            <v>43008</v>
          </cell>
          <cell r="V14">
            <v>289077543000</v>
          </cell>
          <cell r="W14">
            <v>275841116000</v>
          </cell>
          <cell r="X14">
            <v>249613887000</v>
          </cell>
          <cell r="Y14">
            <v>211351059000</v>
          </cell>
          <cell r="Z14">
            <v>23813266000</v>
          </cell>
          <cell r="AA14">
            <v>12.139348840264079</v>
          </cell>
          <cell r="AC14" t="str">
            <v>NULL</v>
          </cell>
          <cell r="AD14" t="str">
            <v>NULL</v>
          </cell>
          <cell r="AE14" t="str">
            <v>NULL</v>
          </cell>
          <cell r="AF14" t="str">
            <v>NULL</v>
          </cell>
          <cell r="AG14">
            <v>0</v>
          </cell>
          <cell r="AH14">
            <v>4672768000</v>
          </cell>
          <cell r="AI14">
            <v>4203084000</v>
          </cell>
          <cell r="AJ14">
            <v>3813525000</v>
          </cell>
          <cell r="AK14">
            <v>3594138000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22.987200000000001</v>
          </cell>
          <cell r="BF14">
            <v>1245926000</v>
          </cell>
          <cell r="BG14">
            <v>1248885000</v>
          </cell>
          <cell r="BH14">
            <v>1527129000</v>
          </cell>
          <cell r="BI14">
            <v>1657962000</v>
          </cell>
          <cell r="BJ14" t="e">
            <v>#DIV/0!</v>
          </cell>
          <cell r="BK14">
            <v>-1541767000</v>
          </cell>
          <cell r="BL14">
            <v>-1189328000</v>
          </cell>
          <cell r="BM14">
            <v>-228713000</v>
          </cell>
          <cell r="BN14">
            <v>-1727331000</v>
          </cell>
          <cell r="BO14">
            <v>-1054266000</v>
          </cell>
          <cell r="BP14">
            <v>-716214000</v>
          </cell>
          <cell r="BQ14">
            <v>-7248009000</v>
          </cell>
          <cell r="BR14">
            <v>-10354189000</v>
          </cell>
          <cell r="BS14">
            <v>-1774046000</v>
          </cell>
          <cell r="BT14">
            <v>34866625000</v>
          </cell>
          <cell r="BU14">
            <v>5143259000</v>
          </cell>
          <cell r="BV14">
            <v>-14165314000</v>
          </cell>
          <cell r="BW14" t="e">
            <v>#DIV/0!</v>
          </cell>
          <cell r="BX14">
            <v>2.2146379851737664E-2</v>
          </cell>
          <cell r="BY14">
            <v>23813266000</v>
          </cell>
          <cell r="BZ14">
            <v>24127393000</v>
          </cell>
          <cell r="CA14">
            <v>22878508000</v>
          </cell>
          <cell r="CB14">
            <v>21351379000</v>
          </cell>
          <cell r="CC14" t="str">
            <v>NULL</v>
          </cell>
          <cell r="CD14" t="str">
            <v>NULL</v>
          </cell>
          <cell r="CE14" t="str">
            <v>NULL</v>
          </cell>
          <cell r="CF14" t="str">
            <v>NULL</v>
          </cell>
          <cell r="CG14" t="str">
            <v>NULL</v>
          </cell>
          <cell r="CH14" t="str">
            <v>NULL</v>
          </cell>
          <cell r="CI14" t="str">
            <v>NULL</v>
          </cell>
          <cell r="CJ14" t="str">
            <v>NULL</v>
          </cell>
          <cell r="CK14">
            <v>23813266000</v>
          </cell>
          <cell r="CL14">
            <v>24127393000</v>
          </cell>
          <cell r="CM14">
            <v>22878508000</v>
          </cell>
          <cell r="CN14">
            <v>21351379000</v>
          </cell>
          <cell r="CO14">
            <v>0.24649531749546108</v>
          </cell>
          <cell r="CP14">
            <v>1245926000</v>
          </cell>
          <cell r="CQ14">
            <v>1324658000</v>
          </cell>
          <cell r="CR14">
            <v>5186580000</v>
          </cell>
          <cell r="CS14">
            <v>4208538000</v>
          </cell>
          <cell r="CT14">
            <v>3233041000</v>
          </cell>
          <cell r="CU14">
            <v>2289753000</v>
          </cell>
          <cell r="CV14">
            <v>1954377000</v>
          </cell>
          <cell r="CW14">
            <v>1676972000</v>
          </cell>
          <cell r="CX14">
            <v>-5.9435718502436119E-2</v>
          </cell>
          <cell r="CY14">
            <v>0.25662107532228789</v>
          </cell>
          <cell r="CZ14">
            <v>0.23239471759551655</v>
          </cell>
          <cell r="DA14">
            <v>0.30172738298091484</v>
          </cell>
          <cell r="DB14">
            <v>0.41196059138256391</v>
          </cell>
          <cell r="DC14">
            <v>0.17160251067219878</v>
          </cell>
          <cell r="DD14">
            <v>0.16542017398024544</v>
          </cell>
          <cell r="DE14">
            <v>0.1028319276658559</v>
          </cell>
          <cell r="DG14">
            <v>5.6682870697655696</v>
          </cell>
          <cell r="DH14">
            <v>2157806584</v>
          </cell>
          <cell r="DI14">
            <v>52.4</v>
          </cell>
          <cell r="DJ14">
            <v>112184003196.60001</v>
          </cell>
          <cell r="DK14">
            <v>69731182507.949997</v>
          </cell>
          <cell r="DM14">
            <v>23813266000</v>
          </cell>
          <cell r="DN14" t="str">
            <v>NULL</v>
          </cell>
          <cell r="DO14" t="str">
            <v>NULL</v>
          </cell>
          <cell r="DP14">
            <v>2236212000</v>
          </cell>
          <cell r="DQ14">
            <v>894814000</v>
          </cell>
          <cell r="DR14">
            <v>20682240000</v>
          </cell>
          <cell r="DS14">
            <v>5.42417084399949</v>
          </cell>
          <cell r="DT14">
            <v>0.57742000000000004</v>
          </cell>
          <cell r="DU14">
            <v>0.57879000000000003</v>
          </cell>
          <cell r="DV14">
            <v>0.70774000000000004</v>
          </cell>
          <cell r="DW14">
            <v>0.76837</v>
          </cell>
          <cell r="DX14">
            <v>2.63232</v>
          </cell>
          <cell r="DY14">
            <v>19.906394359348408</v>
          </cell>
          <cell r="DZ14" t="e">
            <v>#DIV/0!</v>
          </cell>
          <cell r="EA14">
            <v>-14881528000</v>
          </cell>
          <cell r="EB14">
            <v>-7.5384734145982861</v>
          </cell>
          <cell r="EC14">
            <v>18.557774130804798</v>
          </cell>
          <cell r="ED14">
            <v>0.68672421313368104</v>
          </cell>
          <cell r="EE14">
            <v>0.73692979758250299</v>
          </cell>
          <cell r="EG14">
            <v>0.43815885884424949</v>
          </cell>
          <cell r="EH14">
            <v>0.17940575144801785</v>
          </cell>
          <cell r="EK14">
            <v>1.4800409416581399</v>
          </cell>
          <cell r="EM14">
            <v>22.9442749628267</v>
          </cell>
          <cell r="EN14">
            <v>22.814738595400001</v>
          </cell>
        </row>
        <row r="15">
          <cell r="A15" t="str">
            <v>BYMA</v>
          </cell>
          <cell r="B15" t="str">
            <v>BYMA.BA</v>
          </cell>
          <cell r="C15" t="str">
            <v>BOLSAS Y MERCADOS ARGENTINOS SA</v>
          </cell>
          <cell r="D15">
            <v>43008</v>
          </cell>
          <cell r="E15">
            <v>16055121610</v>
          </cell>
          <cell r="F15">
            <v>13324125150</v>
          </cell>
          <cell r="G15">
            <v>1.2049700000000001</v>
          </cell>
          <cell r="H15">
            <v>1.2049700000000001</v>
          </cell>
          <cell r="I15">
            <v>1.17581</v>
          </cell>
          <cell r="J15">
            <v>1.17581</v>
          </cell>
          <cell r="K15">
            <v>315</v>
          </cell>
          <cell r="L15">
            <v>0</v>
          </cell>
          <cell r="M15">
            <v>0</v>
          </cell>
          <cell r="N15">
            <v>0</v>
          </cell>
          <cell r="O15" t="str">
            <v>NULL</v>
          </cell>
          <cell r="Q15">
            <v>0</v>
          </cell>
          <cell r="S15">
            <v>131.754078365</v>
          </cell>
          <cell r="T15">
            <v>105.135097946</v>
          </cell>
          <cell r="U15">
            <v>43008</v>
          </cell>
          <cell r="V15">
            <v>17698861280</v>
          </cell>
          <cell r="W15">
            <v>18353478240</v>
          </cell>
          <cell r="X15">
            <v>9955440020</v>
          </cell>
          <cell r="Y15" t="str">
            <v>NULL</v>
          </cell>
          <cell r="Z15">
            <v>4267877450</v>
          </cell>
          <cell r="AA15">
            <v>4.1469937896178344</v>
          </cell>
          <cell r="AC15">
            <v>231145200</v>
          </cell>
          <cell r="AD15">
            <v>221156540</v>
          </cell>
          <cell r="AE15">
            <v>202200550</v>
          </cell>
          <cell r="AF15" t="str">
            <v>NULL</v>
          </cell>
          <cell r="AG15">
            <v>5.6903565850538324E-2</v>
          </cell>
          <cell r="AH15">
            <v>7230700</v>
          </cell>
          <cell r="AI15">
            <v>5288970</v>
          </cell>
          <cell r="AJ15">
            <v>6187830</v>
          </cell>
          <cell r="AK15" t="str">
            <v>NULL</v>
          </cell>
          <cell r="AL15">
            <v>5085810</v>
          </cell>
          <cell r="AM15" t="str">
            <v>NULL</v>
          </cell>
          <cell r="AN15">
            <v>91410010</v>
          </cell>
          <cell r="AO15" t="str">
            <v>NULL</v>
          </cell>
          <cell r="AQ15">
            <v>114893570</v>
          </cell>
          <cell r="AR15">
            <v>109974050</v>
          </cell>
          <cell r="AS15">
            <v>107401760</v>
          </cell>
          <cell r="AT15" t="str">
            <v>NULL</v>
          </cell>
          <cell r="AU15">
            <v>61.766182514044374</v>
          </cell>
          <cell r="AV15" t="str">
            <v>NULL</v>
          </cell>
          <cell r="AW15" t="str">
            <v>NULL</v>
          </cell>
          <cell r="AX15" t="str">
            <v>NULL</v>
          </cell>
          <cell r="AY15" t="str">
            <v>NULL</v>
          </cell>
          <cell r="AZ15" t="e">
            <v>#DIV/0!</v>
          </cell>
          <cell r="BA15" t="e">
            <v>#DIV/0!</v>
          </cell>
          <cell r="BC15" t="str">
            <v>NULL</v>
          </cell>
          <cell r="BD15" t="str">
            <v>NULL</v>
          </cell>
          <cell r="BE15" t="str">
            <v>NULL</v>
          </cell>
          <cell r="BF15">
            <v>302296170</v>
          </cell>
          <cell r="BG15">
            <v>262258700</v>
          </cell>
          <cell r="BH15">
            <v>135989090</v>
          </cell>
          <cell r="BI15" t="str">
            <v>NULL</v>
          </cell>
          <cell r="BJ15">
            <v>1.0703460793085995</v>
          </cell>
          <cell r="BK15">
            <v>-72764580</v>
          </cell>
          <cell r="BL15">
            <v>-276441410</v>
          </cell>
          <cell r="BM15">
            <v>-1293552170</v>
          </cell>
          <cell r="BN15" t="str">
            <v>NULL</v>
          </cell>
          <cell r="BO15" t="str">
            <v>NULL</v>
          </cell>
          <cell r="BP15" t="e">
            <v>#VALUE!</v>
          </cell>
          <cell r="BQ15">
            <v>2272878700</v>
          </cell>
          <cell r="BR15">
            <v>6714096490</v>
          </cell>
          <cell r="BS15">
            <v>4886588120</v>
          </cell>
          <cell r="BT15" t="str">
            <v>NULL</v>
          </cell>
          <cell r="BU15" t="str">
            <v>NULL</v>
          </cell>
          <cell r="BV15" t="e">
            <v>#VALUE!</v>
          </cell>
          <cell r="BW15" t="e">
            <v>#VALUE!</v>
          </cell>
          <cell r="BX15">
            <v>4.5679924156583195E-2</v>
          </cell>
          <cell r="BY15">
            <v>4267877450</v>
          </cell>
          <cell r="BZ15">
            <v>3965856000</v>
          </cell>
          <cell r="CA15">
            <v>3703597300</v>
          </cell>
          <cell r="CB15" t="str">
            <v>NULL</v>
          </cell>
          <cell r="CC15" t="str">
            <v>NULL</v>
          </cell>
          <cell r="CD15" t="str">
            <v>NULL</v>
          </cell>
          <cell r="CE15" t="str">
            <v>NULL</v>
          </cell>
          <cell r="CF15" t="str">
            <v>NULL</v>
          </cell>
          <cell r="CG15" t="str">
            <v>NULL</v>
          </cell>
          <cell r="CH15" t="str">
            <v>NULL</v>
          </cell>
          <cell r="CI15" t="str">
            <v>NULL</v>
          </cell>
          <cell r="CJ15" t="str">
            <v>NULL</v>
          </cell>
          <cell r="CK15">
            <v>4267877450</v>
          </cell>
          <cell r="CL15">
            <v>3965856000</v>
          </cell>
          <cell r="CM15">
            <v>3703597300</v>
          </cell>
          <cell r="CN15">
            <v>0</v>
          </cell>
          <cell r="CO15">
            <v>0.23474057129563911</v>
          </cell>
          <cell r="CP15">
            <v>302296170</v>
          </cell>
          <cell r="CQ15" t="str">
            <v>NULL</v>
          </cell>
          <cell r="CR15" t="str">
            <v>NULL</v>
          </cell>
          <cell r="CS15" t="str">
            <v>NULL</v>
          </cell>
          <cell r="CT15" t="str">
            <v>NULL</v>
          </cell>
          <cell r="CU15" t="str">
            <v>NULL</v>
          </cell>
          <cell r="CV15" t="str">
            <v>NULL</v>
          </cell>
          <cell r="CW15" t="str">
            <v>NULL</v>
          </cell>
          <cell r="CX15" t="str">
            <v>-</v>
          </cell>
          <cell r="CY15" t="str">
            <v>-</v>
          </cell>
          <cell r="CZ15" t="e">
            <v>#VALUE!</v>
          </cell>
          <cell r="DA15" t="e">
            <v>#VALUE!</v>
          </cell>
          <cell r="DB15" t="e">
            <v>#VALUE!</v>
          </cell>
          <cell r="DC15" t="e">
            <v>#VALUE!</v>
          </cell>
          <cell r="DD15" t="e">
            <v>#VALUE!</v>
          </cell>
          <cell r="DE15" t="str">
            <v>-</v>
          </cell>
          <cell r="DG15" t="str">
            <v>NULL</v>
          </cell>
          <cell r="DH15">
            <v>76250000</v>
          </cell>
          <cell r="DI15">
            <v>312</v>
          </cell>
          <cell r="DJ15">
            <v>23790000000</v>
          </cell>
          <cell r="DK15">
            <v>19727284630</v>
          </cell>
          <cell r="DM15">
            <v>4267877450</v>
          </cell>
          <cell r="DN15" t="str">
            <v>NULL</v>
          </cell>
          <cell r="DO15" t="str">
            <v>NULL</v>
          </cell>
          <cell r="DP15">
            <v>670902540</v>
          </cell>
          <cell r="DQ15">
            <v>585208780</v>
          </cell>
          <cell r="DR15">
            <v>3011766130</v>
          </cell>
          <cell r="DS15">
            <v>7.8990197024361919</v>
          </cell>
          <cell r="DT15">
            <v>4.3031499999999996</v>
          </cell>
          <cell r="DU15">
            <v>3.43946</v>
          </cell>
          <cell r="DV15">
            <v>1.78346</v>
          </cell>
          <cell r="DW15" t="str">
            <v>NULL</v>
          </cell>
          <cell r="DX15">
            <v>9.5260699999999989</v>
          </cell>
          <cell r="DY15">
            <v>33.067151511588726</v>
          </cell>
          <cell r="DZ15">
            <v>36.348230347673805</v>
          </cell>
          <cell r="EA15" t="e">
            <v>#VALUE!</v>
          </cell>
          <cell r="EB15" t="e">
            <v>#VALUE!</v>
          </cell>
          <cell r="EC15" t="str">
            <v>NULL</v>
          </cell>
          <cell r="ED15">
            <v>0.73750482995720001</v>
          </cell>
          <cell r="EE15">
            <v>0.68356364022786797</v>
          </cell>
          <cell r="EG15" t="str">
            <v>-</v>
          </cell>
          <cell r="EH15" t="str">
            <v>-</v>
          </cell>
          <cell r="EK15" t="str">
            <v>NULL</v>
          </cell>
          <cell r="EM15" t="str">
            <v>NaN</v>
          </cell>
          <cell r="EN15" t="str">
            <v>NULL</v>
          </cell>
        </row>
        <row r="16">
          <cell r="A16" t="str">
            <v>CADO</v>
          </cell>
          <cell r="B16" t="str">
            <v>CAO.BA</v>
          </cell>
          <cell r="C16" t="str">
            <v>CARLOS CASADO SA</v>
          </cell>
          <cell r="D16">
            <v>43008</v>
          </cell>
          <cell r="E16">
            <v>295075090</v>
          </cell>
          <cell r="F16">
            <v>68667930</v>
          </cell>
          <cell r="G16">
            <v>4.2971300000000001</v>
          </cell>
          <cell r="H16">
            <v>3.9187500000000002</v>
          </cell>
          <cell r="I16">
            <v>3.8788</v>
          </cell>
          <cell r="J16">
            <v>3.27122</v>
          </cell>
          <cell r="K16">
            <v>8.5500000000000007</v>
          </cell>
          <cell r="L16">
            <v>0</v>
          </cell>
          <cell r="M16">
            <v>0</v>
          </cell>
          <cell r="N16">
            <v>0</v>
          </cell>
          <cell r="O16">
            <v>0.10289</v>
          </cell>
          <cell r="P16">
            <v>0.10289</v>
          </cell>
          <cell r="Q16">
            <v>1.203391812865497E-2</v>
          </cell>
          <cell r="S16">
            <v>1.235458E-2</v>
          </cell>
          <cell r="T16">
            <v>4.1414709999999999E-3</v>
          </cell>
          <cell r="U16">
            <v>43008</v>
          </cell>
          <cell r="V16">
            <v>753313990</v>
          </cell>
          <cell r="W16">
            <v>730318880</v>
          </cell>
          <cell r="X16">
            <v>687267510</v>
          </cell>
          <cell r="Y16">
            <v>669414020</v>
          </cell>
          <cell r="Z16">
            <v>653522850</v>
          </cell>
          <cell r="AA16">
            <v>1.1526972469287033</v>
          </cell>
          <cell r="AC16">
            <v>39023790</v>
          </cell>
          <cell r="AD16">
            <v>48797140</v>
          </cell>
          <cell r="AE16">
            <v>1724520</v>
          </cell>
          <cell r="AF16">
            <v>492470</v>
          </cell>
          <cell r="AG16">
            <v>0.15849751821091945</v>
          </cell>
          <cell r="AH16">
            <v>26254440</v>
          </cell>
          <cell r="AI16">
            <v>27357170</v>
          </cell>
          <cell r="AJ16">
            <v>34964210</v>
          </cell>
          <cell r="AK16">
            <v>1697280</v>
          </cell>
          <cell r="AL16">
            <v>34979180</v>
          </cell>
          <cell r="AM16">
            <v>51181160</v>
          </cell>
          <cell r="AN16">
            <v>3468700</v>
          </cell>
          <cell r="AO16">
            <v>798720</v>
          </cell>
          <cell r="AP16">
            <v>91.093933710179257</v>
          </cell>
          <cell r="AQ16">
            <v>4807090</v>
          </cell>
          <cell r="AR16">
            <v>11270740</v>
          </cell>
          <cell r="AS16" t="str">
            <v>NULL</v>
          </cell>
          <cell r="AT16">
            <v>0</v>
          </cell>
          <cell r="AU16">
            <v>21.725690501661227</v>
          </cell>
          <cell r="AV16">
            <v>25982900</v>
          </cell>
          <cell r="AW16">
            <v>42615810</v>
          </cell>
          <cell r="AX16">
            <v>12017050</v>
          </cell>
          <cell r="AY16">
            <v>9522450</v>
          </cell>
          <cell r="AZ16">
            <v>90.957817184678689</v>
          </cell>
          <cell r="BA16">
            <v>21.589573976160651</v>
          </cell>
          <cell r="BC16">
            <v>-138.80165</v>
          </cell>
          <cell r="BD16">
            <v>-666.21902999999998</v>
          </cell>
          <cell r="BE16">
            <v>1456.45146</v>
          </cell>
          <cell r="BF16">
            <v>767430</v>
          </cell>
          <cell r="BG16">
            <v>14430580</v>
          </cell>
          <cell r="BH16">
            <v>-719980</v>
          </cell>
          <cell r="BI16">
            <v>5050870</v>
          </cell>
          <cell r="BJ16">
            <v>0.2168963920979072</v>
          </cell>
          <cell r="BK16">
            <v>-8213280</v>
          </cell>
          <cell r="BL16">
            <v>-4573780</v>
          </cell>
          <cell r="BM16" t="str">
            <v>NULL</v>
          </cell>
          <cell r="BN16">
            <v>-9922760</v>
          </cell>
          <cell r="BO16">
            <v>-8120510</v>
          </cell>
          <cell r="BP16" t="e">
            <v>#VALUE!</v>
          </cell>
          <cell r="BQ16">
            <v>1581150</v>
          </cell>
          <cell r="BR16">
            <v>-7967920</v>
          </cell>
          <cell r="BS16">
            <v>-4698820</v>
          </cell>
          <cell r="BT16">
            <v>10810330</v>
          </cell>
          <cell r="BU16">
            <v>-18513740</v>
          </cell>
          <cell r="BV16">
            <v>15396070</v>
          </cell>
          <cell r="BW16" t="e">
            <v>#VALUE!</v>
          </cell>
          <cell r="BX16">
            <v>2.7502448320509871E-2</v>
          </cell>
          <cell r="BY16">
            <v>653522850</v>
          </cell>
          <cell r="BZ16">
            <v>628520710</v>
          </cell>
          <cell r="CA16">
            <v>586386360</v>
          </cell>
          <cell r="CB16">
            <v>604040680</v>
          </cell>
          <cell r="CC16" t="str">
            <v>NULL</v>
          </cell>
          <cell r="CD16" t="str">
            <v>NULL</v>
          </cell>
          <cell r="CE16" t="str">
            <v>NULL</v>
          </cell>
          <cell r="CF16" t="str">
            <v>NULL</v>
          </cell>
          <cell r="CG16" t="str">
            <v>NULL</v>
          </cell>
          <cell r="CH16" t="str">
            <v>NULL</v>
          </cell>
          <cell r="CI16" t="str">
            <v>NULL</v>
          </cell>
          <cell r="CJ16" t="str">
            <v>NULL</v>
          </cell>
          <cell r="CK16">
            <v>653522850</v>
          </cell>
          <cell r="CL16">
            <v>628520710</v>
          </cell>
          <cell r="CM16">
            <v>586386360</v>
          </cell>
          <cell r="CN16">
            <v>604040680</v>
          </cell>
          <cell r="CO16">
            <v>3.1594147165996636E-2</v>
          </cell>
          <cell r="CP16">
            <v>767430</v>
          </cell>
          <cell r="CQ16">
            <v>-543520</v>
          </cell>
          <cell r="CR16">
            <v>62241880</v>
          </cell>
          <cell r="CS16">
            <v>63969700</v>
          </cell>
          <cell r="CT16">
            <v>74752290</v>
          </cell>
          <cell r="CU16">
            <v>55495480</v>
          </cell>
          <cell r="CV16">
            <v>108238660</v>
          </cell>
          <cell r="CW16">
            <v>50835610</v>
          </cell>
          <cell r="CX16">
            <v>2.411962761259935</v>
          </cell>
          <cell r="CY16">
            <v>0.16352946935970675</v>
          </cell>
          <cell r="CZ16">
            <v>-2.7009975035055644E-2</v>
          </cell>
          <cell r="DA16">
            <v>-0.14424427666363127</v>
          </cell>
          <cell r="DB16">
            <v>0.34699780955133641</v>
          </cell>
          <cell r="DC16">
            <v>-0.48728596603099117</v>
          </cell>
          <cell r="DD16">
            <v>1.1291897549768755</v>
          </cell>
          <cell r="DE16">
            <v>0.61659368887160815</v>
          </cell>
          <cell r="DG16">
            <v>70.820872352990904</v>
          </cell>
          <cell r="DH16">
            <v>123200000</v>
          </cell>
          <cell r="DI16">
            <v>8.65</v>
          </cell>
          <cell r="DJ16">
            <v>1065680000</v>
          </cell>
          <cell r="DK16">
            <v>1049299750</v>
          </cell>
          <cell r="DM16">
            <v>653522850</v>
          </cell>
          <cell r="DN16" t="str">
            <v>NULL</v>
          </cell>
          <cell r="DO16" t="str">
            <v>NULL</v>
          </cell>
          <cell r="DP16" t="str">
            <v>NULL</v>
          </cell>
          <cell r="DQ16" t="str">
            <v>NULL</v>
          </cell>
          <cell r="DR16">
            <v>653522850</v>
          </cell>
          <cell r="DS16">
            <v>1.6306698380936488</v>
          </cell>
          <cell r="DT16">
            <v>8.2000000000000007E-3</v>
          </cell>
          <cell r="DU16">
            <v>9.4460000000000002E-2</v>
          </cell>
          <cell r="DV16">
            <v>-5.8399999999999997E-3</v>
          </cell>
          <cell r="DW16">
            <v>4.1000000000000002E-2</v>
          </cell>
          <cell r="DX16">
            <v>0.13782</v>
          </cell>
          <cell r="DY16">
            <v>62.037440139312153</v>
          </cell>
          <cell r="DZ16">
            <v>11.835902028834074</v>
          </cell>
          <cell r="EA16" t="e">
            <v>#VALUE!</v>
          </cell>
          <cell r="EB16" t="e">
            <v>#VALUE!</v>
          </cell>
          <cell r="EC16">
            <v>64.214192424901995</v>
          </cell>
          <cell r="ED16">
            <v>0.65490948404665905</v>
          </cell>
          <cell r="EE16">
            <v>0.505593278565037</v>
          </cell>
          <cell r="EG16">
            <v>0.33431878210149468</v>
          </cell>
          <cell r="EH16">
            <v>-1.6925022751430596E-3</v>
          </cell>
          <cell r="EK16">
            <v>1.8078117347796601</v>
          </cell>
          <cell r="EM16">
            <v>68.793670145081094</v>
          </cell>
          <cell r="EN16">
            <v>68.405282098399994</v>
          </cell>
        </row>
        <row r="17">
          <cell r="A17" t="str">
            <v>CAPU</v>
          </cell>
          <cell r="B17" t="str">
            <v>CAU.BA</v>
          </cell>
          <cell r="C17" t="str">
            <v>CAPUTO SAIC Y F</v>
          </cell>
          <cell r="D17">
            <v>43008</v>
          </cell>
          <cell r="E17">
            <v>913620000</v>
          </cell>
          <cell r="F17">
            <v>780397000</v>
          </cell>
          <cell r="G17">
            <v>1.1707099999999999</v>
          </cell>
          <cell r="H17">
            <v>1.17052</v>
          </cell>
          <cell r="I17">
            <v>1.11443</v>
          </cell>
          <cell r="J17">
            <v>1.1044700000000001</v>
          </cell>
          <cell r="K17">
            <v>14.85</v>
          </cell>
          <cell r="L17">
            <v>0</v>
          </cell>
          <cell r="M17">
            <v>0.17862</v>
          </cell>
          <cell r="N17">
            <v>0</v>
          </cell>
          <cell r="O17">
            <v>0</v>
          </cell>
          <cell r="P17">
            <v>0.17862</v>
          </cell>
          <cell r="Q17">
            <v>1.2028282828282829E-2</v>
          </cell>
          <cell r="S17">
            <v>23.523961559</v>
          </cell>
          <cell r="T17">
            <v>7.3297041519999997</v>
          </cell>
          <cell r="U17">
            <v>43008</v>
          </cell>
          <cell r="V17">
            <v>1323880000</v>
          </cell>
          <cell r="W17">
            <v>1286063000</v>
          </cell>
          <cell r="X17">
            <v>1161089000</v>
          </cell>
          <cell r="Y17">
            <v>909814000</v>
          </cell>
          <cell r="Z17">
            <v>498632000</v>
          </cell>
          <cell r="AA17">
            <v>2.6550241460636301</v>
          </cell>
          <cell r="AC17">
            <v>494840000</v>
          </cell>
          <cell r="AD17">
            <v>558076000</v>
          </cell>
          <cell r="AE17">
            <v>571282000</v>
          </cell>
          <cell r="AF17">
            <v>488104000</v>
          </cell>
          <cell r="AG17">
            <v>2.2563043007320971</v>
          </cell>
          <cell r="AH17">
            <v>167645000</v>
          </cell>
          <cell r="AI17">
            <v>185368000</v>
          </cell>
          <cell r="AJ17">
            <v>176917000</v>
          </cell>
          <cell r="AK17">
            <v>151712000</v>
          </cell>
          <cell r="AL17">
            <v>413100000</v>
          </cell>
          <cell r="AM17">
            <v>497578000</v>
          </cell>
          <cell r="AN17">
            <v>491396000</v>
          </cell>
          <cell r="AO17">
            <v>403954000</v>
          </cell>
          <cell r="AP17">
            <v>34.440126343556138</v>
          </cell>
          <cell r="AQ17">
            <v>578030000</v>
          </cell>
          <cell r="AR17">
            <v>573791000</v>
          </cell>
          <cell r="AS17">
            <v>634188000</v>
          </cell>
          <cell r="AT17">
            <v>437792000</v>
          </cell>
          <cell r="AU17">
            <v>96.066680450996117</v>
          </cell>
          <cell r="AV17">
            <v>147000</v>
          </cell>
          <cell r="AW17">
            <v>7946000</v>
          </cell>
          <cell r="AX17">
            <v>170000</v>
          </cell>
          <cell r="AY17">
            <v>170000</v>
          </cell>
          <cell r="AZ17">
            <v>0.42607935757363674</v>
          </cell>
          <cell r="BA17">
            <v>62.052633465013621</v>
          </cell>
          <cell r="BC17">
            <v>15.597770000000001</v>
          </cell>
          <cell r="BD17">
            <v>11.90441</v>
          </cell>
          <cell r="BE17">
            <v>9.1903299999999994</v>
          </cell>
          <cell r="BF17">
            <v>42147000</v>
          </cell>
          <cell r="BG17">
            <v>102443000</v>
          </cell>
          <cell r="BH17">
            <v>35865000</v>
          </cell>
          <cell r="BI17">
            <v>59624000</v>
          </cell>
          <cell r="BJ17">
            <v>0.11365751677553683</v>
          </cell>
          <cell r="BK17">
            <v>-2399000</v>
          </cell>
          <cell r="BL17">
            <v>-2249000</v>
          </cell>
          <cell r="BM17">
            <v>-1359000</v>
          </cell>
          <cell r="BN17">
            <v>-6670000</v>
          </cell>
          <cell r="BO17">
            <v>-5296000</v>
          </cell>
          <cell r="BP17">
            <v>1538000</v>
          </cell>
          <cell r="BQ17">
            <v>40309000</v>
          </cell>
          <cell r="BR17">
            <v>84607000</v>
          </cell>
          <cell r="BS17">
            <v>-61226000</v>
          </cell>
          <cell r="BT17">
            <v>-60733000</v>
          </cell>
          <cell r="BU17">
            <v>-91884000</v>
          </cell>
          <cell r="BV17">
            <v>70967000</v>
          </cell>
          <cell r="BW17">
            <v>3.4325110708601329E-2</v>
          </cell>
          <cell r="BX17">
            <v>0.20515864012616522</v>
          </cell>
          <cell r="BY17">
            <v>498632000</v>
          </cell>
          <cell r="BZ17">
            <v>456485000</v>
          </cell>
          <cell r="CA17">
            <v>384042000</v>
          </cell>
          <cell r="CB17">
            <v>348177000</v>
          </cell>
          <cell r="CC17" t="str">
            <v>NULL</v>
          </cell>
          <cell r="CD17" t="str">
            <v>NULL</v>
          </cell>
          <cell r="CE17" t="str">
            <v>NULL</v>
          </cell>
          <cell r="CF17" t="str">
            <v>NULL</v>
          </cell>
          <cell r="CG17" t="str">
            <v>NULL</v>
          </cell>
          <cell r="CH17" t="str">
            <v>NULL</v>
          </cell>
          <cell r="CI17" t="str">
            <v>NULL</v>
          </cell>
          <cell r="CJ17" t="str">
            <v>NULL</v>
          </cell>
          <cell r="CK17">
            <v>498632000</v>
          </cell>
          <cell r="CL17">
            <v>456485000</v>
          </cell>
          <cell r="CM17">
            <v>384042000</v>
          </cell>
          <cell r="CN17">
            <v>348177000</v>
          </cell>
          <cell r="CO17">
            <v>0.56913145929441444</v>
          </cell>
          <cell r="CP17">
            <v>42147000</v>
          </cell>
          <cell r="CQ17">
            <v>44052000</v>
          </cell>
          <cell r="CR17">
            <v>143739000</v>
          </cell>
          <cell r="CS17">
            <v>100111750</v>
          </cell>
          <cell r="CT17">
            <v>65788930</v>
          </cell>
          <cell r="CU17">
            <v>24408970</v>
          </cell>
          <cell r="CV17">
            <v>25867460</v>
          </cell>
          <cell r="CW17">
            <v>30052650</v>
          </cell>
          <cell r="CX17">
            <v>-4.3244347589212695E-2</v>
          </cell>
          <cell r="CY17">
            <v>0.49142566808242261</v>
          </cell>
          <cell r="CZ17">
            <v>0.43578550969291818</v>
          </cell>
          <cell r="DA17">
            <v>0.52171117542115364</v>
          </cell>
          <cell r="DB17">
            <v>1.695276777348655</v>
          </cell>
          <cell r="DC17">
            <v>-5.6383193402057996E-2</v>
          </cell>
          <cell r="DD17">
            <v>-0.13926192864855513</v>
          </cell>
          <cell r="DE17">
            <v>0.73333688129214036</v>
          </cell>
          <cell r="DG17">
            <v>15.790649444828</v>
          </cell>
          <cell r="DH17">
            <v>167959080</v>
          </cell>
          <cell r="DI17">
            <v>14.9</v>
          </cell>
          <cell r="DJ17">
            <v>2502590292</v>
          </cell>
          <cell r="DK17">
            <v>2447503292</v>
          </cell>
          <cell r="DM17">
            <v>498632000</v>
          </cell>
          <cell r="DN17" t="str">
            <v>NULL</v>
          </cell>
          <cell r="DO17" t="str">
            <v>NULL</v>
          </cell>
          <cell r="DP17">
            <v>1322000</v>
          </cell>
          <cell r="DQ17" t="str">
            <v>NULL</v>
          </cell>
          <cell r="DR17">
            <v>497310000</v>
          </cell>
          <cell r="DS17">
            <v>5.0322541111178136</v>
          </cell>
          <cell r="DT17">
            <v>0.25094</v>
          </cell>
          <cell r="DU17">
            <v>0.60992999999999997</v>
          </cell>
          <cell r="DV17">
            <v>0.21353</v>
          </cell>
          <cell r="DW17">
            <v>0.35499000000000003</v>
          </cell>
          <cell r="DX17">
            <v>1.4293900000000002</v>
          </cell>
          <cell r="DY17">
            <v>10.389047076025436</v>
          </cell>
          <cell r="DZ17">
            <v>1.1847691722111706</v>
          </cell>
          <cell r="EA17">
            <v>72505000</v>
          </cell>
          <cell r="EB17">
            <v>34.516106365078272</v>
          </cell>
          <cell r="EC17">
            <v>10.4240270325104</v>
          </cell>
          <cell r="ED17">
            <v>0.97053750674182004</v>
          </cell>
          <cell r="EE17">
            <v>0.89847504596168803</v>
          </cell>
          <cell r="EG17">
            <v>0.54474977032376781</v>
          </cell>
          <cell r="EH17">
            <v>0.26602594005104763</v>
          </cell>
          <cell r="EK17">
            <v>1.19875795302013</v>
          </cell>
          <cell r="EM17">
            <v>10.316315885729701</v>
          </cell>
          <cell r="EN17">
            <v>10.2580731176</v>
          </cell>
        </row>
        <row r="18">
          <cell r="A18" t="str">
            <v>CAPX</v>
          </cell>
          <cell r="B18" t="str">
            <v>CPS.BA</v>
          </cell>
          <cell r="C18" t="str">
            <v>CAPEX SA</v>
          </cell>
          <cell r="D18">
            <v>43039</v>
          </cell>
          <cell r="E18">
            <v>4440529030</v>
          </cell>
          <cell r="F18">
            <v>1044853780</v>
          </cell>
          <cell r="G18">
            <v>4.2499000000000002</v>
          </cell>
          <cell r="H18">
            <v>4.1983600000000001</v>
          </cell>
          <cell r="I18">
            <v>5.7540800000000001</v>
          </cell>
          <cell r="J18">
            <v>5.6993200000000002</v>
          </cell>
          <cell r="K18">
            <v>87</v>
          </cell>
          <cell r="L18">
            <v>0</v>
          </cell>
          <cell r="M18">
            <v>0</v>
          </cell>
          <cell r="N18" t="str">
            <v>NULL</v>
          </cell>
          <cell r="O18">
            <v>0</v>
          </cell>
          <cell r="P18">
            <v>0</v>
          </cell>
          <cell r="Q18">
            <v>0</v>
          </cell>
          <cell r="S18">
            <v>138.68179656359999</v>
          </cell>
          <cell r="T18">
            <v>145.063367962</v>
          </cell>
          <cell r="U18">
            <v>43039</v>
          </cell>
          <cell r="V18">
            <v>12531877000</v>
          </cell>
          <cell r="W18">
            <v>11947034800</v>
          </cell>
          <cell r="X18">
            <v>9230780750</v>
          </cell>
          <cell r="Y18">
            <v>9142724500</v>
          </cell>
          <cell r="Z18">
            <v>4194508410</v>
          </cell>
          <cell r="AA18">
            <v>2.9876867024805893</v>
          </cell>
          <cell r="AC18">
            <v>957634050</v>
          </cell>
          <cell r="AD18">
            <v>912574750</v>
          </cell>
          <cell r="AE18">
            <v>750498910</v>
          </cell>
          <cell r="AF18">
            <v>723252310</v>
          </cell>
          <cell r="AG18">
            <v>0.39017130090722341</v>
          </cell>
          <cell r="AH18">
            <v>328582140</v>
          </cell>
          <cell r="AI18">
            <v>201788270</v>
          </cell>
          <cell r="AJ18">
            <v>343973840</v>
          </cell>
          <cell r="AK18">
            <v>240614810</v>
          </cell>
          <cell r="AL18">
            <v>403069700</v>
          </cell>
          <cell r="AM18">
            <v>390108350</v>
          </cell>
          <cell r="AN18">
            <v>408000970</v>
          </cell>
          <cell r="AO18">
            <v>306071970</v>
          </cell>
          <cell r="AP18">
            <v>67.500379764222288</v>
          </cell>
          <cell r="AQ18">
            <v>774469580</v>
          </cell>
          <cell r="AR18">
            <v>731366310</v>
          </cell>
          <cell r="AS18">
            <v>653803420</v>
          </cell>
          <cell r="AT18">
            <v>464154620</v>
          </cell>
          <cell r="AU18">
            <v>71.598103649726056</v>
          </cell>
          <cell r="AV18">
            <v>53859540</v>
          </cell>
          <cell r="AW18">
            <v>41140660</v>
          </cell>
          <cell r="AX18">
            <v>37374490</v>
          </cell>
          <cell r="AY18">
            <v>37042580</v>
          </cell>
          <cell r="AZ18">
            <v>10.256636744687095</v>
          </cell>
          <cell r="BA18">
            <v>14.354360630190868</v>
          </cell>
          <cell r="BC18" t="str">
            <v>NULL</v>
          </cell>
          <cell r="BD18">
            <v>45.217480000000002</v>
          </cell>
          <cell r="BE18">
            <v>19.46142</v>
          </cell>
          <cell r="BF18">
            <v>270587030</v>
          </cell>
          <cell r="BG18">
            <v>-18656890</v>
          </cell>
          <cell r="BH18">
            <v>227574270</v>
          </cell>
          <cell r="BI18">
            <v>94910050</v>
          </cell>
          <cell r="BJ18">
            <v>0.17177671280890494</v>
          </cell>
          <cell r="BK18">
            <v>-317308540</v>
          </cell>
          <cell r="BL18">
            <v>-90223340</v>
          </cell>
          <cell r="BM18">
            <v>-976941570</v>
          </cell>
          <cell r="BN18">
            <v>-626902530</v>
          </cell>
          <cell r="BO18">
            <v>-434710820</v>
          </cell>
          <cell r="BP18">
            <v>-859539290</v>
          </cell>
          <cell r="BQ18">
            <v>999366530</v>
          </cell>
          <cell r="BR18">
            <v>242566700</v>
          </cell>
          <cell r="BS18">
            <v>2135458230</v>
          </cell>
          <cell r="BT18">
            <v>1635079200</v>
          </cell>
          <cell r="BU18">
            <v>1160729440</v>
          </cell>
          <cell r="BV18">
            <v>1974095320</v>
          </cell>
          <cell r="BW18">
            <v>0.33330423310503576</v>
          </cell>
          <cell r="BX18">
            <v>5.3617928653104996E-2</v>
          </cell>
          <cell r="BY18">
            <v>4194508410</v>
          </cell>
          <cell r="BZ18">
            <v>3923921380</v>
          </cell>
          <cell r="CA18">
            <v>3516882090</v>
          </cell>
          <cell r="CB18">
            <v>3375017560</v>
          </cell>
          <cell r="CC18" t="str">
            <v>NULL</v>
          </cell>
          <cell r="CD18" t="str">
            <v>NULL</v>
          </cell>
          <cell r="CE18" t="str">
            <v>NULL</v>
          </cell>
          <cell r="CF18" t="str">
            <v>NULL</v>
          </cell>
          <cell r="CG18" t="str">
            <v>NULL</v>
          </cell>
          <cell r="CH18" t="str">
            <v>NULL</v>
          </cell>
          <cell r="CI18" t="str">
            <v>NULL</v>
          </cell>
          <cell r="CJ18" t="str">
            <v>NULL</v>
          </cell>
          <cell r="CK18">
            <v>4194508410</v>
          </cell>
          <cell r="CL18">
            <v>3923921380</v>
          </cell>
          <cell r="CM18">
            <v>3516882090</v>
          </cell>
          <cell r="CN18">
            <v>3375017560</v>
          </cell>
          <cell r="CO18">
            <v>0.15307177961578436</v>
          </cell>
          <cell r="CP18">
            <v>270587030</v>
          </cell>
          <cell r="CQ18">
            <v>171060330</v>
          </cell>
          <cell r="CR18">
            <v>563534690</v>
          </cell>
          <cell r="CS18">
            <v>-259556430</v>
          </cell>
          <cell r="CT18">
            <v>531480</v>
          </cell>
          <cell r="CU18">
            <v>-224966820</v>
          </cell>
          <cell r="CV18">
            <v>-82350090</v>
          </cell>
          <cell r="CW18">
            <v>-14820230</v>
          </cell>
          <cell r="CX18">
            <v>0.58182221441990678</v>
          </cell>
          <cell r="CY18">
            <v>-98.296060562605774</v>
          </cell>
          <cell r="CZ18">
            <v>3.171145172554577</v>
          </cell>
          <cell r="DA18">
            <v>-489.36537593136148</v>
          </cell>
          <cell r="DB18">
            <v>1.0023624817206378</v>
          </cell>
          <cell r="DC18">
            <v>-1.7318345371571544</v>
          </cell>
          <cell r="DD18">
            <v>-4.556599998785444</v>
          </cell>
          <cell r="DE18">
            <v>218.63366409159673</v>
          </cell>
          <cell r="DG18">
            <v>8.5775967393918808</v>
          </cell>
          <cell r="DH18">
            <v>179802282</v>
          </cell>
          <cell r="DI18">
            <v>85</v>
          </cell>
          <cell r="DJ18">
            <v>15283193970</v>
          </cell>
          <cell r="DK18">
            <v>17672593771</v>
          </cell>
          <cell r="DM18">
            <v>4194508410</v>
          </cell>
          <cell r="DN18" t="str">
            <v>NULL</v>
          </cell>
          <cell r="DO18" t="str">
            <v>NULL</v>
          </cell>
          <cell r="DP18" t="str">
            <v>NULL</v>
          </cell>
          <cell r="DQ18" t="str">
            <v>NULL</v>
          </cell>
          <cell r="DR18">
            <v>4194508410</v>
          </cell>
          <cell r="DS18">
            <v>3.6436198181326329</v>
          </cell>
          <cell r="DT18">
            <v>1.50491</v>
          </cell>
          <cell r="DU18">
            <v>-0.10376000000000001</v>
          </cell>
          <cell r="DV18">
            <v>1.26569</v>
          </cell>
          <cell r="DW18">
            <v>0.52786</v>
          </cell>
          <cell r="DX18">
            <v>3.1946999999999997</v>
          </cell>
          <cell r="DY18">
            <v>27.232604000375623</v>
          </cell>
          <cell r="DZ18">
            <v>4.5703877673752809</v>
          </cell>
          <cell r="EA18">
            <v>1114556030</v>
          </cell>
          <cell r="EB18">
            <v>13.712360400580311</v>
          </cell>
          <cell r="EC18">
            <v>26.763076345196701</v>
          </cell>
          <cell r="ED18">
            <v>0.94265201808365595</v>
          </cell>
          <cell r="EE18">
            <v>1.1344312505287899</v>
          </cell>
          <cell r="EG18">
            <v>0.53156676521446422</v>
          </cell>
          <cell r="EH18">
            <v>8.3781074969947689E-2</v>
          </cell>
          <cell r="EK18" t="str">
            <v>NULL</v>
          </cell>
          <cell r="EM18">
            <v>49.801060575276203</v>
          </cell>
          <cell r="EN18">
            <v>49.519899000400002</v>
          </cell>
        </row>
        <row r="19">
          <cell r="A19" t="str">
            <v>CARC</v>
          </cell>
          <cell r="B19" t="str">
            <v>CARC.BA</v>
          </cell>
          <cell r="C19" t="str">
            <v>CARBOCLOR SA</v>
          </cell>
          <cell r="D19">
            <v>43008</v>
          </cell>
          <cell r="E19">
            <v>76970590</v>
          </cell>
          <cell r="F19">
            <v>527440020</v>
          </cell>
          <cell r="G19">
            <v>0.14593</v>
          </cell>
          <cell r="H19">
            <v>8.8660000000000003E-2</v>
          </cell>
          <cell r="I19">
            <v>0.13925000000000001</v>
          </cell>
          <cell r="J19">
            <v>9.9440000000000001E-2</v>
          </cell>
          <cell r="K19">
            <v>1.34</v>
          </cell>
          <cell r="L19">
            <v>0</v>
          </cell>
          <cell r="M19">
            <v>0</v>
          </cell>
          <cell r="N19">
            <v>0</v>
          </cell>
          <cell r="O19">
            <v>0</v>
          </cell>
          <cell r="P19">
            <v>0</v>
          </cell>
          <cell r="Q19">
            <v>0</v>
          </cell>
          <cell r="S19" t="str">
            <v>NULL</v>
          </cell>
          <cell r="T19" t="str">
            <v>NULL</v>
          </cell>
          <cell r="U19">
            <v>43008</v>
          </cell>
          <cell r="V19">
            <v>216656120</v>
          </cell>
          <cell r="W19">
            <v>242354300</v>
          </cell>
          <cell r="X19">
            <v>415092970</v>
          </cell>
          <cell r="Y19">
            <v>431223560</v>
          </cell>
          <cell r="Z19">
            <v>-331088390</v>
          </cell>
          <cell r="AA19">
            <v>-0.65437546752998499</v>
          </cell>
          <cell r="AC19">
            <v>14486760</v>
          </cell>
          <cell r="AD19">
            <v>20243600</v>
          </cell>
          <cell r="AE19">
            <v>21998520</v>
          </cell>
          <cell r="AF19">
            <v>204185260</v>
          </cell>
          <cell r="AG19">
            <v>0.99938771534069581</v>
          </cell>
          <cell r="AH19">
            <v>18701780</v>
          </cell>
          <cell r="AI19">
            <v>11417380</v>
          </cell>
          <cell r="AJ19">
            <v>37263780</v>
          </cell>
          <cell r="AK19">
            <v>175121190</v>
          </cell>
          <cell r="AL19">
            <v>25020950</v>
          </cell>
          <cell r="AM19">
            <v>10984420</v>
          </cell>
          <cell r="AN19">
            <v>5136770</v>
          </cell>
          <cell r="AO19">
            <v>199023430</v>
          </cell>
          <cell r="AP19">
            <v>92.13852702741697</v>
          </cell>
          <cell r="AQ19">
            <v>11353720</v>
          </cell>
          <cell r="AR19">
            <v>13866560</v>
          </cell>
          <cell r="AS19">
            <v>50692690</v>
          </cell>
          <cell r="AT19">
            <v>61753390</v>
          </cell>
          <cell r="AU19">
            <v>48.146318746849055</v>
          </cell>
          <cell r="AV19">
            <v>30207530</v>
          </cell>
          <cell r="AW19">
            <v>29314940</v>
          </cell>
          <cell r="AX19">
            <v>59114090</v>
          </cell>
          <cell r="AY19">
            <v>65720160</v>
          </cell>
          <cell r="AZ19">
            <v>70.045638515129383</v>
          </cell>
          <cell r="BA19">
            <v>26.053430234561475</v>
          </cell>
          <cell r="BC19">
            <v>9.1384100000000004</v>
          </cell>
          <cell r="BD19">
            <v>-11.06898</v>
          </cell>
          <cell r="BE19">
            <v>-31.57226</v>
          </cell>
          <cell r="BF19">
            <v>-32569020</v>
          </cell>
          <cell r="BG19">
            <v>4806810</v>
          </cell>
          <cell r="BH19">
            <v>757590</v>
          </cell>
          <cell r="BI19">
            <v>-61194940</v>
          </cell>
          <cell r="BJ19">
            <v>-0.33804055234415431</v>
          </cell>
          <cell r="BK19">
            <v>-1724580</v>
          </cell>
          <cell r="BL19">
            <v>-1019250</v>
          </cell>
          <cell r="BM19">
            <v>-785220</v>
          </cell>
          <cell r="BN19">
            <v>-45231130</v>
          </cell>
          <cell r="BO19">
            <v>-42849140</v>
          </cell>
          <cell r="BP19">
            <v>40339340</v>
          </cell>
          <cell r="BQ19">
            <v>-263848640</v>
          </cell>
          <cell r="BR19">
            <v>-10946900</v>
          </cell>
          <cell r="BS19">
            <v>3844760</v>
          </cell>
          <cell r="BT19">
            <v>-1265580</v>
          </cell>
          <cell r="BU19">
            <v>-18187790</v>
          </cell>
          <cell r="BV19">
            <v>-241816090</v>
          </cell>
          <cell r="BW19">
            <v>-0.77219559660507475</v>
          </cell>
          <cell r="BX19">
            <v>-0.27027576501044431</v>
          </cell>
          <cell r="BY19">
            <v>-331088390</v>
          </cell>
          <cell r="BZ19">
            <v>-513608420</v>
          </cell>
          <cell r="CA19">
            <v>-120908470</v>
          </cell>
          <cell r="CB19">
            <v>-93706170</v>
          </cell>
          <cell r="CC19" t="str">
            <v>NULL</v>
          </cell>
          <cell r="CD19" t="str">
            <v>NULL</v>
          </cell>
          <cell r="CE19" t="str">
            <v>NULL</v>
          </cell>
          <cell r="CF19" t="str">
            <v>NULL</v>
          </cell>
          <cell r="CG19" t="str">
            <v>NULL</v>
          </cell>
          <cell r="CH19" t="str">
            <v>NULL</v>
          </cell>
          <cell r="CI19" t="str">
            <v>NULL</v>
          </cell>
          <cell r="CJ19" t="str">
            <v>NULL</v>
          </cell>
          <cell r="CK19">
            <v>-331088390</v>
          </cell>
          <cell r="CL19">
            <v>-513608420</v>
          </cell>
          <cell r="CM19">
            <v>-120908470</v>
          </cell>
          <cell r="CN19">
            <v>-93706170</v>
          </cell>
          <cell r="CO19" t="str">
            <v>-</v>
          </cell>
          <cell r="CP19">
            <v>-32569020</v>
          </cell>
          <cell r="CQ19">
            <v>-12809390</v>
          </cell>
          <cell r="CR19">
            <v>-265766560</v>
          </cell>
          <cell r="CS19">
            <v>-68673860</v>
          </cell>
          <cell r="CT19">
            <v>-46316220</v>
          </cell>
          <cell r="CU19">
            <v>-28331250</v>
          </cell>
          <cell r="CV19">
            <v>13512840</v>
          </cell>
          <cell r="CW19">
            <v>2587330</v>
          </cell>
          <cell r="CX19">
            <v>-1.5425894597635015</v>
          </cell>
          <cell r="CY19">
            <v>-0.57228584716572239</v>
          </cell>
          <cell r="CZ19">
            <v>-2.8699813873867002</v>
          </cell>
          <cell r="DA19">
            <v>-0.48271728565068561</v>
          </cell>
          <cell r="DB19">
            <v>-0.63481032428855055</v>
          </cell>
          <cell r="DC19">
            <v>-3.0966169953910505</v>
          </cell>
          <cell r="DD19">
            <v>4.2226967568883751</v>
          </cell>
          <cell r="DE19">
            <v>2.9434436699249376</v>
          </cell>
          <cell r="DG19" t="str">
            <v>NULL</v>
          </cell>
          <cell r="DH19">
            <v>458152457</v>
          </cell>
          <cell r="DI19">
            <v>1.24</v>
          </cell>
          <cell r="DJ19">
            <v>568109046.67999995</v>
          </cell>
          <cell r="DK19">
            <v>567801876.68000102</v>
          </cell>
          <cell r="DM19">
            <v>-331088390</v>
          </cell>
          <cell r="DN19" t="str">
            <v>NULL</v>
          </cell>
          <cell r="DO19" t="str">
            <v>NULL</v>
          </cell>
          <cell r="DP19">
            <v>546540</v>
          </cell>
          <cell r="DQ19" t="str">
            <v>NULL</v>
          </cell>
          <cell r="DR19">
            <v>-331634930</v>
          </cell>
          <cell r="DS19">
            <v>-1.7130555176440549</v>
          </cell>
          <cell r="DT19">
            <v>-6.9430000000000006E-2</v>
          </cell>
          <cell r="DU19">
            <v>1.3299999999999999E-2</v>
          </cell>
          <cell r="DV19">
            <v>2.1700000000000001E-3</v>
          </cell>
          <cell r="DW19">
            <v>-0.21598999999999999</v>
          </cell>
          <cell r="DX19">
            <v>-0.26995000000000002</v>
          </cell>
          <cell r="DY19">
            <v>-4.9638822004074825</v>
          </cell>
          <cell r="DZ19">
            <v>2.1773792968062211</v>
          </cell>
          <cell r="EA19">
            <v>-201476750</v>
          </cell>
          <cell r="EB19">
            <v>-2.8197250882794167</v>
          </cell>
          <cell r="EC19" t="str">
            <v>NULL</v>
          </cell>
          <cell r="ED19">
            <v>0.64440238588092202</v>
          </cell>
          <cell r="EE19">
            <v>0.59330357056083904</v>
          </cell>
          <cell r="EG19">
            <v>0.51942601287602252</v>
          </cell>
          <cell r="EH19">
            <v>-0.13158780017205263</v>
          </cell>
          <cell r="EK19">
            <v>0</v>
          </cell>
          <cell r="EM19">
            <v>-8.6147541069748907</v>
          </cell>
          <cell r="EN19" t="str">
            <v>NULL</v>
          </cell>
        </row>
        <row r="20">
          <cell r="A20" t="str">
            <v>CECO2</v>
          </cell>
          <cell r="B20" t="str">
            <v>CEC.BA</v>
          </cell>
          <cell r="C20" t="str">
            <v>ENDESA COSTANERA SA</v>
          </cell>
          <cell r="D20">
            <v>43008</v>
          </cell>
          <cell r="E20">
            <v>1413757190</v>
          </cell>
          <cell r="F20">
            <v>1587557650</v>
          </cell>
          <cell r="G20">
            <v>0.89051999999999998</v>
          </cell>
          <cell r="H20">
            <v>0.85192000000000001</v>
          </cell>
          <cell r="I20">
            <v>0.78229000000000004</v>
          </cell>
          <cell r="J20">
            <v>0.74336999999999998</v>
          </cell>
          <cell r="K20">
            <v>19.400000000000002</v>
          </cell>
          <cell r="L20">
            <v>0</v>
          </cell>
          <cell r="M20">
            <v>0</v>
          </cell>
          <cell r="N20">
            <v>0</v>
          </cell>
          <cell r="O20" t="str">
            <v>NULL</v>
          </cell>
          <cell r="P20">
            <v>0</v>
          </cell>
          <cell r="Q20">
            <v>0</v>
          </cell>
          <cell r="S20">
            <v>140.91334882699999</v>
          </cell>
          <cell r="T20">
            <v>142.875059021</v>
          </cell>
          <cell r="U20">
            <v>43008</v>
          </cell>
          <cell r="V20">
            <v>4877351820</v>
          </cell>
          <cell r="W20">
            <v>4648798180</v>
          </cell>
          <cell r="X20">
            <v>4429818040</v>
          </cell>
          <cell r="Y20">
            <v>4434506570</v>
          </cell>
          <cell r="Z20">
            <v>609015070</v>
          </cell>
          <cell r="AA20">
            <v>8.0085897053417749</v>
          </cell>
          <cell r="AC20">
            <v>688070780</v>
          </cell>
          <cell r="AD20">
            <v>668704280</v>
          </cell>
          <cell r="AE20">
            <v>392518480</v>
          </cell>
          <cell r="AF20">
            <v>545031160</v>
          </cell>
          <cell r="AG20">
            <v>0.62377926158924279</v>
          </cell>
          <cell r="AH20">
            <v>950004850</v>
          </cell>
          <cell r="AI20">
            <v>970333080</v>
          </cell>
          <cell r="AJ20">
            <v>859868820</v>
          </cell>
          <cell r="AK20">
            <v>972351790</v>
          </cell>
          <cell r="AL20">
            <v>441888420</v>
          </cell>
          <cell r="AM20">
            <v>441515990</v>
          </cell>
          <cell r="AN20">
            <v>377959520</v>
          </cell>
          <cell r="AO20">
            <v>263473740</v>
          </cell>
          <cell r="AP20">
            <v>224.56224259924011</v>
          </cell>
          <cell r="AQ20">
            <v>576843160</v>
          </cell>
          <cell r="AR20">
            <v>690006360</v>
          </cell>
          <cell r="AS20">
            <v>521246390</v>
          </cell>
          <cell r="AT20">
            <v>355619220</v>
          </cell>
          <cell r="AU20">
            <v>85.259948433846347</v>
          </cell>
          <cell r="AV20">
            <v>61289410</v>
          </cell>
          <cell r="AW20">
            <v>55027240</v>
          </cell>
          <cell r="AX20">
            <v>50085950</v>
          </cell>
          <cell r="AY20">
            <v>52412440</v>
          </cell>
          <cell r="AZ20">
            <v>13.094424929835318</v>
          </cell>
          <cell r="BA20">
            <v>-126.20786923555845</v>
          </cell>
          <cell r="BC20">
            <v>38.352260000000001</v>
          </cell>
          <cell r="BD20">
            <v>25.088750000000001</v>
          </cell>
          <cell r="BE20">
            <v>5.92483</v>
          </cell>
          <cell r="BF20">
            <v>38436940</v>
          </cell>
          <cell r="BG20">
            <v>37549850</v>
          </cell>
          <cell r="BH20">
            <v>-100646740</v>
          </cell>
          <cell r="BI20">
            <v>117307340</v>
          </cell>
          <cell r="BJ20">
            <v>4.0381115192631628E-2</v>
          </cell>
          <cell r="BK20">
            <v>-208089430</v>
          </cell>
          <cell r="BL20">
            <v>-145734030</v>
          </cell>
          <cell r="BM20">
            <v>-35504440</v>
          </cell>
          <cell r="BN20">
            <v>-1141796370</v>
          </cell>
          <cell r="BO20">
            <v>-684865900</v>
          </cell>
          <cell r="BP20">
            <v>441272030</v>
          </cell>
          <cell r="BQ20">
            <v>619553020</v>
          </cell>
          <cell r="BR20">
            <v>91136780</v>
          </cell>
          <cell r="BS20">
            <v>-182572820</v>
          </cell>
          <cell r="BT20">
            <v>948139830</v>
          </cell>
          <cell r="BU20">
            <v>539213400</v>
          </cell>
          <cell r="BV20">
            <v>-102233200</v>
          </cell>
          <cell r="BW20">
            <v>0.14777281960134064</v>
          </cell>
          <cell r="BX20">
            <v>2.0151168899060837E-2</v>
          </cell>
          <cell r="BY20">
            <v>609015070</v>
          </cell>
          <cell r="BZ20">
            <v>570578130</v>
          </cell>
          <cell r="CA20">
            <v>533028280</v>
          </cell>
          <cell r="CB20">
            <v>633675020</v>
          </cell>
          <cell r="CC20" t="str">
            <v>NULL</v>
          </cell>
          <cell r="CD20" t="str">
            <v>NULL</v>
          </cell>
          <cell r="CE20" t="str">
            <v>NULL</v>
          </cell>
          <cell r="CF20" t="str">
            <v>NULL</v>
          </cell>
          <cell r="CG20" t="str">
            <v>NULL</v>
          </cell>
          <cell r="CH20" t="str">
            <v>NULL</v>
          </cell>
          <cell r="CI20" t="str">
            <v>NULL</v>
          </cell>
          <cell r="CJ20" t="str">
            <v>NULL</v>
          </cell>
          <cell r="CK20">
            <v>609015070</v>
          </cell>
          <cell r="CL20">
            <v>570578130</v>
          </cell>
          <cell r="CM20">
            <v>533028280</v>
          </cell>
          <cell r="CN20">
            <v>633675020</v>
          </cell>
          <cell r="CO20">
            <v>0.15794660223036602</v>
          </cell>
          <cell r="CP20">
            <v>38436940</v>
          </cell>
          <cell r="CQ20">
            <v>32793890</v>
          </cell>
          <cell r="CR20">
            <v>116459890</v>
          </cell>
          <cell r="CS20">
            <v>-90756580</v>
          </cell>
          <cell r="CT20">
            <v>601539250</v>
          </cell>
          <cell r="CU20">
            <v>-199443740</v>
          </cell>
          <cell r="CV20">
            <v>-451450580</v>
          </cell>
          <cell r="CW20">
            <v>-185748510</v>
          </cell>
          <cell r="CX20">
            <v>0.17207626176705482</v>
          </cell>
          <cell r="CY20">
            <v>0.85523968908640735</v>
          </cell>
          <cell r="CZ20">
            <v>2.2832115313291883</v>
          </cell>
          <cell r="DA20">
            <v>-1.1508739122176981</v>
          </cell>
          <cell r="DB20">
            <v>4.0160848868959231</v>
          </cell>
          <cell r="DC20">
            <v>0.55821578521396509</v>
          </cell>
          <cell r="DD20">
            <v>-1.4304398457893419</v>
          </cell>
          <cell r="DE20">
            <v>2.3112275885183013</v>
          </cell>
          <cell r="DG20">
            <v>16.1583858469204</v>
          </cell>
          <cell r="DH20">
            <v>701988378</v>
          </cell>
          <cell r="DI20">
            <v>18.8</v>
          </cell>
          <cell r="DJ20">
            <v>13197381506.4</v>
          </cell>
          <cell r="DK20">
            <v>12384234177.200001</v>
          </cell>
          <cell r="DM20">
            <v>609015070</v>
          </cell>
          <cell r="DN20" t="str">
            <v>NULL</v>
          </cell>
          <cell r="DO20" t="str">
            <v>NULL</v>
          </cell>
          <cell r="DP20" t="str">
            <v>NULL</v>
          </cell>
          <cell r="DQ20" t="str">
            <v>NULL</v>
          </cell>
          <cell r="DR20">
            <v>609015070</v>
          </cell>
          <cell r="DS20">
            <v>21.670040950546593</v>
          </cell>
          <cell r="DT20">
            <v>5.475E-2</v>
          </cell>
          <cell r="DU20">
            <v>5.3490000000000003E-2</v>
          </cell>
          <cell r="DV20">
            <v>-0.14337</v>
          </cell>
          <cell r="DW20">
            <v>0.16711000000000001</v>
          </cell>
          <cell r="DX20">
            <v>0.13198000000000001</v>
          </cell>
          <cell r="DY20">
            <v>146.99196848007273</v>
          </cell>
          <cell r="DZ20">
            <v>5.7521856023255991</v>
          </cell>
          <cell r="EA20">
            <v>339038830</v>
          </cell>
          <cell r="EB20">
            <v>38.925870250319115</v>
          </cell>
          <cell r="EC20">
            <v>131.83815729656001</v>
          </cell>
          <cell r="ED20">
            <v>1.4782576265873699</v>
          </cell>
          <cell r="EE20">
            <v>1.4950392859103301</v>
          </cell>
          <cell r="EG20">
            <v>0.53591589165563169</v>
          </cell>
          <cell r="EH20">
            <v>-1.8524155527177566E-2</v>
          </cell>
          <cell r="EK20" t="str">
            <v>NULL</v>
          </cell>
          <cell r="EM20">
            <v>1450.01525118274</v>
          </cell>
          <cell r="EN20">
            <v>1441.8289080221</v>
          </cell>
        </row>
        <row r="21">
          <cell r="A21" t="str">
            <v>CELU</v>
          </cell>
          <cell r="B21" t="str">
            <v>CEL.BA</v>
          </cell>
          <cell r="C21" t="str">
            <v>CELULOSA ARGENTINA SA</v>
          </cell>
          <cell r="D21">
            <v>43069</v>
          </cell>
          <cell r="E21">
            <v>2008533000</v>
          </cell>
          <cell r="F21">
            <v>2687533000</v>
          </cell>
          <cell r="G21">
            <v>0.74734999999999996</v>
          </cell>
          <cell r="H21">
            <v>0.46849000000000002</v>
          </cell>
          <cell r="I21">
            <v>0.81369999999999998</v>
          </cell>
          <cell r="J21">
            <v>0.56005000000000005</v>
          </cell>
          <cell r="K21">
            <v>16</v>
          </cell>
          <cell r="L21">
            <v>0</v>
          </cell>
          <cell r="M21">
            <v>0</v>
          </cell>
          <cell r="N21" t="str">
            <v>NULL</v>
          </cell>
          <cell r="O21">
            <v>0</v>
          </cell>
          <cell r="P21">
            <v>0</v>
          </cell>
          <cell r="Q21">
            <v>0</v>
          </cell>
          <cell r="S21">
            <v>225.63948478040001</v>
          </cell>
          <cell r="T21">
            <v>219.80968563600001</v>
          </cell>
          <cell r="U21">
            <v>43069</v>
          </cell>
          <cell r="V21">
            <v>6402756000</v>
          </cell>
          <cell r="W21">
            <v>6463367000</v>
          </cell>
          <cell r="X21">
            <v>6361983000</v>
          </cell>
          <cell r="Y21">
            <v>5404479000</v>
          </cell>
          <cell r="Z21">
            <v>1299640000</v>
          </cell>
          <cell r="AA21">
            <v>4.9265612015635103</v>
          </cell>
          <cell r="AC21">
            <v>1120496000</v>
          </cell>
          <cell r="AD21">
            <v>1169862000</v>
          </cell>
          <cell r="AE21">
            <v>1046954000</v>
          </cell>
          <cell r="AF21">
            <v>1027069000</v>
          </cell>
          <cell r="AG21">
            <v>0.88589430810522096</v>
          </cell>
          <cell r="AH21">
            <v>193630000</v>
          </cell>
          <cell r="AI21">
            <v>191258000</v>
          </cell>
          <cell r="AJ21">
            <v>175235000</v>
          </cell>
          <cell r="AK21">
            <v>165885000</v>
          </cell>
          <cell r="AL21">
            <v>955088000</v>
          </cell>
          <cell r="AM21">
            <v>975911000</v>
          </cell>
          <cell r="AN21">
            <v>943504000</v>
          </cell>
          <cell r="AO21">
            <v>894419000</v>
          </cell>
          <cell r="AP21">
            <v>17.577500940587253</v>
          </cell>
          <cell r="AQ21">
            <v>858335000</v>
          </cell>
          <cell r="AR21">
            <v>915523000</v>
          </cell>
          <cell r="AS21">
            <v>879653000</v>
          </cell>
          <cell r="AT21">
            <v>928485000</v>
          </cell>
          <cell r="AU21">
            <v>74.891980099812542</v>
          </cell>
          <cell r="AV21">
            <v>749438000</v>
          </cell>
          <cell r="AW21">
            <v>676523000</v>
          </cell>
          <cell r="AX21">
            <v>614527000</v>
          </cell>
          <cell r="AY21">
            <v>703686000</v>
          </cell>
          <cell r="AZ21">
            <v>66.439655026026003</v>
          </cell>
          <cell r="BA21">
            <v>123.75413418525129</v>
          </cell>
          <cell r="BC21">
            <v>9.8205899999999993</v>
          </cell>
          <cell r="BD21">
            <v>-13.91183</v>
          </cell>
          <cell r="BE21">
            <v>-29.125409999999999</v>
          </cell>
          <cell r="BF21">
            <v>-49487000</v>
          </cell>
          <cell r="BG21">
            <v>-115904000</v>
          </cell>
          <cell r="BH21">
            <v>-834527000</v>
          </cell>
          <cell r="BI21">
            <v>-81245000</v>
          </cell>
          <cell r="BJ21">
            <v>-0.24772424772264384</v>
          </cell>
          <cell r="BK21">
            <v>-83760000</v>
          </cell>
          <cell r="BL21">
            <v>-49420000</v>
          </cell>
          <cell r="BM21">
            <v>-120407000</v>
          </cell>
          <cell r="BN21">
            <v>-103538000</v>
          </cell>
          <cell r="BO21">
            <v>-64001000</v>
          </cell>
          <cell r="BP21">
            <v>-140166000</v>
          </cell>
          <cell r="BQ21">
            <v>138130000</v>
          </cell>
          <cell r="BR21">
            <v>154943000</v>
          </cell>
          <cell r="BS21">
            <v>53162000</v>
          </cell>
          <cell r="BT21">
            <v>52466000</v>
          </cell>
          <cell r="BU21">
            <v>172805000</v>
          </cell>
          <cell r="BV21">
            <v>18487000</v>
          </cell>
          <cell r="BW21">
            <v>-2.7880013225243166E-2</v>
          </cell>
          <cell r="BX21">
            <v>-0.17556630779920174</v>
          </cell>
          <cell r="BY21">
            <v>1299640000</v>
          </cell>
          <cell r="BZ21">
            <v>1351238000</v>
          </cell>
          <cell r="CA21">
            <v>1448099000</v>
          </cell>
          <cell r="CB21">
            <v>1006824000</v>
          </cell>
          <cell r="CC21" t="str">
            <v>NULL</v>
          </cell>
          <cell r="CD21" t="str">
            <v>NULL</v>
          </cell>
          <cell r="CE21" t="str">
            <v>NULL</v>
          </cell>
          <cell r="CF21" t="str">
            <v>NULL</v>
          </cell>
          <cell r="CG21" t="str">
            <v>NULL</v>
          </cell>
          <cell r="CH21" t="str">
            <v>NULL</v>
          </cell>
          <cell r="CI21" t="str">
            <v>NULL</v>
          </cell>
          <cell r="CJ21" t="str">
            <v>NULL</v>
          </cell>
          <cell r="CK21">
            <v>1299640000</v>
          </cell>
          <cell r="CL21">
            <v>1351238000</v>
          </cell>
          <cell r="CM21">
            <v>1448099000</v>
          </cell>
          <cell r="CN21">
            <v>1006824000</v>
          </cell>
          <cell r="CO21">
            <v>-0.84700755082307355</v>
          </cell>
          <cell r="CP21">
            <v>-49487000</v>
          </cell>
          <cell r="CQ21">
            <v>-170066000</v>
          </cell>
          <cell r="CR21">
            <v>-1227135000</v>
          </cell>
          <cell r="CS21">
            <v>-100103000</v>
          </cell>
          <cell r="CT21">
            <v>76162000</v>
          </cell>
          <cell r="CU21">
            <v>-157525000</v>
          </cell>
          <cell r="CV21">
            <v>-79381000</v>
          </cell>
          <cell r="CW21">
            <v>23239000</v>
          </cell>
          <cell r="CX21">
            <v>0.7090129714346195</v>
          </cell>
          <cell r="CY21">
            <v>-3.4979689407344141</v>
          </cell>
          <cell r="CZ21">
            <v>-11.258723514779776</v>
          </cell>
          <cell r="DA21">
            <v>-2.3143431107376382</v>
          </cell>
          <cell r="DB21">
            <v>1.4834915092842407</v>
          </cell>
          <cell r="DC21">
            <v>-0.98441692596465158</v>
          </cell>
          <cell r="DD21">
            <v>-4.4158526614742453</v>
          </cell>
          <cell r="DE21">
            <v>4.8375015280321598</v>
          </cell>
          <cell r="DG21">
            <v>12.3587531980865</v>
          </cell>
          <cell r="DH21">
            <v>10093855034</v>
          </cell>
          <cell r="DI21">
            <v>16</v>
          </cell>
          <cell r="DJ21">
            <v>1615068976.01</v>
          </cell>
          <cell r="DK21">
            <v>4472101356</v>
          </cell>
          <cell r="DM21">
            <v>1299640000</v>
          </cell>
          <cell r="DN21" t="str">
            <v>NULL</v>
          </cell>
          <cell r="DO21" t="str">
            <v>NULL</v>
          </cell>
          <cell r="DP21">
            <v>1006000</v>
          </cell>
          <cell r="DQ21">
            <v>5699000</v>
          </cell>
          <cell r="DR21">
            <v>1292935000</v>
          </cell>
          <cell r="DS21">
            <v>1.2491493973092227</v>
          </cell>
          <cell r="DT21">
            <v>-4.8999999999999998E-3</v>
          </cell>
          <cell r="DU21">
            <v>-1.1480000000000001E-2</v>
          </cell>
          <cell r="DV21">
            <v>-8.2669999999999993E-2</v>
          </cell>
          <cell r="DW21">
            <v>-8.0499999999999999E-3</v>
          </cell>
          <cell r="DX21">
            <v>-0.1071</v>
          </cell>
          <cell r="DY21">
            <v>-149.39309056956117</v>
          </cell>
          <cell r="DZ21">
            <v>0.37005682501367321</v>
          </cell>
          <cell r="EA21">
            <v>-121679000</v>
          </cell>
          <cell r="EB21">
            <v>-13.273194026989044</v>
          </cell>
          <cell r="EC21" t="str">
            <v>NULL</v>
          </cell>
          <cell r="ED21">
            <v>0.98040707084759604</v>
          </cell>
          <cell r="EE21">
            <v>0.98037293704627204</v>
          </cell>
          <cell r="EG21">
            <v>0.46569780873355954</v>
          </cell>
          <cell r="EH21">
            <v>-6.1291560563338066E-2</v>
          </cell>
          <cell r="EK21" t="str">
            <v>NULL</v>
          </cell>
          <cell r="EM21">
            <v>-1.72206712842189</v>
          </cell>
          <cell r="EN21" t="str">
            <v>NULL</v>
          </cell>
        </row>
        <row r="22">
          <cell r="A22" t="str">
            <v>CEPU</v>
          </cell>
          <cell r="B22" t="str">
            <v>CEPU.BA</v>
          </cell>
          <cell r="C22" t="str">
            <v>CENTRAL PUERTO SA</v>
          </cell>
          <cell r="D22">
            <v>43008</v>
          </cell>
          <cell r="E22">
            <v>4749862000</v>
          </cell>
          <cell r="F22">
            <v>4804979000</v>
          </cell>
          <cell r="G22">
            <v>0.98853000000000002</v>
          </cell>
          <cell r="H22">
            <v>0.95343</v>
          </cell>
          <cell r="I22">
            <v>1.1909700000000001</v>
          </cell>
          <cell r="J22">
            <v>1.15422</v>
          </cell>
          <cell r="K22">
            <v>36.200000000000003</v>
          </cell>
          <cell r="L22">
            <v>0</v>
          </cell>
          <cell r="M22">
            <v>0</v>
          </cell>
          <cell r="N22">
            <v>0</v>
          </cell>
          <cell r="O22" t="str">
            <v>NULL</v>
          </cell>
          <cell r="P22">
            <v>0</v>
          </cell>
          <cell r="Q22">
            <v>0</v>
          </cell>
          <cell r="S22">
            <v>52.284260820999997</v>
          </cell>
          <cell r="T22">
            <v>45.531025741999997</v>
          </cell>
          <cell r="U22">
            <v>43008</v>
          </cell>
          <cell r="V22">
            <v>13413613000</v>
          </cell>
          <cell r="W22">
            <v>13303034000</v>
          </cell>
          <cell r="X22">
            <v>13242530000</v>
          </cell>
          <cell r="Y22">
            <v>12722961000</v>
          </cell>
          <cell r="Z22">
            <v>5661350000</v>
          </cell>
          <cell r="AA22">
            <v>2.3693311665945402</v>
          </cell>
          <cell r="AC22">
            <v>2177055000</v>
          </cell>
          <cell r="AD22">
            <v>1930977000</v>
          </cell>
          <cell r="AE22">
            <v>1610246000</v>
          </cell>
          <cell r="AF22">
            <v>1415103000</v>
          </cell>
          <cell r="AG22">
            <v>0.67702028119496105</v>
          </cell>
          <cell r="AH22">
            <v>823348000</v>
          </cell>
          <cell r="AI22">
            <v>742969000</v>
          </cell>
          <cell r="AJ22">
            <v>664175000</v>
          </cell>
          <cell r="AK22">
            <v>655598000</v>
          </cell>
          <cell r="AL22">
            <v>1030729000</v>
          </cell>
          <cell r="AM22">
            <v>987861000</v>
          </cell>
          <cell r="AN22">
            <v>964565000</v>
          </cell>
          <cell r="AO22">
            <v>864362000</v>
          </cell>
          <cell r="AP22">
            <v>68.448225829801402</v>
          </cell>
          <cell r="AQ22">
            <v>367749000</v>
          </cell>
          <cell r="AR22">
            <v>353371000</v>
          </cell>
          <cell r="AS22">
            <v>1231962000</v>
          </cell>
          <cell r="AT22">
            <v>987112000</v>
          </cell>
          <cell r="AU22">
            <v>37.610875193684457</v>
          </cell>
          <cell r="AV22">
            <v>168671000</v>
          </cell>
          <cell r="AW22">
            <v>152826000</v>
          </cell>
          <cell r="AX22">
            <v>142390000</v>
          </cell>
          <cell r="AY22">
            <v>137965000</v>
          </cell>
          <cell r="AZ22">
            <v>14.273879751538459</v>
          </cell>
          <cell r="BA22">
            <v>-16.563470884578486</v>
          </cell>
          <cell r="BC22" t="str">
            <v>NULL</v>
          </cell>
          <cell r="BD22">
            <v>52.415289999999999</v>
          </cell>
          <cell r="BE22">
            <v>33.24635</v>
          </cell>
          <cell r="BF22">
            <v>806251000</v>
          </cell>
          <cell r="BG22">
            <v>752771000</v>
          </cell>
          <cell r="BH22">
            <v>526629000</v>
          </cell>
          <cell r="BI22">
            <v>365631000</v>
          </cell>
          <cell r="BJ22">
            <v>0.34363536729637739</v>
          </cell>
          <cell r="BK22">
            <v>-258249000</v>
          </cell>
          <cell r="BL22">
            <v>-458344000</v>
          </cell>
          <cell r="BM22">
            <v>-295557000</v>
          </cell>
          <cell r="BN22">
            <v>-2188359000</v>
          </cell>
          <cell r="BO22">
            <v>-2059749000</v>
          </cell>
          <cell r="BP22">
            <v>1505943000</v>
          </cell>
          <cell r="BQ22">
            <v>1698823000</v>
          </cell>
          <cell r="BR22">
            <v>751310000</v>
          </cell>
          <cell r="BS22">
            <v>169278000</v>
          </cell>
          <cell r="BT22">
            <v>2088607000</v>
          </cell>
          <cell r="BU22">
            <v>951096000</v>
          </cell>
          <cell r="BV22">
            <v>917005000</v>
          </cell>
          <cell r="BW22">
            <v>0.33966333776367758</v>
          </cell>
          <cell r="BX22">
            <v>0.1861186423375604</v>
          </cell>
          <cell r="BY22">
            <v>5661350000</v>
          </cell>
          <cell r="BZ22">
            <v>6149297000</v>
          </cell>
          <cell r="CA22">
            <v>5543366000</v>
          </cell>
          <cell r="CB22">
            <v>5147299000</v>
          </cell>
          <cell r="CC22" t="str">
            <v>NULL</v>
          </cell>
          <cell r="CD22" t="str">
            <v>NULL</v>
          </cell>
          <cell r="CE22" t="str">
            <v>NULL</v>
          </cell>
          <cell r="CF22" t="str">
            <v>NULL</v>
          </cell>
          <cell r="CG22" t="str">
            <v>NULL</v>
          </cell>
          <cell r="CH22" t="str">
            <v>NULL</v>
          </cell>
          <cell r="CI22" t="str">
            <v>NULL</v>
          </cell>
          <cell r="CJ22" t="str">
            <v>NULL</v>
          </cell>
          <cell r="CK22">
            <v>5661350000</v>
          </cell>
          <cell r="CL22">
            <v>6149297000</v>
          </cell>
          <cell r="CM22">
            <v>5543366000</v>
          </cell>
          <cell r="CN22">
            <v>5147299000</v>
          </cell>
          <cell r="CO22">
            <v>0.43575805713017979</v>
          </cell>
          <cell r="CP22">
            <v>806251000</v>
          </cell>
          <cell r="CQ22">
            <v>303129000</v>
          </cell>
          <cell r="CR22">
            <v>1768843000</v>
          </cell>
          <cell r="CS22">
            <v>1341998000</v>
          </cell>
          <cell r="CT22">
            <v>317731000</v>
          </cell>
          <cell r="CU22">
            <v>90285000</v>
          </cell>
          <cell r="CV22">
            <v>-41695000</v>
          </cell>
          <cell r="CW22">
            <v>200460000</v>
          </cell>
          <cell r="CX22">
            <v>1.6597620155115478</v>
          </cell>
          <cell r="CY22">
            <v>1.6036660828081604</v>
          </cell>
          <cell r="CZ22">
            <v>0.31806679294604012</v>
          </cell>
          <cell r="DA22">
            <v>3.2236923687018262</v>
          </cell>
          <cell r="DB22">
            <v>2.5192003101290359</v>
          </cell>
          <cell r="DC22">
            <v>3.1653675500659553</v>
          </cell>
          <cell r="DD22">
            <v>-1.2079966078020552</v>
          </cell>
          <cell r="DE22">
            <v>1.9659483831653026</v>
          </cell>
          <cell r="DG22">
            <v>15.813272526392099</v>
          </cell>
          <cell r="DH22">
            <v>1514022256</v>
          </cell>
          <cell r="DI22">
            <v>34.1</v>
          </cell>
          <cell r="DJ22">
            <v>51628158929.599998</v>
          </cell>
          <cell r="DK22">
            <v>53686866704</v>
          </cell>
          <cell r="DM22">
            <v>5661350000</v>
          </cell>
          <cell r="DN22" t="str">
            <v>NULL</v>
          </cell>
          <cell r="DO22" t="str">
            <v>NULL</v>
          </cell>
          <cell r="DP22">
            <v>206916000</v>
          </cell>
          <cell r="DQ22" t="str">
            <v>NULL</v>
          </cell>
          <cell r="DR22">
            <v>5454434000</v>
          </cell>
          <cell r="DS22">
            <v>9.465355879198464</v>
          </cell>
          <cell r="DT22">
            <v>0.53251999999999999</v>
          </cell>
          <cell r="DU22">
            <v>0.49719999999999998</v>
          </cell>
          <cell r="DV22">
            <v>0.34782999999999997</v>
          </cell>
          <cell r="DW22">
            <v>0.24149999999999999</v>
          </cell>
          <cell r="DX22">
            <v>1.6190499999999999</v>
          </cell>
          <cell r="DY22">
            <v>22.358790648837285</v>
          </cell>
          <cell r="DZ22">
            <v>7.2375440102806792</v>
          </cell>
          <cell r="EA22">
            <v>2422948000</v>
          </cell>
          <cell r="EB22">
            <v>21.307992961301686</v>
          </cell>
          <cell r="EC22">
            <v>20.999969117692501</v>
          </cell>
          <cell r="ED22">
            <v>1.3596851148719</v>
          </cell>
          <cell r="EE22">
            <v>1.24063625183304</v>
          </cell>
          <cell r="EG22">
            <v>0.42237818621530399</v>
          </cell>
          <cell r="EH22">
            <v>0.27738602024053005</v>
          </cell>
          <cell r="EK22" t="str">
            <v>NULL</v>
          </cell>
          <cell r="EM22">
            <v>48.652724515777997</v>
          </cell>
          <cell r="EN22">
            <v>48.378046095499997</v>
          </cell>
        </row>
        <row r="23">
          <cell r="A23" t="str">
            <v>CGPA2</v>
          </cell>
          <cell r="B23" t="str">
            <v>CAMb.BA</v>
          </cell>
          <cell r="C23" t="str">
            <v>CAMUZZI GAS PAMPEANA SA</v>
          </cell>
          <cell r="D23">
            <v>43008</v>
          </cell>
          <cell r="E23">
            <v>5063521930</v>
          </cell>
          <cell r="F23">
            <v>4818128470</v>
          </cell>
          <cell r="G23">
            <v>1.0509299999999999</v>
          </cell>
          <cell r="H23">
            <v>1.0448500000000001</v>
          </cell>
          <cell r="I23">
            <v>0.98838999999999999</v>
          </cell>
          <cell r="J23">
            <v>0.98311999999999999</v>
          </cell>
          <cell r="K23">
            <v>84.8</v>
          </cell>
          <cell r="L23">
            <v>0</v>
          </cell>
          <cell r="M23">
            <v>0</v>
          </cell>
          <cell r="N23">
            <v>0</v>
          </cell>
          <cell r="O23" t="str">
            <v>NULL</v>
          </cell>
          <cell r="P23">
            <v>0</v>
          </cell>
          <cell r="Q23">
            <v>0</v>
          </cell>
          <cell r="S23">
            <v>0</v>
          </cell>
          <cell r="T23">
            <v>0</v>
          </cell>
          <cell r="U23">
            <v>43008</v>
          </cell>
          <cell r="V23">
            <v>6393695280</v>
          </cell>
          <cell r="W23">
            <v>5787476410</v>
          </cell>
          <cell r="X23">
            <v>4125002540</v>
          </cell>
          <cell r="Y23">
            <v>3353226920</v>
          </cell>
          <cell r="Z23">
            <v>1405997000</v>
          </cell>
          <cell r="AA23">
            <v>4.5474458907095823</v>
          </cell>
          <cell r="AC23">
            <v>2097013760</v>
          </cell>
          <cell r="AD23">
            <v>2244144210</v>
          </cell>
          <cell r="AE23">
            <v>746045280</v>
          </cell>
          <cell r="AF23">
            <v>1186918660</v>
          </cell>
          <cell r="AG23">
            <v>1.5957017552418635</v>
          </cell>
          <cell r="AH23">
            <v>4035407170</v>
          </cell>
          <cell r="AI23">
            <v>3978985120</v>
          </cell>
          <cell r="AJ23">
            <v>2663162780</v>
          </cell>
          <cell r="AK23">
            <v>2470014950</v>
          </cell>
          <cell r="AL23">
            <v>1300443700</v>
          </cell>
          <cell r="AM23">
            <v>1665863650</v>
          </cell>
          <cell r="AN23">
            <v>646588690</v>
          </cell>
          <cell r="AO23">
            <v>1019581940</v>
          </cell>
          <cell r="AP23">
            <v>258.97926973524437</v>
          </cell>
          <cell r="AQ23">
            <v>2834902920</v>
          </cell>
          <cell r="AR23">
            <v>2302077110</v>
          </cell>
          <cell r="AS23">
            <v>1074435590</v>
          </cell>
          <cell r="AT23">
            <v>1489129130</v>
          </cell>
          <cell r="AU23">
            <v>111.99570529822556</v>
          </cell>
          <cell r="AV23">
            <v>29309090</v>
          </cell>
          <cell r="AW23">
            <v>23904990</v>
          </cell>
          <cell r="AX23">
            <v>21369750</v>
          </cell>
          <cell r="AY23">
            <v>19871960</v>
          </cell>
          <cell r="AZ23">
            <v>1.8605789114835685</v>
          </cell>
          <cell r="BA23">
            <v>-145.12298552553523</v>
          </cell>
          <cell r="BC23">
            <v>11.25938</v>
          </cell>
          <cell r="BD23">
            <v>-8.6710499999999993</v>
          </cell>
          <cell r="BE23">
            <v>-6.4898199999999999</v>
          </cell>
          <cell r="BF23">
            <v>379833770</v>
          </cell>
          <cell r="BG23">
            <v>263866410</v>
          </cell>
          <cell r="BH23">
            <v>258826170</v>
          </cell>
          <cell r="BI23">
            <v>-16135320</v>
          </cell>
          <cell r="BJ23">
            <v>0.14127730425308233</v>
          </cell>
          <cell r="BK23">
            <v>-104387320</v>
          </cell>
          <cell r="BL23">
            <v>-48245970</v>
          </cell>
          <cell r="BM23">
            <v>-21244100</v>
          </cell>
          <cell r="BN23">
            <v>-266995200</v>
          </cell>
          <cell r="BO23">
            <v>-127065350</v>
          </cell>
          <cell r="BP23">
            <v>1433930</v>
          </cell>
          <cell r="BQ23">
            <v>1693714090</v>
          </cell>
          <cell r="BR23">
            <v>1694296390</v>
          </cell>
          <cell r="BS23">
            <v>661990870</v>
          </cell>
          <cell r="BT23">
            <v>331857860</v>
          </cell>
          <cell r="BU23">
            <v>276214600</v>
          </cell>
          <cell r="BV23">
            <v>2079490360</v>
          </cell>
          <cell r="BW23">
            <v>0.3316678126198539</v>
          </cell>
          <cell r="BX23">
            <v>0.18034954843983128</v>
          </cell>
          <cell r="BY23">
            <v>1405997000</v>
          </cell>
          <cell r="BZ23">
            <v>1026163230</v>
          </cell>
          <cell r="CA23">
            <v>762296820</v>
          </cell>
          <cell r="CB23">
            <v>503470660</v>
          </cell>
          <cell r="CC23" t="str">
            <v>NULL</v>
          </cell>
          <cell r="CD23" t="str">
            <v>NULL</v>
          </cell>
          <cell r="CE23" t="str">
            <v>NULL</v>
          </cell>
          <cell r="CF23" t="str">
            <v>NULL</v>
          </cell>
          <cell r="CG23" t="str">
            <v>NULL</v>
          </cell>
          <cell r="CH23" t="str">
            <v>NULL</v>
          </cell>
          <cell r="CI23" t="str">
            <v>NULL</v>
          </cell>
          <cell r="CJ23" t="str">
            <v>NULL</v>
          </cell>
          <cell r="CK23">
            <v>1405997000</v>
          </cell>
          <cell r="CL23">
            <v>1026163230</v>
          </cell>
          <cell r="CM23">
            <v>762296820</v>
          </cell>
          <cell r="CN23">
            <v>503470660</v>
          </cell>
          <cell r="CO23">
            <v>0.95879757476383987</v>
          </cell>
          <cell r="CP23">
            <v>379833770</v>
          </cell>
          <cell r="CQ23">
            <v>30616020</v>
          </cell>
          <cell r="CR23">
            <v>-207284310</v>
          </cell>
          <cell r="CS23">
            <v>90806640</v>
          </cell>
          <cell r="CT23">
            <v>-87507750</v>
          </cell>
          <cell r="CU23">
            <v>15348840</v>
          </cell>
          <cell r="CV23">
            <v>-48131120</v>
          </cell>
          <cell r="CW23">
            <v>-13009270</v>
          </cell>
          <cell r="CX23">
            <v>11.406373199390384</v>
          </cell>
          <cell r="CY23">
            <v>-1.8654244756606935</v>
          </cell>
          <cell r="CZ23">
            <v>-3.2826999215035375</v>
          </cell>
          <cell r="DA23">
            <v>2.0376982610111676</v>
          </cell>
          <cell r="DB23">
            <v>-6.7012614634070067</v>
          </cell>
          <cell r="DC23">
            <v>1.3188963813848504</v>
          </cell>
          <cell r="DD23">
            <v>-2.6997556357889412</v>
          </cell>
          <cell r="DE23">
            <v>3.5869333686432414</v>
          </cell>
          <cell r="DG23">
            <v>19.645219868515699</v>
          </cell>
          <cell r="DH23">
            <v>333281049</v>
          </cell>
          <cell r="DI23">
            <v>86</v>
          </cell>
          <cell r="DJ23">
            <v>28662170214</v>
          </cell>
          <cell r="DK23">
            <v>25708696157.000099</v>
          </cell>
          <cell r="DM23">
            <v>1405997000</v>
          </cell>
          <cell r="DN23" t="str">
            <v>NULL</v>
          </cell>
          <cell r="DO23" t="str">
            <v>NULL</v>
          </cell>
          <cell r="DP23">
            <v>84875660</v>
          </cell>
          <cell r="DQ23" t="str">
            <v>NULL</v>
          </cell>
          <cell r="DR23">
            <v>1321121340</v>
          </cell>
          <cell r="DS23">
            <v>21.695335126446448</v>
          </cell>
          <cell r="DT23">
            <v>1.13968</v>
          </cell>
          <cell r="DU23">
            <v>0.79171999999999998</v>
          </cell>
          <cell r="DV23">
            <v>0.77659999999999996</v>
          </cell>
          <cell r="DW23">
            <v>-4.8410000000000002E-2</v>
          </cell>
          <cell r="DX23">
            <v>2.6595900000000001</v>
          </cell>
          <cell r="DY23">
            <v>31.88461379385544</v>
          </cell>
          <cell r="DZ23">
            <v>4.5683157938510632</v>
          </cell>
          <cell r="EA23">
            <v>2080924290</v>
          </cell>
          <cell r="EB23">
            <v>13.773768873638359</v>
          </cell>
          <cell r="EC23">
            <v>31.2078177463444</v>
          </cell>
          <cell r="ED23">
            <v>1.0686172526561399</v>
          </cell>
          <cell r="EE23">
            <v>1.04106177433372</v>
          </cell>
          <cell r="EG23">
            <v>0.46902752244744289</v>
          </cell>
          <cell r="EH23">
            <v>0.25117208153408987</v>
          </cell>
          <cell r="EK23" t="str">
            <v>NULL</v>
          </cell>
          <cell r="EM23">
            <v>38.469478963006097</v>
          </cell>
          <cell r="EN23">
            <v>38.2522920364</v>
          </cell>
        </row>
        <row r="24">
          <cell r="A24" t="str">
            <v>COLO</v>
          </cell>
          <cell r="B24" t="str">
            <v>COL.BA</v>
          </cell>
          <cell r="C24" t="str">
            <v>COLORIN SA</v>
          </cell>
          <cell r="D24">
            <v>43008</v>
          </cell>
          <cell r="E24">
            <v>323919000</v>
          </cell>
          <cell r="F24">
            <v>330511000</v>
          </cell>
          <cell r="G24">
            <v>0.98006000000000004</v>
          </cell>
          <cell r="H24">
            <v>0.69096999999999997</v>
          </cell>
          <cell r="I24">
            <v>1.1416599999999999</v>
          </cell>
          <cell r="J24">
            <v>0.83052999999999999</v>
          </cell>
          <cell r="K24">
            <v>14</v>
          </cell>
          <cell r="L24">
            <v>0</v>
          </cell>
          <cell r="M24">
            <v>0</v>
          </cell>
          <cell r="N24">
            <v>0</v>
          </cell>
          <cell r="O24" t="str">
            <v>NULL</v>
          </cell>
          <cell r="Q24">
            <v>0</v>
          </cell>
          <cell r="S24">
            <v>522.97966283100004</v>
          </cell>
          <cell r="T24">
            <v>122.527365276</v>
          </cell>
          <cell r="U24">
            <v>43008</v>
          </cell>
          <cell r="V24">
            <v>349734000</v>
          </cell>
          <cell r="W24">
            <v>333912000</v>
          </cell>
          <cell r="X24">
            <v>338644000</v>
          </cell>
          <cell r="Y24">
            <v>329241000</v>
          </cell>
          <cell r="Z24">
            <v>14948000</v>
          </cell>
          <cell r="AA24">
            <v>23.396708589777898</v>
          </cell>
          <cell r="AC24">
            <v>148565000</v>
          </cell>
          <cell r="AD24">
            <v>120815000</v>
          </cell>
          <cell r="AE24">
            <v>134619000</v>
          </cell>
          <cell r="AF24">
            <v>180410000</v>
          </cell>
          <cell r="AG24">
            <v>2.1619570831521937</v>
          </cell>
          <cell r="AH24">
            <v>181385000</v>
          </cell>
          <cell r="AI24">
            <v>127052000</v>
          </cell>
          <cell r="AJ24">
            <v>126095000</v>
          </cell>
          <cell r="AK24">
            <v>116936000</v>
          </cell>
          <cell r="AL24">
            <v>105680000</v>
          </cell>
          <cell r="AM24">
            <v>83702000</v>
          </cell>
          <cell r="AN24">
            <v>91940000</v>
          </cell>
          <cell r="AO24">
            <v>124567000</v>
          </cell>
          <cell r="AQ24">
            <v>210398000</v>
          </cell>
          <cell r="AR24">
            <v>199599000</v>
          </cell>
          <cell r="AS24">
            <v>204522000</v>
          </cell>
          <cell r="AT24">
            <v>203180000</v>
          </cell>
          <cell r="AU24">
            <v>127.67605178907237</v>
          </cell>
          <cell r="AV24">
            <v>95546000</v>
          </cell>
          <cell r="AW24">
            <v>81937000</v>
          </cell>
          <cell r="AX24">
            <v>82943000</v>
          </cell>
          <cell r="AY24">
            <v>74041000</v>
          </cell>
          <cell r="AZ24">
            <v>75.193251726457234</v>
          </cell>
          <cell r="BA24">
            <v>202.86930351552962</v>
          </cell>
          <cell r="BC24">
            <v>36.068750000000001</v>
          </cell>
          <cell r="BD24">
            <v>-2.2190799999999999</v>
          </cell>
          <cell r="BE24">
            <v>-7.1195399999999998</v>
          </cell>
          <cell r="BF24">
            <v>-51651000</v>
          </cell>
          <cell r="BG24">
            <v>-21317000</v>
          </cell>
          <cell r="BH24">
            <v>-17530000</v>
          </cell>
          <cell r="BI24">
            <v>-14459000</v>
          </cell>
          <cell r="BJ24">
            <v>-0.17959511232715444</v>
          </cell>
          <cell r="BK24">
            <v>-1373000</v>
          </cell>
          <cell r="BL24">
            <v>-1069000</v>
          </cell>
          <cell r="BM24">
            <v>-989000</v>
          </cell>
          <cell r="BN24">
            <v>-2649000</v>
          </cell>
          <cell r="BO24">
            <v>-2294000</v>
          </cell>
          <cell r="BP24">
            <v>-68000</v>
          </cell>
          <cell r="BQ24">
            <v>-28074000</v>
          </cell>
          <cell r="BR24">
            <v>-35730000</v>
          </cell>
          <cell r="BS24">
            <v>-18242000</v>
          </cell>
          <cell r="BT24">
            <v>-17206000</v>
          </cell>
          <cell r="BU24">
            <v>-37133000</v>
          </cell>
          <cell r="BV24">
            <v>-9183000</v>
          </cell>
          <cell r="BW24">
            <v>-1.5829667236473086E-2</v>
          </cell>
          <cell r="BX24">
            <v>-0.31063142465840593</v>
          </cell>
          <cell r="BY24">
            <v>14948000</v>
          </cell>
          <cell r="BZ24">
            <v>66599000</v>
          </cell>
          <cell r="CA24">
            <v>85586000</v>
          </cell>
          <cell r="CB24">
            <v>103116000</v>
          </cell>
          <cell r="CC24" t="str">
            <v>NULL</v>
          </cell>
          <cell r="CD24" t="str">
            <v>NULL</v>
          </cell>
          <cell r="CE24" t="str">
            <v>NULL</v>
          </cell>
          <cell r="CF24" t="str">
            <v>NULL</v>
          </cell>
          <cell r="CG24" t="str">
            <v>NULL</v>
          </cell>
          <cell r="CH24" t="str">
            <v>NULL</v>
          </cell>
          <cell r="CI24" t="str">
            <v>NULL</v>
          </cell>
          <cell r="CJ24" t="str">
            <v>NULL</v>
          </cell>
          <cell r="CK24">
            <v>14948000</v>
          </cell>
          <cell r="CL24">
            <v>66599000</v>
          </cell>
          <cell r="CM24">
            <v>85586000</v>
          </cell>
          <cell r="CN24">
            <v>103116000</v>
          </cell>
          <cell r="CP24">
            <v>-51651000</v>
          </cell>
          <cell r="CQ24">
            <v>-15241000</v>
          </cell>
          <cell r="CR24">
            <v>-41641000</v>
          </cell>
          <cell r="CS24">
            <v>1405000</v>
          </cell>
          <cell r="CT24">
            <v>-940000</v>
          </cell>
          <cell r="CU24">
            <v>-4213000</v>
          </cell>
          <cell r="CV24">
            <v>-4918000</v>
          </cell>
          <cell r="CW24">
            <v>-2956000</v>
          </cell>
          <cell r="CX24">
            <v>-2.3889508562430288</v>
          </cell>
          <cell r="CY24">
            <v>-5.5773088615106303</v>
          </cell>
          <cell r="CZ24">
            <v>-30.637722419928824</v>
          </cell>
          <cell r="DA24">
            <v>2.4946808510638299</v>
          </cell>
          <cell r="DB24">
            <v>0.77688108236411102</v>
          </cell>
          <cell r="DC24">
            <v>0.14335095567303779</v>
          </cell>
          <cell r="DD24">
            <v>-0.66373477672530456</v>
          </cell>
          <cell r="DE24">
            <v>14.057259997171487</v>
          </cell>
          <cell r="DG24" t="str">
            <v>NULL</v>
          </cell>
          <cell r="DH24">
            <v>14335026</v>
          </cell>
          <cell r="DI24">
            <v>14</v>
          </cell>
          <cell r="DJ24">
            <v>499382430</v>
          </cell>
          <cell r="DK24">
            <v>268702364</v>
          </cell>
          <cell r="DM24">
            <v>14948000</v>
          </cell>
          <cell r="DN24" t="str">
            <v>NULL</v>
          </cell>
          <cell r="DO24" t="str">
            <v>NULL</v>
          </cell>
          <cell r="DP24">
            <v>1787000</v>
          </cell>
          <cell r="DQ24" t="str">
            <v>NULL</v>
          </cell>
          <cell r="DR24">
            <v>13161000</v>
          </cell>
          <cell r="DS24">
            <v>37.944109870070662</v>
          </cell>
          <cell r="DT24">
            <v>-3.6031300000000002</v>
          </cell>
          <cell r="DU24">
            <v>-1.48706</v>
          </cell>
          <cell r="DV24">
            <v>-1.40299</v>
          </cell>
          <cell r="DW24">
            <v>-1.1572</v>
          </cell>
          <cell r="DX24">
            <v>-7.6503800000000002</v>
          </cell>
          <cell r="DY24">
            <v>-1.8299744587850537</v>
          </cell>
          <cell r="DZ24">
            <v>0.85450845212856064</v>
          </cell>
          <cell r="EA24">
            <v>-9251000</v>
          </cell>
          <cell r="EB24">
            <v>-53.981453896876012</v>
          </cell>
          <cell r="EC24" t="str">
            <v>NULL</v>
          </cell>
          <cell r="ED24">
            <v>0.48169819905929701</v>
          </cell>
          <cell r="EE24">
            <v>0.48588778086494699</v>
          </cell>
          <cell r="EG24">
            <v>1.4521595203227466</v>
          </cell>
          <cell r="EH24">
            <v>9.1083231184481361E-2</v>
          </cell>
          <cell r="EK24" t="str">
            <v>NULL</v>
          </cell>
          <cell r="EM24">
            <v>-1.99655584273148</v>
          </cell>
          <cell r="EN24" t="str">
            <v>NULL</v>
          </cell>
        </row>
        <row r="25">
          <cell r="A25" t="str">
            <v>COME</v>
          </cell>
          <cell r="B25" t="str">
            <v>COM.BA</v>
          </cell>
          <cell r="C25" t="str">
            <v>SOCIEDAD COMERCIAL DEL PLATA SA</v>
          </cell>
          <cell r="D25">
            <v>43008</v>
          </cell>
          <cell r="E25">
            <v>1297090000</v>
          </cell>
          <cell r="F25">
            <v>1355223000</v>
          </cell>
          <cell r="G25">
            <v>0.95709999999999995</v>
          </cell>
          <cell r="H25">
            <v>0.62316000000000005</v>
          </cell>
          <cell r="I25">
            <v>0.88751999999999998</v>
          </cell>
          <cell r="J25">
            <v>0.50380999999999998</v>
          </cell>
          <cell r="K25">
            <v>4.5</v>
          </cell>
          <cell r="L25">
            <v>0</v>
          </cell>
          <cell r="M25">
            <v>0</v>
          </cell>
          <cell r="N25">
            <v>0</v>
          </cell>
          <cell r="O25">
            <v>0</v>
          </cell>
          <cell r="P25">
            <v>0</v>
          </cell>
          <cell r="Q25">
            <v>0</v>
          </cell>
          <cell r="S25">
            <v>70.591558394000003</v>
          </cell>
          <cell r="T25">
            <v>44.170719859000002</v>
          </cell>
          <cell r="U25">
            <v>43008</v>
          </cell>
          <cell r="V25">
            <v>4149681000</v>
          </cell>
          <cell r="W25">
            <v>3848178000</v>
          </cell>
          <cell r="X25">
            <v>3847436000</v>
          </cell>
          <cell r="Y25">
            <v>3864829000</v>
          </cell>
          <cell r="Z25">
            <v>1628529000</v>
          </cell>
          <cell r="AA25">
            <v>2.5481161219726514</v>
          </cell>
          <cell r="AC25">
            <v>897640000</v>
          </cell>
          <cell r="AD25">
            <v>692727000</v>
          </cell>
          <cell r="AE25">
            <v>736575000</v>
          </cell>
          <cell r="AF25">
            <v>623521000</v>
          </cell>
          <cell r="AG25">
            <v>0.93902980105098577</v>
          </cell>
          <cell r="AH25">
            <v>499549000</v>
          </cell>
          <cell r="AI25">
            <v>547946000</v>
          </cell>
          <cell r="AJ25">
            <v>451316000</v>
          </cell>
          <cell r="AK25">
            <v>439388000</v>
          </cell>
          <cell r="AL25">
            <v>653620000</v>
          </cell>
          <cell r="AM25">
            <v>537380000</v>
          </cell>
          <cell r="AN25">
            <v>539223000</v>
          </cell>
          <cell r="AO25">
            <v>604777000</v>
          </cell>
          <cell r="AP25">
            <v>75.743322805139186</v>
          </cell>
          <cell r="AQ25">
            <v>460947000</v>
          </cell>
          <cell r="AR25">
            <v>407413000</v>
          </cell>
          <cell r="AS25">
            <v>372520000</v>
          </cell>
          <cell r="AT25">
            <v>305778000</v>
          </cell>
          <cell r="AU25">
            <v>47.83403231967322</v>
          </cell>
          <cell r="AV25">
            <v>452564000</v>
          </cell>
          <cell r="AW25">
            <v>502218000</v>
          </cell>
          <cell r="AX25">
            <v>474447000</v>
          </cell>
          <cell r="AY25">
            <v>505034000</v>
          </cell>
          <cell r="AZ25">
            <v>75.589506959314775</v>
          </cell>
          <cell r="BA25">
            <v>47.680216473848802</v>
          </cell>
          <cell r="BC25">
            <v>24.485340000000001</v>
          </cell>
          <cell r="BD25">
            <v>9.7142800000000005</v>
          </cell>
          <cell r="BE25">
            <v>6.0946199999999999</v>
          </cell>
          <cell r="BF25">
            <v>-41725000</v>
          </cell>
          <cell r="BG25">
            <v>-122409000</v>
          </cell>
          <cell r="BH25">
            <v>3433000</v>
          </cell>
          <cell r="BI25">
            <v>183490000</v>
          </cell>
          <cell r="BJ25">
            <v>7.7238724905209794E-3</v>
          </cell>
          <cell r="BK25">
            <v>-376537000</v>
          </cell>
          <cell r="BL25">
            <v>-196823000</v>
          </cell>
          <cell r="BM25">
            <v>-82528000</v>
          </cell>
          <cell r="BN25">
            <v>-245451000</v>
          </cell>
          <cell r="BO25">
            <v>-178058000</v>
          </cell>
          <cell r="BP25">
            <v>-281007000</v>
          </cell>
          <cell r="BQ25">
            <v>-39148000</v>
          </cell>
          <cell r="BR25">
            <v>26823000</v>
          </cell>
          <cell r="BS25">
            <v>-6415000</v>
          </cell>
          <cell r="BT25">
            <v>-22431000</v>
          </cell>
          <cell r="BU25">
            <v>-32496000</v>
          </cell>
          <cell r="BV25">
            <v>-13067000</v>
          </cell>
          <cell r="BW25">
            <v>-9.9670458500920031E-2</v>
          </cell>
          <cell r="BX25">
            <v>5.8023730430135367E-3</v>
          </cell>
          <cell r="BY25">
            <v>1628529000</v>
          </cell>
          <cell r="BZ25">
            <v>1667410000</v>
          </cell>
          <cell r="CA25">
            <v>1684559000</v>
          </cell>
          <cell r="CB25">
            <v>1683698000</v>
          </cell>
          <cell r="CC25" t="str">
            <v>NULL</v>
          </cell>
          <cell r="CD25" t="str">
            <v>NULL</v>
          </cell>
          <cell r="CE25" t="str">
            <v>NULL</v>
          </cell>
          <cell r="CF25" t="str">
            <v>NULL</v>
          </cell>
          <cell r="CG25" t="str">
            <v>NULL</v>
          </cell>
          <cell r="CH25" t="str">
            <v>NULL</v>
          </cell>
          <cell r="CI25" t="str">
            <v>NULL</v>
          </cell>
          <cell r="CJ25" t="str">
            <v>NULL</v>
          </cell>
          <cell r="CK25">
            <v>1628529000</v>
          </cell>
          <cell r="CL25">
            <v>1667410000</v>
          </cell>
          <cell r="CM25">
            <v>1684559000</v>
          </cell>
          <cell r="CN25">
            <v>1683698000</v>
          </cell>
          <cell r="CO25">
            <v>1.3678469240700604E-2</v>
          </cell>
          <cell r="CP25">
            <v>-41725000</v>
          </cell>
          <cell r="CQ25">
            <v>-5722000</v>
          </cell>
          <cell r="CR25">
            <v>151851000</v>
          </cell>
          <cell r="CS25">
            <v>359842000</v>
          </cell>
          <cell r="CT25">
            <v>259318000</v>
          </cell>
          <cell r="CU25">
            <v>104380000</v>
          </cell>
          <cell r="CV25">
            <v>912186000</v>
          </cell>
          <cell r="CW25">
            <v>-386774000</v>
          </cell>
          <cell r="CX25">
            <v>-6.2920307584760575</v>
          </cell>
          <cell r="CY25">
            <v>0.75337628598722994</v>
          </cell>
          <cell r="CZ25">
            <v>-0.57800645839007125</v>
          </cell>
          <cell r="DA25">
            <v>0.38764759870120846</v>
          </cell>
          <cell r="DB25">
            <v>1.4843648208469054</v>
          </cell>
          <cell r="DC25">
            <v>-0.8855715829885572</v>
          </cell>
          <cell r="DD25">
            <v>3.3584470517666647</v>
          </cell>
          <cell r="DE25">
            <v>1.7257770376532429</v>
          </cell>
          <cell r="DG25">
            <v>118.36451692540599</v>
          </cell>
          <cell r="DH25">
            <v>1583101470</v>
          </cell>
          <cell r="DI25">
            <v>4.38</v>
          </cell>
          <cell r="DJ25">
            <v>6933984438.6000004</v>
          </cell>
          <cell r="DK25">
            <v>12945290487.097799</v>
          </cell>
          <cell r="DM25">
            <v>1628529000</v>
          </cell>
          <cell r="DN25" t="str">
            <v>NULL</v>
          </cell>
          <cell r="DO25" t="str">
            <v>NULL</v>
          </cell>
          <cell r="DP25">
            <v>1262000</v>
          </cell>
          <cell r="DQ25" t="str">
            <v>NULL</v>
          </cell>
          <cell r="DR25">
            <v>1627267000</v>
          </cell>
          <cell r="DS25">
            <v>4.2611227528119233</v>
          </cell>
          <cell r="DT25">
            <v>-0.27</v>
          </cell>
          <cell r="DU25">
            <v>-0.77325999999999995</v>
          </cell>
          <cell r="DV25">
            <v>2.1690000000000001E-2</v>
          </cell>
          <cell r="DW25">
            <v>0.97321999999999997</v>
          </cell>
          <cell r="DX25">
            <v>-4.8350000000000115E-2</v>
          </cell>
          <cell r="DY25">
            <v>-93.071354705273819</v>
          </cell>
          <cell r="DZ25">
            <v>2.3501343479311552</v>
          </cell>
          <cell r="EA25">
            <v>-294074000</v>
          </cell>
          <cell r="EB25">
            <v>-23.579046221699301</v>
          </cell>
          <cell r="EC25" t="str">
            <v>NULL</v>
          </cell>
          <cell r="ED25">
            <v>1.11265004335129</v>
          </cell>
          <cell r="EE25">
            <v>0.93556801595360395</v>
          </cell>
          <cell r="EG25">
            <v>0.51045490222393941</v>
          </cell>
          <cell r="EH25">
            <v>2.7130405567381777E-2</v>
          </cell>
          <cell r="EK25" t="str">
            <v>NULL</v>
          </cell>
          <cell r="EM25">
            <v>-35.900530608202999</v>
          </cell>
          <cell r="EN25" t="str">
            <v>NULL</v>
          </cell>
        </row>
        <row r="26">
          <cell r="A26" t="str">
            <v>CRES</v>
          </cell>
          <cell r="B26" t="str">
            <v>CRE.BA</v>
          </cell>
          <cell r="C26" t="str">
            <v>CRESUD SACIF Y A</v>
          </cell>
          <cell r="D26">
            <v>43008</v>
          </cell>
          <cell r="E26">
            <v>75276000000</v>
          </cell>
          <cell r="F26">
            <v>50263000000</v>
          </cell>
          <cell r="G26">
            <v>1.4976400000000001</v>
          </cell>
          <cell r="H26">
            <v>1.3999200000000001</v>
          </cell>
          <cell r="I26">
            <v>1.3353900000000001</v>
          </cell>
          <cell r="J26">
            <v>1.2260899999999999</v>
          </cell>
          <cell r="K26">
            <v>38.85</v>
          </cell>
          <cell r="L26">
            <v>0</v>
          </cell>
          <cell r="M26">
            <v>0.78741000000000005</v>
          </cell>
          <cell r="N26">
            <v>0</v>
          </cell>
          <cell r="O26">
            <v>0</v>
          </cell>
          <cell r="P26">
            <v>0.78741000000000005</v>
          </cell>
          <cell r="Q26">
            <v>2.026795366795367E-2</v>
          </cell>
          <cell r="S26">
            <v>875.84939758999997</v>
          </cell>
          <cell r="T26">
            <v>824.82170070100005</v>
          </cell>
          <cell r="U26">
            <v>43008</v>
          </cell>
          <cell r="V26">
            <v>250310000000</v>
          </cell>
          <cell r="W26">
            <v>241446000000</v>
          </cell>
          <cell r="X26">
            <v>175621000000</v>
          </cell>
          <cell r="Y26">
            <v>174553000000</v>
          </cell>
          <cell r="Z26">
            <v>16600000000</v>
          </cell>
          <cell r="AA26">
            <v>15.078915662650603</v>
          </cell>
          <cell r="AC26">
            <v>21676000000</v>
          </cell>
          <cell r="AD26">
            <v>20195000000</v>
          </cell>
          <cell r="AE26">
            <v>19027000000</v>
          </cell>
          <cell r="AF26">
            <v>18946000000</v>
          </cell>
          <cell r="AG26">
            <v>0.47417241291650475</v>
          </cell>
          <cell r="AH26">
            <v>18224000000</v>
          </cell>
          <cell r="AI26">
            <v>18877000000</v>
          </cell>
          <cell r="AJ26">
            <v>14418000000</v>
          </cell>
          <cell r="AK26">
            <v>16602000000</v>
          </cell>
          <cell r="AL26">
            <v>14860000000</v>
          </cell>
          <cell r="AM26">
            <v>14317000000</v>
          </cell>
          <cell r="AN26">
            <v>14048000000</v>
          </cell>
          <cell r="AO26">
            <v>13907000000</v>
          </cell>
          <cell r="AP26">
            <v>108.80139413988657</v>
          </cell>
          <cell r="AQ26">
            <v>12918000000</v>
          </cell>
          <cell r="AR26">
            <v>13763000000</v>
          </cell>
          <cell r="AS26">
            <v>11212000000</v>
          </cell>
          <cell r="AT26">
            <v>12616000000</v>
          </cell>
          <cell r="AU26">
            <v>57.724390686839335</v>
          </cell>
          <cell r="AV26">
            <v>4912000000</v>
          </cell>
          <cell r="AW26">
            <v>5595000000</v>
          </cell>
          <cell r="AX26">
            <v>4544000000</v>
          </cell>
          <cell r="AY26">
            <v>4547000000</v>
          </cell>
          <cell r="AZ26">
            <v>31.301503535671777</v>
          </cell>
          <cell r="BA26">
            <v>-19.775499917375456</v>
          </cell>
          <cell r="BC26">
            <v>26.988630000000001</v>
          </cell>
          <cell r="BD26">
            <v>12.73775</v>
          </cell>
          <cell r="BE26">
            <v>-1.93408</v>
          </cell>
          <cell r="BF26">
            <v>208000000</v>
          </cell>
          <cell r="BG26">
            <v>515000000</v>
          </cell>
          <cell r="BH26">
            <v>556000000</v>
          </cell>
          <cell r="BI26">
            <v>-3227000000</v>
          </cell>
          <cell r="BJ26">
            <v>-2.4397575271779971E-2</v>
          </cell>
          <cell r="BK26">
            <v>-1310000000</v>
          </cell>
          <cell r="BL26">
            <v>-4153000000</v>
          </cell>
          <cell r="BM26">
            <v>-3024000000</v>
          </cell>
          <cell r="BN26">
            <v>-1632000000</v>
          </cell>
          <cell r="BO26">
            <v>-745000000</v>
          </cell>
          <cell r="BP26">
            <v>-3589000000</v>
          </cell>
          <cell r="BQ26">
            <v>2454000000</v>
          </cell>
          <cell r="BR26">
            <v>9084000000</v>
          </cell>
          <cell r="BS26">
            <v>5890000000</v>
          </cell>
          <cell r="BT26">
            <v>4627000000</v>
          </cell>
          <cell r="BU26">
            <v>2373000000</v>
          </cell>
          <cell r="BV26">
            <v>5971000000</v>
          </cell>
          <cell r="BW26">
            <v>2.9833174690646763E-2</v>
          </cell>
          <cell r="BX26">
            <v>-9.2549261815115264E-3</v>
          </cell>
          <cell r="BY26">
            <v>16600000000</v>
          </cell>
          <cell r="BZ26">
            <v>16405000000</v>
          </cell>
          <cell r="CA26">
            <v>2837000000</v>
          </cell>
          <cell r="CB26">
            <v>2279000000</v>
          </cell>
          <cell r="CC26" t="str">
            <v>NULL</v>
          </cell>
          <cell r="CD26" t="str">
            <v>NULL</v>
          </cell>
          <cell r="CE26" t="str">
            <v>NULL</v>
          </cell>
          <cell r="CF26" t="str">
            <v>NULL</v>
          </cell>
          <cell r="CG26" t="str">
            <v>NULL</v>
          </cell>
          <cell r="CH26" t="str">
            <v>NULL</v>
          </cell>
          <cell r="CI26" t="str">
            <v>NULL</v>
          </cell>
          <cell r="CJ26" t="str">
            <v>NULL</v>
          </cell>
          <cell r="CK26">
            <v>16600000000</v>
          </cell>
          <cell r="CL26">
            <v>16405000000</v>
          </cell>
          <cell r="CM26">
            <v>2837000000</v>
          </cell>
          <cell r="CN26">
            <v>2279000000</v>
          </cell>
          <cell r="CO26">
            <v>-0.20440177330080533</v>
          </cell>
          <cell r="CP26">
            <v>208000000</v>
          </cell>
          <cell r="CQ26">
            <v>374000000</v>
          </cell>
          <cell r="CR26">
            <v>-1507000000</v>
          </cell>
          <cell r="CS26">
            <v>4359000000</v>
          </cell>
          <cell r="CT26">
            <v>114009000</v>
          </cell>
          <cell r="CU26">
            <v>-888382000</v>
          </cell>
          <cell r="CV26">
            <v>-26907000</v>
          </cell>
          <cell r="CW26">
            <v>-21329000</v>
          </cell>
          <cell r="CX26">
            <v>-0.44385026737967914</v>
          </cell>
          <cell r="CY26">
            <v>0.9476304295279615</v>
          </cell>
          <cell r="CZ26">
            <v>-1.3457214957559074</v>
          </cell>
          <cell r="DA26">
            <v>37.233823645501673</v>
          </cell>
          <cell r="DB26">
            <v>1.1283333070683557</v>
          </cell>
          <cell r="DC26">
            <v>-32.016761437544133</v>
          </cell>
          <cell r="DD26">
            <v>-0.26152187163017482</v>
          </cell>
          <cell r="DE26">
            <v>24.546349602045801</v>
          </cell>
          <cell r="DG26">
            <v>17.239286774059401</v>
          </cell>
          <cell r="DH26">
            <v>505476156</v>
          </cell>
          <cell r="DI26">
            <v>38.800000000000004</v>
          </cell>
          <cell r="DJ26" t="e">
            <v>#N/A</v>
          </cell>
          <cell r="DK26">
            <v>152584927237.20001</v>
          </cell>
          <cell r="DM26">
            <v>16600000000</v>
          </cell>
          <cell r="DN26" t="str">
            <v>NULL</v>
          </cell>
          <cell r="DO26" t="str">
            <v>NULL</v>
          </cell>
          <cell r="DP26">
            <v>9316000000</v>
          </cell>
          <cell r="DQ26">
            <v>2799000000</v>
          </cell>
          <cell r="DR26">
            <v>4485000000</v>
          </cell>
          <cell r="DS26" t="e">
            <v>#N/A</v>
          </cell>
          <cell r="DT26">
            <v>0.41929</v>
          </cell>
          <cell r="DU26">
            <v>1.0381400000000001</v>
          </cell>
          <cell r="DV26">
            <v>1.12079</v>
          </cell>
          <cell r="DW26">
            <v>-6.5050299999999996</v>
          </cell>
          <cell r="DX26">
            <v>-3.9268099999999997</v>
          </cell>
          <cell r="DY26">
            <v>-9.8935268067464435</v>
          </cell>
          <cell r="DZ26" t="e">
            <v>#N/A</v>
          </cell>
          <cell r="EA26">
            <v>2382000000</v>
          </cell>
          <cell r="EB26" t="e">
            <v>#N/A</v>
          </cell>
          <cell r="EC26" t="str">
            <v>NULL</v>
          </cell>
          <cell r="ED26">
            <v>0.96985670983479799</v>
          </cell>
          <cell r="EE26">
            <v>0.89225857828451205</v>
          </cell>
          <cell r="EG26">
            <v>0.44020907839413692</v>
          </cell>
          <cell r="EH26">
            <v>5.1445435728169731E-2</v>
          </cell>
          <cell r="EK26">
            <v>2.0346585785529698</v>
          </cell>
          <cell r="EM26">
            <v>-84.433454751344996</v>
          </cell>
          <cell r="EN26" t="str">
            <v>NULL</v>
          </cell>
        </row>
        <row r="27">
          <cell r="A27" t="str">
            <v>CTIO</v>
          </cell>
          <cell r="B27" t="str">
            <v>CON.BA</v>
          </cell>
          <cell r="C27" t="str">
            <v>CONSULTATIO SA</v>
          </cell>
          <cell r="D27">
            <v>43008</v>
          </cell>
          <cell r="E27">
            <v>13024532000</v>
          </cell>
          <cell r="F27">
            <v>2023400000</v>
          </cell>
          <cell r="G27">
            <v>6.4369500000000004</v>
          </cell>
          <cell r="H27">
            <v>4.7199200000000001</v>
          </cell>
          <cell r="I27">
            <v>3.9468999999999999</v>
          </cell>
          <cell r="J27">
            <v>2.84768</v>
          </cell>
          <cell r="K27">
            <v>57</v>
          </cell>
          <cell r="L27">
            <v>0</v>
          </cell>
          <cell r="M27">
            <v>0.58550000000000002</v>
          </cell>
          <cell r="N27">
            <v>0</v>
          </cell>
          <cell r="O27">
            <v>0</v>
          </cell>
          <cell r="P27">
            <v>0.58550000000000002</v>
          </cell>
          <cell r="Q27">
            <v>1.0271929824561404E-2</v>
          </cell>
          <cell r="S27">
            <v>7.619173258</v>
          </cell>
          <cell r="T27">
            <v>7.8013155000000003</v>
          </cell>
          <cell r="U27">
            <v>43008</v>
          </cell>
          <cell r="V27">
            <v>19203009000</v>
          </cell>
          <cell r="W27">
            <v>19045670000</v>
          </cell>
          <cell r="X27">
            <v>19045423000</v>
          </cell>
          <cell r="Y27">
            <v>20361950000</v>
          </cell>
          <cell r="Z27">
            <v>8633942000</v>
          </cell>
          <cell r="AA27">
            <v>2.2241299513015029</v>
          </cell>
          <cell r="AC27">
            <v>816466000</v>
          </cell>
          <cell r="AD27">
            <v>1313264000</v>
          </cell>
          <cell r="AE27">
            <v>7511289000</v>
          </cell>
          <cell r="AF27">
            <v>5742629000</v>
          </cell>
          <cell r="AG27">
            <v>0.99049842761313212</v>
          </cell>
          <cell r="AH27">
            <v>235237000</v>
          </cell>
          <cell r="AI27">
            <v>281939000</v>
          </cell>
          <cell r="AJ27">
            <v>326553000</v>
          </cell>
          <cell r="AK27">
            <v>525039000</v>
          </cell>
          <cell r="AL27">
            <v>429174000</v>
          </cell>
          <cell r="AM27">
            <v>545690000</v>
          </cell>
          <cell r="AN27">
            <v>3206752000</v>
          </cell>
          <cell r="AO27">
            <v>2720649000</v>
          </cell>
          <cell r="AP27">
            <v>18.095520818166211</v>
          </cell>
          <cell r="AQ27">
            <v>23015000</v>
          </cell>
          <cell r="AR27">
            <v>21355000</v>
          </cell>
          <cell r="AS27">
            <v>21433000</v>
          </cell>
          <cell r="AT27">
            <v>13987000</v>
          </cell>
          <cell r="AU27">
            <v>0.47328419761034574</v>
          </cell>
          <cell r="AV27">
            <v>3474249000</v>
          </cell>
          <cell r="AW27">
            <v>3656775000</v>
          </cell>
          <cell r="AX27">
            <v>3909405000</v>
          </cell>
          <cell r="AY27">
            <v>7213728000</v>
          </cell>
          <cell r="AZ27">
            <v>241.32539481604951</v>
          </cell>
          <cell r="BA27">
            <v>223.70315819549364</v>
          </cell>
          <cell r="BC27">
            <v>52.004130000000004</v>
          </cell>
          <cell r="BD27">
            <v>40.736669999999997</v>
          </cell>
          <cell r="BE27">
            <v>25.21434</v>
          </cell>
          <cell r="BF27">
            <v>310119000</v>
          </cell>
          <cell r="BG27">
            <v>267522000</v>
          </cell>
          <cell r="BH27">
            <v>860486000</v>
          </cell>
          <cell r="BI27">
            <v>653996000</v>
          </cell>
          <cell r="BJ27">
            <v>0.13599654646284159</v>
          </cell>
          <cell r="BK27">
            <v>-157174000</v>
          </cell>
          <cell r="BL27">
            <v>-78803000</v>
          </cell>
          <cell r="BM27">
            <v>-1416000</v>
          </cell>
          <cell r="BN27">
            <v>-1338577000</v>
          </cell>
          <cell r="BO27">
            <v>-1166768000</v>
          </cell>
          <cell r="BP27">
            <v>1008178000</v>
          </cell>
          <cell r="BQ27">
            <v>4188554000</v>
          </cell>
          <cell r="BR27">
            <v>3997073000</v>
          </cell>
          <cell r="BS27">
            <v>5530151000</v>
          </cell>
          <cell r="BT27">
            <v>4382329000</v>
          </cell>
          <cell r="BU27">
            <v>1545664000</v>
          </cell>
          <cell r="BV27">
            <v>8173041000</v>
          </cell>
          <cell r="BW27">
            <v>0.5968167628380473</v>
          </cell>
          <cell r="BX27">
            <v>0.10776355202811495</v>
          </cell>
          <cell r="BY27">
            <v>8633942000</v>
          </cell>
          <cell r="BZ27">
            <v>8157355000</v>
          </cell>
          <cell r="CA27">
            <v>7788002000</v>
          </cell>
          <cell r="CB27">
            <v>7032730000</v>
          </cell>
          <cell r="CC27" t="str">
            <v>NULL</v>
          </cell>
          <cell r="CD27" t="str">
            <v>NULL</v>
          </cell>
          <cell r="CE27" t="str">
            <v>NULL</v>
          </cell>
          <cell r="CF27" t="str">
            <v>NULL</v>
          </cell>
          <cell r="CG27" t="str">
            <v>NULL</v>
          </cell>
          <cell r="CH27" t="str">
            <v>NULL</v>
          </cell>
          <cell r="CI27" t="str">
            <v>NULL</v>
          </cell>
          <cell r="CJ27" t="str">
            <v>NULL</v>
          </cell>
          <cell r="CK27">
            <v>8633942000</v>
          </cell>
          <cell r="CL27">
            <v>8157355000</v>
          </cell>
          <cell r="CM27">
            <v>7788002000</v>
          </cell>
          <cell r="CN27">
            <v>7032730000</v>
          </cell>
          <cell r="CO27">
            <v>0.26472492480631343</v>
          </cell>
          <cell r="CP27">
            <v>310119000</v>
          </cell>
          <cell r="CQ27">
            <v>138442000</v>
          </cell>
          <cell r="CR27">
            <v>1537216000</v>
          </cell>
          <cell r="CS27">
            <v>1908698000</v>
          </cell>
          <cell r="CT27">
            <v>956937000</v>
          </cell>
          <cell r="CU27">
            <v>89123000</v>
          </cell>
          <cell r="CV27">
            <v>20389000</v>
          </cell>
          <cell r="CW27">
            <v>29916820</v>
          </cell>
          <cell r="CX27">
            <v>1.2400644313141966</v>
          </cell>
          <cell r="CY27">
            <v>2.71797633163425</v>
          </cell>
          <cell r="CZ27">
            <v>-0.19462586538048454</v>
          </cell>
          <cell r="DA27">
            <v>0.99459107548354808</v>
          </cell>
          <cell r="DB27">
            <v>9.7372619862437304</v>
          </cell>
          <cell r="DC27">
            <v>3.3711314924714308</v>
          </cell>
          <cell r="DD27">
            <v>-0.31847703064697386</v>
          </cell>
          <cell r="DE27">
            <v>4.1943515614936331</v>
          </cell>
          <cell r="DG27">
            <v>2.8691646196195801</v>
          </cell>
          <cell r="DH27">
            <v>409906729</v>
          </cell>
          <cell r="DI27">
            <v>55.6</v>
          </cell>
          <cell r="DJ27">
            <v>22790814132.400002</v>
          </cell>
          <cell r="DK27">
            <v>21051316169.799999</v>
          </cell>
          <cell r="DM27">
            <v>8633942000</v>
          </cell>
          <cell r="DN27" t="str">
            <v>NULL</v>
          </cell>
          <cell r="DO27" t="str">
            <v>NULL</v>
          </cell>
          <cell r="DP27" t="str">
            <v>NULL</v>
          </cell>
          <cell r="DQ27" t="str">
            <v>NULL</v>
          </cell>
          <cell r="DR27">
            <v>8633942000</v>
          </cell>
          <cell r="DS27">
            <v>2.6396765385266661</v>
          </cell>
          <cell r="DT27">
            <v>2.1</v>
          </cell>
          <cell r="DU27">
            <v>0.65264</v>
          </cell>
          <cell r="DV27">
            <v>2.0992199999999999</v>
          </cell>
          <cell r="DW27">
            <v>1.5954699999999999</v>
          </cell>
          <cell r="DX27">
            <v>6.44733</v>
          </cell>
          <cell r="DY27">
            <v>8.8408690108928809</v>
          </cell>
          <cell r="DZ27">
            <v>1.481496075079201</v>
          </cell>
          <cell r="EA27">
            <v>9181219000</v>
          </cell>
          <cell r="EB27">
            <v>2.482329866262857</v>
          </cell>
          <cell r="EC27">
            <v>8.7167866388101807</v>
          </cell>
          <cell r="ED27">
            <v>0.88433380651464399</v>
          </cell>
          <cell r="EE27">
            <v>0.78191048238713601</v>
          </cell>
          <cell r="EG27" t="str">
            <v>-</v>
          </cell>
          <cell r="EH27" t="str">
            <v>-</v>
          </cell>
          <cell r="EK27">
            <v>1.0418132542704599</v>
          </cell>
          <cell r="EM27">
            <v>4.3602120579209398</v>
          </cell>
          <cell r="EN27">
            <v>4.3355956325999996</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68</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5.6934371077119996</v>
          </cell>
          <cell r="DH28">
            <v>78917002</v>
          </cell>
          <cell r="DI28">
            <v>64.95</v>
          </cell>
          <cell r="DJ28">
            <v>13142716155.6</v>
          </cell>
          <cell r="DK28">
            <v>3685680672.3000102</v>
          </cell>
          <cell r="DM28">
            <v>823899000</v>
          </cell>
          <cell r="DN28" t="str">
            <v>NULL</v>
          </cell>
          <cell r="DO28" t="str">
            <v>NULL</v>
          </cell>
          <cell r="DP28">
            <v>40993000</v>
          </cell>
          <cell r="DQ28" t="str">
            <v>NULL</v>
          </cell>
          <cell r="DR28">
            <v>782906000</v>
          </cell>
          <cell r="DS28">
            <v>16.787093413002328</v>
          </cell>
          <cell r="DT28">
            <v>0.78946000000000005</v>
          </cell>
          <cell r="DU28">
            <v>0.40522000000000002</v>
          </cell>
          <cell r="DV28">
            <v>-0.10983</v>
          </cell>
          <cell r="DW28">
            <v>0.57489000000000001</v>
          </cell>
          <cell r="DX28">
            <v>1.6597399999999998</v>
          </cell>
          <cell r="DY28">
            <v>40.970272452311811</v>
          </cell>
          <cell r="DZ28">
            <v>4.3519720245236257</v>
          </cell>
          <cell r="EA28">
            <v>-463537000</v>
          </cell>
          <cell r="EB28">
            <v>-28.353111306325061</v>
          </cell>
          <cell r="EC28">
            <v>36.843120006748002</v>
          </cell>
          <cell r="ED28">
            <v>1.32217936802282</v>
          </cell>
          <cell r="EE28">
            <v>1.12460059247865</v>
          </cell>
          <cell r="EG28">
            <v>0.41656277961820454</v>
          </cell>
          <cell r="EH28">
            <v>0.14782160333490757</v>
          </cell>
          <cell r="EK28">
            <v>0</v>
          </cell>
          <cell r="EM28">
            <v>24.451334428440301</v>
          </cell>
          <cell r="EN28">
            <v>24.313289663599999</v>
          </cell>
        </row>
        <row r="29">
          <cell r="A29" t="str">
            <v>DOM</v>
          </cell>
          <cell r="B29" t="str">
            <v>DOM.BA</v>
          </cell>
          <cell r="C29" t="str">
            <v>DOMEC SAIC y F</v>
          </cell>
          <cell r="D29">
            <v>43039</v>
          </cell>
          <cell r="E29">
            <v>195007840</v>
          </cell>
          <cell r="F29">
            <v>119331900</v>
          </cell>
          <cell r="G29">
            <v>1.6341600000000001</v>
          </cell>
          <cell r="H29">
            <v>1.00312</v>
          </cell>
          <cell r="I29">
            <v>1.6404700000000001</v>
          </cell>
          <cell r="J29">
            <v>0.97026000000000001</v>
          </cell>
          <cell r="K29">
            <v>11.1</v>
          </cell>
          <cell r="L29">
            <v>0</v>
          </cell>
          <cell r="M29">
            <v>0</v>
          </cell>
          <cell r="N29">
            <v>0</v>
          </cell>
          <cell r="O29">
            <v>0</v>
          </cell>
          <cell r="Q29">
            <v>0</v>
          </cell>
          <cell r="S29">
            <v>5.1946725863000003</v>
          </cell>
          <cell r="T29">
            <v>7.4913311169999997</v>
          </cell>
          <cell r="U29">
            <v>43039</v>
          </cell>
          <cell r="V29">
            <v>199751910</v>
          </cell>
          <cell r="W29">
            <v>182448220</v>
          </cell>
          <cell r="X29">
            <v>155595160</v>
          </cell>
          <cell r="Y29">
            <v>143544970</v>
          </cell>
          <cell r="Z29">
            <v>79914950</v>
          </cell>
          <cell r="AA29">
            <v>2.4995562157018179</v>
          </cell>
          <cell r="AC29">
            <v>102057210</v>
          </cell>
          <cell r="AD29">
            <v>76676340</v>
          </cell>
          <cell r="AE29">
            <v>76285190</v>
          </cell>
          <cell r="AF29">
            <v>50898080</v>
          </cell>
          <cell r="AG29">
            <v>2.2448218238469035</v>
          </cell>
          <cell r="AH29">
            <v>33189440</v>
          </cell>
          <cell r="AI29">
            <v>25669570</v>
          </cell>
          <cell r="AJ29">
            <v>20439890</v>
          </cell>
          <cell r="AK29">
            <v>12516310</v>
          </cell>
          <cell r="AL29">
            <v>70252100</v>
          </cell>
          <cell r="AM29">
            <v>54350520</v>
          </cell>
          <cell r="AN29">
            <v>55613360</v>
          </cell>
          <cell r="AO29">
            <v>38312440</v>
          </cell>
          <cell r="AQ29">
            <v>98130910</v>
          </cell>
          <cell r="AR29">
            <v>75859040</v>
          </cell>
          <cell r="AS29">
            <v>79918550</v>
          </cell>
          <cell r="AT29">
            <v>58914530</v>
          </cell>
          <cell r="AU29">
            <v>93.310009850063153</v>
          </cell>
          <cell r="AV29">
            <v>75304180</v>
          </cell>
          <cell r="AW29">
            <v>72586930</v>
          </cell>
          <cell r="AX29">
            <v>53192110</v>
          </cell>
          <cell r="AY29">
            <v>60158410</v>
          </cell>
          <cell r="AZ29">
            <v>109.08557677532286</v>
          </cell>
          <cell r="BA29">
            <v>202.39558662538602</v>
          </cell>
          <cell r="BC29">
            <v>25.213830000000002</v>
          </cell>
          <cell r="BD29">
            <v>6.6638599999999997</v>
          </cell>
          <cell r="BE29">
            <v>1.60392</v>
          </cell>
          <cell r="BF29">
            <v>6352990</v>
          </cell>
          <cell r="BG29">
            <v>3048700</v>
          </cell>
          <cell r="BH29">
            <v>2794870</v>
          </cell>
          <cell r="BI29">
            <v>-1932210</v>
          </cell>
          <cell r="BJ29">
            <v>3.3552748096688505E-2</v>
          </cell>
          <cell r="BK29" t="str">
            <v>NULL</v>
          </cell>
          <cell r="BL29" t="str">
            <v>NULL</v>
          </cell>
          <cell r="BM29">
            <v>0</v>
          </cell>
          <cell r="BN29">
            <v>0</v>
          </cell>
          <cell r="BO29">
            <v>0</v>
          </cell>
          <cell r="BP29" t="e">
            <v>#VALUE!</v>
          </cell>
          <cell r="BQ29">
            <v>-4576870</v>
          </cell>
          <cell r="BR29">
            <v>-4614070</v>
          </cell>
          <cell r="BS29">
            <v>-3606780</v>
          </cell>
          <cell r="BT29">
            <v>-5549480</v>
          </cell>
          <cell r="BU29">
            <v>-5507030</v>
          </cell>
          <cell r="BV29">
            <v>-2676620</v>
          </cell>
          <cell r="BW29" t="e">
            <v>#VALUE!</v>
          </cell>
          <cell r="BX29">
            <v>6.0259759198729869E-2</v>
          </cell>
          <cell r="BY29">
            <v>79914950</v>
          </cell>
          <cell r="BZ29">
            <v>73561960</v>
          </cell>
          <cell r="CA29">
            <v>70513260</v>
          </cell>
          <cell r="CB29">
            <v>67718390</v>
          </cell>
          <cell r="CC29" t="str">
            <v>NULL</v>
          </cell>
          <cell r="CD29" t="str">
            <v>NULL</v>
          </cell>
          <cell r="CE29" t="str">
            <v>NULL</v>
          </cell>
          <cell r="CF29" t="str">
            <v>NULL</v>
          </cell>
          <cell r="CG29" t="str">
            <v>NULL</v>
          </cell>
          <cell r="CH29" t="str">
            <v>NULL</v>
          </cell>
          <cell r="CI29" t="str">
            <v>NULL</v>
          </cell>
          <cell r="CJ29" t="str">
            <v>NULL</v>
          </cell>
          <cell r="CK29">
            <v>79914950</v>
          </cell>
          <cell r="CL29">
            <v>73561960</v>
          </cell>
          <cell r="CM29">
            <v>70513260</v>
          </cell>
          <cell r="CN29">
            <v>67718390</v>
          </cell>
          <cell r="CO29">
            <v>0.14074801233121167</v>
          </cell>
          <cell r="CP29">
            <v>6352990</v>
          </cell>
          <cell r="CQ29">
            <v>1423250</v>
          </cell>
          <cell r="CR29">
            <v>4122280</v>
          </cell>
          <cell r="CS29">
            <v>15925830</v>
          </cell>
          <cell r="CT29">
            <v>10591810</v>
          </cell>
          <cell r="CU29">
            <v>6574580</v>
          </cell>
          <cell r="CV29">
            <v>6149260</v>
          </cell>
          <cell r="CW29">
            <v>5825090</v>
          </cell>
          <cell r="CX29">
            <v>3.4637203583347969</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7.1027685464101298</v>
          </cell>
          <cell r="DH29">
            <v>1900000000</v>
          </cell>
          <cell r="DI29">
            <v>11.1</v>
          </cell>
          <cell r="DJ29">
            <v>426568050.25</v>
          </cell>
          <cell r="DK29">
            <v>213769610</v>
          </cell>
          <cell r="DM29">
            <v>79914950</v>
          </cell>
          <cell r="DN29" t="str">
            <v>NULL</v>
          </cell>
          <cell r="DO29" t="str">
            <v>NULL</v>
          </cell>
          <cell r="DP29" t="str">
            <v>NULL</v>
          </cell>
          <cell r="DQ29" t="str">
            <v>NULL</v>
          </cell>
          <cell r="DR29">
            <v>79914950</v>
          </cell>
          <cell r="DS29">
            <v>5.3377753505445478</v>
          </cell>
          <cell r="DT29">
            <v>0.33437</v>
          </cell>
          <cell r="DU29">
            <v>0.16045999999999999</v>
          </cell>
          <cell r="DV29">
            <v>0.14710000000000001</v>
          </cell>
          <cell r="DW29">
            <v>-0.1017</v>
          </cell>
          <cell r="DX29">
            <v>0.54022999999999999</v>
          </cell>
          <cell r="DY29">
            <v>20.546804138977844</v>
          </cell>
          <cell r="DZ29">
            <v>1.3943922738540495</v>
          </cell>
          <cell r="EA29" t="e">
            <v>#VALUE!</v>
          </cell>
          <cell r="EB29" t="e">
            <v>#VALUE!</v>
          </cell>
          <cell r="EC29">
            <v>0.20546804138977801</v>
          </cell>
          <cell r="ED29" t="str">
            <v>NULL</v>
          </cell>
          <cell r="EE29" t="str">
            <v>NULL</v>
          </cell>
          <cell r="EG29">
            <v>0.40460472947788118</v>
          </cell>
          <cell r="EH29">
            <v>-3.4275104096350595E-2</v>
          </cell>
          <cell r="EK29">
            <v>0</v>
          </cell>
          <cell r="EM29">
            <v>19.522546682107599</v>
          </cell>
          <cell r="EN29">
            <v>19.412328347199999</v>
          </cell>
        </row>
        <row r="30">
          <cell r="A30" t="str">
            <v>DYCA</v>
          </cell>
          <cell r="B30" t="str">
            <v>DYC.BA</v>
          </cell>
          <cell r="C30" t="str">
            <v>DYCASA SA</v>
          </cell>
          <cell r="D30">
            <v>43008</v>
          </cell>
          <cell r="E30">
            <v>1372201180</v>
          </cell>
          <cell r="F30">
            <v>1075224160</v>
          </cell>
          <cell r="G30">
            <v>1.2762</v>
          </cell>
          <cell r="H30">
            <v>1.2234400000000001</v>
          </cell>
          <cell r="I30">
            <v>1.38533</v>
          </cell>
          <cell r="J30">
            <v>1.3168299999999999</v>
          </cell>
          <cell r="K30">
            <v>49.25</v>
          </cell>
          <cell r="L30">
            <v>0</v>
          </cell>
          <cell r="M30">
            <v>0</v>
          </cell>
          <cell r="N30">
            <v>0</v>
          </cell>
          <cell r="O30" t="str">
            <v>NULL</v>
          </cell>
          <cell r="P30">
            <v>0</v>
          </cell>
          <cell r="Q30">
            <v>0</v>
          </cell>
          <cell r="S30">
            <v>26.180391571000001</v>
          </cell>
          <cell r="T30">
            <v>25.749549357999999</v>
          </cell>
          <cell r="U30">
            <v>43008</v>
          </cell>
          <cell r="V30">
            <v>1565547030</v>
          </cell>
          <cell r="W30">
            <v>1421061120</v>
          </cell>
          <cell r="X30">
            <v>1345913990</v>
          </cell>
          <cell r="Y30">
            <v>1501326670</v>
          </cell>
          <cell r="Z30">
            <v>329426700</v>
          </cell>
          <cell r="AA30">
            <v>4.7523380163174389</v>
          </cell>
          <cell r="AC30">
            <v>612933330</v>
          </cell>
          <cell r="AD30">
            <v>498047710</v>
          </cell>
          <cell r="AE30">
            <v>386522890</v>
          </cell>
          <cell r="AF30">
            <v>538600650</v>
          </cell>
          <cell r="AG30">
            <v>1.7450654241802741</v>
          </cell>
          <cell r="AH30">
            <v>771315320</v>
          </cell>
          <cell r="AI30">
            <v>610545460</v>
          </cell>
          <cell r="AJ30">
            <v>530539080</v>
          </cell>
          <cell r="AK30">
            <v>594453800</v>
          </cell>
          <cell r="AL30">
            <v>544607030</v>
          </cell>
          <cell r="AM30">
            <v>421063280</v>
          </cell>
          <cell r="AN30">
            <v>332769880</v>
          </cell>
          <cell r="AO30">
            <v>439974580</v>
          </cell>
          <cell r="AP30">
            <v>131.58562641238947</v>
          </cell>
          <cell r="AQ30">
            <v>981598090</v>
          </cell>
          <cell r="AR30">
            <v>936731680</v>
          </cell>
          <cell r="AS30">
            <v>788581190</v>
          </cell>
          <cell r="AT30">
            <v>841710530</v>
          </cell>
          <cell r="AU30">
            <v>159.0349111451338</v>
          </cell>
          <cell r="AV30">
            <v>56732610</v>
          </cell>
          <cell r="AW30">
            <v>61328070</v>
          </cell>
          <cell r="AX30">
            <v>42568140</v>
          </cell>
          <cell r="AY30">
            <v>32316470</v>
          </cell>
          <cell r="AZ30">
            <v>10.127765833754392</v>
          </cell>
          <cell r="BA30">
            <v>37.577050566498713</v>
          </cell>
          <cell r="BC30">
            <v>12.70987</v>
          </cell>
          <cell r="BD30">
            <v>0.85580999999999996</v>
          </cell>
          <cell r="BE30">
            <v>2.9545499999999998</v>
          </cell>
          <cell r="BF30">
            <v>3667580</v>
          </cell>
          <cell r="BG30">
            <v>16721480</v>
          </cell>
          <cell r="BH30">
            <v>7435740</v>
          </cell>
          <cell r="BI30">
            <v>48117070</v>
          </cell>
          <cell r="BJ30">
            <v>3.7297627413617425E-2</v>
          </cell>
          <cell r="BK30">
            <v>-20407500</v>
          </cell>
          <cell r="BL30">
            <v>-8411510</v>
          </cell>
          <cell r="BM30">
            <v>-7774460</v>
          </cell>
          <cell r="BN30">
            <v>-35899160</v>
          </cell>
          <cell r="BO30">
            <v>-3705460</v>
          </cell>
          <cell r="BP30">
            <v>-24476500</v>
          </cell>
          <cell r="BQ30">
            <v>-50542270</v>
          </cell>
          <cell r="BR30">
            <v>-136297640</v>
          </cell>
          <cell r="BS30">
            <v>-81230160</v>
          </cell>
          <cell r="BT30">
            <v>344396510</v>
          </cell>
          <cell r="BU30">
            <v>43423220</v>
          </cell>
          <cell r="BV30">
            <v>-175195650</v>
          </cell>
          <cell r="BW30">
            <v>-9.8065763400031244E-2</v>
          </cell>
          <cell r="BX30">
            <v>5.2069823866415899E-2</v>
          </cell>
          <cell r="BY30">
            <v>329426700</v>
          </cell>
          <cell r="BZ30">
            <v>314296180</v>
          </cell>
          <cell r="CA30">
            <v>288210140</v>
          </cell>
          <cell r="CB30">
            <v>269155840</v>
          </cell>
          <cell r="CC30" t="str">
            <v>NULL</v>
          </cell>
          <cell r="CD30" t="str">
            <v>NULL</v>
          </cell>
          <cell r="CE30" t="str">
            <v>NULL</v>
          </cell>
          <cell r="CF30" t="str">
            <v>NULL</v>
          </cell>
          <cell r="CG30" t="str">
            <v>NULL</v>
          </cell>
          <cell r="CH30" t="str">
            <v>NULL</v>
          </cell>
          <cell r="CI30" t="str">
            <v>NULL</v>
          </cell>
          <cell r="CJ30" t="str">
            <v>NULL</v>
          </cell>
          <cell r="CK30">
            <v>329426700</v>
          </cell>
          <cell r="CL30">
            <v>314296180</v>
          </cell>
          <cell r="CM30">
            <v>288210140</v>
          </cell>
          <cell r="CN30">
            <v>269155840</v>
          </cell>
          <cell r="CO30">
            <v>0.25291008027499312</v>
          </cell>
          <cell r="CP30">
            <v>3667580</v>
          </cell>
          <cell r="CQ30">
            <v>-12241290</v>
          </cell>
          <cell r="CR30">
            <v>36550730</v>
          </cell>
          <cell r="CS30">
            <v>5578920</v>
          </cell>
          <cell r="CT30">
            <v>1942180</v>
          </cell>
          <cell r="CU30">
            <v>11950030</v>
          </cell>
          <cell r="CV30">
            <v>-9409140</v>
          </cell>
          <cell r="CW30">
            <v>19756250</v>
          </cell>
          <cell r="CX30">
            <v>1.2996073126279992</v>
          </cell>
          <cell r="CY30">
            <v>1.4760781453120972</v>
          </cell>
          <cell r="CZ30">
            <v>5.5515780832132382</v>
          </cell>
          <cell r="DA30">
            <v>1.8725040933384136</v>
          </cell>
          <cell r="DB30">
            <v>-0.83747488500028866</v>
          </cell>
          <cell r="DC30">
            <v>2.2700448712634733</v>
          </cell>
          <cell r="DD30">
            <v>-1.47626143625435</v>
          </cell>
          <cell r="DE30">
            <v>2.8047314072371656</v>
          </cell>
          <cell r="DG30">
            <v>11.1319732027738</v>
          </cell>
          <cell r="DH30">
            <v>30000000</v>
          </cell>
          <cell r="DI30">
            <v>49.800000000000004</v>
          </cell>
          <cell r="DJ30">
            <v>1494000000</v>
          </cell>
          <cell r="DK30">
            <v>1299052960</v>
          </cell>
          <cell r="DM30">
            <v>329426700</v>
          </cell>
          <cell r="DN30" t="str">
            <v>NULL</v>
          </cell>
          <cell r="DO30" t="str">
            <v>NULL</v>
          </cell>
          <cell r="DP30" t="str">
            <v>NULL</v>
          </cell>
          <cell r="DQ30" t="str">
            <v>NULL</v>
          </cell>
          <cell r="DR30">
            <v>329426700</v>
          </cell>
          <cell r="DS30">
            <v>4.5351515223265144</v>
          </cell>
          <cell r="DT30">
            <v>0.12225</v>
          </cell>
          <cell r="DU30">
            <v>0.55737999999999999</v>
          </cell>
          <cell r="DV30">
            <v>0.24786</v>
          </cell>
          <cell r="DW30">
            <v>1.6039000000000001</v>
          </cell>
          <cell r="DX30">
            <v>2.53139</v>
          </cell>
          <cell r="DY30">
            <v>19.455714054333786</v>
          </cell>
          <cell r="DZ30">
            <v>0.73375405893934975</v>
          </cell>
          <cell r="EA30">
            <v>-199672150</v>
          </cell>
          <cell r="EB30">
            <v>-7.482265303398596</v>
          </cell>
          <cell r="EC30">
            <v>18.882906229383899</v>
          </cell>
          <cell r="ED30">
            <v>0.88083022184577797</v>
          </cell>
          <cell r="EE30">
            <v>0.78624714806742402</v>
          </cell>
          <cell r="EG30">
            <v>0.4252274575920445</v>
          </cell>
          <cell r="EH30">
            <v>7.4653150782704403E-2</v>
          </cell>
          <cell r="EK30" t="str">
            <v>NULL</v>
          </cell>
          <cell r="EM30">
            <v>36.801200504017601</v>
          </cell>
          <cell r="EN30">
            <v>36.593432167899998</v>
          </cell>
        </row>
        <row r="31">
          <cell r="A31" t="str">
            <v>EDN</v>
          </cell>
          <cell r="B31" t="str">
            <v>EDN.BA</v>
          </cell>
          <cell r="C31" t="str">
            <v>EMPRESA DISTRIBUIDORA Y COMERCIALIZADORA NORTE SA</v>
          </cell>
          <cell r="D31">
            <v>43008</v>
          </cell>
          <cell r="E31">
            <v>7183071000</v>
          </cell>
          <cell r="F31">
            <v>11295282000</v>
          </cell>
          <cell r="G31">
            <v>0.63593999999999995</v>
          </cell>
          <cell r="H31">
            <v>0.60751999999999995</v>
          </cell>
          <cell r="I31">
            <v>0.64322999999999997</v>
          </cell>
          <cell r="J31">
            <v>0.61680000000000001</v>
          </cell>
          <cell r="K31">
            <v>56.65</v>
          </cell>
          <cell r="L31">
            <v>0</v>
          </cell>
          <cell r="M31">
            <v>0</v>
          </cell>
          <cell r="N31">
            <v>0</v>
          </cell>
          <cell r="O31" t="str">
            <v>NULL</v>
          </cell>
          <cell r="P31">
            <v>0</v>
          </cell>
          <cell r="Q31">
            <v>0</v>
          </cell>
          <cell r="S31">
            <v>301.25769527900002</v>
          </cell>
          <cell r="T31">
            <v>400.58019456300002</v>
          </cell>
          <cell r="U31">
            <v>43008</v>
          </cell>
          <cell r="V31">
            <v>22106519000</v>
          </cell>
          <cell r="W31">
            <v>20826189000</v>
          </cell>
          <cell r="X31">
            <v>19770659000</v>
          </cell>
          <cell r="Y31">
            <v>18933530000</v>
          </cell>
          <cell r="Z31">
            <v>1047233000</v>
          </cell>
          <cell r="AA31">
            <v>21.109456061831512</v>
          </cell>
          <cell r="AC31">
            <v>6458121000</v>
          </cell>
          <cell r="AD31">
            <v>5751628000</v>
          </cell>
          <cell r="AE31">
            <v>5366635000</v>
          </cell>
          <cell r="AF31">
            <v>3962261000</v>
          </cell>
          <cell r="AG31">
            <v>1.3191727297648175</v>
          </cell>
          <cell r="AH31">
            <v>8136193000</v>
          </cell>
          <cell r="AI31">
            <v>7929673000</v>
          </cell>
          <cell r="AJ31">
            <v>7135200000</v>
          </cell>
          <cell r="AK31">
            <v>6821061000</v>
          </cell>
          <cell r="AL31">
            <v>3427285000</v>
          </cell>
          <cell r="AM31">
            <v>3276958000</v>
          </cell>
          <cell r="AN31">
            <v>2533581000</v>
          </cell>
          <cell r="AO31">
            <v>1294321000</v>
          </cell>
          <cell r="AP31">
            <v>260.11027086600114</v>
          </cell>
          <cell r="AQ31">
            <v>4861763000</v>
          </cell>
          <cell r="AR31">
            <v>4726828000</v>
          </cell>
          <cell r="AS31">
            <v>4592609000</v>
          </cell>
          <cell r="AT31">
            <v>3901060000</v>
          </cell>
          <cell r="AU31">
            <v>76.606779349397328</v>
          </cell>
          <cell r="AV31">
            <v>320939000</v>
          </cell>
          <cell r="AW31">
            <v>283332000</v>
          </cell>
          <cell r="AX31">
            <v>263994000</v>
          </cell>
          <cell r="AY31">
            <v>287810000</v>
          </cell>
          <cell r="AZ31">
            <v>10.016178447030494</v>
          </cell>
          <cell r="BA31">
            <v>-173.4873130695733</v>
          </cell>
          <cell r="BC31" t="str">
            <v>NULL</v>
          </cell>
          <cell r="BD31">
            <v>-5.01633</v>
          </cell>
          <cell r="BE31">
            <v>-9.08779</v>
          </cell>
          <cell r="BF31">
            <v>291176000</v>
          </cell>
          <cell r="BG31">
            <v>-52609000</v>
          </cell>
          <cell r="BH31">
            <v>421383000</v>
          </cell>
          <cell r="BI31">
            <v>653584000</v>
          </cell>
          <cell r="BJ31">
            <v>6.0984987681444211E-2</v>
          </cell>
          <cell r="BK31">
            <v>-2679653000</v>
          </cell>
          <cell r="BL31">
            <v>-1616321000</v>
          </cell>
          <cell r="BM31">
            <v>-742941000</v>
          </cell>
          <cell r="BN31">
            <v>-2474600000</v>
          </cell>
          <cell r="BO31">
            <v>-1525477000</v>
          </cell>
          <cell r="BP31">
            <v>-1897117000</v>
          </cell>
          <cell r="BQ31">
            <v>2079399000</v>
          </cell>
          <cell r="BR31">
            <v>982709000</v>
          </cell>
          <cell r="BS31">
            <v>139931000</v>
          </cell>
          <cell r="BT31">
            <v>2931315000</v>
          </cell>
          <cell r="BU31">
            <v>1877140000</v>
          </cell>
          <cell r="BV31">
            <v>342190000</v>
          </cell>
          <cell r="BW31">
            <v>-7.2192424360956783E-2</v>
          </cell>
          <cell r="BX31">
            <v>6.435982004558552E-2</v>
          </cell>
          <cell r="BY31">
            <v>1047233000</v>
          </cell>
          <cell r="BZ31">
            <v>738373000</v>
          </cell>
          <cell r="CA31">
            <v>805188000</v>
          </cell>
          <cell r="CB31">
            <v>361832000</v>
          </cell>
          <cell r="CC31" t="str">
            <v>NULL</v>
          </cell>
          <cell r="CD31" t="str">
            <v>NULL</v>
          </cell>
          <cell r="CE31" t="str">
            <v>NULL</v>
          </cell>
          <cell r="CF31" t="str">
            <v>NULL</v>
          </cell>
          <cell r="CG31" t="str">
            <v>NULL</v>
          </cell>
          <cell r="CH31" t="str">
            <v>NULL</v>
          </cell>
          <cell r="CI31" t="str">
            <v>NULL</v>
          </cell>
          <cell r="CJ31" t="str">
            <v>NULL</v>
          </cell>
          <cell r="CK31">
            <v>1047233000</v>
          </cell>
          <cell r="CL31">
            <v>738373000</v>
          </cell>
          <cell r="CM31">
            <v>805188000</v>
          </cell>
          <cell r="CN31">
            <v>361832000</v>
          </cell>
          <cell r="CO31">
            <v>1.779479012919347</v>
          </cell>
          <cell r="CP31">
            <v>291176000</v>
          </cell>
          <cell r="CQ31">
            <v>-656767000</v>
          </cell>
          <cell r="CR31">
            <v>-1188648000</v>
          </cell>
          <cell r="CS31">
            <v>1142443000</v>
          </cell>
          <cell r="CT31">
            <v>-779716000</v>
          </cell>
          <cell r="CU31">
            <v>866847000</v>
          </cell>
          <cell r="CV31">
            <v>-1033357000</v>
          </cell>
          <cell r="CW31">
            <v>-164526000</v>
          </cell>
          <cell r="CX31">
            <v>1.4433474885309403</v>
          </cell>
          <cell r="CY31">
            <v>-0.98333459147739188</v>
          </cell>
          <cell r="CZ31">
            <v>-2.0404440309056993</v>
          </cell>
          <cell r="DA31">
            <v>2.4652039973528823</v>
          </cell>
          <cell r="DB31">
            <v>-1.8994851455908597</v>
          </cell>
          <cell r="DC31">
            <v>1.8388649808343098</v>
          </cell>
          <cell r="DD31">
            <v>-5.2808127590775928</v>
          </cell>
          <cell r="DE31">
            <v>3.1734192769920537</v>
          </cell>
          <cell r="DG31">
            <v>10.813188331553</v>
          </cell>
          <cell r="DH31">
            <v>442210385</v>
          </cell>
          <cell r="DI31">
            <v>56.95</v>
          </cell>
          <cell r="DJ31">
            <v>51622617945</v>
          </cell>
          <cell r="DK31">
            <v>26096613598.5</v>
          </cell>
          <cell r="DM31">
            <v>1047233000</v>
          </cell>
          <cell r="DN31" t="str">
            <v>NULL</v>
          </cell>
          <cell r="DO31" t="str">
            <v>NULL</v>
          </cell>
          <cell r="DP31" t="str">
            <v>NULL</v>
          </cell>
          <cell r="DQ31" t="str">
            <v>NULL</v>
          </cell>
          <cell r="DR31">
            <v>1047233000</v>
          </cell>
          <cell r="DS31">
            <v>49.294300260782464</v>
          </cell>
          <cell r="DT31">
            <v>0.32418999999999998</v>
          </cell>
          <cell r="DU31">
            <v>-5.8540000000000002E-2</v>
          </cell>
          <cell r="DV31">
            <v>0.46971000000000002</v>
          </cell>
          <cell r="DW31">
            <v>0.72860000000000003</v>
          </cell>
          <cell r="DX31">
            <v>1.4639600000000002</v>
          </cell>
          <cell r="DY31">
            <v>38.69641247028607</v>
          </cell>
          <cell r="DZ31">
            <v>2.3967439894663753</v>
          </cell>
          <cell r="EA31">
            <v>-1554927000</v>
          </cell>
          <cell r="EB31">
            <v>-33.199383601288034</v>
          </cell>
          <cell r="EC31">
            <v>38.3207191453319</v>
          </cell>
          <cell r="ED31">
            <v>1.0928575169033501</v>
          </cell>
          <cell r="EE31">
            <v>0.97451961853051505</v>
          </cell>
          <cell r="EG31">
            <v>0.54620426359425445</v>
          </cell>
          <cell r="EH31">
            <v>0.11334151560502637</v>
          </cell>
          <cell r="EK31" t="str">
            <v>NULL</v>
          </cell>
          <cell r="EM31">
            <v>-13.056465768978301</v>
          </cell>
          <cell r="EN31" t="str">
            <v>NULL</v>
          </cell>
        </row>
        <row r="32">
          <cell r="A32" t="str">
            <v>ERAR</v>
          </cell>
          <cell r="B32" t="str">
            <v>SID.BA</v>
          </cell>
          <cell r="C32" t="str">
            <v>SIDERAR SA INDUSTRIAL Y COMERCIAL</v>
          </cell>
          <cell r="D32">
            <v>43008</v>
          </cell>
          <cell r="E32">
            <v>16579386000</v>
          </cell>
          <cell r="F32">
            <v>13036518000</v>
          </cell>
          <cell r="G32">
            <v>1.27176</v>
          </cell>
          <cell r="H32">
            <v>0.41900999999999999</v>
          </cell>
          <cell r="I32">
            <v>1.1585700000000001</v>
          </cell>
          <cell r="J32">
            <v>0.40205999999999997</v>
          </cell>
          <cell r="K32">
            <v>15.6</v>
          </cell>
          <cell r="L32">
            <v>0</v>
          </cell>
          <cell r="M32">
            <v>0.26600000000000001</v>
          </cell>
          <cell r="N32">
            <v>0</v>
          </cell>
          <cell r="O32">
            <v>0</v>
          </cell>
          <cell r="P32">
            <v>0.26600000000000001</v>
          </cell>
          <cell r="Q32">
            <v>1.7051282051282052E-2</v>
          </cell>
          <cell r="S32">
            <v>29.473599789000001</v>
          </cell>
          <cell r="T32">
            <v>29.579905914000001</v>
          </cell>
          <cell r="U32">
            <v>43008</v>
          </cell>
          <cell r="V32">
            <v>49539947000</v>
          </cell>
          <cell r="W32">
            <v>46083760000</v>
          </cell>
          <cell r="X32">
            <v>42347137000</v>
          </cell>
          <cell r="Y32">
            <v>38366915000</v>
          </cell>
          <cell r="Z32">
            <v>34164500000</v>
          </cell>
          <cell r="AA32">
            <v>1.4500416221516486</v>
          </cell>
          <cell r="AC32">
            <v>10565715000</v>
          </cell>
          <cell r="AD32">
            <v>8831257000</v>
          </cell>
          <cell r="AE32">
            <v>7981971000</v>
          </cell>
          <cell r="AF32">
            <v>7764094000</v>
          </cell>
          <cell r="AG32">
            <v>0.99646918017061514</v>
          </cell>
          <cell r="AH32">
            <v>3649384000</v>
          </cell>
          <cell r="AI32">
            <v>3507075000</v>
          </cell>
          <cell r="AJ32">
            <v>3076277000</v>
          </cell>
          <cell r="AK32">
            <v>2749764000</v>
          </cell>
          <cell r="AL32">
            <v>7655488000</v>
          </cell>
          <cell r="AM32">
            <v>6820858000</v>
          </cell>
          <cell r="AN32">
            <v>5937615000</v>
          </cell>
          <cell r="AO32">
            <v>5578831000</v>
          </cell>
          <cell r="AP32">
            <v>45.576216860428076</v>
          </cell>
          <cell r="AQ32">
            <v>1797043000</v>
          </cell>
          <cell r="AR32">
            <v>1526597000</v>
          </cell>
          <cell r="AS32">
            <v>1225385000</v>
          </cell>
          <cell r="AT32">
            <v>1138810000</v>
          </cell>
          <cell r="AU32">
            <v>14.768642327354916</v>
          </cell>
          <cell r="AV32">
            <v>11116964000</v>
          </cell>
          <cell r="AW32">
            <v>9676573000</v>
          </cell>
          <cell r="AX32">
            <v>8909335000</v>
          </cell>
          <cell r="AY32">
            <v>7318157000</v>
          </cell>
          <cell r="AZ32">
            <v>129.96560339689557</v>
          </cell>
          <cell r="BA32">
            <v>99.158028863822409</v>
          </cell>
          <cell r="BC32">
            <v>27.736740000000001</v>
          </cell>
          <cell r="BD32">
            <v>15.26763</v>
          </cell>
          <cell r="BE32">
            <v>13.24295</v>
          </cell>
          <cell r="BF32">
            <v>1609137000</v>
          </cell>
          <cell r="BG32">
            <v>1255111000</v>
          </cell>
          <cell r="BH32">
            <v>1857426000</v>
          </cell>
          <cell r="BI32">
            <v>943645000</v>
          </cell>
          <cell r="BJ32">
            <v>0.16120743918631733</v>
          </cell>
          <cell r="BK32">
            <v>-1136370000</v>
          </cell>
          <cell r="BL32">
            <v>-798011000</v>
          </cell>
          <cell r="BM32">
            <v>-407525000</v>
          </cell>
          <cell r="BN32">
            <v>-2114262000</v>
          </cell>
          <cell r="BO32">
            <v>-1520542000</v>
          </cell>
          <cell r="BP32">
            <v>-23353000</v>
          </cell>
          <cell r="BQ32">
            <v>-1068695000</v>
          </cell>
          <cell r="BR32">
            <v>-1010116000</v>
          </cell>
          <cell r="BS32">
            <v>-947333000</v>
          </cell>
          <cell r="BT32">
            <v>885571000</v>
          </cell>
          <cell r="BU32">
            <v>-680491000</v>
          </cell>
          <cell r="BV32">
            <v>-1335537000</v>
          </cell>
          <cell r="BW32">
            <v>-3.8667403730645138E-2</v>
          </cell>
          <cell r="BX32">
            <v>0.12851062715388142</v>
          </cell>
          <cell r="BY32">
            <v>34164500000</v>
          </cell>
          <cell r="BZ32">
            <v>31613799000</v>
          </cell>
          <cell r="CA32">
            <v>30028231000</v>
          </cell>
          <cell r="CB32">
            <v>28718159000</v>
          </cell>
          <cell r="CC32" t="str">
            <v>NULL</v>
          </cell>
          <cell r="CD32" t="str">
            <v>NULL</v>
          </cell>
          <cell r="CE32" t="str">
            <v>NULL</v>
          </cell>
          <cell r="CF32" t="str">
            <v>NULL</v>
          </cell>
          <cell r="CG32" t="str">
            <v>NULL</v>
          </cell>
          <cell r="CH32" t="str">
            <v>NULL</v>
          </cell>
          <cell r="CI32" t="str">
            <v>NULL</v>
          </cell>
          <cell r="CJ32" t="str">
            <v>NULL</v>
          </cell>
          <cell r="CK32">
            <v>34164500000</v>
          </cell>
          <cell r="CL32">
            <v>31613799000</v>
          </cell>
          <cell r="CM32">
            <v>30028231000</v>
          </cell>
          <cell r="CN32">
            <v>28718159000</v>
          </cell>
          <cell r="CO32">
            <v>0.18198219310549735</v>
          </cell>
          <cell r="CP32">
            <v>1609137000</v>
          </cell>
          <cell r="CQ32">
            <v>1307441000</v>
          </cell>
          <cell r="CR32">
            <v>3703279000</v>
          </cell>
          <cell r="CS32">
            <v>1756930000</v>
          </cell>
          <cell r="CT32">
            <v>2371723000</v>
          </cell>
          <cell r="CU32">
            <v>2107381000</v>
          </cell>
          <cell r="CV32">
            <v>540499000</v>
          </cell>
          <cell r="CW32">
            <v>1432187000</v>
          </cell>
          <cell r="CX32">
            <v>0.23075305118930789</v>
          </cell>
          <cell r="CY32">
            <v>0.65007590330536202</v>
          </cell>
          <cell r="CZ32">
            <v>1.107812491106646</v>
          </cell>
          <cell r="DA32">
            <v>-0.25921787662387219</v>
          </cell>
          <cell r="DB32">
            <v>0.12543626425406695</v>
          </cell>
          <cell r="DC32">
            <v>2.8989544846521453</v>
          </cell>
          <cell r="DD32">
            <v>-0.62260584686217646</v>
          </cell>
          <cell r="DE32">
            <v>1.4132195887178733</v>
          </cell>
          <cell r="DG32">
            <v>12.9846870267152</v>
          </cell>
          <cell r="DH32">
            <v>4517094023</v>
          </cell>
          <cell r="DI32">
            <v>15.700000000000001</v>
          </cell>
          <cell r="DJ32">
            <v>70918376161.100006</v>
          </cell>
          <cell r="DK32">
            <v>78857146965.699997</v>
          </cell>
          <cell r="DM32">
            <v>34164500000</v>
          </cell>
          <cell r="DN32" t="str">
            <v>NULL</v>
          </cell>
          <cell r="DO32" t="str">
            <v>NULL</v>
          </cell>
          <cell r="DP32">
            <v>197448000</v>
          </cell>
          <cell r="DQ32" t="str">
            <v>NULL</v>
          </cell>
          <cell r="DR32">
            <v>33967052000</v>
          </cell>
          <cell r="DS32">
            <v>2.087857850045391</v>
          </cell>
          <cell r="DT32">
            <v>0.35622999999999999</v>
          </cell>
          <cell r="DU32">
            <v>0.27786</v>
          </cell>
          <cell r="DV32">
            <v>0.41120000000000001</v>
          </cell>
          <cell r="DW32">
            <v>0.20891000000000001</v>
          </cell>
          <cell r="DX32">
            <v>1.2542</v>
          </cell>
          <cell r="DY32">
            <v>12.438207622388774</v>
          </cell>
          <cell r="DZ32">
            <v>2.0179922458352135</v>
          </cell>
          <cell r="EA32">
            <v>-1358890000</v>
          </cell>
          <cell r="EB32">
            <v>-52.188459817277341</v>
          </cell>
          <cell r="EC32">
            <v>12.6774039228193</v>
          </cell>
          <cell r="ED32">
            <v>0.87812490308327995</v>
          </cell>
          <cell r="EE32">
            <v>0.90453258258098801</v>
          </cell>
          <cell r="EG32">
            <v>0.4230408831773102</v>
          </cell>
          <cell r="EH32">
            <v>7.1516819903923556E-2</v>
          </cell>
          <cell r="EK32">
            <v>1.6729559559748399</v>
          </cell>
          <cell r="EM32">
            <v>15.0748573622091</v>
          </cell>
          <cell r="EN32">
            <v>14.9897493226</v>
          </cell>
        </row>
        <row r="33">
          <cell r="A33" t="str">
            <v>ESME</v>
          </cell>
          <cell r="B33" t="str">
            <v>ESM.BA</v>
          </cell>
          <cell r="C33" t="str">
            <v>BODEGAS ESMERALDA SA</v>
          </cell>
          <cell r="D33">
            <v>43008</v>
          </cell>
          <cell r="E33">
            <v>2718969080</v>
          </cell>
          <cell r="F33">
            <v>1175926880</v>
          </cell>
          <cell r="G33">
            <v>2.3121900000000002</v>
          </cell>
          <cell r="H33">
            <v>1.2203900000000001</v>
          </cell>
          <cell r="I33">
            <v>2.0674399999999999</v>
          </cell>
          <cell r="J33">
            <v>1.0374300000000001</v>
          </cell>
          <cell r="K33">
            <v>93</v>
          </cell>
          <cell r="L33">
            <v>0.5</v>
          </cell>
          <cell r="M33">
            <v>0</v>
          </cell>
          <cell r="N33">
            <v>0</v>
          </cell>
          <cell r="O33">
            <v>0</v>
          </cell>
          <cell r="P33">
            <v>0.5</v>
          </cell>
          <cell r="Q33">
            <v>5.3763440860215058E-3</v>
          </cell>
          <cell r="S33">
            <v>5.3437603239999998</v>
          </cell>
          <cell r="T33">
            <v>3.627772142</v>
          </cell>
          <cell r="U33">
            <v>43008</v>
          </cell>
          <cell r="V33">
            <v>3013373190</v>
          </cell>
          <cell r="W33">
            <v>2946251700</v>
          </cell>
          <cell r="X33">
            <v>2334410940</v>
          </cell>
          <cell r="Y33">
            <v>2450389400</v>
          </cell>
          <cell r="Z33">
            <v>1584421360</v>
          </cell>
          <cell r="AA33">
            <v>1.9018761461281992</v>
          </cell>
          <cell r="AC33">
            <v>878826380</v>
          </cell>
          <cell r="AD33">
            <v>709270840</v>
          </cell>
          <cell r="AE33">
            <v>499966230</v>
          </cell>
          <cell r="AF33">
            <v>752118440</v>
          </cell>
          <cell r="AG33">
            <v>1.3216949536670035</v>
          </cell>
          <cell r="AH33">
            <v>968578910</v>
          </cell>
          <cell r="AI33">
            <v>1009816990</v>
          </cell>
          <cell r="AJ33">
            <v>477343620</v>
          </cell>
          <cell r="AK33">
            <v>493064980</v>
          </cell>
          <cell r="AL33">
            <v>502835750</v>
          </cell>
          <cell r="AM33">
            <v>452312570</v>
          </cell>
          <cell r="AN33">
            <v>404832750</v>
          </cell>
          <cell r="AO33">
            <v>409672740</v>
          </cell>
          <cell r="AP33">
            <v>152.05144028989488</v>
          </cell>
          <cell r="AQ33">
            <v>880757000</v>
          </cell>
          <cell r="AR33">
            <v>714606150</v>
          </cell>
          <cell r="AS33">
            <v>598839690</v>
          </cell>
          <cell r="AT33">
            <v>765530150</v>
          </cell>
          <cell r="AU33">
            <v>95.090964521818009</v>
          </cell>
          <cell r="AV33">
            <v>1283880520</v>
          </cell>
          <cell r="AW33">
            <v>1323374820</v>
          </cell>
          <cell r="AX33">
            <v>850080860</v>
          </cell>
          <cell r="AY33">
            <v>887318100</v>
          </cell>
          <cell r="AZ33">
            <v>224.0267009483623</v>
          </cell>
          <cell r="BA33">
            <v>167.06622518028544</v>
          </cell>
          <cell r="BC33">
            <v>41.666350000000001</v>
          </cell>
          <cell r="BD33">
            <v>16.901070000000001</v>
          </cell>
          <cell r="BE33">
            <v>11.87763</v>
          </cell>
          <cell r="BF33">
            <v>133131430</v>
          </cell>
          <cell r="BG33">
            <v>79737240</v>
          </cell>
          <cell r="BH33">
            <v>-21154290</v>
          </cell>
          <cell r="BI33">
            <v>108505990</v>
          </cell>
          <cell r="BJ33">
            <v>0.10570462795254286</v>
          </cell>
          <cell r="BK33">
            <v>-16893150</v>
          </cell>
          <cell r="BL33">
            <v>-9013510</v>
          </cell>
          <cell r="BM33">
            <v>-65296580</v>
          </cell>
          <cell r="BN33">
            <v>-44837550</v>
          </cell>
          <cell r="BO33">
            <v>-34713830</v>
          </cell>
          <cell r="BP33">
            <v>-47475900</v>
          </cell>
          <cell r="BQ33">
            <v>-102191940</v>
          </cell>
          <cell r="BR33">
            <v>-36145020</v>
          </cell>
          <cell r="BS33">
            <v>5957910</v>
          </cell>
          <cell r="BT33">
            <v>-50774180</v>
          </cell>
          <cell r="BU33">
            <v>-129155490</v>
          </cell>
          <cell r="BV33">
            <v>32921460</v>
          </cell>
          <cell r="BW33">
            <v>-5.1244746159549662E-3</v>
          </cell>
          <cell r="BX33">
            <v>0.11176786606015593</v>
          </cell>
          <cell r="BY33">
            <v>1584421360</v>
          </cell>
          <cell r="BZ33">
            <v>1480758380</v>
          </cell>
          <cell r="CA33">
            <v>1401021140</v>
          </cell>
          <cell r="CB33">
            <v>1422175430</v>
          </cell>
          <cell r="CC33" t="str">
            <v>NULL</v>
          </cell>
          <cell r="CD33" t="str">
            <v>NULL</v>
          </cell>
          <cell r="CE33" t="str">
            <v>NULL</v>
          </cell>
          <cell r="CF33" t="str">
            <v>NULL</v>
          </cell>
          <cell r="CG33" t="str">
            <v>NULL</v>
          </cell>
          <cell r="CH33" t="str">
            <v>NULL</v>
          </cell>
          <cell r="CI33" t="str">
            <v>NULL</v>
          </cell>
          <cell r="CJ33" t="str">
            <v>NULL</v>
          </cell>
          <cell r="CK33">
            <v>1584421360</v>
          </cell>
          <cell r="CL33">
            <v>1480758380</v>
          </cell>
          <cell r="CM33">
            <v>1401021140</v>
          </cell>
          <cell r="CN33">
            <v>1422175430</v>
          </cell>
          <cell r="CO33">
            <v>0.20394102156151089</v>
          </cell>
          <cell r="CP33">
            <v>133131430</v>
          </cell>
          <cell r="CQ33">
            <v>144864730</v>
          </cell>
          <cell r="CR33">
            <v>296004430</v>
          </cell>
          <cell r="CS33">
            <v>367908430</v>
          </cell>
          <cell r="CT33">
            <v>207819320</v>
          </cell>
          <cell r="CU33">
            <v>145700550</v>
          </cell>
          <cell r="CV33">
            <v>84994270</v>
          </cell>
          <cell r="CW33">
            <v>51942710</v>
          </cell>
          <cell r="CX33">
            <v>-8.0994870179925793E-2</v>
          </cell>
          <cell r="CY33">
            <v>0.47035630194950384</v>
          </cell>
          <cell r="CZ33">
            <v>-0.19543993596450071</v>
          </cell>
          <cell r="DA33">
            <v>0.770328331360145</v>
          </cell>
          <cell r="DB33">
            <v>0.42634547364440278</v>
          </cell>
          <cell r="DC33">
            <v>0.71423967756885265</v>
          </cell>
          <cell r="DD33">
            <v>0.63630796313861948</v>
          </cell>
          <cell r="DE33">
            <v>0.39440583686483288</v>
          </cell>
          <cell r="DG33">
            <v>12.4284607902202</v>
          </cell>
          <cell r="DH33">
            <v>5893670105</v>
          </cell>
          <cell r="DI33">
            <v>91</v>
          </cell>
          <cell r="DJ33">
            <v>5363258264</v>
          </cell>
          <cell r="DK33">
            <v>5437933819.9999905</v>
          </cell>
          <cell r="DM33">
            <v>1584421360</v>
          </cell>
          <cell r="DN33" t="str">
            <v>NULL</v>
          </cell>
          <cell r="DO33" t="str">
            <v>NULL</v>
          </cell>
          <cell r="DP33">
            <v>37360</v>
          </cell>
          <cell r="DQ33" t="str">
            <v>NULL</v>
          </cell>
          <cell r="DR33">
            <v>1584384000</v>
          </cell>
          <cell r="DS33">
            <v>3.3850747445063822</v>
          </cell>
          <cell r="DT33">
            <v>2.2589999999999999E-2</v>
          </cell>
          <cell r="DU33">
            <v>1.353E-2</v>
          </cell>
          <cell r="DV33">
            <v>-3.5899999999999999E-3</v>
          </cell>
          <cell r="DW33">
            <v>1.8409999999999999E-2</v>
          </cell>
          <cell r="DX33">
            <v>5.0939999999999999E-2</v>
          </cell>
          <cell r="DY33">
            <v>1825.6772673733806</v>
          </cell>
          <cell r="DZ33">
            <v>1.8883502788618935</v>
          </cell>
          <cell r="EA33">
            <v>-14554440</v>
          </cell>
          <cell r="EB33">
            <v>-368.49636701927386</v>
          </cell>
          <cell r="EC33">
            <v>18.6493914409109</v>
          </cell>
          <cell r="ED33">
            <v>0.38451726217221599</v>
          </cell>
          <cell r="EE33" t="str">
            <v>NULL</v>
          </cell>
          <cell r="EG33">
            <v>0.34145818516428772</v>
          </cell>
          <cell r="EH33">
            <v>8.4777087466853196E-2</v>
          </cell>
          <cell r="EK33">
            <v>0.59883040936842102</v>
          </cell>
          <cell r="EM33">
            <v>19.6095814968238</v>
          </cell>
          <cell r="EN33">
            <v>19.498871789999999</v>
          </cell>
        </row>
        <row r="34">
          <cell r="A34" t="str">
            <v>ESTR</v>
          </cell>
          <cell r="B34" t="str">
            <v>EST.BA</v>
          </cell>
          <cell r="C34" t="str">
            <v>ANGEL ESTRADA Y COMPANIA SA</v>
          </cell>
          <cell r="D34">
            <v>43008</v>
          </cell>
          <cell r="E34">
            <v>735421650</v>
          </cell>
          <cell r="F34">
            <v>530877140</v>
          </cell>
          <cell r="G34">
            <v>1.3853</v>
          </cell>
          <cell r="H34">
            <v>0.76697000000000004</v>
          </cell>
          <cell r="I34">
            <v>1.45095</v>
          </cell>
          <cell r="J34">
            <v>1.06057</v>
          </cell>
          <cell r="K34" t="str">
            <v>*The record could not be found</v>
          </cell>
          <cell r="L34">
            <v>0</v>
          </cell>
          <cell r="M34" t="str">
            <v>NULL</v>
          </cell>
          <cell r="N34">
            <v>0</v>
          </cell>
          <cell r="O34">
            <v>0</v>
          </cell>
          <cell r="P34">
            <v>0</v>
          </cell>
          <cell r="Q34" t="e">
            <v>#VALUE!</v>
          </cell>
          <cell r="S34">
            <v>93.387490350999997</v>
          </cell>
          <cell r="T34">
            <v>95.552399609999995</v>
          </cell>
          <cell r="U34">
            <v>43008</v>
          </cell>
          <cell r="V34">
            <v>1103369710</v>
          </cell>
          <cell r="W34">
            <v>1077209180</v>
          </cell>
          <cell r="X34">
            <v>1143099230</v>
          </cell>
          <cell r="Y34">
            <v>840129370</v>
          </cell>
          <cell r="Z34">
            <v>396340140</v>
          </cell>
          <cell r="AA34">
            <v>2.783895948565795</v>
          </cell>
          <cell r="AC34">
            <v>119800160</v>
          </cell>
          <cell r="AD34">
            <v>118591170</v>
          </cell>
          <cell r="AE34">
            <v>355054580</v>
          </cell>
          <cell r="AF34">
            <v>228539330</v>
          </cell>
          <cell r="AG34">
            <v>0.98704941543268632</v>
          </cell>
          <cell r="AH34">
            <v>76805900</v>
          </cell>
          <cell r="AI34">
            <v>31371230</v>
          </cell>
          <cell r="AJ34">
            <v>87694860</v>
          </cell>
          <cell r="AK34">
            <v>108715380</v>
          </cell>
          <cell r="AL34">
            <v>63913370</v>
          </cell>
          <cell r="AM34">
            <v>95743430</v>
          </cell>
          <cell r="AN34">
            <v>195267720</v>
          </cell>
          <cell r="AO34">
            <v>119987840</v>
          </cell>
          <cell r="AP34">
            <v>58.523634787058398</v>
          </cell>
          <cell r="AQ34">
            <v>157602160</v>
          </cell>
          <cell r="AR34">
            <v>146073770</v>
          </cell>
          <cell r="AS34">
            <v>301367730</v>
          </cell>
          <cell r="AT34">
            <v>258518690</v>
          </cell>
          <cell r="AU34">
            <v>95.865546731106747</v>
          </cell>
          <cell r="AV34">
            <v>328257060</v>
          </cell>
          <cell r="AW34">
            <v>194612610</v>
          </cell>
          <cell r="AX34">
            <v>219431210</v>
          </cell>
          <cell r="AY34">
            <v>328855730</v>
          </cell>
          <cell r="AZ34">
            <v>205.8127959914541</v>
          </cell>
          <cell r="BA34">
            <v>243.15470793550244</v>
          </cell>
          <cell r="BC34">
            <v>41.761710000000001</v>
          </cell>
          <cell r="BD34">
            <v>17.859940000000002</v>
          </cell>
          <cell r="BE34">
            <v>9.4359800000000007</v>
          </cell>
          <cell r="BF34">
            <v>-13972160</v>
          </cell>
          <cell r="BG34">
            <v>-40645480</v>
          </cell>
          <cell r="BH34">
            <v>66163290</v>
          </cell>
          <cell r="BI34">
            <v>51844940</v>
          </cell>
          <cell r="BJ34">
            <v>7.7118890845290611E-2</v>
          </cell>
          <cell r="BK34">
            <v>-25249920</v>
          </cell>
          <cell r="BL34">
            <v>-39063770</v>
          </cell>
          <cell r="BM34">
            <v>-9184320</v>
          </cell>
          <cell r="BN34">
            <v>-6566500</v>
          </cell>
          <cell r="BO34">
            <v>-2913670</v>
          </cell>
          <cell r="BP34">
            <v>-31520570</v>
          </cell>
          <cell r="BQ34">
            <v>-26048680</v>
          </cell>
          <cell r="BR34">
            <v>98765250</v>
          </cell>
          <cell r="BS34">
            <v>70654100</v>
          </cell>
          <cell r="BT34">
            <v>-148538110</v>
          </cell>
          <cell r="BU34">
            <v>-84090470</v>
          </cell>
          <cell r="BV34">
            <v>128695890</v>
          </cell>
          <cell r="BW34">
            <v>0.11822027363897677</v>
          </cell>
          <cell r="BX34">
            <v>6.0896753898677485E-2</v>
          </cell>
          <cell r="BY34">
            <v>396340140</v>
          </cell>
          <cell r="BZ34">
            <v>407005990</v>
          </cell>
          <cell r="CA34">
            <v>441631360</v>
          </cell>
          <cell r="CB34">
            <v>260843180</v>
          </cell>
          <cell r="CC34" t="str">
            <v>NULL</v>
          </cell>
          <cell r="CD34" t="str">
            <v>NULL</v>
          </cell>
          <cell r="CE34" t="str">
            <v>NULL</v>
          </cell>
          <cell r="CF34" t="str">
            <v>NULL</v>
          </cell>
          <cell r="CG34" t="str">
            <v>NULL</v>
          </cell>
          <cell r="CH34" t="str">
            <v>NULL</v>
          </cell>
          <cell r="CI34" t="str">
            <v>NULL</v>
          </cell>
          <cell r="CJ34" t="str">
            <v>NULL</v>
          </cell>
          <cell r="CK34">
            <v>396340140</v>
          </cell>
          <cell r="CL34">
            <v>407005990</v>
          </cell>
          <cell r="CM34">
            <v>441631360</v>
          </cell>
          <cell r="CN34">
            <v>260843180</v>
          </cell>
          <cell r="CO34">
            <v>0.16838815208985011</v>
          </cell>
          <cell r="CP34">
            <v>-13972160</v>
          </cell>
          <cell r="CQ34">
            <v>1467800</v>
          </cell>
          <cell r="CR34">
            <v>78830540</v>
          </cell>
          <cell r="CS34">
            <v>46231550</v>
          </cell>
          <cell r="CT34">
            <v>20841160</v>
          </cell>
          <cell r="CU34">
            <v>13705740</v>
          </cell>
          <cell r="CV34">
            <v>15603300</v>
          </cell>
          <cell r="CW34">
            <v>13286670</v>
          </cell>
          <cell r="CX34" t="str">
            <v>-</v>
          </cell>
          <cell r="CY34">
            <v>0.49935310451002551</v>
          </cell>
          <cell r="CZ34">
            <v>0.70512431445625334</v>
          </cell>
          <cell r="DA34">
            <v>1.2182810361803278</v>
          </cell>
          <cell r="DB34">
            <v>0.5206154501690532</v>
          </cell>
          <cell r="DC34">
            <v>-0.12161273576743381</v>
          </cell>
          <cell r="DD34">
            <v>0.17435745751192733</v>
          </cell>
          <cell r="DE34">
            <v>0.512560239016011</v>
          </cell>
          <cell r="DG34" t="str">
            <v>NULL</v>
          </cell>
          <cell r="DH34">
            <v>42607474</v>
          </cell>
          <cell r="DI34" t="str">
            <v>*The record could not be found</v>
          </cell>
          <cell r="DJ34" t="e">
            <v>#N/A</v>
          </cell>
          <cell r="DK34" t="str">
            <v>NULL</v>
          </cell>
          <cell r="DM34">
            <v>396340140</v>
          </cell>
          <cell r="DN34" t="str">
            <v>NULL</v>
          </cell>
          <cell r="DO34" t="str">
            <v>NULL</v>
          </cell>
          <cell r="DP34">
            <v>2923000</v>
          </cell>
          <cell r="DQ34">
            <v>13480</v>
          </cell>
          <cell r="DR34">
            <v>393403660</v>
          </cell>
          <cell r="DS34" t="e">
            <v>#N/A</v>
          </cell>
          <cell r="DT34">
            <v>-0.32793</v>
          </cell>
          <cell r="DU34">
            <v>-0.95394999999999996</v>
          </cell>
          <cell r="DV34">
            <v>1.5528599999999999</v>
          </cell>
          <cell r="DW34">
            <v>1.2168000000000001</v>
          </cell>
          <cell r="DX34">
            <v>1.4877800000000001</v>
          </cell>
          <cell r="DY34" t="e">
            <v>#VALUE!</v>
          </cell>
          <cell r="DZ34" t="e">
            <v>#N/A</v>
          </cell>
          <cell r="EA34">
            <v>97175320</v>
          </cell>
          <cell r="EB34" t="e">
            <v>#N/A</v>
          </cell>
          <cell r="EC34" t="str">
            <v>NULL</v>
          </cell>
          <cell r="ED34" t="str">
            <v>NULL</v>
          </cell>
          <cell r="EE34" t="str">
            <v>NULL</v>
          </cell>
          <cell r="EG34" t="str">
            <v>-</v>
          </cell>
          <cell r="EH34" t="str">
            <v>-</v>
          </cell>
          <cell r="EK34" t="str">
            <v>NULL</v>
          </cell>
          <cell r="EM34" t="str">
            <v>NaN</v>
          </cell>
          <cell r="EN34" t="str">
            <v>NULL</v>
          </cell>
        </row>
        <row r="35">
          <cell r="A35" t="str">
            <v>FERR</v>
          </cell>
          <cell r="B35" t="str">
            <v>FER.BA</v>
          </cell>
          <cell r="C35" t="str">
            <v>FERRUM SA DE CERAMICA Y METALURGIA</v>
          </cell>
          <cell r="D35">
            <v>43008</v>
          </cell>
          <cell r="E35">
            <v>1306758670</v>
          </cell>
          <cell r="F35">
            <v>652332780</v>
          </cell>
          <cell r="G35">
            <v>2.0032100000000002</v>
          </cell>
          <cell r="H35">
            <v>0.89400999999999997</v>
          </cell>
          <cell r="I35">
            <v>1.9648000000000001</v>
          </cell>
          <cell r="J35">
            <v>0.77827999999999997</v>
          </cell>
          <cell r="K35">
            <v>9.2900000000000009</v>
          </cell>
          <cell r="L35">
            <v>0</v>
          </cell>
          <cell r="M35">
            <v>0</v>
          </cell>
          <cell r="N35">
            <v>0</v>
          </cell>
          <cell r="O35">
            <v>7.3000000000000001E-3</v>
          </cell>
          <cell r="P35">
            <v>7.3000000000000001E-3</v>
          </cell>
          <cell r="Q35">
            <v>7.8579117330462855E-4</v>
          </cell>
          <cell r="S35">
            <v>27.408718986</v>
          </cell>
          <cell r="T35">
            <v>24.084385549</v>
          </cell>
          <cell r="U35">
            <v>43008</v>
          </cell>
          <cell r="V35">
            <v>1663231780</v>
          </cell>
          <cell r="W35">
            <v>1525955350</v>
          </cell>
          <cell r="X35">
            <v>1473846570</v>
          </cell>
          <cell r="Y35">
            <v>1552069490</v>
          </cell>
          <cell r="Z35">
            <v>948068460</v>
          </cell>
          <cell r="AA35">
            <v>1.7543372131586363</v>
          </cell>
          <cell r="AC35">
            <v>681727230</v>
          </cell>
          <cell r="AD35">
            <v>527285810</v>
          </cell>
          <cell r="AE35">
            <v>485762930</v>
          </cell>
          <cell r="AF35">
            <v>493855740</v>
          </cell>
          <cell r="AG35">
            <v>1.7607242374316874</v>
          </cell>
          <cell r="AH35">
            <v>201887930</v>
          </cell>
          <cell r="AI35">
            <v>180825330</v>
          </cell>
          <cell r="AJ35">
            <v>155085050</v>
          </cell>
          <cell r="AK35">
            <v>161567880</v>
          </cell>
          <cell r="AL35">
            <v>466429140</v>
          </cell>
          <cell r="AM35">
            <v>355284300</v>
          </cell>
          <cell r="AN35">
            <v>329019040</v>
          </cell>
          <cell r="AO35">
            <v>300940410</v>
          </cell>
          <cell r="AP35">
            <v>43.961119117888877</v>
          </cell>
          <cell r="AQ35">
            <v>316169960</v>
          </cell>
          <cell r="AR35">
            <v>256311740</v>
          </cell>
          <cell r="AS35">
            <v>260389460</v>
          </cell>
          <cell r="AT35">
            <v>239341160</v>
          </cell>
          <cell r="AU35">
            <v>44.70344359581631</v>
          </cell>
          <cell r="AV35">
            <v>723569250</v>
          </cell>
          <cell r="AW35">
            <v>704843750</v>
          </cell>
          <cell r="AX35">
            <v>638184670</v>
          </cell>
          <cell r="AY35">
            <v>662229070</v>
          </cell>
          <cell r="AZ35">
            <v>171.52999256258067</v>
          </cell>
          <cell r="BA35">
            <v>172.27231704050811</v>
          </cell>
          <cell r="BC35">
            <v>35.846299999999999</v>
          </cell>
          <cell r="BD35">
            <v>7.0296799999999999</v>
          </cell>
          <cell r="BE35">
            <v>4.7331500000000002</v>
          </cell>
          <cell r="BF35">
            <v>33531790</v>
          </cell>
          <cell r="BG35">
            <v>7515390</v>
          </cell>
          <cell r="BH35">
            <v>7424760</v>
          </cell>
          <cell r="BI35">
            <v>33273370</v>
          </cell>
          <cell r="BJ35">
            <v>3.7349961451486051E-2</v>
          </cell>
          <cell r="BK35">
            <v>-5133030</v>
          </cell>
          <cell r="BL35">
            <v>-43495490</v>
          </cell>
          <cell r="BM35">
            <v>-31901330</v>
          </cell>
          <cell r="BN35">
            <v>-22816190</v>
          </cell>
          <cell r="BO35">
            <v>-16061460</v>
          </cell>
          <cell r="BP35">
            <v>-20972900</v>
          </cell>
          <cell r="BQ35">
            <v>17158890</v>
          </cell>
          <cell r="BR35">
            <v>-42520250</v>
          </cell>
          <cell r="BS35">
            <v>-42734530</v>
          </cell>
          <cell r="BT35">
            <v>470320</v>
          </cell>
          <cell r="BU35">
            <v>56118470</v>
          </cell>
          <cell r="BV35">
            <v>-81694110</v>
          </cell>
          <cell r="BW35">
            <v>-4.6909221652463404E-2</v>
          </cell>
          <cell r="BX35">
            <v>5.2610749975335484E-2</v>
          </cell>
          <cell r="BY35">
            <v>948068460</v>
          </cell>
          <cell r="BZ35">
            <v>914536680</v>
          </cell>
          <cell r="CA35">
            <v>907021290</v>
          </cell>
          <cell r="CB35">
            <v>899596540</v>
          </cell>
          <cell r="CC35" t="str">
            <v>NULL</v>
          </cell>
          <cell r="CD35" t="str">
            <v>NULL</v>
          </cell>
          <cell r="CE35" t="str">
            <v>NULL</v>
          </cell>
          <cell r="CF35" t="str">
            <v>NULL</v>
          </cell>
          <cell r="CG35" t="str">
            <v>NULL</v>
          </cell>
          <cell r="CH35" t="str">
            <v>NULL</v>
          </cell>
          <cell r="CI35" t="str">
            <v>NULL</v>
          </cell>
          <cell r="CJ35" t="str">
            <v>NULL</v>
          </cell>
          <cell r="CK35">
            <v>948068460</v>
          </cell>
          <cell r="CL35">
            <v>914536680</v>
          </cell>
          <cell r="CM35">
            <v>907021290</v>
          </cell>
          <cell r="CN35">
            <v>899596540</v>
          </cell>
          <cell r="CO35">
            <v>8.9114573486930942E-2</v>
          </cell>
          <cell r="CP35">
            <v>33531790</v>
          </cell>
          <cell r="CQ35">
            <v>46247870</v>
          </cell>
          <cell r="CR35">
            <v>94461380</v>
          </cell>
          <cell r="CS35">
            <v>250310370</v>
          </cell>
          <cell r="CT35">
            <v>161682000</v>
          </cell>
          <cell r="CU35">
            <v>122066220</v>
          </cell>
          <cell r="CV35">
            <v>61407250</v>
          </cell>
          <cell r="CW35">
            <v>42584260</v>
          </cell>
          <cell r="CX35">
            <v>-0.27495493305961982</v>
          </cell>
          <cell r="CY35">
            <v>0.3359834213615101</v>
          </cell>
          <cell r="CZ35">
            <v>-0.62262298601532162</v>
          </cell>
          <cell r="DA35">
            <v>0.54816473076780348</v>
          </cell>
          <cell r="DB35">
            <v>0.32454335032247261</v>
          </cell>
          <cell r="DC35">
            <v>0.98781446816133278</v>
          </cell>
          <cell r="DD35">
            <v>0.44201754357126322</v>
          </cell>
          <cell r="DE35">
            <v>0.59165128585079774</v>
          </cell>
          <cell r="DG35">
            <v>215.45741596490399</v>
          </cell>
          <cell r="DH35">
            <v>41099771625</v>
          </cell>
          <cell r="DI35">
            <v>8.9</v>
          </cell>
          <cell r="DJ35">
            <v>3657900000</v>
          </cell>
          <cell r="DK35">
            <v>39706511450</v>
          </cell>
          <cell r="DM35">
            <v>948068460</v>
          </cell>
          <cell r="DN35" t="str">
            <v>NULL</v>
          </cell>
          <cell r="DO35" t="str">
            <v>NULL</v>
          </cell>
          <cell r="DP35">
            <v>7139430</v>
          </cell>
          <cell r="DQ35" t="str">
            <v>NULL</v>
          </cell>
          <cell r="DR35">
            <v>940929030</v>
          </cell>
          <cell r="DS35">
            <v>3.8875408063454051</v>
          </cell>
          <cell r="DT35">
            <v>8.1600000000000006E-3</v>
          </cell>
          <cell r="DU35">
            <v>1.83E-3</v>
          </cell>
          <cell r="DV35">
            <v>1.81E-3</v>
          </cell>
          <cell r="DW35">
            <v>8.0999999999999996E-3</v>
          </cell>
          <cell r="DX35">
            <v>1.9900000000000001E-2</v>
          </cell>
          <cell r="DY35">
            <v>466.83417085427141</v>
          </cell>
          <cell r="DZ35">
            <v>1.6713181954217413</v>
          </cell>
          <cell r="EA35">
            <v>-102667010</v>
          </cell>
          <cell r="EB35">
            <v>-35.628776955713427</v>
          </cell>
          <cell r="EC35">
            <v>48.492462311557802</v>
          </cell>
          <cell r="ED35">
            <v>0.93001099382736796</v>
          </cell>
          <cell r="EE35">
            <v>0.87853300804041801</v>
          </cell>
          <cell r="EG35">
            <v>0.43752987932354742</v>
          </cell>
          <cell r="EH35">
            <v>0.10460234209314723</v>
          </cell>
          <cell r="EK35">
            <v>7.5640147150259004E-2</v>
          </cell>
          <cell r="EM35">
            <v>686.87762034859202</v>
          </cell>
          <cell r="EN35">
            <v>682.99971913000002</v>
          </cell>
        </row>
        <row r="36">
          <cell r="A36" t="str">
            <v>FIPL</v>
          </cell>
          <cell r="B36" t="str">
            <v>FIP.BA</v>
          </cell>
          <cell r="C36" t="str">
            <v>FIPLASTO SA</v>
          </cell>
          <cell r="D36">
            <v>43008</v>
          </cell>
          <cell r="E36">
            <v>267697560</v>
          </cell>
          <cell r="F36">
            <v>231221350</v>
          </cell>
          <cell r="G36">
            <v>1.1577500000000001</v>
          </cell>
          <cell r="H36">
            <v>0.90225</v>
          </cell>
          <cell r="I36">
            <v>1.08047</v>
          </cell>
          <cell r="J36">
            <v>0.81376000000000004</v>
          </cell>
          <cell r="K36">
            <v>8.1</v>
          </cell>
          <cell r="L36">
            <v>0</v>
          </cell>
          <cell r="M36">
            <v>0</v>
          </cell>
          <cell r="N36">
            <v>0</v>
          </cell>
          <cell r="O36">
            <v>2.8809999999999999E-2</v>
          </cell>
          <cell r="P36">
            <v>2.8809999999999999E-2</v>
          </cell>
          <cell r="Q36">
            <v>3.5567901234567901E-3</v>
          </cell>
          <cell r="S36">
            <v>143.03466924400001</v>
          </cell>
          <cell r="T36">
            <v>139.449636293</v>
          </cell>
          <cell r="U36">
            <v>43008</v>
          </cell>
          <cell r="V36">
            <v>445573470</v>
          </cell>
          <cell r="W36">
            <v>404756450</v>
          </cell>
          <cell r="X36">
            <v>398000390</v>
          </cell>
          <cell r="Y36">
            <v>359620090</v>
          </cell>
          <cell r="Z36">
            <v>125722960</v>
          </cell>
          <cell r="AA36">
            <v>3.544089878252946</v>
          </cell>
          <cell r="AC36">
            <v>163238960</v>
          </cell>
          <cell r="AD36">
            <v>122113930</v>
          </cell>
          <cell r="AE36">
            <v>129376350</v>
          </cell>
          <cell r="AF36">
            <v>142839530</v>
          </cell>
          <cell r="AG36">
            <v>1.7337408450370959</v>
          </cell>
          <cell r="AH36">
            <v>90259900</v>
          </cell>
          <cell r="AI36">
            <v>70318040</v>
          </cell>
          <cell r="AJ36">
            <v>65294720</v>
          </cell>
          <cell r="AK36">
            <v>69526750</v>
          </cell>
          <cell r="AL36">
            <v>125963950</v>
          </cell>
          <cell r="AM36">
            <v>104895930</v>
          </cell>
          <cell r="AN36">
            <v>108133570</v>
          </cell>
          <cell r="AO36">
            <v>109923200</v>
          </cell>
          <cell r="AP36">
            <v>60.044990896416962</v>
          </cell>
          <cell r="AQ36">
            <v>143903090</v>
          </cell>
          <cell r="AR36">
            <v>121490620</v>
          </cell>
          <cell r="AS36">
            <v>118620180</v>
          </cell>
          <cell r="AT36">
            <v>108695980</v>
          </cell>
          <cell r="AU36">
            <v>80.635390747405026</v>
          </cell>
          <cell r="AV36">
            <v>59078180</v>
          </cell>
          <cell r="AW36">
            <v>58391000</v>
          </cell>
          <cell r="AX36">
            <v>57640970</v>
          </cell>
          <cell r="AY36">
            <v>72719810</v>
          </cell>
          <cell r="AZ36">
            <v>50.375685219071293</v>
          </cell>
          <cell r="BA36">
            <v>70.96608507005935</v>
          </cell>
          <cell r="BC36">
            <v>18.921779999999998</v>
          </cell>
          <cell r="BD36">
            <v>6.8310300000000002</v>
          </cell>
          <cell r="BE36">
            <v>1.9390000000000001E-2</v>
          </cell>
          <cell r="BF36">
            <v>4632490</v>
          </cell>
          <cell r="BG36">
            <v>-11005000</v>
          </cell>
          <cell r="BH36">
            <v>9919800</v>
          </cell>
          <cell r="BI36">
            <v>2370910</v>
          </cell>
          <cell r="BJ36">
            <v>1.0614296062528754E-2</v>
          </cell>
          <cell r="BK36">
            <v>-8925500</v>
          </cell>
          <cell r="BL36">
            <v>-58378120</v>
          </cell>
          <cell r="BM36">
            <v>-46769220</v>
          </cell>
          <cell r="BN36">
            <v>-12556190</v>
          </cell>
          <cell r="BO36">
            <v>-5075670</v>
          </cell>
          <cell r="BP36">
            <v>-50619050</v>
          </cell>
          <cell r="BQ36">
            <v>9701890</v>
          </cell>
          <cell r="BR36">
            <v>2940670</v>
          </cell>
          <cell r="BS36">
            <v>-5685250</v>
          </cell>
          <cell r="BT36">
            <v>-8550800</v>
          </cell>
          <cell r="BU36">
            <v>-3720580</v>
          </cell>
          <cell r="BV36">
            <v>7737220</v>
          </cell>
          <cell r="BW36">
            <v>-7.6908593714816564E-2</v>
          </cell>
          <cell r="BX36">
            <v>1.4722344669338059E-2</v>
          </cell>
          <cell r="BY36">
            <v>125722960</v>
          </cell>
          <cell r="BZ36">
            <v>121090470</v>
          </cell>
          <cell r="CA36">
            <v>131945600</v>
          </cell>
          <cell r="CB36">
            <v>122025800</v>
          </cell>
          <cell r="CC36" t="str">
            <v>NULL</v>
          </cell>
          <cell r="CD36" t="str">
            <v>NULL</v>
          </cell>
          <cell r="CE36" t="str">
            <v>NULL</v>
          </cell>
          <cell r="CF36" t="str">
            <v>NULL</v>
          </cell>
          <cell r="CG36" t="str">
            <v>NULL</v>
          </cell>
          <cell r="CH36" t="str">
            <v>NULL</v>
          </cell>
          <cell r="CI36" t="str">
            <v>NULL</v>
          </cell>
          <cell r="CJ36" t="str">
            <v>NULL</v>
          </cell>
          <cell r="CK36">
            <v>125722960</v>
          </cell>
          <cell r="CL36">
            <v>121090470</v>
          </cell>
          <cell r="CM36">
            <v>131945600</v>
          </cell>
          <cell r="CN36">
            <v>122025800</v>
          </cell>
          <cell r="CO36">
            <v>4.7271399974316314E-2</v>
          </cell>
          <cell r="CP36">
            <v>4632490</v>
          </cell>
          <cell r="CQ36">
            <v>-1188760</v>
          </cell>
          <cell r="CR36">
            <v>96960</v>
          </cell>
          <cell r="CS36">
            <v>17379610</v>
          </cell>
          <cell r="CT36">
            <v>-166510</v>
          </cell>
          <cell r="CU36">
            <v>6553500</v>
          </cell>
          <cell r="CV36">
            <v>10180280</v>
          </cell>
          <cell r="CW36">
            <v>12903690</v>
          </cell>
          <cell r="CX36">
            <v>4.8969093845687945</v>
          </cell>
          <cell r="CY36">
            <v>20.557726454300884</v>
          </cell>
          <cell r="CZ36">
            <v>-0.99442104857358704</v>
          </cell>
          <cell r="DA36">
            <v>105.37577322683322</v>
          </cell>
          <cell r="DB36">
            <v>-1.0254077973601892</v>
          </cell>
          <cell r="DC36">
            <v>-0.35625542715917435</v>
          </cell>
          <cell r="DD36">
            <v>-0.21105668223585661</v>
          </cell>
          <cell r="DE36">
            <v>47.416149135945489</v>
          </cell>
          <cell r="DG36">
            <v>13.4655109446438</v>
          </cell>
          <cell r="DH36">
            <v>69430000</v>
          </cell>
          <cell r="DI36">
            <v>8.1</v>
          </cell>
          <cell r="DJ36">
            <v>562383000</v>
          </cell>
          <cell r="DK36">
            <v>703489730.00000095</v>
          </cell>
          <cell r="DM36">
            <v>125722960</v>
          </cell>
          <cell r="DN36" t="str">
            <v>NULL</v>
          </cell>
          <cell r="DO36" t="str">
            <v>NULL</v>
          </cell>
          <cell r="DP36" t="str">
            <v>NULL</v>
          </cell>
          <cell r="DQ36" t="str">
            <v>NULL</v>
          </cell>
          <cell r="DR36">
            <v>125722960</v>
          </cell>
          <cell r="DS36">
            <v>4.4731924860820964</v>
          </cell>
          <cell r="DT36">
            <v>6.6720000000000002E-2</v>
          </cell>
          <cell r="DU36">
            <v>-0.1585</v>
          </cell>
          <cell r="DV36">
            <v>0.14287</v>
          </cell>
          <cell r="DW36">
            <v>3.415E-2</v>
          </cell>
          <cell r="DX36">
            <v>8.5239999999999996E-2</v>
          </cell>
          <cell r="DY36">
            <v>95.025809479117783</v>
          </cell>
          <cell r="DZ36">
            <v>1.0086343250537508</v>
          </cell>
          <cell r="EA36">
            <v>-42881830</v>
          </cell>
          <cell r="EB36">
            <v>-13.114715486722465</v>
          </cell>
          <cell r="EC36">
            <v>95.025809479117797</v>
          </cell>
          <cell r="ED36">
            <v>0.66700473942795302</v>
          </cell>
          <cell r="EE36">
            <v>0.59565246528072602</v>
          </cell>
          <cell r="EG36">
            <v>0.38751136164375216</v>
          </cell>
          <cell r="EH36">
            <v>2.3043074760182414E-2</v>
          </cell>
          <cell r="EK36">
            <v>0.35562936419753099</v>
          </cell>
          <cell r="EM36">
            <v>-12.2809901233008</v>
          </cell>
          <cell r="EN36" t="str">
            <v>NULL</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162</v>
          </cell>
          <cell r="L37">
            <v>1.4869600000000001</v>
          </cell>
          <cell r="M37">
            <v>0</v>
          </cell>
          <cell r="N37">
            <v>0</v>
          </cell>
          <cell r="O37">
            <v>0</v>
          </cell>
          <cell r="P37">
            <v>1.4869600000000001</v>
          </cell>
          <cell r="Q37">
            <v>9.1787654320987649E-3</v>
          </cell>
          <cell r="S37">
            <v>10.946518038000001</v>
          </cell>
          <cell r="T37">
            <v>15.955762897</v>
          </cell>
          <cell r="U37">
            <v>43008</v>
          </cell>
          <cell r="V37">
            <v>200056912000</v>
          </cell>
          <cell r="W37">
            <v>172447778000</v>
          </cell>
          <cell r="X37">
            <v>184364247000</v>
          </cell>
          <cell r="Y37">
            <v>151752711000</v>
          </cell>
          <cell r="Z37">
            <v>24638812000</v>
          </cell>
          <cell r="AA37">
            <v>8.1195843371019674</v>
          </cell>
          <cell r="AC37" t="str">
            <v>NULL</v>
          </cell>
          <cell r="AD37" t="str">
            <v>NULL</v>
          </cell>
          <cell r="AE37" t="str">
            <v>NULL</v>
          </cell>
          <cell r="AF37" t="str">
            <v>NULL</v>
          </cell>
          <cell r="AG37">
            <v>0</v>
          </cell>
          <cell r="AH37">
            <v>17101794000</v>
          </cell>
          <cell r="AI37">
            <v>12040180000</v>
          </cell>
          <cell r="AJ37">
            <v>17308169000</v>
          </cell>
          <cell r="AK37">
            <v>10168390000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16.065619999999999</v>
          </cell>
          <cell r="BF37">
            <v>1134580000</v>
          </cell>
          <cell r="BG37">
            <v>-282995000</v>
          </cell>
          <cell r="BH37">
            <v>1605770000</v>
          </cell>
          <cell r="BI37">
            <v>582405000</v>
          </cell>
          <cell r="BJ37" t="e">
            <v>#DIV/0!</v>
          </cell>
          <cell r="BK37">
            <v>-503027000</v>
          </cell>
          <cell r="BL37">
            <v>-326608000</v>
          </cell>
          <cell r="BM37">
            <v>-150057000</v>
          </cell>
          <cell r="BN37">
            <v>-419649000</v>
          </cell>
          <cell r="BO37">
            <v>-257317000</v>
          </cell>
          <cell r="BP37">
            <v>-395767000</v>
          </cell>
          <cell r="BQ37">
            <v>-24314066000</v>
          </cell>
          <cell r="BR37">
            <v>-9846993000</v>
          </cell>
          <cell r="BS37">
            <v>-3563295000</v>
          </cell>
          <cell r="BT37">
            <v>26125478000</v>
          </cell>
          <cell r="BU37">
            <v>6644503000</v>
          </cell>
          <cell r="BV37">
            <v>-34521864000</v>
          </cell>
          <cell r="BW37" t="e">
            <v>#DIV/0!</v>
          </cell>
          <cell r="BX37">
            <v>1.715871937347305E-2</v>
          </cell>
          <cell r="BY37">
            <v>24638812000</v>
          </cell>
          <cell r="BZ37">
            <v>16871810000</v>
          </cell>
          <cell r="CA37">
            <v>17154805000</v>
          </cell>
          <cell r="CB37">
            <v>16460035000</v>
          </cell>
          <cell r="CC37" t="str">
            <v>NULL</v>
          </cell>
          <cell r="CD37" t="str">
            <v>NULL</v>
          </cell>
          <cell r="CE37" t="str">
            <v>NULL</v>
          </cell>
          <cell r="CF37" t="str">
            <v>NULL</v>
          </cell>
          <cell r="CG37" t="str">
            <v>NULL</v>
          </cell>
          <cell r="CH37" t="str">
            <v>NULL</v>
          </cell>
          <cell r="CI37" t="str">
            <v>NULL</v>
          </cell>
          <cell r="CJ37" t="str">
            <v>NULL</v>
          </cell>
          <cell r="CK37">
            <v>24638812000</v>
          </cell>
          <cell r="CL37">
            <v>16871810000</v>
          </cell>
          <cell r="CM37">
            <v>17154805000</v>
          </cell>
          <cell r="CN37">
            <v>16460035000</v>
          </cell>
          <cell r="CO37">
            <v>0.16184978669415703</v>
          </cell>
          <cell r="CP37">
            <v>1134580000</v>
          </cell>
          <cell r="CQ37">
            <v>932925000</v>
          </cell>
          <cell r="CR37">
            <v>3643672000</v>
          </cell>
          <cell r="CS37">
            <v>3784487000</v>
          </cell>
          <cell r="CT37">
            <v>3204496000</v>
          </cell>
          <cell r="CU37">
            <v>2024244000</v>
          </cell>
          <cell r="CV37">
            <v>1263679000</v>
          </cell>
          <cell r="CW37">
            <v>1005577000</v>
          </cell>
          <cell r="CX37">
            <v>0.21615349572580866</v>
          </cell>
          <cell r="CY37">
            <v>0.31707575914450759</v>
          </cell>
          <cell r="CZ37">
            <v>-3.7208477661569428E-2</v>
          </cell>
          <cell r="DA37">
            <v>0.1809928924860571</v>
          </cell>
          <cell r="DB37">
            <v>0.58305816887687456</v>
          </cell>
          <cell r="DC37">
            <v>0.60186566366933381</v>
          </cell>
          <cell r="DD37">
            <v>0.25667054835184189</v>
          </cell>
          <cell r="DE37">
            <v>0.27364967958342684</v>
          </cell>
          <cell r="DG37">
            <v>9.1144332795518306</v>
          </cell>
          <cell r="DH37">
            <v>612659638</v>
          </cell>
          <cell r="DI37">
            <v>158.95000000000002</v>
          </cell>
          <cell r="DJ37">
            <v>97382249460.100006</v>
          </cell>
          <cell r="DK37">
            <v>70918202242.999893</v>
          </cell>
          <cell r="DM37">
            <v>24638812000</v>
          </cell>
          <cell r="DN37" t="str">
            <v>NULL</v>
          </cell>
          <cell r="DO37" t="str">
            <v>NULL</v>
          </cell>
          <cell r="DP37">
            <v>404559000</v>
          </cell>
          <cell r="DQ37">
            <v>3206000</v>
          </cell>
          <cell r="DR37">
            <v>24231047000</v>
          </cell>
          <cell r="DS37">
            <v>4.0189039070453703</v>
          </cell>
          <cell r="DT37">
            <v>1.85189</v>
          </cell>
          <cell r="DU37">
            <v>-0.52710999999999997</v>
          </cell>
          <cell r="DV37">
            <v>2.9909400000000002</v>
          </cell>
          <cell r="DW37">
            <v>1.0848</v>
          </cell>
          <cell r="DX37">
            <v>5.4005200000000002</v>
          </cell>
          <cell r="DY37">
            <v>29.997111389273623</v>
          </cell>
          <cell r="DZ37" t="e">
            <v>#DIV/0!</v>
          </cell>
          <cell r="EA37">
            <v>-34917631000</v>
          </cell>
          <cell r="EB37">
            <v>-2.7889134134013847</v>
          </cell>
          <cell r="EC37">
            <v>27.4973521068342</v>
          </cell>
          <cell r="ED37">
            <v>0.92637780109840195</v>
          </cell>
          <cell r="EE37">
            <v>0.96794027393598703</v>
          </cell>
          <cell r="EG37">
            <v>0.47661843902732504</v>
          </cell>
          <cell r="EH37">
            <v>0.16372646066112462</v>
          </cell>
          <cell r="EK37">
            <v>1.00131945454545</v>
          </cell>
          <cell r="EM37">
            <v>46.123054758662597</v>
          </cell>
          <cell r="EN37">
            <v>45.862658081100001</v>
          </cell>
        </row>
        <row r="38">
          <cell r="A38" t="str">
            <v>GARO</v>
          </cell>
          <cell r="B38" t="str">
            <v>GAR.BA</v>
          </cell>
          <cell r="C38" t="str">
            <v>GAROVAGLIO Y ZORRAQUIN SA</v>
          </cell>
          <cell r="D38">
            <v>43100</v>
          </cell>
          <cell r="E38">
            <v>381493280</v>
          </cell>
          <cell r="F38">
            <v>268165740</v>
          </cell>
          <cell r="G38">
            <v>1.4226000000000001</v>
          </cell>
          <cell r="H38">
            <v>0.90039000000000002</v>
          </cell>
          <cell r="I38">
            <v>1.3460799999999999</v>
          </cell>
          <cell r="J38">
            <v>0.93411999999999995</v>
          </cell>
          <cell r="K38">
            <v>13.6</v>
          </cell>
          <cell r="L38" t="str">
            <v>NULL</v>
          </cell>
          <cell r="M38" t="str">
            <v>NULL</v>
          </cell>
          <cell r="N38">
            <v>0</v>
          </cell>
          <cell r="O38">
            <v>0</v>
          </cell>
          <cell r="P38">
            <v>0</v>
          </cell>
          <cell r="Q38">
            <v>0</v>
          </cell>
          <cell r="S38">
            <v>47.556147546799998</v>
          </cell>
          <cell r="T38">
            <v>31.803675361700002</v>
          </cell>
          <cell r="U38">
            <v>43100</v>
          </cell>
          <cell r="V38">
            <v>563532660</v>
          </cell>
          <cell r="W38">
            <v>586122000</v>
          </cell>
          <cell r="X38">
            <v>613357310</v>
          </cell>
          <cell r="Y38">
            <v>599183730</v>
          </cell>
          <cell r="Z38">
            <v>163012910</v>
          </cell>
          <cell r="AA38">
            <v>3.4569817813816095</v>
          </cell>
          <cell r="AC38">
            <v>207626620</v>
          </cell>
          <cell r="AD38">
            <v>304121040</v>
          </cell>
          <cell r="AE38">
            <v>335062700</v>
          </cell>
          <cell r="AF38">
            <v>280633950</v>
          </cell>
          <cell r="AG38">
            <v>2.3863893650379464</v>
          </cell>
          <cell r="AH38">
            <v>135108030</v>
          </cell>
          <cell r="AI38">
            <v>181597080</v>
          </cell>
          <cell r="AJ38">
            <v>149099960</v>
          </cell>
          <cell r="AK38">
            <v>146608740</v>
          </cell>
          <cell r="AL38">
            <v>134026850</v>
          </cell>
          <cell r="AM38">
            <v>191100020</v>
          </cell>
          <cell r="AN38">
            <v>213041610</v>
          </cell>
          <cell r="AO38">
            <v>172773720</v>
          </cell>
          <cell r="AP38">
            <v>78.603802337939712</v>
          </cell>
          <cell r="AQ38">
            <v>177442980</v>
          </cell>
          <cell r="AR38">
            <v>195224780</v>
          </cell>
          <cell r="AS38">
            <v>225587410</v>
          </cell>
          <cell r="AT38">
            <v>229333140</v>
          </cell>
          <cell r="AU38">
            <v>66.981076242692652</v>
          </cell>
          <cell r="AV38">
            <v>140039350</v>
          </cell>
          <cell r="AW38">
            <v>122455460</v>
          </cell>
          <cell r="AX38">
            <v>124553240</v>
          </cell>
          <cell r="AY38">
            <v>114484520</v>
          </cell>
          <cell r="AZ38">
            <v>64.372106498249792</v>
          </cell>
          <cell r="BA38">
            <v>52.749380403002718</v>
          </cell>
          <cell r="BC38">
            <v>35.204979999999999</v>
          </cell>
          <cell r="BD38">
            <v>12.574439999999999</v>
          </cell>
          <cell r="BE38">
            <v>-1.8069</v>
          </cell>
          <cell r="BF38">
            <v>-13049760</v>
          </cell>
          <cell r="BG38">
            <v>5224480</v>
          </cell>
          <cell r="BH38">
            <v>11444080</v>
          </cell>
          <cell r="BI38">
            <v>-13201660</v>
          </cell>
          <cell r="BJ38">
            <v>-8.4996304606832426E-3</v>
          </cell>
          <cell r="BK38">
            <v>-14208940</v>
          </cell>
          <cell r="BL38">
            <v>-8421070</v>
          </cell>
          <cell r="BM38">
            <v>-61879090</v>
          </cell>
          <cell r="BN38">
            <v>-54739970</v>
          </cell>
          <cell r="BO38">
            <v>-39235300</v>
          </cell>
          <cell r="BP38">
            <v>-36852730</v>
          </cell>
          <cell r="BQ38">
            <v>-17962410</v>
          </cell>
          <cell r="BR38">
            <v>-3226650</v>
          </cell>
          <cell r="BS38">
            <v>33458120</v>
          </cell>
          <cell r="BT38">
            <v>18988960</v>
          </cell>
          <cell r="BU38">
            <v>-11491040</v>
          </cell>
          <cell r="BV38">
            <v>26986750</v>
          </cell>
          <cell r="BW38">
            <v>-8.7507470768112706E-3</v>
          </cell>
          <cell r="BX38">
            <v>-1.622703825936183E-2</v>
          </cell>
          <cell r="BY38">
            <v>163012910</v>
          </cell>
          <cell r="BZ38">
            <v>176062670</v>
          </cell>
          <cell r="CA38">
            <v>170838190</v>
          </cell>
          <cell r="CB38">
            <v>159394110</v>
          </cell>
          <cell r="CC38" t="str">
            <v>NULL</v>
          </cell>
          <cell r="CD38" t="str">
            <v>NULL</v>
          </cell>
          <cell r="CE38" t="str">
            <v>NULL</v>
          </cell>
          <cell r="CF38" t="str">
            <v>NULL</v>
          </cell>
          <cell r="CG38" t="str">
            <v>NULL</v>
          </cell>
          <cell r="CH38" t="str">
            <v>NULL</v>
          </cell>
          <cell r="CI38" t="str">
            <v>NULL</v>
          </cell>
          <cell r="CJ38" t="str">
            <v>NULL</v>
          </cell>
          <cell r="CK38">
            <v>163012910</v>
          </cell>
          <cell r="CL38">
            <v>176062670</v>
          </cell>
          <cell r="CM38">
            <v>170838190</v>
          </cell>
          <cell r="CN38">
            <v>159394110</v>
          </cell>
          <cell r="CO38">
            <v>-5.7270265516670742E-2</v>
          </cell>
          <cell r="CP38">
            <v>-13049760</v>
          </cell>
          <cell r="CQ38">
            <v>-19508960</v>
          </cell>
          <cell r="CR38">
            <v>-19418530</v>
          </cell>
          <cell r="CS38">
            <v>48345700</v>
          </cell>
          <cell r="CT38">
            <v>45810720</v>
          </cell>
          <cell r="CU38">
            <v>55026270</v>
          </cell>
          <cell r="CV38">
            <v>10307220</v>
          </cell>
          <cell r="CW38">
            <v>22175250</v>
          </cell>
          <cell r="CX38">
            <v>0.33108889453871448</v>
          </cell>
          <cell r="CY38">
            <v>0.45792441166253794</v>
          </cell>
          <cell r="CZ38">
            <v>-1.4016599201169908</v>
          </cell>
          <cell r="DA38">
            <v>5.533595630018473E-2</v>
          </cell>
          <cell r="DB38">
            <v>-0.1674754621747031</v>
          </cell>
          <cell r="DC38">
            <v>4.338614097690745</v>
          </cell>
          <cell r="DD38">
            <v>-0.53519261338654589</v>
          </cell>
          <cell r="DE38">
            <v>2.2392683078560869</v>
          </cell>
          <cell r="DG38">
            <v>4.2912524208383402</v>
          </cell>
          <cell r="DH38">
            <v>44000000</v>
          </cell>
          <cell r="DI38">
            <v>13.200000000000001</v>
          </cell>
          <cell r="DJ38">
            <v>580800000</v>
          </cell>
          <cell r="DK38">
            <v>742244800</v>
          </cell>
          <cell r="DM38">
            <v>163012910</v>
          </cell>
          <cell r="DN38" t="str">
            <v>NULL</v>
          </cell>
          <cell r="DO38" t="str">
            <v>NULL</v>
          </cell>
          <cell r="DP38" t="str">
            <v>NULL</v>
          </cell>
          <cell r="DQ38" t="str">
            <v>NULL</v>
          </cell>
          <cell r="DR38">
            <v>163012910</v>
          </cell>
          <cell r="DS38">
            <v>3.5629079929927023</v>
          </cell>
          <cell r="DT38">
            <v>-0.29659000000000002</v>
          </cell>
          <cell r="DU38">
            <v>0.11874</v>
          </cell>
          <cell r="DV38">
            <v>0.26008999999999999</v>
          </cell>
          <cell r="DW38">
            <v>-0.30003999999999997</v>
          </cell>
          <cell r="DX38">
            <v>-0.21779999999999999</v>
          </cell>
          <cell r="DY38">
            <v>-62.442607897153351</v>
          </cell>
          <cell r="DZ38">
            <v>0.51514739561726108</v>
          </cell>
          <cell r="EA38">
            <v>-9865980</v>
          </cell>
          <cell r="EB38">
            <v>-58.868961826397374</v>
          </cell>
          <cell r="EC38" t="str">
            <v>NULL</v>
          </cell>
          <cell r="ED38">
            <v>0.74795171768290802</v>
          </cell>
          <cell r="EE38">
            <v>0.68574838206817701</v>
          </cell>
          <cell r="EG38">
            <v>0.45145776617747541</v>
          </cell>
          <cell r="EH38">
            <v>0.14430146062015603</v>
          </cell>
          <cell r="EK38">
            <v>1.2762028867383499</v>
          </cell>
          <cell r="EM38">
            <v>-28.478594425006602</v>
          </cell>
          <cell r="EN38" t="str">
            <v>NULL</v>
          </cell>
        </row>
        <row r="39">
          <cell r="A39" t="str">
            <v>GBAN</v>
          </cell>
          <cell r="B39" t="str">
            <v>GBA.BA</v>
          </cell>
          <cell r="C39" t="str">
            <v>GAS NATURAL BAN SA</v>
          </cell>
          <cell r="D39">
            <v>43008</v>
          </cell>
          <cell r="E39">
            <v>2838449430</v>
          </cell>
          <cell r="F39">
            <v>2832048630</v>
          </cell>
          <cell r="G39">
            <v>1.0022599999999999</v>
          </cell>
          <cell r="H39">
            <v>0.99270000000000003</v>
          </cell>
          <cell r="I39">
            <v>0.84123000000000003</v>
          </cell>
          <cell r="J39">
            <v>0.83416000000000001</v>
          </cell>
          <cell r="K39">
            <v>77</v>
          </cell>
          <cell r="L39">
            <v>0</v>
          </cell>
          <cell r="M39">
            <v>0</v>
          </cell>
          <cell r="N39">
            <v>0</v>
          </cell>
          <cell r="O39" t="str">
            <v>NULL</v>
          </cell>
          <cell r="P39">
            <v>0</v>
          </cell>
          <cell r="Q39">
            <v>0</v>
          </cell>
          <cell r="S39">
            <v>0</v>
          </cell>
          <cell r="T39">
            <v>0</v>
          </cell>
          <cell r="U39">
            <v>43008</v>
          </cell>
          <cell r="V39">
            <v>5007519930</v>
          </cell>
          <cell r="W39">
            <v>5414512010</v>
          </cell>
          <cell r="X39">
            <v>4718580320</v>
          </cell>
          <cell r="Y39">
            <v>5154056770</v>
          </cell>
          <cell r="Z39">
            <v>1495021840</v>
          </cell>
          <cell r="AA39">
            <v>3.3494627275812907</v>
          </cell>
          <cell r="AC39">
            <v>1571580160</v>
          </cell>
          <cell r="AD39">
            <v>2269710720</v>
          </cell>
          <cell r="AE39">
            <v>1326145190</v>
          </cell>
          <cell r="AF39">
            <v>1388337900</v>
          </cell>
          <cell r="AG39">
            <v>1.6151433826025494</v>
          </cell>
          <cell r="AH39">
            <v>2346102660</v>
          </cell>
          <cell r="AI39">
            <v>3598934850</v>
          </cell>
          <cell r="AJ39">
            <v>3149409290</v>
          </cell>
          <cell r="AK39">
            <v>3431459240</v>
          </cell>
          <cell r="AL39">
            <v>903376690</v>
          </cell>
          <cell r="AM39">
            <v>1615482070</v>
          </cell>
          <cell r="AN39">
            <v>1085263480</v>
          </cell>
          <cell r="AO39">
            <v>1222892550</v>
          </cell>
          <cell r="AP39">
            <v>236.79001947909921</v>
          </cell>
          <cell r="AQ39">
            <v>2134332280</v>
          </cell>
          <cell r="AR39">
            <v>2301036510</v>
          </cell>
          <cell r="AS39">
            <v>1457232040</v>
          </cell>
          <cell r="AT39">
            <v>1681651740</v>
          </cell>
          <cell r="AU39">
            <v>105.42623192551893</v>
          </cell>
          <cell r="AV39">
            <v>27081750</v>
          </cell>
          <cell r="AW39">
            <v>28691960</v>
          </cell>
          <cell r="AX39">
            <v>24205220</v>
          </cell>
          <cell r="AY39">
            <v>24419730</v>
          </cell>
          <cell r="AZ39">
            <v>1.9735546998396498</v>
          </cell>
          <cell r="BA39">
            <v>-129.39023285374063</v>
          </cell>
          <cell r="BC39" t="str">
            <v>NULL</v>
          </cell>
          <cell r="BD39">
            <v>9.2749500000000005</v>
          </cell>
          <cell r="BE39">
            <v>5.1569700000000003</v>
          </cell>
          <cell r="BF39">
            <v>245374940</v>
          </cell>
          <cell r="BG39">
            <v>174260700</v>
          </cell>
          <cell r="BH39">
            <v>-25926000</v>
          </cell>
          <cell r="BI39">
            <v>365658400</v>
          </cell>
          <cell r="BJ39">
            <v>0.11583194348599544</v>
          </cell>
          <cell r="BK39">
            <v>-490046000</v>
          </cell>
          <cell r="BL39">
            <v>-268681670</v>
          </cell>
          <cell r="BM39">
            <v>-136290520</v>
          </cell>
          <cell r="BN39">
            <v>-375177430</v>
          </cell>
          <cell r="BO39">
            <v>-232094010</v>
          </cell>
          <cell r="BP39">
            <v>-394242510</v>
          </cell>
          <cell r="BQ39">
            <v>55780900</v>
          </cell>
          <cell r="BR39">
            <v>223241310</v>
          </cell>
          <cell r="BS39">
            <v>359690560</v>
          </cell>
          <cell r="BT39">
            <v>723548330</v>
          </cell>
          <cell r="BU39">
            <v>291699310</v>
          </cell>
          <cell r="BV39">
            <v>123772150</v>
          </cell>
          <cell r="BW39">
            <v>-4.1256815936257789E-2</v>
          </cell>
          <cell r="BX39">
            <v>0.14966847478566642</v>
          </cell>
          <cell r="BY39">
            <v>1495021840</v>
          </cell>
          <cell r="BZ39">
            <v>1249646910</v>
          </cell>
          <cell r="CA39">
            <v>1075386210</v>
          </cell>
          <cell r="CB39">
            <v>1101312210</v>
          </cell>
          <cell r="CC39" t="str">
            <v>NULL</v>
          </cell>
          <cell r="CD39" t="str">
            <v>NULL</v>
          </cell>
          <cell r="CE39" t="str">
            <v>NULL</v>
          </cell>
          <cell r="CF39" t="str">
            <v>NULL</v>
          </cell>
          <cell r="CG39" t="str">
            <v>NULL</v>
          </cell>
          <cell r="CH39" t="str">
            <v>NULL</v>
          </cell>
          <cell r="CI39" t="str">
            <v>NULL</v>
          </cell>
          <cell r="CJ39" t="str">
            <v>NULL</v>
          </cell>
          <cell r="CK39">
            <v>1495021840</v>
          </cell>
          <cell r="CL39">
            <v>1249646910</v>
          </cell>
          <cell r="CM39">
            <v>1075386210</v>
          </cell>
          <cell r="CN39">
            <v>1101312210</v>
          </cell>
          <cell r="CO39">
            <v>0.61720088241251869</v>
          </cell>
          <cell r="CP39">
            <v>245374940</v>
          </cell>
          <cell r="CQ39">
            <v>-29433950</v>
          </cell>
          <cell r="CR39">
            <v>241741320</v>
          </cell>
          <cell r="CS39">
            <v>213896800</v>
          </cell>
          <cell r="CT39">
            <v>-56466890</v>
          </cell>
          <cell r="CU39">
            <v>34986400</v>
          </cell>
          <cell r="CV39">
            <v>-6343630</v>
          </cell>
          <cell r="CW39">
            <v>23398650</v>
          </cell>
          <cell r="CX39">
            <v>9.3364597683966988</v>
          </cell>
          <cell r="CY39">
            <v>1.5096610665502783</v>
          </cell>
          <cell r="CZ39">
            <v>0.13017735655699392</v>
          </cell>
          <cell r="DA39">
            <v>4.7880039081309418</v>
          </cell>
          <cell r="DB39">
            <v>-2.6139668556924978</v>
          </cell>
          <cell r="DC39">
            <v>6.5152018639170315</v>
          </cell>
          <cell r="DD39">
            <v>-1.2711109401610776</v>
          </cell>
          <cell r="DE39">
            <v>3.9510424561624484</v>
          </cell>
          <cell r="DG39">
            <v>8.6344222811906892</v>
          </cell>
          <cell r="DH39">
            <v>159514582</v>
          </cell>
          <cell r="DI39">
            <v>79</v>
          </cell>
          <cell r="DJ39">
            <v>25717657314</v>
          </cell>
          <cell r="DK39">
            <v>12077962598</v>
          </cell>
          <cell r="DM39">
            <v>1495021840</v>
          </cell>
          <cell r="DN39" t="str">
            <v>NULL</v>
          </cell>
          <cell r="DO39" t="str">
            <v>NULL</v>
          </cell>
          <cell r="DP39">
            <v>71893740</v>
          </cell>
          <cell r="DQ39" t="str">
            <v>NULL</v>
          </cell>
          <cell r="DR39">
            <v>1423128100</v>
          </cell>
          <cell r="DS39">
            <v>18.071217421678345</v>
          </cell>
          <cell r="DT39">
            <v>0.75375000000000003</v>
          </cell>
          <cell r="DU39">
            <v>0.5353</v>
          </cell>
          <cell r="DV39">
            <v>-7.9640000000000002E-2</v>
          </cell>
          <cell r="DW39">
            <v>1.12324</v>
          </cell>
          <cell r="DX39">
            <v>2.3326500000000001</v>
          </cell>
          <cell r="DY39">
            <v>33.009667116798489</v>
          </cell>
          <cell r="DZ39">
            <v>3.922901770513604</v>
          </cell>
          <cell r="EA39">
            <v>-270470360</v>
          </cell>
          <cell r="EB39">
            <v>-95.084937639747295</v>
          </cell>
          <cell r="EC39">
            <v>33.867061067884201</v>
          </cell>
          <cell r="ED39">
            <v>0.61485085290616404</v>
          </cell>
          <cell r="EE39">
            <v>0.638079127730245</v>
          </cell>
          <cell r="EG39">
            <v>0.40681557676067537</v>
          </cell>
          <cell r="EH39">
            <v>0.1939269233551093</v>
          </cell>
          <cell r="EK39" t="str">
            <v>NULL</v>
          </cell>
          <cell r="EM39">
            <v>42.215000219218602</v>
          </cell>
          <cell r="EN39">
            <v>41.976667223699998</v>
          </cell>
        </row>
        <row r="40">
          <cell r="A40" t="str">
            <v>GCLA</v>
          </cell>
          <cell r="B40" t="str">
            <v>CLA.BA</v>
          </cell>
          <cell r="C40" t="str">
            <v>GRUPO CLARIN SA</v>
          </cell>
          <cell r="D40">
            <v>43008</v>
          </cell>
          <cell r="E40">
            <v>6789439540</v>
          </cell>
          <cell r="F40">
            <v>4404139100</v>
          </cell>
          <cell r="G40">
            <v>1.5416000000000001</v>
          </cell>
          <cell r="H40">
            <v>1.38822</v>
          </cell>
          <cell r="I40">
            <v>1.5421</v>
          </cell>
          <cell r="J40">
            <v>1.3674999999999999</v>
          </cell>
          <cell r="K40">
            <v>63</v>
          </cell>
          <cell r="L40">
            <v>0</v>
          </cell>
          <cell r="M40">
            <v>4.4954000000000001</v>
          </cell>
          <cell r="N40">
            <v>0</v>
          </cell>
          <cell r="O40">
            <v>0</v>
          </cell>
          <cell r="P40">
            <v>4.4954000000000001</v>
          </cell>
          <cell r="Q40">
            <v>7.1355555555555561E-2</v>
          </cell>
          <cell r="S40">
            <v>29.584638221999999</v>
          </cell>
          <cell r="T40">
            <v>27.07369989</v>
          </cell>
          <cell r="U40">
            <v>43008</v>
          </cell>
          <cell r="V40">
            <v>9684757340</v>
          </cell>
          <cell r="W40">
            <v>8993083450</v>
          </cell>
          <cell r="X40">
            <v>39188631640</v>
          </cell>
          <cell r="Y40">
            <v>36267787790</v>
          </cell>
          <cell r="Z40">
            <v>4210732410</v>
          </cell>
          <cell r="AA40">
            <v>2.3000172884412762</v>
          </cell>
          <cell r="AC40">
            <v>3759245610</v>
          </cell>
          <cell r="AD40">
            <v>3606014920</v>
          </cell>
          <cell r="AE40">
            <v>2675819780</v>
          </cell>
          <cell r="AF40">
            <v>3461442990</v>
          </cell>
          <cell r="AG40">
            <v>0.71719462709018655</v>
          </cell>
          <cell r="AH40" t="str">
            <v>NULL</v>
          </cell>
          <cell r="AI40" t="str">
            <v>NULL</v>
          </cell>
          <cell r="AJ40" t="str">
            <v>NULL</v>
          </cell>
          <cell r="AK40">
            <v>1928047160</v>
          </cell>
          <cell r="AL40">
            <v>2231453620</v>
          </cell>
          <cell r="AM40">
            <v>2218252670</v>
          </cell>
          <cell r="AN40">
            <v>1903725980</v>
          </cell>
          <cell r="AO40">
            <v>2141096790</v>
          </cell>
          <cell r="AP40">
            <v>82.845936299616355</v>
          </cell>
          <cell r="AQ40">
            <v>4314984570</v>
          </cell>
          <cell r="AR40">
            <v>3692746320</v>
          </cell>
          <cell r="AS40">
            <v>3303983510</v>
          </cell>
          <cell r="AT40">
            <v>3582782740</v>
          </cell>
          <cell r="AU40">
            <v>100.65695380247926</v>
          </cell>
          <cell r="AV40">
            <v>675511920</v>
          </cell>
          <cell r="AW40">
            <v>705817450</v>
          </cell>
          <cell r="AX40">
            <v>1000464400</v>
          </cell>
          <cell r="AY40">
            <v>901013830</v>
          </cell>
          <cell r="AZ40">
            <v>35.264602826610378</v>
          </cell>
          <cell r="BA40">
            <v>53.075620329473296</v>
          </cell>
          <cell r="BC40">
            <v>38.529910000000001</v>
          </cell>
          <cell r="BD40">
            <v>6.8743299999999996</v>
          </cell>
          <cell r="BE40">
            <v>-12.5275</v>
          </cell>
          <cell r="BF40">
            <v>214579500</v>
          </cell>
          <cell r="BG40">
            <v>-16969810</v>
          </cell>
          <cell r="BH40">
            <v>-855416850</v>
          </cell>
          <cell r="BI40">
            <v>-320028880</v>
          </cell>
          <cell r="BJ40">
            <v>-7.2418763387729165E-2</v>
          </cell>
          <cell r="BK40">
            <v>-336545600</v>
          </cell>
          <cell r="BL40">
            <v>-192089590</v>
          </cell>
          <cell r="BM40">
            <v>-89600400</v>
          </cell>
          <cell r="BN40">
            <v>-456268200</v>
          </cell>
          <cell r="BO40">
            <v>-357742790</v>
          </cell>
          <cell r="BP40">
            <v>-68403210</v>
          </cell>
          <cell r="BQ40">
            <v>1053999180</v>
          </cell>
          <cell r="BR40">
            <v>992217690</v>
          </cell>
          <cell r="BS40">
            <v>2504508750</v>
          </cell>
          <cell r="BT40">
            <v>12552019730</v>
          </cell>
          <cell r="BU40">
            <v>9165920960</v>
          </cell>
          <cell r="BV40">
            <v>-5607413030</v>
          </cell>
          <cell r="BW40">
            <v>-0.42035226408385462</v>
          </cell>
          <cell r="BX40">
            <v>-4.1550697385403006E-2</v>
          </cell>
          <cell r="BY40">
            <v>4210732410</v>
          </cell>
          <cell r="BZ40">
            <v>3999234070</v>
          </cell>
          <cell r="CA40">
            <v>10628082460</v>
          </cell>
          <cell r="CB40">
            <v>9626387060</v>
          </cell>
          <cell r="CC40" t="str">
            <v>NULL</v>
          </cell>
          <cell r="CD40" t="str">
            <v>NULL</v>
          </cell>
          <cell r="CE40" t="str">
            <v>NULL</v>
          </cell>
          <cell r="CF40" t="str">
            <v>NULL</v>
          </cell>
          <cell r="CG40" t="str">
            <v>NULL</v>
          </cell>
          <cell r="CH40" t="str">
            <v>NULL</v>
          </cell>
          <cell r="CI40" t="str">
            <v>NULL</v>
          </cell>
          <cell r="CJ40" t="str">
            <v>NULL</v>
          </cell>
          <cell r="CK40">
            <v>4210732410</v>
          </cell>
          <cell r="CL40">
            <v>3999234070</v>
          </cell>
          <cell r="CM40">
            <v>10628082460</v>
          </cell>
          <cell r="CN40">
            <v>9626387060</v>
          </cell>
          <cell r="CO40">
            <v>-0.13741161637630903</v>
          </cell>
          <cell r="CP40">
            <v>214579500</v>
          </cell>
          <cell r="CQ40">
            <v>-355230430</v>
          </cell>
          <cell r="CR40">
            <v>-1425489650</v>
          </cell>
          <cell r="CS40">
            <v>-423102960</v>
          </cell>
          <cell r="CT40">
            <v>804101690</v>
          </cell>
          <cell r="CU40">
            <v>426066190</v>
          </cell>
          <cell r="CV40">
            <v>-16406490</v>
          </cell>
          <cell r="CW40">
            <v>467326720</v>
          </cell>
          <cell r="CX40">
            <v>1.6040572030949036</v>
          </cell>
          <cell r="CY40">
            <v>4.585243679147851</v>
          </cell>
          <cell r="CZ40">
            <v>-2.3691318302287461</v>
          </cell>
          <cell r="DA40">
            <v>-1.5261809112725531</v>
          </cell>
          <cell r="DB40">
            <v>0.88726941698894257</v>
          </cell>
          <cell r="DC40">
            <v>26.969368829042654</v>
          </cell>
          <cell r="DD40">
            <v>-1.0351071087910402</v>
          </cell>
          <cell r="DE40">
            <v>12.570056330413165</v>
          </cell>
          <cell r="DG40">
            <v>4.2120380152569696</v>
          </cell>
          <cell r="DH40">
            <v>69203544</v>
          </cell>
          <cell r="DI40">
            <v>63</v>
          </cell>
          <cell r="DJ40">
            <v>6726888252</v>
          </cell>
          <cell r="DK40">
            <v>4543173322.8000002</v>
          </cell>
          <cell r="DM40">
            <v>4210732410</v>
          </cell>
          <cell r="DN40" t="str">
            <v>NULL</v>
          </cell>
          <cell r="DO40" t="str">
            <v>NULL</v>
          </cell>
          <cell r="DP40">
            <v>234141830</v>
          </cell>
          <cell r="DQ40">
            <v>270923530</v>
          </cell>
          <cell r="DR40">
            <v>3705667050</v>
          </cell>
          <cell r="DS40">
            <v>1.8152975324644991</v>
          </cell>
          <cell r="DT40">
            <v>2.00963</v>
          </cell>
          <cell r="DU40">
            <v>-0.15892999999999999</v>
          </cell>
          <cell r="DV40">
            <v>-8.0113199999999996</v>
          </cell>
          <cell r="DW40">
            <v>-2.9971999999999999</v>
          </cell>
          <cell r="DX40">
            <v>-9.1578199999999992</v>
          </cell>
          <cell r="DY40">
            <v>-6.8793664867839732</v>
          </cell>
          <cell r="DZ40">
            <v>0.49819490050426352</v>
          </cell>
          <cell r="EA40">
            <v>-5675816240</v>
          </cell>
          <cell r="EB40">
            <v>-1.1851842920129494</v>
          </cell>
          <cell r="EC40" t="str">
            <v>NULL</v>
          </cell>
          <cell r="ED40">
            <v>0.78606756202496297</v>
          </cell>
          <cell r="EE40">
            <v>0.68390239526229502</v>
          </cell>
          <cell r="EG40">
            <v>0.49263394657510673</v>
          </cell>
          <cell r="EH40">
            <v>7.6032310438790551E-2</v>
          </cell>
          <cell r="EK40">
            <v>7.3454117468954196</v>
          </cell>
          <cell r="EM40">
            <v>35.957494162622197</v>
          </cell>
          <cell r="EN40">
            <v>35.754489134799996</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132.94999999999999</v>
          </cell>
          <cell r="L41">
            <v>0</v>
          </cell>
          <cell r="M41">
            <v>0</v>
          </cell>
          <cell r="N41">
            <v>0</v>
          </cell>
          <cell r="O41">
            <v>0.18457999999999999</v>
          </cell>
          <cell r="P41">
            <v>0.18457999999999999</v>
          </cell>
          <cell r="Q41">
            <v>1.3883414817600602E-3</v>
          </cell>
          <cell r="S41">
            <v>74.335015196000001</v>
          </cell>
          <cell r="T41">
            <v>106.737513466</v>
          </cell>
          <cell r="U41">
            <v>43008</v>
          </cell>
          <cell r="V41">
            <v>274402244000</v>
          </cell>
          <cell r="W41">
            <v>253173525000</v>
          </cell>
          <cell r="X41">
            <v>256028370000</v>
          </cell>
          <cell r="Y41">
            <v>242250624000</v>
          </cell>
          <cell r="Z41">
            <v>35194714000</v>
          </cell>
          <cell r="AA41">
            <v>7.7966891278048172</v>
          </cell>
          <cell r="AC41" t="str">
            <v>NULL</v>
          </cell>
          <cell r="AD41" t="str">
            <v>NULL</v>
          </cell>
          <cell r="AE41" t="str">
            <v>NULL</v>
          </cell>
          <cell r="AF41" t="str">
            <v>NULL</v>
          </cell>
          <cell r="AG41">
            <v>0</v>
          </cell>
          <cell r="AH41">
            <v>4003954000</v>
          </cell>
          <cell r="AI41">
            <v>3575697000</v>
          </cell>
          <cell r="AJ41">
            <v>3227561000</v>
          </cell>
          <cell r="AK41">
            <v>2664187000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19.932729999999999</v>
          </cell>
          <cell r="BF41">
            <v>2217089000</v>
          </cell>
          <cell r="BG41">
            <v>1835577000</v>
          </cell>
          <cell r="BH41">
            <v>1600753000</v>
          </cell>
          <cell r="BI41">
            <v>1771996000</v>
          </cell>
          <cell r="BJ41" t="e">
            <v>#DIV/0!</v>
          </cell>
          <cell r="BK41">
            <v>-597654000</v>
          </cell>
          <cell r="BL41">
            <v>-435590000</v>
          </cell>
          <cell r="BM41">
            <v>-290164000</v>
          </cell>
          <cell r="BN41">
            <v>-900533000</v>
          </cell>
          <cell r="BO41">
            <v>-688040000</v>
          </cell>
          <cell r="BP41">
            <v>-199778000</v>
          </cell>
          <cell r="BQ41">
            <v>-16279101000</v>
          </cell>
          <cell r="BR41">
            <v>-18322428000</v>
          </cell>
          <cell r="BS41">
            <v>574223000</v>
          </cell>
          <cell r="BT41">
            <v>25013196000</v>
          </cell>
          <cell r="BU41">
            <v>962955000</v>
          </cell>
          <cell r="BV41">
            <v>-16667833000</v>
          </cell>
          <cell r="BW41" t="e">
            <v>#DIV/0!</v>
          </cell>
          <cell r="BX41">
            <v>2.8953084853006624E-2</v>
          </cell>
          <cell r="BY41">
            <v>35194714000</v>
          </cell>
          <cell r="BZ41">
            <v>23549029000</v>
          </cell>
          <cell r="CA41">
            <v>21953452000</v>
          </cell>
          <cell r="CB41">
            <v>20352699000</v>
          </cell>
          <cell r="CC41" t="str">
            <v>NULL</v>
          </cell>
          <cell r="CD41" t="str">
            <v>NULL</v>
          </cell>
          <cell r="CE41" t="str">
            <v>NULL</v>
          </cell>
          <cell r="CF41" t="str">
            <v>NULL</v>
          </cell>
          <cell r="CG41" t="str">
            <v>NULL</v>
          </cell>
          <cell r="CH41" t="str">
            <v>NULL</v>
          </cell>
          <cell r="CI41" t="str">
            <v>NULL</v>
          </cell>
          <cell r="CJ41" t="str">
            <v>NULL</v>
          </cell>
          <cell r="CK41">
            <v>35194714000</v>
          </cell>
          <cell r="CL41">
            <v>23549029000</v>
          </cell>
          <cell r="CM41">
            <v>21953452000</v>
          </cell>
          <cell r="CN41">
            <v>20352699000</v>
          </cell>
          <cell r="CO41">
            <v>0.29393063984807349</v>
          </cell>
          <cell r="CP41">
            <v>2217089000</v>
          </cell>
          <cell r="CQ41">
            <v>1522658000</v>
          </cell>
          <cell r="CR41">
            <v>6017877000</v>
          </cell>
          <cell r="CS41">
            <v>4338397000</v>
          </cell>
          <cell r="CT41">
            <v>3337790000</v>
          </cell>
          <cell r="CU41">
            <v>1823653000</v>
          </cell>
          <cell r="CV41">
            <v>1336215000</v>
          </cell>
          <cell r="CW41">
            <v>1106943000</v>
          </cell>
          <cell r="CX41">
            <v>0.45606498635937953</v>
          </cell>
          <cell r="CY41">
            <v>0.41781800621622167</v>
          </cell>
          <cell r="CZ41">
            <v>0.38711994314950893</v>
          </cell>
          <cell r="DA41">
            <v>0.2997812924120451</v>
          </cell>
          <cell r="DB41">
            <v>0.83027692219956317</v>
          </cell>
          <cell r="DC41">
            <v>0.36479009740198998</v>
          </cell>
          <cell r="DD41">
            <v>0.20712177591800129</v>
          </cell>
          <cell r="DE41">
            <v>0.24093684589067174</v>
          </cell>
          <cell r="DG41">
            <v>7.1072293594965998</v>
          </cell>
          <cell r="DH41">
            <v>1145542947</v>
          </cell>
          <cell r="DI41">
            <v>127.3</v>
          </cell>
          <cell r="DJ41">
            <v>181627133198.10001</v>
          </cell>
          <cell r="DK41">
            <v>131627963048.85001</v>
          </cell>
          <cell r="DM41">
            <v>35194714000</v>
          </cell>
          <cell r="DN41" t="str">
            <v>NULL</v>
          </cell>
          <cell r="DO41" t="str">
            <v>NULL</v>
          </cell>
          <cell r="DP41">
            <v>3110896000</v>
          </cell>
          <cell r="DQ41">
            <v>0</v>
          </cell>
          <cell r="DR41">
            <v>32083818000</v>
          </cell>
          <cell r="DS41">
            <v>5.6610199321695447</v>
          </cell>
          <cell r="DT41">
            <v>1.70194</v>
          </cell>
          <cell r="DU41">
            <v>1.4116899999999999</v>
          </cell>
          <cell r="DV41">
            <v>1.2311000000000001</v>
          </cell>
          <cell r="DW41">
            <v>1.3628</v>
          </cell>
          <cell r="DX41">
            <v>5.7075300000000002</v>
          </cell>
          <cell r="DY41">
            <v>23.293789082142361</v>
          </cell>
          <cell r="DZ41" t="e">
            <v>#DIV/0!</v>
          </cell>
          <cell r="EA41">
            <v>-16867611000</v>
          </cell>
          <cell r="EB41">
            <v>-10.767804237250907</v>
          </cell>
          <cell r="EC41">
            <v>21.8220491175692</v>
          </cell>
          <cell r="ED41">
            <v>0.98611939823380501</v>
          </cell>
          <cell r="EE41">
            <v>1.1155728945660499</v>
          </cell>
          <cell r="EG41">
            <v>0.47134928658885794</v>
          </cell>
          <cell r="EH41">
            <v>0.25053857986712225</v>
          </cell>
          <cell r="EK41">
            <v>0.14819575752709799</v>
          </cell>
          <cell r="EM41">
            <v>17.2186323104888</v>
          </cell>
          <cell r="EN41">
            <v>17.121421172400002</v>
          </cell>
        </row>
        <row r="42">
          <cell r="A42" t="str">
            <v>GRIM</v>
          </cell>
          <cell r="B42" t="str">
            <v>GRM.BA</v>
          </cell>
          <cell r="C42" t="str">
            <v>GRIMOLDI SA</v>
          </cell>
          <cell r="D42">
            <v>43008</v>
          </cell>
          <cell r="E42">
            <v>1881627660</v>
          </cell>
          <cell r="F42">
            <v>1160994890</v>
          </cell>
          <cell r="G42">
            <v>1.6207</v>
          </cell>
          <cell r="H42">
            <v>1.0886199999999999</v>
          </cell>
          <cell r="I42">
            <v>1.3462499999999999</v>
          </cell>
          <cell r="J42">
            <v>0.78620999999999996</v>
          </cell>
          <cell r="K42">
            <v>49.5</v>
          </cell>
          <cell r="L42">
            <v>6.7710000000000006E-2</v>
          </cell>
          <cell r="M42">
            <v>0.1467</v>
          </cell>
          <cell r="N42">
            <v>0</v>
          </cell>
          <cell r="O42">
            <v>5.6419999999999998E-2</v>
          </cell>
          <cell r="P42">
            <v>0.27083000000000002</v>
          </cell>
          <cell r="Q42">
            <v>5.4713131313131316E-3</v>
          </cell>
          <cell r="S42">
            <v>153.225330149</v>
          </cell>
          <cell r="T42">
            <v>107.588202013</v>
          </cell>
          <cell r="U42">
            <v>43008</v>
          </cell>
          <cell r="V42">
            <v>2115845120</v>
          </cell>
          <cell r="W42">
            <v>1633790970</v>
          </cell>
          <cell r="X42">
            <v>1795703100</v>
          </cell>
          <cell r="Y42">
            <v>1773932640</v>
          </cell>
          <cell r="Z42">
            <v>557283570</v>
          </cell>
          <cell r="AA42">
            <v>3.7967118248255551</v>
          </cell>
          <cell r="AC42">
            <v>937033540</v>
          </cell>
          <cell r="AD42">
            <v>900230360</v>
          </cell>
          <cell r="AE42">
            <v>899360510</v>
          </cell>
          <cell r="AF42">
            <v>902938560</v>
          </cell>
          <cell r="AG42">
            <v>2.4862729986038623</v>
          </cell>
          <cell r="AH42">
            <v>230165380</v>
          </cell>
          <cell r="AI42">
            <v>336376170</v>
          </cell>
          <cell r="AJ42">
            <v>342628740</v>
          </cell>
          <cell r="AK42">
            <v>327962600</v>
          </cell>
          <cell r="AL42">
            <v>529464130</v>
          </cell>
          <cell r="AM42">
            <v>525972690</v>
          </cell>
          <cell r="AN42">
            <v>539523760</v>
          </cell>
          <cell r="AO42">
            <v>497979220</v>
          </cell>
          <cell r="AP42">
            <v>53.937708199968291</v>
          </cell>
          <cell r="AQ42">
            <v>646212100</v>
          </cell>
          <cell r="AR42">
            <v>599860840</v>
          </cell>
          <cell r="AS42">
            <v>567623270</v>
          </cell>
          <cell r="AT42">
            <v>551866420</v>
          </cell>
          <cell r="AU42">
            <v>59.308656497156299</v>
          </cell>
          <cell r="AV42">
            <v>617741620</v>
          </cell>
          <cell r="AW42">
            <v>587359030</v>
          </cell>
          <cell r="AX42">
            <v>642103830</v>
          </cell>
          <cell r="AY42">
            <v>625739090</v>
          </cell>
          <cell r="AZ42">
            <v>107.81776941816483</v>
          </cell>
          <cell r="BA42">
            <v>113.18871771535285</v>
          </cell>
          <cell r="BC42">
            <v>44.69426</v>
          </cell>
          <cell r="BD42">
            <v>16.982209999999998</v>
          </cell>
          <cell r="BE42">
            <v>4.5285700000000002</v>
          </cell>
          <cell r="BF42">
            <v>32380650</v>
          </cell>
          <cell r="BG42">
            <v>-4476270</v>
          </cell>
          <cell r="BH42">
            <v>17712130</v>
          </cell>
          <cell r="BI42">
            <v>17778700</v>
          </cell>
          <cell r="BJ42">
            <v>1.741835778706145E-2</v>
          </cell>
          <cell r="BK42">
            <v>-54586650</v>
          </cell>
          <cell r="BL42">
            <v>-36437600</v>
          </cell>
          <cell r="BM42">
            <v>-19951710</v>
          </cell>
          <cell r="BN42">
            <v>-99646170</v>
          </cell>
          <cell r="BO42">
            <v>-78120370</v>
          </cell>
          <cell r="BP42">
            <v>3582010</v>
          </cell>
          <cell r="BQ42">
            <v>-81458960</v>
          </cell>
          <cell r="BR42">
            <v>-23873580</v>
          </cell>
          <cell r="BS42">
            <v>-87502080</v>
          </cell>
          <cell r="BT42">
            <v>-264533680</v>
          </cell>
          <cell r="BU42">
            <v>-295460670</v>
          </cell>
          <cell r="BV42">
            <v>126499630</v>
          </cell>
          <cell r="BW42">
            <v>3.5741005464730288E-2</v>
          </cell>
          <cell r="BX42">
            <v>3.4645637693169265E-2</v>
          </cell>
          <cell r="BY42">
            <v>557283570</v>
          </cell>
          <cell r="BZ42">
            <v>524356230</v>
          </cell>
          <cell r="CA42">
            <v>541339570</v>
          </cell>
          <cell r="CB42">
            <v>524080510</v>
          </cell>
          <cell r="CC42" t="str">
            <v>NULL</v>
          </cell>
          <cell r="CD42" t="str">
            <v>NULL</v>
          </cell>
          <cell r="CE42" t="str">
            <v>NULL</v>
          </cell>
          <cell r="CF42" t="str">
            <v>NULL</v>
          </cell>
          <cell r="CG42" t="str">
            <v>NULL</v>
          </cell>
          <cell r="CH42" t="str">
            <v>NULL</v>
          </cell>
          <cell r="CI42" t="str">
            <v>NULL</v>
          </cell>
          <cell r="CJ42" t="str">
            <v>NULL</v>
          </cell>
          <cell r="CK42">
            <v>557283570</v>
          </cell>
          <cell r="CL42">
            <v>524356230</v>
          </cell>
          <cell r="CM42">
            <v>541339570</v>
          </cell>
          <cell r="CN42">
            <v>524080510</v>
          </cell>
          <cell r="CO42">
            <v>0.1181060865428681</v>
          </cell>
          <cell r="CP42">
            <v>32380650</v>
          </cell>
          <cell r="CQ42">
            <v>38018980</v>
          </cell>
          <cell r="CR42">
            <v>163653910</v>
          </cell>
          <cell r="CS42">
            <v>168397630</v>
          </cell>
          <cell r="CT42">
            <v>75305520</v>
          </cell>
          <cell r="CU42">
            <v>31964400</v>
          </cell>
          <cell r="CV42">
            <v>17063140</v>
          </cell>
          <cell r="CW42">
            <v>15948590</v>
          </cell>
          <cell r="CX42">
            <v>-0.14830303180148441</v>
          </cell>
          <cell r="CY42">
            <v>0.70142523352304575</v>
          </cell>
          <cell r="CZ42">
            <v>-2.8169755120662887E-2</v>
          </cell>
          <cell r="DA42">
            <v>1.2361923800539456</v>
          </cell>
          <cell r="DB42">
            <v>1.3559184592859554</v>
          </cell>
          <cell r="DC42">
            <v>0.87330116262305757</v>
          </cell>
          <cell r="DD42">
            <v>6.9883920772933594E-2</v>
          </cell>
          <cell r="DE42">
            <v>0.647115116448859</v>
          </cell>
          <cell r="DG42">
            <v>5.0838817799582499</v>
          </cell>
          <cell r="DH42">
            <v>44307514</v>
          </cell>
          <cell r="DI42">
            <v>45</v>
          </cell>
          <cell r="DJ42">
            <v>1993838130</v>
          </cell>
          <cell r="DK42">
            <v>2442966456</v>
          </cell>
          <cell r="DM42">
            <v>557283570</v>
          </cell>
          <cell r="DN42" t="str">
            <v>NULL</v>
          </cell>
          <cell r="DO42" t="str">
            <v>NULL</v>
          </cell>
          <cell r="DP42">
            <v>7714950</v>
          </cell>
          <cell r="DQ42">
            <v>1860090</v>
          </cell>
          <cell r="DR42">
            <v>547708530</v>
          </cell>
          <cell r="DS42">
            <v>3.640326963686324</v>
          </cell>
          <cell r="DT42">
            <v>0.73082000000000003</v>
          </cell>
          <cell r="DU42">
            <v>-0.10102999999999999</v>
          </cell>
          <cell r="DV42">
            <v>0.39974999999999999</v>
          </cell>
          <cell r="DW42">
            <v>0.40126000000000001</v>
          </cell>
          <cell r="DX42">
            <v>1.4308000000000001</v>
          </cell>
          <cell r="DY42">
            <v>34.596030192899079</v>
          </cell>
          <cell r="DZ42">
            <v>0.54782350145737413</v>
          </cell>
          <cell r="EA42">
            <v>130081640</v>
          </cell>
          <cell r="EB42">
            <v>15.327590657682361</v>
          </cell>
          <cell r="EC42">
            <v>34.246575342465803</v>
          </cell>
          <cell r="ED42">
            <v>0.64038471629466198</v>
          </cell>
          <cell r="EE42">
            <v>0.57518475511812395</v>
          </cell>
          <cell r="EG42">
            <v>0.47651876441852098</v>
          </cell>
          <cell r="EH42">
            <v>0.22508044510992353</v>
          </cell>
          <cell r="EK42">
            <v>0.57575345081632701</v>
          </cell>
          <cell r="EM42">
            <v>84.997947143601095</v>
          </cell>
          <cell r="EN42">
            <v>84.518074698999996</v>
          </cell>
        </row>
        <row r="43">
          <cell r="A43" t="str">
            <v>HAVA</v>
          </cell>
          <cell r="B43" t="str">
            <v>HAVH.BA</v>
          </cell>
          <cell r="C43" t="str">
            <v>HAVANNA</v>
          </cell>
          <cell r="D43">
            <v>43008</v>
          </cell>
          <cell r="E43">
            <v>270197670</v>
          </cell>
          <cell r="F43">
            <v>223449220</v>
          </cell>
          <cell r="G43">
            <v>1.2092099999999999</v>
          </cell>
          <cell r="H43">
            <v>0.75580999999999998</v>
          </cell>
          <cell r="I43">
            <v>1.2416199999999999</v>
          </cell>
          <cell r="J43">
            <v>0.76568999999999998</v>
          </cell>
          <cell r="K43">
            <v>41</v>
          </cell>
          <cell r="L43">
            <v>1.42</v>
          </cell>
          <cell r="M43">
            <v>0</v>
          </cell>
          <cell r="N43">
            <v>0</v>
          </cell>
          <cell r="O43">
            <v>0</v>
          </cell>
          <cell r="Q43">
            <v>0</v>
          </cell>
          <cell r="S43">
            <v>25.503773107000001</v>
          </cell>
          <cell r="T43">
            <v>27.489906974</v>
          </cell>
          <cell r="U43">
            <v>43008</v>
          </cell>
          <cell r="V43">
            <v>584723860</v>
          </cell>
          <cell r="W43">
            <v>556055440</v>
          </cell>
          <cell r="X43">
            <v>624793420</v>
          </cell>
          <cell r="Y43">
            <v>597148030</v>
          </cell>
          <cell r="Z43">
            <v>276076170</v>
          </cell>
          <cell r="AA43">
            <v>2.1179801936545264</v>
          </cell>
          <cell r="AC43">
            <v>281353480</v>
          </cell>
          <cell r="AD43">
            <v>274306870</v>
          </cell>
          <cell r="AE43">
            <v>362740820</v>
          </cell>
          <cell r="AF43">
            <v>283613550</v>
          </cell>
          <cell r="AG43">
            <v>2.543662513719664</v>
          </cell>
          <cell r="AH43">
            <v>69857170</v>
          </cell>
          <cell r="AI43">
            <v>56488570</v>
          </cell>
          <cell r="AJ43">
            <v>73112340</v>
          </cell>
          <cell r="AK43">
            <v>84367050</v>
          </cell>
          <cell r="AL43">
            <v>126346340</v>
          </cell>
          <cell r="AM43">
            <v>130148100</v>
          </cell>
          <cell r="AN43">
            <v>153714410</v>
          </cell>
          <cell r="AO43">
            <v>134221490</v>
          </cell>
          <cell r="AQ43">
            <v>116328750</v>
          </cell>
          <cell r="AR43">
            <v>122427110</v>
          </cell>
          <cell r="AS43">
            <v>145465990</v>
          </cell>
          <cell r="AT43">
            <v>168218330</v>
          </cell>
          <cell r="AU43">
            <v>41.938060812599701</v>
          </cell>
          <cell r="AV43">
            <v>101311580</v>
          </cell>
          <cell r="AW43">
            <v>96842260</v>
          </cell>
          <cell r="AX43">
            <v>106682200</v>
          </cell>
          <cell r="AY43">
            <v>101722710</v>
          </cell>
          <cell r="AZ43">
            <v>68.141841502624558</v>
          </cell>
          <cell r="BA43">
            <v>110.07990231522426</v>
          </cell>
          <cell r="BC43">
            <v>56.317059999999998</v>
          </cell>
          <cell r="BD43">
            <v>13.643560000000001</v>
          </cell>
          <cell r="BE43">
            <v>7.38544</v>
          </cell>
          <cell r="BF43">
            <v>11580130</v>
          </cell>
          <cell r="BG43">
            <v>7819450</v>
          </cell>
          <cell r="BH43">
            <v>38139910</v>
          </cell>
          <cell r="BI43">
            <v>43879300</v>
          </cell>
          <cell r="BJ43">
            <v>8.4374000012246111E-2</v>
          </cell>
          <cell r="BK43">
            <v>-35918050</v>
          </cell>
          <cell r="BL43">
            <v>-20038580</v>
          </cell>
          <cell r="BM43">
            <v>-10222110</v>
          </cell>
          <cell r="BN43">
            <v>-59091670</v>
          </cell>
          <cell r="BO43">
            <v>-50056150</v>
          </cell>
          <cell r="BP43">
            <v>3915990</v>
          </cell>
          <cell r="BQ43">
            <v>136858200</v>
          </cell>
          <cell r="BR43">
            <v>100927820</v>
          </cell>
          <cell r="BS43">
            <v>77004330</v>
          </cell>
          <cell r="BT43">
            <v>65533560</v>
          </cell>
          <cell r="BU43">
            <v>94119270</v>
          </cell>
          <cell r="BV43">
            <v>119743260</v>
          </cell>
          <cell r="BW43">
            <v>0.10287665195980296</v>
          </cell>
          <cell r="BX43">
            <v>0.17169831009441128</v>
          </cell>
          <cell r="BY43">
            <v>276076170</v>
          </cell>
          <cell r="BZ43">
            <v>263751420</v>
          </cell>
          <cell r="CA43">
            <v>319105390</v>
          </cell>
          <cell r="CB43">
            <v>281444340</v>
          </cell>
          <cell r="CC43" t="str">
            <v>NULL</v>
          </cell>
          <cell r="CD43" t="str">
            <v>NULL</v>
          </cell>
          <cell r="CE43" t="str">
            <v>NULL</v>
          </cell>
          <cell r="CF43" t="str">
            <v>NULL</v>
          </cell>
          <cell r="CG43" t="str">
            <v>NULL</v>
          </cell>
          <cell r="CH43" t="str">
            <v>NULL</v>
          </cell>
          <cell r="CI43" t="str">
            <v>NULL</v>
          </cell>
          <cell r="CJ43" t="str">
            <v>NULL</v>
          </cell>
          <cell r="CK43">
            <v>276076170</v>
          </cell>
          <cell r="CL43">
            <v>263751420</v>
          </cell>
          <cell r="CM43">
            <v>319105390</v>
          </cell>
          <cell r="CN43">
            <v>281444340</v>
          </cell>
          <cell r="CO43">
            <v>0.35573766058413014</v>
          </cell>
          <cell r="CP43">
            <v>11580130</v>
          </cell>
          <cell r="CQ43">
            <v>10682470</v>
          </cell>
          <cell r="CR43">
            <v>73728690</v>
          </cell>
          <cell r="CS43">
            <v>65976290</v>
          </cell>
          <cell r="CT43">
            <v>44763080</v>
          </cell>
          <cell r="CU43">
            <v>28065900</v>
          </cell>
          <cell r="CV43" t="str">
            <v>NULL</v>
          </cell>
          <cell r="CW43" t="str">
            <v>NULL</v>
          </cell>
          <cell r="CX43">
            <v>8.4031127632467006E-2</v>
          </cell>
          <cell r="CY43">
            <v>0.39544338879533031</v>
          </cell>
          <cell r="CZ43">
            <v>0.11750281805782037</v>
          </cell>
          <cell r="DA43">
            <v>0.47389969591011161</v>
          </cell>
          <cell r="DB43">
            <v>0.59492765241805889</v>
          </cell>
          <cell r="DC43" t="e">
            <v>#VALUE!</v>
          </cell>
          <cell r="DD43" t="e">
            <v>#VALUE!</v>
          </cell>
          <cell r="DE43">
            <v>0.2481937997020513</v>
          </cell>
          <cell r="DG43" t="str">
            <v>NULL</v>
          </cell>
          <cell r="DH43">
            <v>12811673</v>
          </cell>
          <cell r="DI43">
            <v>41</v>
          </cell>
          <cell r="DJ43">
            <v>2061072054.25</v>
          </cell>
          <cell r="DK43" t="str">
            <v>NULL</v>
          </cell>
          <cell r="DM43">
            <v>276076170</v>
          </cell>
          <cell r="DN43" t="str">
            <v>NULL</v>
          </cell>
          <cell r="DO43" t="str">
            <v>NULL</v>
          </cell>
          <cell r="DP43">
            <v>2373000</v>
          </cell>
          <cell r="DQ43">
            <v>58513830</v>
          </cell>
          <cell r="DR43">
            <v>215189340</v>
          </cell>
          <cell r="DS43">
            <v>9.5779468176722879</v>
          </cell>
          <cell r="DT43">
            <v>0.24651000000000001</v>
          </cell>
          <cell r="DU43">
            <v>0.16685</v>
          </cell>
          <cell r="DV43">
            <v>0.81</v>
          </cell>
          <cell r="DW43">
            <v>0.97184000000000004</v>
          </cell>
          <cell r="DX43">
            <v>2.1951999999999998</v>
          </cell>
          <cell r="DY43">
            <v>18.67711370262391</v>
          </cell>
          <cell r="DZ43">
            <v>1.7146812097692115</v>
          </cell>
          <cell r="EA43">
            <v>123659250</v>
          </cell>
          <cell r="EB43">
            <v>16.667350434763271</v>
          </cell>
          <cell r="EC43" t="str">
            <v>NULL</v>
          </cell>
          <cell r="ED43">
            <v>0.25407110673371402</v>
          </cell>
          <cell r="EE43">
            <v>0.240463724284006</v>
          </cell>
          <cell r="EG43" t="str">
            <v>-</v>
          </cell>
          <cell r="EH43" t="str">
            <v>-</v>
          </cell>
          <cell r="EK43">
            <v>3.3917896824999998</v>
          </cell>
          <cell r="EM43">
            <v>51.652015434909501</v>
          </cell>
          <cell r="EN43" t="str">
            <v>NULL</v>
          </cell>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32</v>
          </cell>
          <cell r="L44">
            <v>0.15</v>
          </cell>
          <cell r="M44">
            <v>0</v>
          </cell>
          <cell r="N44" t="str">
            <v>NULL</v>
          </cell>
          <cell r="O44">
            <v>0</v>
          </cell>
          <cell r="Q44">
            <v>0</v>
          </cell>
          <cell r="S44">
            <v>4.3015786961</v>
          </cell>
          <cell r="T44">
            <v>4.0072875821</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19.356644995825199</v>
          </cell>
          <cell r="DH44">
            <v>22000000</v>
          </cell>
          <cell r="DI44">
            <v>32</v>
          </cell>
          <cell r="DJ44">
            <v>200690364</v>
          </cell>
          <cell r="DK44">
            <v>705220260.00000095</v>
          </cell>
          <cell r="DM44">
            <v>33939400</v>
          </cell>
          <cell r="DN44" t="str">
            <v>NULL</v>
          </cell>
          <cell r="DO44" t="str">
            <v>NULL</v>
          </cell>
          <cell r="DP44">
            <v>1205530</v>
          </cell>
          <cell r="DQ44" t="str">
            <v>NULL</v>
          </cell>
          <cell r="DR44">
            <v>32733870</v>
          </cell>
          <cell r="DS44">
            <v>6.1309696653649572</v>
          </cell>
          <cell r="DT44">
            <v>0.25064999999999998</v>
          </cell>
          <cell r="DU44">
            <v>-0.13219</v>
          </cell>
          <cell r="DV44">
            <v>0.13396</v>
          </cell>
          <cell r="DW44">
            <v>0.24632999999999999</v>
          </cell>
          <cell r="DX44">
            <v>0.49874999999999997</v>
          </cell>
          <cell r="DY44">
            <v>64.160401002506276</v>
          </cell>
          <cell r="DZ44">
            <v>0.54284897248930031</v>
          </cell>
          <cell r="EA44">
            <v>538280</v>
          </cell>
          <cell r="EB44">
            <v>372.83637512075501</v>
          </cell>
          <cell r="EC44" t="str">
            <v>NULL</v>
          </cell>
          <cell r="ED44" t="str">
            <v>NULL</v>
          </cell>
          <cell r="EE44" t="str">
            <v>NULL</v>
          </cell>
          <cell r="EG44">
            <v>0.3475091913222822</v>
          </cell>
          <cell r="EH44">
            <v>4.2886042272715086E-2</v>
          </cell>
          <cell r="EK44">
            <v>0.467289719626168</v>
          </cell>
          <cell r="EM44">
            <v>68.882772518111807</v>
          </cell>
          <cell r="EN44">
            <v>68.493881426599998</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18</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10.969122974753001</v>
          </cell>
          <cell r="DH45">
            <v>414283186</v>
          </cell>
          <cell r="DI45">
            <v>17.25</v>
          </cell>
          <cell r="DJ45">
            <v>7146384958.5</v>
          </cell>
          <cell r="DK45">
            <v>9859903321.2999992</v>
          </cell>
          <cell r="DM45">
            <v>1881598000</v>
          </cell>
          <cell r="DN45" t="str">
            <v>NULL</v>
          </cell>
          <cell r="DO45" t="str">
            <v>NULL</v>
          </cell>
          <cell r="DP45">
            <v>1045000</v>
          </cell>
          <cell r="DQ45">
            <v>43489000</v>
          </cell>
          <cell r="DR45">
            <v>1837064000</v>
          </cell>
          <cell r="DS45">
            <v>3.890112134634395</v>
          </cell>
          <cell r="DT45">
            <v>0.64551999999999998</v>
          </cell>
          <cell r="DU45">
            <v>0.19822999999999999</v>
          </cell>
          <cell r="DV45">
            <v>0.43439</v>
          </cell>
          <cell r="DW45">
            <v>-0.96882999999999997</v>
          </cell>
          <cell r="DX45">
            <v>0.30931000000000008</v>
          </cell>
          <cell r="DY45">
            <v>58.194044809414486</v>
          </cell>
          <cell r="DZ45">
            <v>0.67758888428190356</v>
          </cell>
          <cell r="EA45">
            <v>-72757000</v>
          </cell>
          <cell r="EB45">
            <v>-98.222644673364769</v>
          </cell>
          <cell r="EC45">
            <v>55.122692444473202</v>
          </cell>
          <cell r="ED45">
            <v>0.76245753342065703</v>
          </cell>
          <cell r="EE45">
            <v>0.56844288581909796</v>
          </cell>
          <cell r="EG45">
            <v>0.52140168583646218</v>
          </cell>
          <cell r="EH45">
            <v>-5.6103377091954676E-2</v>
          </cell>
          <cell r="EK45" t="str">
            <v>NULL</v>
          </cell>
          <cell r="EM45">
            <v>64.268243883706305</v>
          </cell>
          <cell r="EN45">
            <v>63.905405011299997</v>
          </cell>
        </row>
        <row r="46">
          <cell r="A46" t="str">
            <v>INTR</v>
          </cell>
          <cell r="B46" t="str">
            <v>INR.BA</v>
          </cell>
          <cell r="C46" t="str">
            <v>COMPANIA INTRODUCTORA DE BUENOS AIRES SA</v>
          </cell>
          <cell r="D46">
            <v>43008</v>
          </cell>
          <cell r="E46">
            <v>435094560</v>
          </cell>
          <cell r="F46">
            <v>214268570</v>
          </cell>
          <cell r="G46">
            <v>2.0306000000000002</v>
          </cell>
          <cell r="H46">
            <v>1.4379599999999999</v>
          </cell>
          <cell r="I46">
            <v>2.0929199999999999</v>
          </cell>
          <cell r="J46">
            <v>1.4725999999999999</v>
          </cell>
          <cell r="K46">
            <v>11</v>
          </cell>
          <cell r="L46">
            <v>0</v>
          </cell>
          <cell r="M46">
            <v>0</v>
          </cell>
          <cell r="N46">
            <v>0</v>
          </cell>
          <cell r="O46">
            <v>5.8200000000000002E-2</v>
          </cell>
          <cell r="P46">
            <v>5.8200000000000002E-2</v>
          </cell>
          <cell r="Q46">
            <v>5.2909090909090909E-3</v>
          </cell>
          <cell r="S46">
            <v>16.142613391000001</v>
          </cell>
          <cell r="T46">
            <v>12.054718683999999</v>
          </cell>
          <cell r="U46">
            <v>43008</v>
          </cell>
          <cell r="V46">
            <v>521130150</v>
          </cell>
          <cell r="W46">
            <v>473866840</v>
          </cell>
          <cell r="X46">
            <v>439940710</v>
          </cell>
          <cell r="Y46">
            <v>411310750</v>
          </cell>
          <cell r="Z46">
            <v>304238470</v>
          </cell>
          <cell r="AA46">
            <v>1.7129002456526947</v>
          </cell>
          <cell r="AC46">
            <v>242125360</v>
          </cell>
          <cell r="AD46">
            <v>237541550</v>
          </cell>
          <cell r="AE46">
            <v>222806060</v>
          </cell>
          <cell r="AF46">
            <v>208992670</v>
          </cell>
          <cell r="AG46">
            <v>2.4683687834079766</v>
          </cell>
          <cell r="AH46">
            <v>81792650</v>
          </cell>
          <cell r="AI46">
            <v>76364300</v>
          </cell>
          <cell r="AJ46">
            <v>77229790</v>
          </cell>
          <cell r="AK46">
            <v>70160480</v>
          </cell>
          <cell r="AL46">
            <v>119779360</v>
          </cell>
          <cell r="AM46">
            <v>119538840</v>
          </cell>
          <cell r="AN46">
            <v>105125670</v>
          </cell>
          <cell r="AO46">
            <v>96897850</v>
          </cell>
          <cell r="AP46">
            <v>63.173687330080639</v>
          </cell>
          <cell r="AQ46">
            <v>177442350</v>
          </cell>
          <cell r="AR46">
            <v>163648020</v>
          </cell>
          <cell r="AS46">
            <v>162540790</v>
          </cell>
          <cell r="AT46">
            <v>144724810</v>
          </cell>
          <cell r="AU46">
            <v>64.909174483527437</v>
          </cell>
          <cell r="AV46">
            <v>126983890</v>
          </cell>
          <cell r="AW46">
            <v>116088090</v>
          </cell>
          <cell r="AX46">
            <v>94291060</v>
          </cell>
          <cell r="AY46">
            <v>84978960</v>
          </cell>
          <cell r="AZ46">
            <v>87.321695986502249</v>
          </cell>
          <cell r="BA46">
            <v>89.057183139949046</v>
          </cell>
          <cell r="BC46">
            <v>52.823450000000001</v>
          </cell>
          <cell r="BD46">
            <v>14.012370000000001</v>
          </cell>
          <cell r="BE46">
            <v>10.13987</v>
          </cell>
          <cell r="BF46">
            <v>23642540</v>
          </cell>
          <cell r="BG46">
            <v>20704680</v>
          </cell>
          <cell r="BH46">
            <v>22670180</v>
          </cell>
          <cell r="BI46">
            <v>21422600</v>
          </cell>
          <cell r="BJ46">
            <v>9.7030536444577334E-2</v>
          </cell>
          <cell r="BK46">
            <v>-5965040</v>
          </cell>
          <cell r="BL46">
            <v>-29894550</v>
          </cell>
          <cell r="BM46">
            <v>-21037740</v>
          </cell>
          <cell r="BN46">
            <v>-14025320</v>
          </cell>
          <cell r="BO46">
            <v>-3619310</v>
          </cell>
          <cell r="BP46">
            <v>-23383470</v>
          </cell>
          <cell r="BQ46">
            <v>2323460</v>
          </cell>
          <cell r="BR46">
            <v>55566720</v>
          </cell>
          <cell r="BS46">
            <v>17767010</v>
          </cell>
          <cell r="BT46">
            <v>26152310</v>
          </cell>
          <cell r="BU46">
            <v>8966740</v>
          </cell>
          <cell r="BV46">
            <v>11123730</v>
          </cell>
          <cell r="BW46">
            <v>-1.3450578345443718E-2</v>
          </cell>
          <cell r="BX46">
            <v>0.19161018117577838</v>
          </cell>
          <cell r="BY46">
            <v>304238470</v>
          </cell>
          <cell r="BZ46">
            <v>280595930</v>
          </cell>
          <cell r="CA46">
            <v>259891250</v>
          </cell>
          <cell r="CB46">
            <v>237221070</v>
          </cell>
          <cell r="CC46" t="str">
            <v>NULL</v>
          </cell>
          <cell r="CD46" t="str">
            <v>NULL</v>
          </cell>
          <cell r="CE46" t="str">
            <v>NULL</v>
          </cell>
          <cell r="CF46" t="str">
            <v>NULL</v>
          </cell>
          <cell r="CG46" t="str">
            <v>NULL</v>
          </cell>
          <cell r="CH46" t="str">
            <v>NULL</v>
          </cell>
          <cell r="CI46" t="str">
            <v>NULL</v>
          </cell>
          <cell r="CJ46" t="str">
            <v>NULL</v>
          </cell>
          <cell r="CK46">
            <v>304238470</v>
          </cell>
          <cell r="CL46">
            <v>280595930</v>
          </cell>
          <cell r="CM46">
            <v>259891250</v>
          </cell>
          <cell r="CN46">
            <v>237221070</v>
          </cell>
          <cell r="CO46">
            <v>0.32696619293785556</v>
          </cell>
          <cell r="CP46">
            <v>23642540</v>
          </cell>
          <cell r="CQ46">
            <v>23128790</v>
          </cell>
          <cell r="CR46">
            <v>87926240</v>
          </cell>
          <cell r="CS46">
            <v>48559030</v>
          </cell>
          <cell r="CT46">
            <v>27076750</v>
          </cell>
          <cell r="CU46">
            <v>20876950</v>
          </cell>
          <cell r="CV46">
            <v>18008730</v>
          </cell>
          <cell r="CW46">
            <v>12811110</v>
          </cell>
          <cell r="CX46">
            <v>2.2212575755151898E-2</v>
          </cell>
          <cell r="CY46">
            <v>0.4932083904154535</v>
          </cell>
          <cell r="CZ46">
            <v>0.81070832757573608</v>
          </cell>
          <cell r="DA46">
            <v>0.79338473044216906</v>
          </cell>
          <cell r="DB46">
            <v>0.29696866640002484</v>
          </cell>
          <cell r="DC46">
            <v>0.15926831042499945</v>
          </cell>
          <cell r="DD46">
            <v>0.40571191723433797</v>
          </cell>
          <cell r="DE46">
            <v>0.29520911416038381</v>
          </cell>
          <cell r="DG46">
            <v>6.6828018802440798</v>
          </cell>
          <cell r="DH46">
            <v>86085807</v>
          </cell>
          <cell r="DI46">
            <v>11.1</v>
          </cell>
          <cell r="DJ46">
            <v>955552457.70000005</v>
          </cell>
          <cell r="DK46">
            <v>900952227.00000095</v>
          </cell>
          <cell r="DM46">
            <v>304238470</v>
          </cell>
          <cell r="DN46" t="str">
            <v>NULL</v>
          </cell>
          <cell r="DO46" t="str">
            <v>NULL</v>
          </cell>
          <cell r="DP46">
            <v>1172780</v>
          </cell>
          <cell r="DQ46" t="str">
            <v>NULL</v>
          </cell>
          <cell r="DR46">
            <v>303065690</v>
          </cell>
          <cell r="DS46">
            <v>3.152954917793565</v>
          </cell>
          <cell r="DT46">
            <v>0.27464</v>
          </cell>
          <cell r="DU46">
            <v>0.24051</v>
          </cell>
          <cell r="DV46">
            <v>0.26334999999999997</v>
          </cell>
          <cell r="DW46">
            <v>0.24884999999999999</v>
          </cell>
          <cell r="DX46">
            <v>1.02735</v>
          </cell>
          <cell r="DY46">
            <v>10.707159195989682</v>
          </cell>
          <cell r="DZ46">
            <v>1.0483691493845013</v>
          </cell>
          <cell r="EA46">
            <v>-12259740</v>
          </cell>
          <cell r="EB46">
            <v>-77.942310171341319</v>
          </cell>
          <cell r="EC46">
            <v>10.7071591959897</v>
          </cell>
          <cell r="ED46">
            <v>0.247693566453141</v>
          </cell>
          <cell r="EE46">
            <v>0.351777448204801</v>
          </cell>
          <cell r="EG46">
            <v>0.40309700586094682</v>
          </cell>
          <cell r="EH46">
            <v>0.17902206303908907</v>
          </cell>
          <cell r="EK46">
            <v>0.95122595636363605</v>
          </cell>
          <cell r="EM46">
            <v>13.934141295169599</v>
          </cell>
          <cell r="EN46">
            <v>13.85547339</v>
          </cell>
        </row>
        <row r="47">
          <cell r="A47" t="str">
            <v>INVJ</v>
          </cell>
          <cell r="B47" t="str">
            <v>INVJ.BA</v>
          </cell>
          <cell r="C47" t="str">
            <v>INVERSORA JURAMENTO SA</v>
          </cell>
          <cell r="D47">
            <v>43008</v>
          </cell>
          <cell r="E47">
            <v>1846015420</v>
          </cell>
          <cell r="F47">
            <v>1207336480</v>
          </cell>
          <cell r="G47">
            <v>1.5289999999999999</v>
          </cell>
          <cell r="H47">
            <v>0.67003999999999997</v>
          </cell>
          <cell r="I47">
            <v>1.7654099999999999</v>
          </cell>
          <cell r="J47">
            <v>0.70193000000000005</v>
          </cell>
          <cell r="K47">
            <v>10.8</v>
          </cell>
          <cell r="L47" t="str">
            <v>NULL</v>
          </cell>
          <cell r="M47">
            <v>0</v>
          </cell>
          <cell r="N47">
            <v>0</v>
          </cell>
          <cell r="O47">
            <v>0</v>
          </cell>
          <cell r="P47">
            <v>0</v>
          </cell>
          <cell r="Q47">
            <v>0</v>
          </cell>
          <cell r="S47">
            <v>34.575823782000001</v>
          </cell>
          <cell r="T47">
            <v>38.456106022999997</v>
          </cell>
          <cell r="U47">
            <v>43008</v>
          </cell>
          <cell r="V47">
            <v>5031207540</v>
          </cell>
          <cell r="W47">
            <v>4653226250</v>
          </cell>
          <cell r="X47">
            <v>4360843410</v>
          </cell>
          <cell r="Y47">
            <v>3400117240</v>
          </cell>
          <cell r="Z47">
            <v>2411054080</v>
          </cell>
          <cell r="AA47">
            <v>2.0867252965142948</v>
          </cell>
          <cell r="AC47">
            <v>682956480</v>
          </cell>
          <cell r="AD47">
            <v>621887730</v>
          </cell>
          <cell r="AE47">
            <v>490034610</v>
          </cell>
          <cell r="AF47">
            <v>476615860</v>
          </cell>
          <cell r="AG47">
            <v>0.65102829515473437</v>
          </cell>
          <cell r="AH47">
            <v>136415290</v>
          </cell>
          <cell r="AI47">
            <v>105135840</v>
          </cell>
          <cell r="AJ47">
            <v>96020250</v>
          </cell>
          <cell r="AK47">
            <v>98118990</v>
          </cell>
          <cell r="AL47">
            <v>500964500</v>
          </cell>
          <cell r="AM47">
            <v>477045080</v>
          </cell>
          <cell r="AN47">
            <v>364267070</v>
          </cell>
          <cell r="AO47">
            <v>375017130</v>
          </cell>
          <cell r="AP47">
            <v>23.150812473390545</v>
          </cell>
          <cell r="AQ47">
            <v>330371430</v>
          </cell>
          <cell r="AR47">
            <v>314214970</v>
          </cell>
          <cell r="AS47">
            <v>144912150</v>
          </cell>
          <cell r="AT47">
            <v>122484850</v>
          </cell>
          <cell r="AU47">
            <v>36.636002709018008</v>
          </cell>
          <cell r="AV47">
            <v>1037057600</v>
          </cell>
          <cell r="AW47">
            <v>875678730</v>
          </cell>
          <cell r="AX47">
            <v>751000330</v>
          </cell>
          <cell r="AY47">
            <v>744120640</v>
          </cell>
          <cell r="AZ47">
            <v>181.0796628081888</v>
          </cell>
          <cell r="BA47">
            <v>194.56485304381627</v>
          </cell>
          <cell r="BC47">
            <v>24.398070000000001</v>
          </cell>
          <cell r="BD47">
            <v>6.7732700000000001</v>
          </cell>
          <cell r="BE47">
            <v>4.2390400000000001</v>
          </cell>
          <cell r="BF47">
            <v>35438620</v>
          </cell>
          <cell r="BG47">
            <v>6936590</v>
          </cell>
          <cell r="BH47">
            <v>38456410</v>
          </cell>
          <cell r="BI47">
            <v>15458010</v>
          </cell>
          <cell r="BJ47">
            <v>4.2390427258231569E-2</v>
          </cell>
          <cell r="BK47">
            <v>-134500970</v>
          </cell>
          <cell r="BL47">
            <v>-97353570</v>
          </cell>
          <cell r="BM47">
            <v>-70924750</v>
          </cell>
          <cell r="BN47">
            <v>-43610930</v>
          </cell>
          <cell r="BO47">
            <v>-48213490</v>
          </cell>
          <cell r="BP47">
            <v>-157212230</v>
          </cell>
          <cell r="BQ47">
            <v>-204588390</v>
          </cell>
          <cell r="BR47">
            <v>-76567580</v>
          </cell>
          <cell r="BS47">
            <v>-63924980</v>
          </cell>
          <cell r="BT47">
            <v>-53144860</v>
          </cell>
          <cell r="BU47">
            <v>-47287790</v>
          </cell>
          <cell r="BV47">
            <v>-221225580</v>
          </cell>
          <cell r="BW47">
            <v>-0.16660299199996365</v>
          </cell>
          <cell r="BX47">
            <v>2.2077948499512404E-2</v>
          </cell>
          <cell r="BY47">
            <v>2411054080</v>
          </cell>
          <cell r="BZ47">
            <v>2375615460</v>
          </cell>
          <cell r="CA47">
            <v>2370134280</v>
          </cell>
          <cell r="CB47">
            <v>1887968860</v>
          </cell>
          <cell r="CC47" t="str">
            <v>NULL</v>
          </cell>
          <cell r="CD47" t="str">
            <v>NULL</v>
          </cell>
          <cell r="CE47" t="str">
            <v>NULL</v>
          </cell>
          <cell r="CF47" t="str">
            <v>NULL</v>
          </cell>
          <cell r="CG47" t="str">
            <v>NULL</v>
          </cell>
          <cell r="CH47" t="str">
            <v>NULL</v>
          </cell>
          <cell r="CI47" t="str">
            <v>NULL</v>
          </cell>
          <cell r="CJ47" t="str">
            <v>NULL</v>
          </cell>
          <cell r="CK47">
            <v>2411054080</v>
          </cell>
          <cell r="CL47">
            <v>2375615460</v>
          </cell>
          <cell r="CM47">
            <v>2370134280</v>
          </cell>
          <cell r="CN47">
            <v>1887968860</v>
          </cell>
          <cell r="CO47">
            <v>4.2583548932265701E-2</v>
          </cell>
          <cell r="CP47">
            <v>35438620</v>
          </cell>
          <cell r="CQ47">
            <v>7579360</v>
          </cell>
          <cell r="CR47">
            <v>96289630</v>
          </cell>
          <cell r="CS47">
            <v>51980180</v>
          </cell>
          <cell r="CT47">
            <v>-7073450</v>
          </cell>
          <cell r="CU47">
            <v>-17003300</v>
          </cell>
          <cell r="CV47">
            <v>-66066270</v>
          </cell>
          <cell r="CW47">
            <v>1430650</v>
          </cell>
          <cell r="CX47">
            <v>3.6756744632792211</v>
          </cell>
          <cell r="CY47">
            <v>-7.3303017147781002</v>
          </cell>
          <cell r="CZ47">
            <v>0.85242971455658667</v>
          </cell>
          <cell r="DA47">
            <v>8.3486318557422479</v>
          </cell>
          <cell r="DB47">
            <v>0.58399545970488087</v>
          </cell>
          <cell r="DC47">
            <v>0.74263266262799466</v>
          </cell>
          <cell r="DD47">
            <v>-47.179198266522214</v>
          </cell>
          <cell r="DE47">
            <v>22.519596894554695</v>
          </cell>
          <cell r="DG47">
            <v>15.659810886282701</v>
          </cell>
          <cell r="DH47">
            <v>443641592</v>
          </cell>
          <cell r="DI47">
            <v>10.8</v>
          </cell>
          <cell r="DJ47">
            <v>5906786155.1999998</v>
          </cell>
          <cell r="DK47">
            <v>5287961875.6000004</v>
          </cell>
          <cell r="DM47">
            <v>2411054080</v>
          </cell>
          <cell r="DN47" t="str">
            <v>NULL</v>
          </cell>
          <cell r="DO47" t="str">
            <v>NULL</v>
          </cell>
          <cell r="DP47">
            <v>15921610</v>
          </cell>
          <cell r="DQ47">
            <v>7555320</v>
          </cell>
          <cell r="DR47">
            <v>2387577150</v>
          </cell>
          <cell r="DS47">
            <v>2.4739666130579279</v>
          </cell>
          <cell r="DT47">
            <v>7.4620000000000006E-2</v>
          </cell>
          <cell r="DU47">
            <v>1.461E-2</v>
          </cell>
          <cell r="DV47">
            <v>8.097E-2</v>
          </cell>
          <cell r="DW47">
            <v>3.2550000000000003E-2</v>
          </cell>
          <cell r="DX47">
            <v>0.20275000000000001</v>
          </cell>
          <cell r="DY47">
            <v>53.267570900123303</v>
          </cell>
          <cell r="DZ47">
            <v>2.6003962092484407</v>
          </cell>
          <cell r="EA47">
            <v>-378437810</v>
          </cell>
          <cell r="EB47">
            <v>-15.608340390723644</v>
          </cell>
          <cell r="EC47">
            <v>52.0345252774353</v>
          </cell>
          <cell r="ED47">
            <v>0.57127573409863897</v>
          </cell>
          <cell r="EE47">
            <v>0.49815805732170299</v>
          </cell>
          <cell r="EG47" t="str">
            <v>-</v>
          </cell>
          <cell r="EH47" t="str">
            <v>-</v>
          </cell>
          <cell r="EK47" t="str">
            <v>NULL</v>
          </cell>
          <cell r="EM47">
            <v>-758.37900323429301</v>
          </cell>
          <cell r="EN47" t="str">
            <v>NULL</v>
          </cell>
        </row>
        <row r="48">
          <cell r="A48" t="str">
            <v>IRCP</v>
          </cell>
          <cell r="B48" t="str">
            <v>IRCP.BA</v>
          </cell>
          <cell r="C48" t="str">
            <v>ALTO PALERMO SA APSA</v>
          </cell>
          <cell r="D48">
            <v>43008</v>
          </cell>
          <cell r="E48">
            <v>7263887000</v>
          </cell>
          <cell r="F48">
            <v>1602083000</v>
          </cell>
          <cell r="G48">
            <v>4.5340299999999996</v>
          </cell>
          <cell r="H48">
            <v>4.5188499999999996</v>
          </cell>
          <cell r="I48">
            <v>2.50753</v>
          </cell>
          <cell r="J48">
            <v>2.49491</v>
          </cell>
          <cell r="K48">
            <v>256</v>
          </cell>
          <cell r="L48">
            <v>0</v>
          </cell>
          <cell r="M48">
            <v>0.246</v>
          </cell>
          <cell r="N48">
            <v>0</v>
          </cell>
          <cell r="O48">
            <v>3.6503999999999999</v>
          </cell>
          <cell r="P48">
            <v>3.8963999999999999</v>
          </cell>
          <cell r="Q48">
            <v>1.5220312499999999E-2</v>
          </cell>
          <cell r="S48">
            <v>36.169042148000003</v>
          </cell>
          <cell r="T48">
            <v>27.852630374</v>
          </cell>
          <cell r="U48">
            <v>43008</v>
          </cell>
          <cell r="V48">
            <v>47811428000</v>
          </cell>
          <cell r="W48">
            <v>42421508000</v>
          </cell>
          <cell r="X48">
            <v>40493025000</v>
          </cell>
          <cell r="Y48">
            <v>9597761000</v>
          </cell>
          <cell r="Z48">
            <v>24026221000</v>
          </cell>
          <cell r="AA48">
            <v>1.9899687096027294</v>
          </cell>
          <cell r="AC48">
            <v>1396985000</v>
          </cell>
          <cell r="AD48">
            <v>1415055000</v>
          </cell>
          <cell r="AE48">
            <v>1158311000</v>
          </cell>
          <cell r="AF48">
            <v>1315317000</v>
          </cell>
          <cell r="AG48">
            <v>0.18833830462354895</v>
          </cell>
          <cell r="AH48">
            <v>1041057000</v>
          </cell>
          <cell r="AI48">
            <v>953729000</v>
          </cell>
          <cell r="AJ48">
            <v>789200000</v>
          </cell>
          <cell r="AK48">
            <v>759528000</v>
          </cell>
          <cell r="AL48">
            <v>512574000</v>
          </cell>
          <cell r="AM48">
            <v>566757000</v>
          </cell>
          <cell r="AN48">
            <v>421073000</v>
          </cell>
          <cell r="AO48">
            <v>541713000</v>
          </cell>
          <cell r="AP48">
            <v>158.33845587691596</v>
          </cell>
          <cell r="AQ48">
            <v>956613000</v>
          </cell>
          <cell r="AR48">
            <v>920607000</v>
          </cell>
          <cell r="AS48">
            <v>868532000</v>
          </cell>
          <cell r="AT48">
            <v>860198000</v>
          </cell>
          <cell r="AU48">
            <v>62.251911678902268</v>
          </cell>
          <cell r="AV48">
            <v>24307000</v>
          </cell>
          <cell r="AW48">
            <v>22722000</v>
          </cell>
          <cell r="AX48">
            <v>24341000</v>
          </cell>
          <cell r="AY48">
            <v>23356000</v>
          </cell>
          <cell r="AZ48">
            <v>4.2327386236929616</v>
          </cell>
          <cell r="BA48">
            <v>-91.853805574320731</v>
          </cell>
          <cell r="BC48">
            <v>61.822389999999999</v>
          </cell>
          <cell r="BD48">
            <v>112.48116</v>
          </cell>
          <cell r="BE48">
            <v>65.246549999999999</v>
          </cell>
          <cell r="BF48">
            <v>1881142000</v>
          </cell>
          <cell r="BG48">
            <v>901935000</v>
          </cell>
          <cell r="BH48">
            <v>355617000</v>
          </cell>
          <cell r="BI48">
            <v>400257000</v>
          </cell>
          <cell r="BJ48">
            <v>0.6695371332440857</v>
          </cell>
          <cell r="BK48">
            <v>-13961000</v>
          </cell>
          <cell r="BL48">
            <v>-59652000</v>
          </cell>
          <cell r="BM48">
            <v>-31387000</v>
          </cell>
          <cell r="BN48">
            <v>-23141000</v>
          </cell>
          <cell r="BO48">
            <v>-6043000</v>
          </cell>
          <cell r="BP48">
            <v>-39305000</v>
          </cell>
          <cell r="BQ48">
            <v>817259000</v>
          </cell>
          <cell r="BR48">
            <v>2875207000</v>
          </cell>
          <cell r="BS48">
            <v>1848021000</v>
          </cell>
          <cell r="BT48">
            <v>1005614000</v>
          </cell>
          <cell r="BU48">
            <v>577514000</v>
          </cell>
          <cell r="BV48">
            <v>2087766000</v>
          </cell>
          <cell r="BW48">
            <v>0.38755006935736408</v>
          </cell>
          <cell r="BX48">
            <v>0.10087962176487879</v>
          </cell>
          <cell r="BY48">
            <v>24026221000</v>
          </cell>
          <cell r="BZ48">
            <v>22145079000</v>
          </cell>
          <cell r="CA48">
            <v>21552630000</v>
          </cell>
          <cell r="CB48">
            <v>1510470000</v>
          </cell>
          <cell r="CC48" t="str">
            <v>NULL</v>
          </cell>
          <cell r="CD48" t="str">
            <v>NULL</v>
          </cell>
          <cell r="CE48" t="str">
            <v>NULL</v>
          </cell>
          <cell r="CF48" t="str">
            <v>NULL</v>
          </cell>
          <cell r="CG48" t="str">
            <v>NULL</v>
          </cell>
          <cell r="CH48" t="str">
            <v>NULL</v>
          </cell>
          <cell r="CI48" t="str">
            <v>NULL</v>
          </cell>
          <cell r="CJ48" t="str">
            <v>NULL</v>
          </cell>
          <cell r="CK48">
            <v>24026221000</v>
          </cell>
          <cell r="CL48">
            <v>22145079000</v>
          </cell>
          <cell r="CM48">
            <v>21552630000</v>
          </cell>
          <cell r="CN48">
            <v>1510470000</v>
          </cell>
          <cell r="CO48">
            <v>0.20446200154836325</v>
          </cell>
          <cell r="CP48">
            <v>1881142000</v>
          </cell>
          <cell r="CQ48">
            <v>78882000</v>
          </cell>
          <cell r="CR48">
            <v>3260476000</v>
          </cell>
          <cell r="CS48">
            <v>11821280000</v>
          </cell>
          <cell r="CT48">
            <v>2280391000</v>
          </cell>
          <cell r="CU48">
            <v>377003000</v>
          </cell>
          <cell r="CV48">
            <v>330098000</v>
          </cell>
          <cell r="CW48">
            <v>332047000</v>
          </cell>
          <cell r="CX48">
            <v>22.847544433457571</v>
          </cell>
          <cell r="CY48">
            <v>1.7289311879208966</v>
          </cell>
          <cell r="CZ48">
            <v>-0.72418587496447084</v>
          </cell>
          <cell r="DA48">
            <v>4.1838829393731158</v>
          </cell>
          <cell r="DB48">
            <v>5.0487343602040298</v>
          </cell>
          <cell r="DC48">
            <v>0.14209416597495284</v>
          </cell>
          <cell r="DD48">
            <v>-5.8696509831439592E-3</v>
          </cell>
          <cell r="DE48">
            <v>2.6736328381884844</v>
          </cell>
          <cell r="DG48">
            <v>13.6886699920549</v>
          </cell>
          <cell r="DH48">
            <v>1260140500</v>
          </cell>
          <cell r="DI48">
            <v>258</v>
          </cell>
          <cell r="DJ48">
            <v>36123624900</v>
          </cell>
          <cell r="DK48">
            <v>37783179450</v>
          </cell>
          <cell r="DM48">
            <v>24026221000</v>
          </cell>
          <cell r="DN48" t="str">
            <v>NULL</v>
          </cell>
          <cell r="DO48" t="str">
            <v>NULL</v>
          </cell>
          <cell r="DP48">
            <v>115002000</v>
          </cell>
          <cell r="DQ48" t="str">
            <v>NULL</v>
          </cell>
          <cell r="DR48">
            <v>23911219000</v>
          </cell>
          <cell r="DS48">
            <v>1.5107395779361981</v>
          </cell>
          <cell r="DT48">
            <v>14.92803</v>
          </cell>
          <cell r="DU48">
            <v>7.1574299999999997</v>
          </cell>
          <cell r="DV48">
            <v>2.8220399999999999</v>
          </cell>
          <cell r="DW48">
            <v>3.1762899999999998</v>
          </cell>
          <cell r="DX48">
            <v>28.08379</v>
          </cell>
          <cell r="DY48">
            <v>9.1155787733778091</v>
          </cell>
          <cell r="DZ48">
            <v>6.8342591513504063</v>
          </cell>
          <cell r="EA48">
            <v>2048461000</v>
          </cell>
          <cell r="EB48">
            <v>17.634519231754961</v>
          </cell>
          <cell r="EC48">
            <v>0.66955446253071205</v>
          </cell>
          <cell r="ED48">
            <v>0.223345737187888</v>
          </cell>
          <cell r="EE48">
            <v>0.25453181668334801</v>
          </cell>
          <cell r="EG48">
            <v>0.4056932396220978</v>
          </cell>
          <cell r="EH48">
            <v>0.20890397464280497</v>
          </cell>
          <cell r="EK48">
            <v>2.09748252405205</v>
          </cell>
          <cell r="EM48">
            <v>6.6141373017613097</v>
          </cell>
          <cell r="EN48">
            <v>6.5767959029999998</v>
          </cell>
        </row>
        <row r="49">
          <cell r="A49" t="str">
            <v>IRSA</v>
          </cell>
          <cell r="B49" t="str">
            <v>IRS.BA</v>
          </cell>
          <cell r="C49" t="str">
            <v>IRSA INVERSIONES Y REPRESENTACIONES SA</v>
          </cell>
          <cell r="D49">
            <v>43008</v>
          </cell>
          <cell r="E49">
            <v>72209000000</v>
          </cell>
          <cell r="F49">
            <v>44038000000</v>
          </cell>
          <cell r="G49">
            <v>1.6396999999999999</v>
          </cell>
          <cell r="H49">
            <v>1.5594699999999999</v>
          </cell>
          <cell r="I49">
            <v>1.4104300000000001</v>
          </cell>
          <cell r="J49">
            <v>1.3186899999999999</v>
          </cell>
          <cell r="K49">
            <v>53.95</v>
          </cell>
          <cell r="L49">
            <v>0</v>
          </cell>
          <cell r="M49">
            <v>0</v>
          </cell>
          <cell r="N49">
            <v>0</v>
          </cell>
          <cell r="O49">
            <v>0</v>
          </cell>
          <cell r="P49">
            <v>0</v>
          </cell>
          <cell r="Q49">
            <v>0</v>
          </cell>
          <cell r="S49">
            <v>533.29758302400001</v>
          </cell>
          <cell r="T49">
            <v>500.36730590799999</v>
          </cell>
          <cell r="U49">
            <v>43008</v>
          </cell>
          <cell r="V49">
            <v>239354000000</v>
          </cell>
          <cell r="W49">
            <v>231242000000</v>
          </cell>
          <cell r="X49">
            <v>166529000000</v>
          </cell>
          <cell r="Y49">
            <v>166113000000</v>
          </cell>
          <cell r="Z49">
            <v>26107000000</v>
          </cell>
          <cell r="AA49">
            <v>9.1681924388095144</v>
          </cell>
          <cell r="AC49">
            <v>20213000000</v>
          </cell>
          <cell r="AD49">
            <v>18971000000</v>
          </cell>
          <cell r="AE49">
            <v>18370000000</v>
          </cell>
          <cell r="AF49">
            <v>18144000000</v>
          </cell>
          <cell r="AG49">
            <v>0.47120527133228718</v>
          </cell>
          <cell r="AH49">
            <v>11874000000</v>
          </cell>
          <cell r="AI49">
            <v>12726000000</v>
          </cell>
          <cell r="AJ49">
            <v>10972000000</v>
          </cell>
          <cell r="AK49">
            <v>11807000000</v>
          </cell>
          <cell r="AL49">
            <v>13727000000</v>
          </cell>
          <cell r="AM49">
            <v>12565000000</v>
          </cell>
          <cell r="AN49">
            <v>13011000000</v>
          </cell>
          <cell r="AO49">
            <v>12678000000</v>
          </cell>
          <cell r="AP49">
            <v>83.171423212327582</v>
          </cell>
          <cell r="AQ49">
            <v>12363000000</v>
          </cell>
          <cell r="AR49">
            <v>13561000000</v>
          </cell>
          <cell r="AS49">
            <v>11145000000</v>
          </cell>
          <cell r="AT49">
            <v>12110000000</v>
          </cell>
          <cell r="AU49">
            <v>59.282725435282309</v>
          </cell>
          <cell r="AV49">
            <v>3533000000</v>
          </cell>
          <cell r="AW49">
            <v>4260000000</v>
          </cell>
          <cell r="AX49">
            <v>3115000000</v>
          </cell>
          <cell r="AY49">
            <v>3351000000</v>
          </cell>
          <cell r="AZ49">
            <v>25.030948808218387</v>
          </cell>
          <cell r="BA49">
            <v>1.1422510311731173</v>
          </cell>
          <cell r="BC49">
            <v>30.53848</v>
          </cell>
          <cell r="BD49">
            <v>12.87548</v>
          </cell>
          <cell r="BE49">
            <v>1.618E-2</v>
          </cell>
          <cell r="BF49">
            <v>540000000</v>
          </cell>
          <cell r="BG49">
            <v>930000000</v>
          </cell>
          <cell r="BH49">
            <v>512000000</v>
          </cell>
          <cell r="BI49">
            <v>-1987000000</v>
          </cell>
          <cell r="BJ49">
            <v>-6.6051943248170362E-5</v>
          </cell>
          <cell r="BK49">
            <v>-1193000000</v>
          </cell>
          <cell r="BL49">
            <v>-3130000000</v>
          </cell>
          <cell r="BM49">
            <v>-2151000000</v>
          </cell>
          <cell r="BN49">
            <v>-1504000000</v>
          </cell>
          <cell r="BO49">
            <v>-699000000</v>
          </cell>
          <cell r="BP49">
            <v>-2645000000</v>
          </cell>
          <cell r="BQ49">
            <v>2642000000</v>
          </cell>
          <cell r="BR49">
            <v>8902000000</v>
          </cell>
          <cell r="BS49">
            <v>6151000000</v>
          </cell>
          <cell r="BT49">
            <v>4862000000</v>
          </cell>
          <cell r="BU49">
            <v>2563000000</v>
          </cell>
          <cell r="BV49">
            <v>6230000000</v>
          </cell>
          <cell r="BW49">
            <v>4.7359243308938148E-2</v>
          </cell>
          <cell r="BX49">
            <v>-2.4899220405409107E-5</v>
          </cell>
          <cell r="BY49">
            <v>26107000000</v>
          </cell>
          <cell r="BZ49">
            <v>25864000000</v>
          </cell>
          <cell r="CA49">
            <v>3623000000</v>
          </cell>
          <cell r="CB49">
            <v>3003000000</v>
          </cell>
          <cell r="CC49" t="str">
            <v>NULL</v>
          </cell>
          <cell r="CD49" t="str">
            <v>NULL</v>
          </cell>
          <cell r="CE49" t="str">
            <v>NULL</v>
          </cell>
          <cell r="CF49" t="str">
            <v>NULL</v>
          </cell>
          <cell r="CG49" t="str">
            <v>NULL</v>
          </cell>
          <cell r="CH49" t="str">
            <v>NULL</v>
          </cell>
          <cell r="CI49" t="str">
            <v>NULL</v>
          </cell>
          <cell r="CJ49" t="str">
            <v>NULL</v>
          </cell>
          <cell r="CK49">
            <v>26107000000</v>
          </cell>
          <cell r="CL49">
            <v>25864000000</v>
          </cell>
          <cell r="CM49">
            <v>3623000000</v>
          </cell>
          <cell r="CN49">
            <v>3003000000</v>
          </cell>
          <cell r="CO49">
            <v>-3.4131440176118232E-4</v>
          </cell>
          <cell r="CP49">
            <v>540000000</v>
          </cell>
          <cell r="CQ49">
            <v>551000000</v>
          </cell>
          <cell r="CR49">
            <v>12000000</v>
          </cell>
          <cell r="CS49">
            <v>8529000000</v>
          </cell>
          <cell r="CT49">
            <v>2459000000</v>
          </cell>
          <cell r="CU49">
            <v>-514566000</v>
          </cell>
          <cell r="CV49">
            <v>238737000</v>
          </cell>
          <cell r="CW49">
            <v>203891000</v>
          </cell>
          <cell r="CX49">
            <v>-1.9963702359346636E-2</v>
          </cell>
          <cell r="CY49">
            <v>0.85284239186932176</v>
          </cell>
          <cell r="CZ49">
            <v>-0.99859303552585299</v>
          </cell>
          <cell r="DA49">
            <v>2.4684831232208215</v>
          </cell>
          <cell r="DB49">
            <v>5.7787844513628963</v>
          </cell>
          <cell r="DC49">
            <v>-3.1553676221113611</v>
          </cell>
          <cell r="DD49">
            <v>0.17090504240010596</v>
          </cell>
          <cell r="DE49">
            <v>3.4217612187614685</v>
          </cell>
          <cell r="DG49">
            <v>13.3126752449111</v>
          </cell>
          <cell r="DH49">
            <v>578676460</v>
          </cell>
          <cell r="DI49">
            <v>53</v>
          </cell>
          <cell r="DJ49">
            <v>30669852380</v>
          </cell>
          <cell r="DK49">
            <v>145188036221</v>
          </cell>
          <cell r="DM49">
            <v>26107000000</v>
          </cell>
          <cell r="DN49" t="str">
            <v>NULL</v>
          </cell>
          <cell r="DO49" t="str">
            <v>NULL</v>
          </cell>
          <cell r="DP49">
            <v>9288000000</v>
          </cell>
          <cell r="DQ49">
            <v>2770000000</v>
          </cell>
          <cell r="DR49">
            <v>14049000000</v>
          </cell>
          <cell r="DS49">
            <v>2.183063020855577</v>
          </cell>
          <cell r="DT49">
            <v>0.93742999999999999</v>
          </cell>
          <cell r="DU49">
            <v>1.6071200000000001</v>
          </cell>
          <cell r="DV49">
            <v>0.88478000000000001</v>
          </cell>
          <cell r="DW49">
            <v>-3.4337</v>
          </cell>
          <cell r="DX49">
            <v>-4.369999999999763E-3</v>
          </cell>
          <cell r="DY49">
            <v>-12345.537757437742</v>
          </cell>
          <cell r="DZ49">
            <v>0.40516066976670456</v>
          </cell>
          <cell r="EA49">
            <v>3585000000</v>
          </cell>
          <cell r="EB49">
            <v>8.5550494783821485</v>
          </cell>
          <cell r="EC49" t="str">
            <v>NULL</v>
          </cell>
          <cell r="ED49">
            <v>0.91073547729366</v>
          </cell>
          <cell r="EE49">
            <v>0.86571688393555202</v>
          </cell>
          <cell r="EG49">
            <v>0.42057541668607934</v>
          </cell>
          <cell r="EH49">
            <v>0.10079410042188464</v>
          </cell>
          <cell r="EK49">
            <v>4.7114194630963997</v>
          </cell>
          <cell r="EM49">
            <v>25.325212499071501</v>
          </cell>
          <cell r="EN49">
            <v>25.182234085600001</v>
          </cell>
        </row>
        <row r="50">
          <cell r="A50" t="str">
            <v>JMIN</v>
          </cell>
          <cell r="B50" t="str">
            <v>JMI.BA</v>
          </cell>
          <cell r="C50" t="str">
            <v>HOLCIM ARGENTINA SA</v>
          </cell>
          <cell r="D50">
            <v>43008</v>
          </cell>
          <cell r="E50">
            <v>2029719930</v>
          </cell>
          <cell r="F50">
            <v>1846335930</v>
          </cell>
          <cell r="G50">
            <v>1.0993200000000001</v>
          </cell>
          <cell r="H50">
            <v>0.81977999999999995</v>
          </cell>
          <cell r="I50">
            <v>0.87477000000000005</v>
          </cell>
          <cell r="J50">
            <v>0.45818999999999999</v>
          </cell>
          <cell r="K50">
            <v>96.7</v>
          </cell>
          <cell r="L50">
            <v>0</v>
          </cell>
          <cell r="M50">
            <v>1.06</v>
          </cell>
          <cell r="N50">
            <v>0</v>
          </cell>
          <cell r="O50">
            <v>0</v>
          </cell>
          <cell r="P50">
            <v>1.06</v>
          </cell>
          <cell r="Q50">
            <v>1.09617373319545E-2</v>
          </cell>
          <cell r="S50">
            <v>9.5837620799999996</v>
          </cell>
          <cell r="T50">
            <v>12.063379109</v>
          </cell>
          <cell r="U50">
            <v>43008</v>
          </cell>
          <cell r="V50">
            <v>4050745290</v>
          </cell>
          <cell r="W50">
            <v>3292730760</v>
          </cell>
          <cell r="X50">
            <v>3274694360</v>
          </cell>
          <cell r="Y50">
            <v>3478300090</v>
          </cell>
          <cell r="Z50">
            <v>1878011980</v>
          </cell>
          <cell r="AA50">
            <v>2.1569326144554202</v>
          </cell>
          <cell r="AC50">
            <v>2095166070</v>
          </cell>
          <cell r="AD50">
            <v>1675688160</v>
          </cell>
          <cell r="AE50">
            <v>1476436570</v>
          </cell>
          <cell r="AF50">
            <v>1500450880</v>
          </cell>
          <cell r="AG50">
            <v>2.3934080140350122</v>
          </cell>
          <cell r="AH50">
            <v>808165110</v>
          </cell>
          <cell r="AI50">
            <v>692956340</v>
          </cell>
          <cell r="AJ50">
            <v>603348970</v>
          </cell>
          <cell r="AK50">
            <v>557447080</v>
          </cell>
          <cell r="AL50">
            <v>1116675490</v>
          </cell>
          <cell r="AM50">
            <v>970578730</v>
          </cell>
          <cell r="AN50">
            <v>815215050</v>
          </cell>
          <cell r="AO50">
            <v>877581600</v>
          </cell>
          <cell r="AP50">
            <v>64.258387050489617</v>
          </cell>
          <cell r="AQ50">
            <v>497235730</v>
          </cell>
          <cell r="AR50">
            <v>455879180</v>
          </cell>
          <cell r="AS50">
            <v>396515160</v>
          </cell>
          <cell r="AT50">
            <v>364529150</v>
          </cell>
          <cell r="AU50">
            <v>23.180648614426509</v>
          </cell>
          <cell r="AV50">
            <v>516131440</v>
          </cell>
          <cell r="AW50">
            <v>604280540</v>
          </cell>
          <cell r="AX50">
            <v>547380480</v>
          </cell>
          <cell r="AY50">
            <v>436983550</v>
          </cell>
          <cell r="AZ50">
            <v>50.809054565051397</v>
          </cell>
          <cell r="BA50">
            <v>9.731316128988297</v>
          </cell>
          <cell r="BC50">
            <v>38.209650000000003</v>
          </cell>
          <cell r="BD50">
            <v>15.14987</v>
          </cell>
          <cell r="BE50">
            <v>7.4786400000000004</v>
          </cell>
          <cell r="BF50">
            <v>331268250</v>
          </cell>
          <cell r="BG50">
            <v>194641670</v>
          </cell>
          <cell r="BH50">
            <v>200702140</v>
          </cell>
          <cell r="BI50">
            <v>207676320</v>
          </cell>
          <cell r="BJ50">
            <v>0.13845941713643076</v>
          </cell>
          <cell r="BK50">
            <v>-58374350</v>
          </cell>
          <cell r="BL50">
            <v>-25090520</v>
          </cell>
          <cell r="BM50">
            <v>-5006320</v>
          </cell>
          <cell r="BN50">
            <v>-167022480</v>
          </cell>
          <cell r="BO50">
            <v>-95633150</v>
          </cell>
          <cell r="BP50">
            <v>32252480</v>
          </cell>
          <cell r="BQ50">
            <v>762297890</v>
          </cell>
          <cell r="BR50">
            <v>-77675150</v>
          </cell>
          <cell r="BS50">
            <v>-370295320</v>
          </cell>
          <cell r="BT50">
            <v>167697280</v>
          </cell>
          <cell r="BU50">
            <v>-215792510</v>
          </cell>
          <cell r="BV50">
            <v>607795080</v>
          </cell>
          <cell r="BW50">
            <v>9.4853595521753875E-2</v>
          </cell>
          <cell r="BX50">
            <v>0.26511271172454126</v>
          </cell>
          <cell r="BY50">
            <v>1878011980</v>
          </cell>
          <cell r="BZ50">
            <v>1546743730</v>
          </cell>
          <cell r="CA50">
            <v>1725282380</v>
          </cell>
          <cell r="CB50">
            <v>1524580240</v>
          </cell>
          <cell r="CC50" t="str">
            <v>NULL</v>
          </cell>
          <cell r="CD50" t="str">
            <v>NULL</v>
          </cell>
          <cell r="CE50" t="str">
            <v>NULL</v>
          </cell>
          <cell r="CF50" t="str">
            <v>NULL</v>
          </cell>
          <cell r="CG50" t="str">
            <v>NULL</v>
          </cell>
          <cell r="CH50" t="str">
            <v>NULL</v>
          </cell>
          <cell r="CI50" t="str">
            <v>NULL</v>
          </cell>
          <cell r="CJ50" t="str">
            <v>NULL</v>
          </cell>
          <cell r="CK50">
            <v>1878011980</v>
          </cell>
          <cell r="CL50">
            <v>1546743730</v>
          </cell>
          <cell r="CM50">
            <v>1725282380</v>
          </cell>
          <cell r="CN50">
            <v>1524580240</v>
          </cell>
          <cell r="CO50">
            <v>0.55990520135104116</v>
          </cell>
          <cell r="CP50">
            <v>331268250</v>
          </cell>
          <cell r="CQ50">
            <v>143618260</v>
          </cell>
          <cell r="CR50">
            <v>390805970</v>
          </cell>
          <cell r="CS50">
            <v>64358260</v>
          </cell>
          <cell r="CT50">
            <v>58944470</v>
          </cell>
          <cell r="CU50">
            <v>29627350</v>
          </cell>
          <cell r="CV50">
            <v>24588790</v>
          </cell>
          <cell r="CW50">
            <v>197500580</v>
          </cell>
          <cell r="CX50">
            <v>1.3065886608012103</v>
          </cell>
          <cell r="CY50">
            <v>1.0966277302059437</v>
          </cell>
          <cell r="CZ50">
            <v>5.0723513966971758</v>
          </cell>
          <cell r="DA50">
            <v>9.1845596372314375E-2</v>
          </cell>
          <cell r="DB50">
            <v>0.98952893188219671</v>
          </cell>
          <cell r="DC50">
            <v>0.20491288916616068</v>
          </cell>
          <cell r="DD50">
            <v>-0.87550016308812861</v>
          </cell>
          <cell r="DE50">
            <v>2.3190450484311023</v>
          </cell>
          <cell r="DG50">
            <v>20.721926848014899</v>
          </cell>
          <cell r="DH50">
            <v>352056899</v>
          </cell>
          <cell r="DI50">
            <v>92</v>
          </cell>
          <cell r="DJ50">
            <v>32389234708</v>
          </cell>
          <cell r="DK50">
            <v>32870293434.600101</v>
          </cell>
          <cell r="DM50">
            <v>1878011980</v>
          </cell>
          <cell r="DN50" t="str">
            <v>NULL</v>
          </cell>
          <cell r="DO50" t="str">
            <v>NULL</v>
          </cell>
          <cell r="DP50">
            <v>899200</v>
          </cell>
          <cell r="DQ50" t="str">
            <v>NULL</v>
          </cell>
          <cell r="DR50">
            <v>1877112780</v>
          </cell>
          <cell r="DS50">
            <v>17.254815508741036</v>
          </cell>
          <cell r="DT50">
            <v>0.94094999999999995</v>
          </cell>
          <cell r="DU50">
            <v>0.55286999999999997</v>
          </cell>
          <cell r="DV50">
            <v>0.57008000000000003</v>
          </cell>
          <cell r="DW50">
            <v>0.58989000000000003</v>
          </cell>
          <cell r="DX50">
            <v>2.6537899999999999</v>
          </cell>
          <cell r="DY50">
            <v>36.438452175944597</v>
          </cell>
          <cell r="DZ50">
            <v>4.8000110620713627</v>
          </cell>
          <cell r="EA50">
            <v>640047560</v>
          </cell>
          <cell r="EB50">
            <v>50.604418690386069</v>
          </cell>
          <cell r="EC50">
            <v>35.9485867382122</v>
          </cell>
          <cell r="ED50">
            <v>1.04429396704612</v>
          </cell>
          <cell r="EE50">
            <v>1.0405270672789899</v>
          </cell>
          <cell r="EG50">
            <v>0.45664717544476791</v>
          </cell>
          <cell r="EH50">
            <v>0.25407316945688052</v>
          </cell>
          <cell r="EK50">
            <v>2.5296995107966498</v>
          </cell>
          <cell r="EM50">
            <v>35.276487377117</v>
          </cell>
          <cell r="EN50">
            <v>35.077327105599998</v>
          </cell>
        </row>
        <row r="51">
          <cell r="A51" t="str">
            <v>LEDE</v>
          </cell>
          <cell r="B51" t="str">
            <v>LED.BA</v>
          </cell>
          <cell r="C51" t="str">
            <v>LEDESMA S.A.A.I.</v>
          </cell>
          <cell r="D51">
            <v>43069</v>
          </cell>
          <cell r="E51">
            <v>7460922000</v>
          </cell>
          <cell r="F51">
            <v>5485174000</v>
          </cell>
          <cell r="G51">
            <v>1.3602000000000001</v>
          </cell>
          <cell r="H51">
            <v>0.50244999999999995</v>
          </cell>
          <cell r="I51">
            <v>1.1865300000000001</v>
          </cell>
          <cell r="J51">
            <v>0.42688999999999999</v>
          </cell>
          <cell r="K51">
            <v>15.5</v>
          </cell>
          <cell r="L51">
            <v>0</v>
          </cell>
          <cell r="M51">
            <v>0</v>
          </cell>
          <cell r="N51">
            <v>0</v>
          </cell>
          <cell r="O51">
            <v>9.7610000000000002E-2</v>
          </cell>
          <cell r="P51">
            <v>9.7610000000000002E-2</v>
          </cell>
          <cell r="Q51">
            <v>6.2974193548387099E-3</v>
          </cell>
          <cell r="S51">
            <v>476.93876151699999</v>
          </cell>
          <cell r="T51">
            <v>563.82351766800002</v>
          </cell>
          <cell r="U51">
            <v>43069</v>
          </cell>
          <cell r="V51">
            <v>9800439000</v>
          </cell>
          <cell r="W51">
            <v>9622664000</v>
          </cell>
          <cell r="X51">
            <v>7920521000</v>
          </cell>
          <cell r="Y51">
            <v>8219657000</v>
          </cell>
          <cell r="Z51">
            <v>1166750000</v>
          </cell>
          <cell r="AA51">
            <v>8.3997763016927358</v>
          </cell>
          <cell r="AC51">
            <v>3316181000</v>
          </cell>
          <cell r="AD51">
            <v>2929827000</v>
          </cell>
          <cell r="AE51">
            <v>2926054000</v>
          </cell>
          <cell r="AF51">
            <v>2641649000</v>
          </cell>
          <cell r="AG51">
            <v>1.6609402114772827</v>
          </cell>
          <cell r="AH51">
            <v>1347498000</v>
          </cell>
          <cell r="AI51">
            <v>1486944000</v>
          </cell>
          <cell r="AJ51">
            <v>1280880000</v>
          </cell>
          <cell r="AK51">
            <v>927128000</v>
          </cell>
          <cell r="AL51">
            <v>1963504000</v>
          </cell>
          <cell r="AM51">
            <v>1844552000</v>
          </cell>
          <cell r="AN51">
            <v>1765372000</v>
          </cell>
          <cell r="AO51">
            <v>1746407000</v>
          </cell>
          <cell r="AP51">
            <v>62.859827099927799</v>
          </cell>
          <cell r="AQ51">
            <v>1584626000</v>
          </cell>
          <cell r="AR51">
            <v>1739370000</v>
          </cell>
          <cell r="AS51">
            <v>1348353000</v>
          </cell>
          <cell r="AT51">
            <v>1567621000</v>
          </cell>
          <cell r="AU51">
            <v>48.198001669416158</v>
          </cell>
          <cell r="AV51">
            <v>4704919000</v>
          </cell>
          <cell r="AW51">
            <v>4351207000</v>
          </cell>
          <cell r="AX51">
            <v>3294752000</v>
          </cell>
          <cell r="AY51">
            <v>3596086000</v>
          </cell>
          <cell r="AZ51">
            <v>198.79689432890223</v>
          </cell>
          <cell r="BA51">
            <v>184.13506889839059</v>
          </cell>
          <cell r="BC51">
            <v>38.172359999999998</v>
          </cell>
          <cell r="BD51">
            <v>6.7893800000000004</v>
          </cell>
          <cell r="BE51">
            <v>-1.39453</v>
          </cell>
          <cell r="BF51">
            <v>164932000</v>
          </cell>
          <cell r="BG51">
            <v>-197782000</v>
          </cell>
          <cell r="BH51">
            <v>-42976000</v>
          </cell>
          <cell r="BI51">
            <v>-25330000</v>
          </cell>
          <cell r="BJ51">
            <v>-8.5625930751141617E-3</v>
          </cell>
          <cell r="BK51">
            <v>-266028000</v>
          </cell>
          <cell r="BL51">
            <v>-153406000</v>
          </cell>
          <cell r="BM51">
            <v>-401429000</v>
          </cell>
          <cell r="BN51">
            <v>-208819000</v>
          </cell>
          <cell r="BO51">
            <v>-147915000</v>
          </cell>
          <cell r="BP51">
            <v>-519542000</v>
          </cell>
          <cell r="BQ51">
            <v>-619417000</v>
          </cell>
          <cell r="BR51">
            <v>-939700000</v>
          </cell>
          <cell r="BS51">
            <v>-486168000</v>
          </cell>
          <cell r="BT51">
            <v>-1273716000</v>
          </cell>
          <cell r="BU51">
            <v>-1255359000</v>
          </cell>
          <cell r="BV51">
            <v>149774000</v>
          </cell>
          <cell r="BW51">
            <v>-3.1299902291498413E-2</v>
          </cell>
          <cell r="BX51">
            <v>-1.1377577901206585E-2</v>
          </cell>
          <cell r="BY51">
            <v>1166750000</v>
          </cell>
          <cell r="BZ51">
            <v>1001800000</v>
          </cell>
          <cell r="CA51">
            <v>1199582000</v>
          </cell>
          <cell r="CB51">
            <v>1242558000</v>
          </cell>
          <cell r="CC51" t="str">
            <v>NULL</v>
          </cell>
          <cell r="CD51" t="str">
            <v>NULL</v>
          </cell>
          <cell r="CE51" t="str">
            <v>NULL</v>
          </cell>
          <cell r="CF51" t="str">
            <v>NULL</v>
          </cell>
          <cell r="CG51" t="str">
            <v>NULL</v>
          </cell>
          <cell r="CH51" t="str">
            <v>NULL</v>
          </cell>
          <cell r="CI51" t="str">
            <v>NULL</v>
          </cell>
          <cell r="CJ51" t="str">
            <v>NULL</v>
          </cell>
          <cell r="CK51">
            <v>1166750000</v>
          </cell>
          <cell r="CL51">
            <v>1001800000</v>
          </cell>
          <cell r="CM51">
            <v>1199582000</v>
          </cell>
          <cell r="CN51">
            <v>1242558000</v>
          </cell>
          <cell r="CO51">
            <v>-8.7757797639832644E-2</v>
          </cell>
          <cell r="CP51">
            <v>164932000</v>
          </cell>
          <cell r="CQ51">
            <v>-34239000</v>
          </cell>
          <cell r="CR51">
            <v>-149066000</v>
          </cell>
          <cell r="CS51">
            <v>-51746000</v>
          </cell>
          <cell r="CT51">
            <v>65395000</v>
          </cell>
          <cell r="CU51">
            <v>173738000</v>
          </cell>
          <cell r="CV51">
            <v>140354000</v>
          </cell>
          <cell r="CW51">
            <v>219879000</v>
          </cell>
          <cell r="CX51">
            <v>5.8170799380823039</v>
          </cell>
          <cell r="CY51">
            <v>-0.88388584154294247</v>
          </cell>
          <cell r="CZ51">
            <v>-1.8807250801994355</v>
          </cell>
          <cell r="DA51">
            <v>-1.7912837372887835</v>
          </cell>
          <cell r="DB51">
            <v>-0.62359990330267412</v>
          </cell>
          <cell r="DC51">
            <v>0.23785570771050346</v>
          </cell>
          <cell r="DD51">
            <v>-0.36167619463432166</v>
          </cell>
          <cell r="DE51">
            <v>0.92409620673672288</v>
          </cell>
          <cell r="DG51">
            <v>11.2788562403816</v>
          </cell>
          <cell r="DH51">
            <v>440000000</v>
          </cell>
          <cell r="DI51">
            <v>15.65</v>
          </cell>
          <cell r="DJ51">
            <v>6886000000</v>
          </cell>
          <cell r="DK51">
            <v>12569101000</v>
          </cell>
          <cell r="DM51">
            <v>1166750000</v>
          </cell>
          <cell r="DN51" t="str">
            <v>NULL</v>
          </cell>
          <cell r="DO51" t="str">
            <v>NULL</v>
          </cell>
          <cell r="DP51">
            <v>28484000</v>
          </cell>
          <cell r="DQ51" t="str">
            <v>NULL</v>
          </cell>
          <cell r="DR51">
            <v>1138266000</v>
          </cell>
          <cell r="DS51">
            <v>6.0495525650419149</v>
          </cell>
          <cell r="DT51">
            <v>0.37508999999999998</v>
          </cell>
          <cell r="DU51">
            <v>-0.44950000000000001</v>
          </cell>
          <cell r="DV51">
            <v>-9.7670000000000007E-2</v>
          </cell>
          <cell r="DW51">
            <v>-5.7570000000000003E-2</v>
          </cell>
          <cell r="DX51">
            <v>-0.22965000000000005</v>
          </cell>
          <cell r="DY51">
            <v>-67.494012627912028</v>
          </cell>
          <cell r="DZ51">
            <v>0.58288204273830635</v>
          </cell>
          <cell r="EA51">
            <v>-369768000</v>
          </cell>
          <cell r="EB51">
            <v>-18.622487613855174</v>
          </cell>
          <cell r="EC51" t="str">
            <v>NULL</v>
          </cell>
          <cell r="ED51">
            <v>0.55533030771233804</v>
          </cell>
          <cell r="EE51">
            <v>0.57729106947779496</v>
          </cell>
          <cell r="EG51">
            <v>0.41342883945632097</v>
          </cell>
          <cell r="EH51">
            <v>-3.1412811991568423E-2</v>
          </cell>
          <cell r="EK51">
            <v>0.60816647975077898</v>
          </cell>
          <cell r="EM51">
            <v>-20.343084436074701</v>
          </cell>
          <cell r="EN51" t="str">
            <v>NULL</v>
          </cell>
        </row>
        <row r="52">
          <cell r="A52" t="str">
            <v>LONG</v>
          </cell>
          <cell r="B52" t="str">
            <v>LON.BA</v>
          </cell>
          <cell r="C52" t="str">
            <v>LONGVIE SA</v>
          </cell>
          <cell r="D52">
            <v>43008</v>
          </cell>
          <cell r="E52">
            <v>694276260</v>
          </cell>
          <cell r="F52">
            <v>446046100</v>
          </cell>
          <cell r="G52">
            <v>1.5565100000000001</v>
          </cell>
          <cell r="H52">
            <v>0.73440000000000005</v>
          </cell>
          <cell r="I52">
            <v>1.5561199999999999</v>
          </cell>
          <cell r="J52">
            <v>0.87458999999999998</v>
          </cell>
          <cell r="K52">
            <v>5.6000000000000005</v>
          </cell>
          <cell r="L52">
            <v>0</v>
          </cell>
          <cell r="M52">
            <v>0</v>
          </cell>
          <cell r="N52">
            <v>0</v>
          </cell>
          <cell r="O52">
            <v>0</v>
          </cell>
          <cell r="P52">
            <v>0</v>
          </cell>
          <cell r="Q52">
            <v>0</v>
          </cell>
          <cell r="S52">
            <v>73.970866133000001</v>
          </cell>
          <cell r="T52">
            <v>67.799297228</v>
          </cell>
          <cell r="U52">
            <v>43008</v>
          </cell>
          <cell r="V52">
            <v>794176420</v>
          </cell>
          <cell r="W52">
            <v>799710110</v>
          </cell>
          <cell r="X52">
            <v>768803770</v>
          </cell>
          <cell r="Y52">
            <v>651117660</v>
          </cell>
          <cell r="Z52">
            <v>315281870</v>
          </cell>
          <cell r="AA52">
            <v>2.5189409717723383</v>
          </cell>
          <cell r="AC52">
            <v>301576450</v>
          </cell>
          <cell r="AD52">
            <v>393187440</v>
          </cell>
          <cell r="AE52">
            <v>287751700</v>
          </cell>
          <cell r="AF52">
            <v>207357050</v>
          </cell>
          <cell r="AG52">
            <v>1.9740070969560959</v>
          </cell>
          <cell r="AH52">
            <v>186664250</v>
          </cell>
          <cell r="AI52">
            <v>184638570</v>
          </cell>
          <cell r="AJ52">
            <v>169718090</v>
          </cell>
          <cell r="AK52">
            <v>125854010</v>
          </cell>
          <cell r="AL52">
            <v>258736870</v>
          </cell>
          <cell r="AM52">
            <v>290105080</v>
          </cell>
          <cell r="AN52">
            <v>228073470</v>
          </cell>
          <cell r="AO52">
            <v>187106880</v>
          </cell>
          <cell r="AP52">
            <v>63.123370123284488</v>
          </cell>
          <cell r="AQ52">
            <v>275447480</v>
          </cell>
          <cell r="AR52">
            <v>338584170</v>
          </cell>
          <cell r="AS52">
            <v>342412940</v>
          </cell>
          <cell r="AT52">
            <v>224340220</v>
          </cell>
          <cell r="AU52">
            <v>90.553064496465765</v>
          </cell>
          <cell r="AV52">
            <v>366700460</v>
          </cell>
          <cell r="AW52">
            <v>306229380</v>
          </cell>
          <cell r="AX52">
            <v>260654140</v>
          </cell>
          <cell r="AY52">
            <v>279115010</v>
          </cell>
          <cell r="AZ52">
            <v>114.78861312388727</v>
          </cell>
          <cell r="BA52">
            <v>142.21830749706857</v>
          </cell>
          <cell r="BC52">
            <v>23.041029999999999</v>
          </cell>
          <cell r="BD52">
            <v>4.7027599999999996</v>
          </cell>
          <cell r="BE52">
            <v>3.5573999999999999</v>
          </cell>
          <cell r="BF52">
            <v>-13054840</v>
          </cell>
          <cell r="BG52">
            <v>23159900</v>
          </cell>
          <cell r="BH52">
            <v>4688410</v>
          </cell>
          <cell r="BI52">
            <v>-16585320</v>
          </cell>
          <cell r="BJ52">
            <v>-1.5059174736549955E-3</v>
          </cell>
          <cell r="BK52">
            <v>-11282810</v>
          </cell>
          <cell r="BL52">
            <v>-7420790</v>
          </cell>
          <cell r="BM52">
            <v>-3092900</v>
          </cell>
          <cell r="BN52">
            <v>-30292890</v>
          </cell>
          <cell r="BO52">
            <v>-27455890</v>
          </cell>
          <cell r="BP52">
            <v>13080180</v>
          </cell>
          <cell r="BQ52">
            <v>-50191440</v>
          </cell>
          <cell r="BR52">
            <v>-39436820</v>
          </cell>
          <cell r="BS52">
            <v>-29270010</v>
          </cell>
          <cell r="BT52">
            <v>-45200440</v>
          </cell>
          <cell r="BU52">
            <v>-73796160</v>
          </cell>
          <cell r="BV52">
            <v>-5665290</v>
          </cell>
          <cell r="BW52">
            <v>6.2316669454640121E-3</v>
          </cell>
          <cell r="BX52">
            <v>-2.378187361347337E-3</v>
          </cell>
          <cell r="BY52">
            <v>315281870</v>
          </cell>
          <cell r="BZ52">
            <v>328416590</v>
          </cell>
          <cell r="CA52">
            <v>305281810</v>
          </cell>
          <cell r="CB52">
            <v>300604330</v>
          </cell>
          <cell r="CC52" t="str">
            <v>NULL</v>
          </cell>
          <cell r="CD52" t="str">
            <v>NULL</v>
          </cell>
          <cell r="CE52" t="str">
            <v>NULL</v>
          </cell>
          <cell r="CF52" t="str">
            <v>NULL</v>
          </cell>
          <cell r="CG52" t="str">
            <v>NULL</v>
          </cell>
          <cell r="CH52" t="str">
            <v>NULL</v>
          </cell>
          <cell r="CI52" t="str">
            <v>NULL</v>
          </cell>
          <cell r="CJ52" t="str">
            <v>NULL</v>
          </cell>
          <cell r="CK52">
            <v>315281870</v>
          </cell>
          <cell r="CL52">
            <v>328416590</v>
          </cell>
          <cell r="CM52">
            <v>305281810</v>
          </cell>
          <cell r="CN52">
            <v>300604330</v>
          </cell>
          <cell r="CO52">
            <v>-5.7358261297394348E-3</v>
          </cell>
          <cell r="CP52">
            <v>-13054840</v>
          </cell>
          <cell r="CQ52">
            <v>-7347270</v>
          </cell>
          <cell r="CR52">
            <v>36614070</v>
          </cell>
          <cell r="CS52">
            <v>105332440</v>
          </cell>
          <cell r="CT52">
            <v>32501830</v>
          </cell>
          <cell r="CU52">
            <v>18155710</v>
          </cell>
          <cell r="CV52">
            <v>16629950</v>
          </cell>
          <cell r="CW52">
            <v>23621340</v>
          </cell>
          <cell r="CX52">
            <v>-0.77682867241846298</v>
          </cell>
          <cell r="CY52">
            <v>0.43487236222775189</v>
          </cell>
          <cell r="CZ52">
            <v>-0.65239512157887924</v>
          </cell>
          <cell r="DA52">
            <v>2.2408156709945257</v>
          </cell>
          <cell r="DB52">
            <v>0.79017124640127001</v>
          </cell>
          <cell r="DC52">
            <v>9.1747720227661533E-2</v>
          </cell>
          <cell r="DD52">
            <v>-0.29597770490581821</v>
          </cell>
          <cell r="DE52">
            <v>1.1425514707765321</v>
          </cell>
          <cell r="DG52">
            <v>35.272457771579603</v>
          </cell>
          <cell r="DH52">
            <v>153641513</v>
          </cell>
          <cell r="DI52">
            <v>5.7</v>
          </cell>
          <cell r="DJ52">
            <v>875756624.10000002</v>
          </cell>
          <cell r="DK52">
            <v>1087573326.7</v>
          </cell>
          <cell r="DM52">
            <v>315281870</v>
          </cell>
          <cell r="DN52" t="str">
            <v>NULL</v>
          </cell>
          <cell r="DO52" t="str">
            <v>NULL</v>
          </cell>
          <cell r="DP52">
            <v>1681720</v>
          </cell>
          <cell r="DQ52" t="str">
            <v>NULL</v>
          </cell>
          <cell r="DR52">
            <v>313600150</v>
          </cell>
          <cell r="DS52">
            <v>2.7925899400877201</v>
          </cell>
          <cell r="DT52">
            <v>-8.4970000000000004E-2</v>
          </cell>
          <cell r="DU52">
            <v>0.15074000000000001</v>
          </cell>
          <cell r="DV52">
            <v>3.0519999999999999E-2</v>
          </cell>
          <cell r="DW52">
            <v>-0.10795</v>
          </cell>
          <cell r="DX52">
            <v>-1.165999999999999E-2</v>
          </cell>
          <cell r="DY52">
            <v>-480.27444253859397</v>
          </cell>
          <cell r="DZ52">
            <v>0.73600870770505322</v>
          </cell>
          <cell r="EA52">
            <v>7414890</v>
          </cell>
          <cell r="EB52">
            <v>118.10783762132682</v>
          </cell>
          <cell r="EC52" t="str">
            <v>NULL</v>
          </cell>
          <cell r="ED52">
            <v>0.681885155246438</v>
          </cell>
          <cell r="EE52">
            <v>0.69034196171630802</v>
          </cell>
          <cell r="EG52">
            <v>0.43563506137941616</v>
          </cell>
          <cell r="EH52">
            <v>4.464140275202011E-2</v>
          </cell>
          <cell r="EK52">
            <v>1.4940359237288099</v>
          </cell>
          <cell r="EM52">
            <v>752.81115214495503</v>
          </cell>
          <cell r="EN52">
            <v>748.56101034710002</v>
          </cell>
        </row>
        <row r="53">
          <cell r="A53" t="str">
            <v>METR</v>
          </cell>
          <cell r="B53" t="str">
            <v>MET.BA</v>
          </cell>
          <cell r="C53" t="str">
            <v>METROGAS SA</v>
          </cell>
          <cell r="D53">
            <v>43008</v>
          </cell>
          <cell r="E53">
            <v>5092805000</v>
          </cell>
          <cell r="F53">
            <v>5232468000</v>
          </cell>
          <cell r="G53">
            <v>0.97331000000000001</v>
          </cell>
          <cell r="H53">
            <v>0.97282000000000002</v>
          </cell>
          <cell r="I53">
            <v>0.89944999999999997</v>
          </cell>
          <cell r="J53">
            <v>0.89883000000000002</v>
          </cell>
          <cell r="K53">
            <v>72.95</v>
          </cell>
          <cell r="L53">
            <v>0</v>
          </cell>
          <cell r="M53">
            <v>0</v>
          </cell>
          <cell r="N53">
            <v>0</v>
          </cell>
          <cell r="O53" t="str">
            <v>NULL</v>
          </cell>
          <cell r="P53">
            <v>0</v>
          </cell>
          <cell r="Q53">
            <v>0</v>
          </cell>
          <cell r="S53">
            <v>38.716100597999997</v>
          </cell>
          <cell r="T53">
            <v>39.111998245999999</v>
          </cell>
          <cell r="U53">
            <v>43008</v>
          </cell>
          <cell r="V53">
            <v>20881223000</v>
          </cell>
          <cell r="W53">
            <v>20345486000</v>
          </cell>
          <cell r="X53">
            <v>6796046000</v>
          </cell>
          <cell r="Y53">
            <v>6607773000</v>
          </cell>
          <cell r="Z53">
            <v>8045459000</v>
          </cell>
          <cell r="AA53">
            <v>2.5954048115837764</v>
          </cell>
          <cell r="AC53">
            <v>4026248000</v>
          </cell>
          <cell r="AD53">
            <v>3735267000</v>
          </cell>
          <cell r="AE53">
            <v>1839054000</v>
          </cell>
          <cell r="AF53">
            <v>2053895000</v>
          </cell>
          <cell r="AG53">
            <v>1.066661375211815</v>
          </cell>
          <cell r="AH53">
            <v>4328990000</v>
          </cell>
          <cell r="AI53">
            <v>4223585000</v>
          </cell>
          <cell r="AJ53">
            <v>3792642000</v>
          </cell>
          <cell r="AK53">
            <v>4120568000</v>
          </cell>
          <cell r="AL53">
            <v>2958507000</v>
          </cell>
          <cell r="AM53">
            <v>2746267000</v>
          </cell>
          <cell r="AN53">
            <v>1285937000</v>
          </cell>
          <cell r="AO53">
            <v>1849181000</v>
          </cell>
          <cell r="AP53">
            <v>169.96846581949191</v>
          </cell>
          <cell r="AQ53">
            <v>4124243000</v>
          </cell>
          <cell r="AR53">
            <v>3538848000</v>
          </cell>
          <cell r="AS53">
            <v>2233417000</v>
          </cell>
          <cell r="AT53">
            <v>2629078000</v>
          </cell>
          <cell r="AU53">
            <v>98.070552408072984</v>
          </cell>
          <cell r="AV53">
            <v>2546000</v>
          </cell>
          <cell r="AW53">
            <v>3152000</v>
          </cell>
          <cell r="AX53">
            <v>3204000</v>
          </cell>
          <cell r="AY53">
            <v>2696000</v>
          </cell>
          <cell r="AZ53">
            <v>0.11972063685845936</v>
          </cell>
          <cell r="BA53">
            <v>-71.778192774560466</v>
          </cell>
          <cell r="BC53" t="str">
            <v>NULL</v>
          </cell>
          <cell r="BD53">
            <v>4.6944800000000004</v>
          </cell>
          <cell r="BE53">
            <v>-7.4603999999999999</v>
          </cell>
          <cell r="BF53">
            <v>312705000</v>
          </cell>
          <cell r="BG53">
            <v>201446000</v>
          </cell>
          <cell r="BH53">
            <v>516920000</v>
          </cell>
          <cell r="BI53">
            <v>282276000</v>
          </cell>
          <cell r="BJ53">
            <v>0.11269046778985288</v>
          </cell>
          <cell r="BK53">
            <v>-597074000</v>
          </cell>
          <cell r="BL53">
            <v>-352573000</v>
          </cell>
          <cell r="BM53">
            <v>-158951000</v>
          </cell>
          <cell r="BN53">
            <v>-545829000</v>
          </cell>
          <cell r="BO53">
            <v>-347384000</v>
          </cell>
          <cell r="BP53">
            <v>-408641000</v>
          </cell>
          <cell r="BQ53">
            <v>1164014000</v>
          </cell>
          <cell r="BR53">
            <v>983746000</v>
          </cell>
          <cell r="BS53">
            <v>1070625000</v>
          </cell>
          <cell r="BT53">
            <v>766108000</v>
          </cell>
          <cell r="BU53">
            <v>642703000</v>
          </cell>
          <cell r="BV53">
            <v>1591936000</v>
          </cell>
          <cell r="BW53">
            <v>0.101531481842494</v>
          </cell>
          <cell r="BX53">
            <v>9.616213118057361E-2</v>
          </cell>
          <cell r="BY53">
            <v>8045459000</v>
          </cell>
          <cell r="BZ53">
            <v>7732755000</v>
          </cell>
          <cell r="CA53">
            <v>-857849000</v>
          </cell>
          <cell r="CB53">
            <v>-1374769000</v>
          </cell>
          <cell r="CC53" t="str">
            <v>NULL</v>
          </cell>
          <cell r="CD53" t="str">
            <v>NULL</v>
          </cell>
          <cell r="CE53" t="str">
            <v>NULL</v>
          </cell>
          <cell r="CF53" t="str">
            <v>NULL</v>
          </cell>
          <cell r="CG53" t="str">
            <v>NULL</v>
          </cell>
          <cell r="CH53" t="str">
            <v>NULL</v>
          </cell>
          <cell r="CI53" t="str">
            <v>NULL</v>
          </cell>
          <cell r="CJ53" t="str">
            <v>NULL</v>
          </cell>
          <cell r="CK53">
            <v>8045459000</v>
          </cell>
          <cell r="CL53">
            <v>7732755000</v>
          </cell>
          <cell r="CM53">
            <v>-857849000</v>
          </cell>
          <cell r="CN53">
            <v>-1374769000</v>
          </cell>
          <cell r="CO53">
            <v>0.3878299633327319</v>
          </cell>
          <cell r="CP53">
            <v>312705000</v>
          </cell>
          <cell r="CQ53">
            <v>-205205000</v>
          </cell>
          <cell r="CR53">
            <v>-599682000</v>
          </cell>
          <cell r="CS53">
            <v>-564901000</v>
          </cell>
          <cell r="CT53">
            <v>-631420000</v>
          </cell>
          <cell r="CU53">
            <v>254936000</v>
          </cell>
          <cell r="CV53">
            <v>-178746000</v>
          </cell>
          <cell r="CW53">
            <v>-61054000</v>
          </cell>
          <cell r="CX53">
            <v>2.5238663775249144</v>
          </cell>
          <cell r="CY53">
            <v>-0.5868847178821236</v>
          </cell>
          <cell r="CZ53">
            <v>-6.1570080421171181E-2</v>
          </cell>
          <cell r="DA53">
            <v>0.10534826264609931</v>
          </cell>
          <cell r="DB53">
            <v>-3.4767784855806947</v>
          </cell>
          <cell r="DC53">
            <v>2.4262473006388952</v>
          </cell>
          <cell r="DD53">
            <v>-1.9276705866937465</v>
          </cell>
          <cell r="DE53">
            <v>2.2351341829567106</v>
          </cell>
          <cell r="DG53">
            <v>9.1816554117739493</v>
          </cell>
          <cell r="DH53">
            <v>275026000</v>
          </cell>
          <cell r="DI53">
            <v>67.75</v>
          </cell>
          <cell r="DJ53">
            <v>31373109030</v>
          </cell>
          <cell r="DK53">
            <v>20359457800</v>
          </cell>
          <cell r="DM53">
            <v>8045459000</v>
          </cell>
          <cell r="DN53" t="str">
            <v>NULL</v>
          </cell>
          <cell r="DO53" t="str">
            <v>NULL</v>
          </cell>
          <cell r="DP53">
            <v>163969000</v>
          </cell>
          <cell r="DQ53" t="str">
            <v>NULL</v>
          </cell>
          <cell r="DR53">
            <v>7881490000</v>
          </cell>
          <cell r="DS53">
            <v>3.9806063358578139</v>
          </cell>
          <cell r="DT53">
            <v>0.5494</v>
          </cell>
          <cell r="DU53">
            <v>0.35393000000000002</v>
          </cell>
          <cell r="DV53">
            <v>0.90820000000000001</v>
          </cell>
          <cell r="DW53">
            <v>0.49593999999999999</v>
          </cell>
          <cell r="DX53">
            <v>2.3074699999999999</v>
          </cell>
          <cell r="DY53">
            <v>31.614712217276935</v>
          </cell>
          <cell r="DZ53">
            <v>2.6919392457688316</v>
          </cell>
          <cell r="EA53">
            <v>1183295000</v>
          </cell>
          <cell r="EB53">
            <v>26.513345387244939</v>
          </cell>
          <cell r="EC53">
            <v>28.082705300610598</v>
          </cell>
          <cell r="ED53">
            <v>1.2255060930445401</v>
          </cell>
          <cell r="EE53">
            <v>1.1636386386344899</v>
          </cell>
          <cell r="EG53">
            <v>0.58236855021458855</v>
          </cell>
          <cell r="EH53">
            <v>0.24701735055617191</v>
          </cell>
          <cell r="EK53" t="str">
            <v>NULL</v>
          </cell>
          <cell r="EM53">
            <v>20.071888694436801</v>
          </cell>
          <cell r="EN53">
            <v>19.958568942399999</v>
          </cell>
        </row>
        <row r="54">
          <cell r="A54" t="str">
            <v>MIRG</v>
          </cell>
          <cell r="B54" t="str">
            <v>MIR.BA</v>
          </cell>
          <cell r="C54" t="str">
            <v>MIRGOR SACIFIA*</v>
          </cell>
          <cell r="D54">
            <v>43008</v>
          </cell>
          <cell r="E54">
            <v>7863816000</v>
          </cell>
          <cell r="F54">
            <v>6939471000</v>
          </cell>
          <cell r="G54">
            <v>1.1332</v>
          </cell>
          <cell r="H54">
            <v>0.68028999999999995</v>
          </cell>
          <cell r="I54">
            <v>1.1009500000000001</v>
          </cell>
          <cell r="J54">
            <v>0.72497</v>
          </cell>
          <cell r="K54">
            <v>626</v>
          </cell>
          <cell r="L54">
            <v>0</v>
          </cell>
          <cell r="M54">
            <v>0.16111</v>
          </cell>
          <cell r="N54">
            <v>0</v>
          </cell>
          <cell r="O54">
            <v>0</v>
          </cell>
          <cell r="P54">
            <v>0.16111</v>
          </cell>
          <cell r="Q54">
            <v>2.5736421725239619E-4</v>
          </cell>
          <cell r="S54">
            <v>26.144099389000001</v>
          </cell>
          <cell r="T54">
            <v>46.704328869000001</v>
          </cell>
          <cell r="U54">
            <v>43008</v>
          </cell>
          <cell r="V54">
            <v>9223152000</v>
          </cell>
          <cell r="W54">
            <v>8125235000</v>
          </cell>
          <cell r="X54">
            <v>7581789000</v>
          </cell>
          <cell r="Y54">
            <v>7299547000</v>
          </cell>
          <cell r="Z54">
            <v>2281467000</v>
          </cell>
          <cell r="AA54">
            <v>4.042640984945213</v>
          </cell>
          <cell r="AC54">
            <v>5906943000</v>
          </cell>
          <cell r="AD54">
            <v>5053035000</v>
          </cell>
          <cell r="AE54">
            <v>3517360000</v>
          </cell>
          <cell r="AF54">
            <v>3707131000</v>
          </cell>
          <cell r="AG54">
            <v>2.8210674870376486</v>
          </cell>
          <cell r="AH54">
            <v>5766612000</v>
          </cell>
          <cell r="AI54">
            <v>4749000000</v>
          </cell>
          <cell r="AJ54">
            <v>4433904000</v>
          </cell>
          <cell r="AK54">
            <v>4325966000</v>
          </cell>
          <cell r="AL54">
            <v>4866811000</v>
          </cell>
          <cell r="AM54">
            <v>4313368000</v>
          </cell>
          <cell r="AN54">
            <v>3095234000</v>
          </cell>
          <cell r="AO54">
            <v>3230223000</v>
          </cell>
          <cell r="AP54">
            <v>113.4353813348901</v>
          </cell>
          <cell r="AQ54">
            <v>4515982000</v>
          </cell>
          <cell r="AR54">
            <v>4030828000</v>
          </cell>
          <cell r="AS54">
            <v>3153746000</v>
          </cell>
          <cell r="AT54">
            <v>3058857000</v>
          </cell>
          <cell r="AU54">
            <v>74.063005977793466</v>
          </cell>
          <cell r="AV54">
            <v>3142949000</v>
          </cell>
          <cell r="AW54">
            <v>2313385000</v>
          </cell>
          <cell r="AX54">
            <v>2840960000</v>
          </cell>
          <cell r="AY54">
            <v>2581869000</v>
          </cell>
          <cell r="AZ54">
            <v>64.023405666816885</v>
          </cell>
          <cell r="BA54">
            <v>24.651030309720241</v>
          </cell>
          <cell r="BC54">
            <v>15.32413</v>
          </cell>
          <cell r="BD54">
            <v>4.1425299999999998</v>
          </cell>
          <cell r="BE54">
            <v>2.7795800000000002</v>
          </cell>
          <cell r="BF54">
            <v>311322000</v>
          </cell>
          <cell r="BG54">
            <v>209686000</v>
          </cell>
          <cell r="BH54">
            <v>115605000</v>
          </cell>
          <cell r="BI54">
            <v>75741000</v>
          </cell>
          <cell r="BJ54">
            <v>3.9173758661855893E-2</v>
          </cell>
          <cell r="BK54">
            <v>-72605000</v>
          </cell>
          <cell r="BL54">
            <v>-41437000</v>
          </cell>
          <cell r="BM54">
            <v>-33555000</v>
          </cell>
          <cell r="BN54">
            <v>-247989000</v>
          </cell>
          <cell r="BO54">
            <v>-219184000</v>
          </cell>
          <cell r="BP54">
            <v>113024000</v>
          </cell>
          <cell r="BQ54">
            <v>380176000</v>
          </cell>
          <cell r="BR54">
            <v>268123000</v>
          </cell>
          <cell r="BS54">
            <v>-38033000</v>
          </cell>
          <cell r="BT54">
            <v>-1776147000</v>
          </cell>
          <cell r="BU54">
            <v>-2014743000</v>
          </cell>
          <cell r="BV54">
            <v>2356886000</v>
          </cell>
          <cell r="BW54">
            <v>0.13582524735806142</v>
          </cell>
          <cell r="BX54">
            <v>8.8409571500195641E-2</v>
          </cell>
          <cell r="BY54">
            <v>2281467000</v>
          </cell>
          <cell r="BZ54">
            <v>1970145000</v>
          </cell>
          <cell r="CA54">
            <v>1789459000</v>
          </cell>
          <cell r="CB54">
            <v>1673854000</v>
          </cell>
          <cell r="CC54" t="str">
            <v>NULL</v>
          </cell>
          <cell r="CD54" t="str">
            <v>NULL</v>
          </cell>
          <cell r="CE54" t="str">
            <v>NULL</v>
          </cell>
          <cell r="CF54" t="str">
            <v>NULL</v>
          </cell>
          <cell r="CG54" t="str">
            <v>NULL</v>
          </cell>
          <cell r="CH54" t="str">
            <v>NULL</v>
          </cell>
          <cell r="CI54" t="str">
            <v>NULL</v>
          </cell>
          <cell r="CJ54" t="str">
            <v>NULL</v>
          </cell>
          <cell r="CK54">
            <v>2281467000</v>
          </cell>
          <cell r="CL54">
            <v>1970145000</v>
          </cell>
          <cell r="CM54">
            <v>1789459000</v>
          </cell>
          <cell r="CN54">
            <v>1673854000</v>
          </cell>
          <cell r="CO54">
            <v>0.3693381335528213</v>
          </cell>
          <cell r="CP54">
            <v>311322000</v>
          </cell>
          <cell r="CQ54">
            <v>151124000</v>
          </cell>
          <cell r="CR54">
            <v>427484000</v>
          </cell>
          <cell r="CS54">
            <v>522273000</v>
          </cell>
          <cell r="CT54">
            <v>136920000</v>
          </cell>
          <cell r="CU54">
            <v>229179000</v>
          </cell>
          <cell r="CV54">
            <v>150317000</v>
          </cell>
          <cell r="CW54">
            <v>76445000</v>
          </cell>
          <cell r="CX54">
            <v>1.0600434080622536</v>
          </cell>
          <cell r="CY54">
            <v>0.74427251378519643</v>
          </cell>
          <cell r="CZ54">
            <v>-0.1814932037459337</v>
          </cell>
          <cell r="DA54">
            <v>2.8144390885188431</v>
          </cell>
          <cell r="DB54">
            <v>-0.40256306206066006</v>
          </cell>
          <cell r="DC54">
            <v>0.52463793183738372</v>
          </cell>
          <cell r="DD54">
            <v>0.96634181437634892</v>
          </cell>
          <cell r="DE54">
            <v>1.2801775045651382</v>
          </cell>
          <cell r="DG54">
            <v>37.333746064975202</v>
          </cell>
          <cell r="DH54">
            <v>1519200000</v>
          </cell>
          <cell r="DI54">
            <v>612</v>
          </cell>
          <cell r="DJ54">
            <v>11016000000</v>
          </cell>
          <cell r="DK54">
            <v>114064077000</v>
          </cell>
          <cell r="DM54">
            <v>2281467000</v>
          </cell>
          <cell r="DN54" t="str">
            <v>NULL</v>
          </cell>
          <cell r="DO54" t="str">
            <v>NULL</v>
          </cell>
          <cell r="DP54">
            <v>30637000</v>
          </cell>
          <cell r="DQ54">
            <v>766000</v>
          </cell>
          <cell r="DR54">
            <v>2250064000</v>
          </cell>
          <cell r="DS54">
            <v>4.8958607399611749</v>
          </cell>
          <cell r="DT54">
            <v>1.7295700000000001</v>
          </cell>
          <cell r="DU54">
            <v>1.16492</v>
          </cell>
          <cell r="DV54">
            <v>0.64224999999999999</v>
          </cell>
          <cell r="DW54">
            <v>0.44553999999999999</v>
          </cell>
          <cell r="DX54">
            <v>3.9822799999999998</v>
          </cell>
          <cell r="DY54">
            <v>157.19637996323715</v>
          </cell>
          <cell r="DZ54">
            <v>0.60579167860221816</v>
          </cell>
          <cell r="EA54">
            <v>2469910000</v>
          </cell>
          <cell r="EB54">
            <v>4.4600815414326842</v>
          </cell>
          <cell r="EC54">
            <v>15.845194210351901</v>
          </cell>
          <cell r="ED54">
            <v>0.75683813366790598</v>
          </cell>
          <cell r="EE54">
            <v>0.82407432438556605</v>
          </cell>
          <cell r="EG54">
            <v>0.49024635317258181</v>
          </cell>
          <cell r="EH54">
            <v>0.19739031876233515</v>
          </cell>
          <cell r="EK54">
            <v>2.5532662440571001E-2</v>
          </cell>
          <cell r="EM54">
            <v>141.65160398817201</v>
          </cell>
          <cell r="EN54">
            <v>140.85188230349999</v>
          </cell>
        </row>
        <row r="55">
          <cell r="A55" t="str">
            <v>MOLA</v>
          </cell>
          <cell r="B55" t="str">
            <v>MOLA.BA</v>
          </cell>
          <cell r="C55" t="str">
            <v>MOLINOS AGRO</v>
          </cell>
          <cell r="D55">
            <v>43008</v>
          </cell>
          <cell r="E55">
            <v>6700959000</v>
          </cell>
          <cell r="F55">
            <v>7076126000</v>
          </cell>
          <cell r="G55">
            <v>0.94698000000000004</v>
          </cell>
          <cell r="H55">
            <v>0.66798999999999997</v>
          </cell>
          <cell r="I55">
            <v>1.02441</v>
          </cell>
          <cell r="J55">
            <v>0.68232000000000004</v>
          </cell>
          <cell r="K55">
            <v>172</v>
          </cell>
          <cell r="L55">
            <v>0</v>
          </cell>
          <cell r="M55">
            <v>0</v>
          </cell>
          <cell r="N55" t="str">
            <v>NULL</v>
          </cell>
          <cell r="O55">
            <v>0</v>
          </cell>
          <cell r="Q55">
            <v>0</v>
          </cell>
          <cell r="S55" t="str">
            <v>NULL</v>
          </cell>
          <cell r="T55" t="str">
            <v>NULL</v>
          </cell>
          <cell r="U55">
            <v>43008</v>
          </cell>
          <cell r="V55">
            <v>8162017000</v>
          </cell>
          <cell r="W55">
            <v>7115833000</v>
          </cell>
          <cell r="X55">
            <v>5839763000</v>
          </cell>
          <cell r="Y55">
            <v>4188918000</v>
          </cell>
          <cell r="Z55">
            <v>1036544000</v>
          </cell>
          <cell r="AA55">
            <v>7.8742600410595207</v>
          </cell>
          <cell r="AC55">
            <v>7996272000</v>
          </cell>
          <cell r="AD55">
            <v>8160782000</v>
          </cell>
          <cell r="AE55">
            <v>3825018000</v>
          </cell>
          <cell r="AF55">
            <v>8464216000</v>
          </cell>
          <cell r="AG55">
            <v>5.6203356469760504</v>
          </cell>
          <cell r="AH55">
            <v>2936104000</v>
          </cell>
          <cell r="AI55">
            <v>2719882000</v>
          </cell>
          <cell r="AJ55">
            <v>1608500000</v>
          </cell>
          <cell r="AK55">
            <v>1580982000</v>
          </cell>
          <cell r="AL55">
            <v>7685338000</v>
          </cell>
          <cell r="AM55">
            <v>7820057000</v>
          </cell>
          <cell r="AN55">
            <v>1733099000</v>
          </cell>
          <cell r="AO55">
            <v>7990188000</v>
          </cell>
          <cell r="AQ55">
            <v>1488623000</v>
          </cell>
          <cell r="AR55">
            <v>1182954000</v>
          </cell>
          <cell r="AS55">
            <v>1269412000</v>
          </cell>
          <cell r="AT55">
            <v>982146000</v>
          </cell>
          <cell r="AU55">
            <v>15.792431994993512</v>
          </cell>
          <cell r="AV55">
            <v>1974193000</v>
          </cell>
          <cell r="AW55">
            <v>1985404000</v>
          </cell>
          <cell r="AX55">
            <v>1127680000</v>
          </cell>
          <cell r="AY55">
            <v>1186840000</v>
          </cell>
          <cell r="BA55">
            <v>15.792431994993512</v>
          </cell>
          <cell r="BC55">
            <v>15.12459</v>
          </cell>
          <cell r="BD55">
            <v>2.6158199999999998</v>
          </cell>
          <cell r="BE55">
            <v>1.88988</v>
          </cell>
          <cell r="BF55">
            <v>54159000</v>
          </cell>
          <cell r="BG55">
            <v>137156000</v>
          </cell>
          <cell r="BH55">
            <v>-87914000</v>
          </cell>
          <cell r="BI55">
            <v>270074000</v>
          </cell>
          <cell r="BJ55">
            <v>1.3129129537041881E-2</v>
          </cell>
          <cell r="BK55">
            <v>-349000000</v>
          </cell>
          <cell r="BL55">
            <v>-189423000</v>
          </cell>
          <cell r="BM55">
            <v>-256991000</v>
          </cell>
          <cell r="BN55" t="str">
            <v>NULL</v>
          </cell>
          <cell r="BO55">
            <v>-23288000</v>
          </cell>
          <cell r="BP55">
            <v>-582703000</v>
          </cell>
          <cell r="BQ55">
            <v>1071309000</v>
          </cell>
          <cell r="BR55">
            <v>834868000</v>
          </cell>
          <cell r="BS55">
            <v>1162613000</v>
          </cell>
          <cell r="BT55" t="str">
            <v>NULL</v>
          </cell>
          <cell r="BU55">
            <v>856493000</v>
          </cell>
          <cell r="BV55">
            <v>1377429000</v>
          </cell>
          <cell r="BW55">
            <v>2.7937775220443526E-2</v>
          </cell>
          <cell r="BX55">
            <v>5.9032192124633759E-2</v>
          </cell>
          <cell r="BY55">
            <v>1036544000</v>
          </cell>
          <cell r="BZ55">
            <v>1265095000</v>
          </cell>
          <cell r="CA55">
            <v>1057668000</v>
          </cell>
          <cell r="CB55">
            <v>1156557000</v>
          </cell>
          <cell r="CC55" t="str">
            <v>NULL</v>
          </cell>
          <cell r="CD55" t="str">
            <v>NULL</v>
          </cell>
          <cell r="CE55" t="str">
            <v>NULL</v>
          </cell>
          <cell r="CF55" t="str">
            <v>NULL</v>
          </cell>
          <cell r="CG55" t="str">
            <v>NULL</v>
          </cell>
          <cell r="CH55" t="str">
            <v>NULL</v>
          </cell>
          <cell r="CI55" t="str">
            <v>NULL</v>
          </cell>
          <cell r="CJ55" t="str">
            <v>NULL</v>
          </cell>
          <cell r="CK55">
            <v>1036544000</v>
          </cell>
          <cell r="CL55">
            <v>1265095000</v>
          </cell>
          <cell r="CM55">
            <v>1057668000</v>
          </cell>
          <cell r="CN55">
            <v>1156557000</v>
          </cell>
          <cell r="CO55">
            <v>0.33081155676964585</v>
          </cell>
          <cell r="CP55">
            <v>54159000</v>
          </cell>
          <cell r="CQ55">
            <v>189985000</v>
          </cell>
          <cell r="CR55">
            <v>371844000</v>
          </cell>
          <cell r="CS55" t="str">
            <v>NULL</v>
          </cell>
          <cell r="CT55" t="str">
            <v>NULL</v>
          </cell>
          <cell r="CU55" t="str">
            <v>NULL</v>
          </cell>
          <cell r="CV55" t="str">
            <v>NULL</v>
          </cell>
          <cell r="CW55" t="str">
            <v>NULL</v>
          </cell>
          <cell r="CX55">
            <v>-0.71493012606258388</v>
          </cell>
          <cell r="CY55" t="str">
            <v>-</v>
          </cell>
          <cell r="CZ55" t="e">
            <v>#VALUE!</v>
          </cell>
          <cell r="DA55" t="e">
            <v>#VALUE!</v>
          </cell>
          <cell r="DB55" t="e">
            <v>#VALUE!</v>
          </cell>
          <cell r="DC55" t="e">
            <v>#VALUE!</v>
          </cell>
          <cell r="DD55" t="e">
            <v>#VALUE!</v>
          </cell>
          <cell r="DE55" t="str">
            <v>-</v>
          </cell>
          <cell r="DG55">
            <v>2.3743758792906799</v>
          </cell>
          <cell r="DH55">
            <v>49082024</v>
          </cell>
          <cell r="DI55">
            <v>172</v>
          </cell>
          <cell r="DJ55">
            <v>19463740795.200001</v>
          </cell>
          <cell r="DK55">
            <v>6285492940.7999897</v>
          </cell>
          <cell r="DM55">
            <v>1036544000</v>
          </cell>
          <cell r="DN55" t="str">
            <v>NULL</v>
          </cell>
          <cell r="DO55" t="str">
            <v>NULL</v>
          </cell>
          <cell r="DP55">
            <v>70934000</v>
          </cell>
          <cell r="DQ55" t="str">
            <v>NULL</v>
          </cell>
          <cell r="DR55">
            <v>965610000</v>
          </cell>
          <cell r="DS55">
            <v>20.156937889209932</v>
          </cell>
          <cell r="DT55">
            <v>1.10344</v>
          </cell>
          <cell r="DU55">
            <v>2.7944200000000001</v>
          </cell>
          <cell r="DV55">
            <v>-1.7911699999999999</v>
          </cell>
          <cell r="DW55">
            <v>5.5025000000000004</v>
          </cell>
          <cell r="DX55">
            <v>7.6091900000000008</v>
          </cell>
          <cell r="DY55">
            <v>22.604245655582261</v>
          </cell>
          <cell r="DZ55">
            <v>0.68422779081755769</v>
          </cell>
          <cell r="EA55">
            <v>794726000</v>
          </cell>
          <cell r="EB55">
            <v>24.491133793533873</v>
          </cell>
          <cell r="EC55">
            <v>22.6042456555823</v>
          </cell>
          <cell r="ED55">
            <v>0.58681133482199399</v>
          </cell>
          <cell r="EE55">
            <v>0.66017078431215004</v>
          </cell>
          <cell r="EG55" t="str">
            <v>-</v>
          </cell>
          <cell r="EH55" t="str">
            <v>-</v>
          </cell>
          <cell r="EK55">
            <v>4.2643377052325597</v>
          </cell>
          <cell r="EM55" t="str">
            <v>NaN</v>
          </cell>
          <cell r="EN55" t="str">
            <v>NULL</v>
          </cell>
        </row>
        <row r="56">
          <cell r="A56" t="str">
            <v>MOLI</v>
          </cell>
          <cell r="B56" t="str">
            <v>MOL.BA</v>
          </cell>
          <cell r="C56" t="str">
            <v>MOLINOS RIO DE LA PLATA SA</v>
          </cell>
          <cell r="D56">
            <v>43008</v>
          </cell>
          <cell r="E56">
            <v>6032354000</v>
          </cell>
          <cell r="F56">
            <v>3573557000</v>
          </cell>
          <cell r="G56">
            <v>1.6880500000000001</v>
          </cell>
          <cell r="H56">
            <v>0.88246999999999998</v>
          </cell>
          <cell r="I56">
            <v>1.73844</v>
          </cell>
          <cell r="J56">
            <v>0.80945</v>
          </cell>
          <cell r="K56">
            <v>58.800000000000004</v>
          </cell>
          <cell r="L56">
            <v>0</v>
          </cell>
          <cell r="M56">
            <v>0</v>
          </cell>
          <cell r="N56">
            <v>0</v>
          </cell>
          <cell r="O56">
            <v>0</v>
          </cell>
          <cell r="P56">
            <v>0</v>
          </cell>
          <cell r="Q56">
            <v>0</v>
          </cell>
          <cell r="S56">
            <v>102.601484348</v>
          </cell>
          <cell r="T56">
            <v>75.117836968999995</v>
          </cell>
          <cell r="U56">
            <v>43008</v>
          </cell>
          <cell r="V56">
            <v>8849996000</v>
          </cell>
          <cell r="W56">
            <v>8268602000</v>
          </cell>
          <cell r="X56">
            <v>8164441000</v>
          </cell>
          <cell r="Y56">
            <v>7780600000</v>
          </cell>
          <cell r="Z56">
            <v>2683468000</v>
          </cell>
          <cell r="AA56">
            <v>3.2979696422688849</v>
          </cell>
          <cell r="AC56">
            <v>3242770000</v>
          </cell>
          <cell r="AD56">
            <v>3318425000</v>
          </cell>
          <cell r="AE56">
            <v>2705964000</v>
          </cell>
          <cell r="AF56">
            <v>10795709000</v>
          </cell>
          <cell r="AG56">
            <v>3.0339736504763204</v>
          </cell>
          <cell r="AH56">
            <v>1402498000</v>
          </cell>
          <cell r="AI56">
            <v>1675007000</v>
          </cell>
          <cell r="AJ56">
            <v>1632101000</v>
          </cell>
          <cell r="AK56">
            <v>1291032000</v>
          </cell>
          <cell r="AL56">
            <v>2125755000</v>
          </cell>
          <cell r="AM56">
            <v>2189321000</v>
          </cell>
          <cell r="AN56">
            <v>1843269000</v>
          </cell>
          <cell r="AO56">
            <v>9269645000</v>
          </cell>
          <cell r="AP56">
            <v>35.491221960864635</v>
          </cell>
          <cell r="AQ56">
            <v>2291855000</v>
          </cell>
          <cell r="AR56">
            <v>1993888000</v>
          </cell>
          <cell r="AS56">
            <v>1943083000</v>
          </cell>
          <cell r="AT56">
            <v>1852375000</v>
          </cell>
          <cell r="AU56">
            <v>36.754944071306255</v>
          </cell>
          <cell r="AV56">
            <v>2878793000</v>
          </cell>
          <cell r="AW56">
            <v>3044785000</v>
          </cell>
          <cell r="AX56">
            <v>2840290000</v>
          </cell>
          <cell r="AY56">
            <v>2387247000</v>
          </cell>
          <cell r="AZ56">
            <v>65.954103143053629</v>
          </cell>
          <cell r="BA56">
            <v>67.217825253495249</v>
          </cell>
          <cell r="BC56">
            <v>15.309889999999999</v>
          </cell>
          <cell r="BD56">
            <v>4.6198699999999997</v>
          </cell>
          <cell r="BE56">
            <v>2.23915</v>
          </cell>
          <cell r="BF56">
            <v>-8324000</v>
          </cell>
          <cell r="BG56">
            <v>-40198000</v>
          </cell>
          <cell r="BH56">
            <v>39457000</v>
          </cell>
          <cell r="BI56">
            <v>108267000</v>
          </cell>
          <cell r="BJ56">
            <v>4.9445572786502908E-3</v>
          </cell>
          <cell r="BK56">
            <v>-416697000</v>
          </cell>
          <cell r="BL56">
            <v>-181769000</v>
          </cell>
          <cell r="BM56">
            <v>-100901000</v>
          </cell>
          <cell r="BN56">
            <v>-452341000</v>
          </cell>
          <cell r="BO56">
            <v>-351269000</v>
          </cell>
          <cell r="BP56">
            <v>-166329000</v>
          </cell>
          <cell r="BQ56">
            <v>-260573000</v>
          </cell>
          <cell r="BR56">
            <v>-44341000</v>
          </cell>
          <cell r="BS56">
            <v>135990000</v>
          </cell>
          <cell r="BT56">
            <v>394134000</v>
          </cell>
          <cell r="BU56">
            <v>-726132000</v>
          </cell>
          <cell r="BV56">
            <v>601549000</v>
          </cell>
          <cell r="BW56">
            <v>2.1692810818473213E-2</v>
          </cell>
          <cell r="BX56">
            <v>1.2001340808251626E-2</v>
          </cell>
          <cell r="BY56">
            <v>2683468000</v>
          </cell>
          <cell r="BZ56">
            <v>2681459000</v>
          </cell>
          <cell r="CA56">
            <v>2708503000</v>
          </cell>
          <cell r="CB56">
            <v>2677294000</v>
          </cell>
          <cell r="CC56" t="str">
            <v>NULL</v>
          </cell>
          <cell r="CD56" t="str">
            <v>NULL</v>
          </cell>
          <cell r="CE56" t="str">
            <v>NULL</v>
          </cell>
          <cell r="CF56" t="str">
            <v>NULL</v>
          </cell>
          <cell r="CG56" t="str">
            <v>NULL</v>
          </cell>
          <cell r="CH56" t="str">
            <v>NULL</v>
          </cell>
          <cell r="CI56" t="str">
            <v>NULL</v>
          </cell>
          <cell r="CJ56" t="str">
            <v>NULL</v>
          </cell>
          <cell r="CK56">
            <v>2683468000</v>
          </cell>
          <cell r="CL56">
            <v>2681459000</v>
          </cell>
          <cell r="CM56">
            <v>2708503000</v>
          </cell>
          <cell r="CN56">
            <v>2677294000</v>
          </cell>
          <cell r="CO56">
            <v>3.6909886255102449E-2</v>
          </cell>
          <cell r="CP56">
            <v>-8324000</v>
          </cell>
          <cell r="CQ56">
            <v>-7751000</v>
          </cell>
          <cell r="CR56">
            <v>879666000</v>
          </cell>
          <cell r="CS56">
            <v>1095099000</v>
          </cell>
          <cell r="CT56">
            <v>671134000</v>
          </cell>
          <cell r="CU56">
            <v>-189842000</v>
          </cell>
          <cell r="CV56">
            <v>29962000</v>
          </cell>
          <cell r="CW56">
            <v>197284000</v>
          </cell>
          <cell r="CX56">
            <v>-7.3925945039349683E-2</v>
          </cell>
          <cell r="CY56">
            <v>-0.64280124509537373</v>
          </cell>
          <cell r="CZ56">
            <v>-0.1967246796864941</v>
          </cell>
          <cell r="DA56">
            <v>0.63171438192670903</v>
          </cell>
          <cell r="DB56">
            <v>4.5352240284025669</v>
          </cell>
          <cell r="DC56">
            <v>-7.3360923836860019</v>
          </cell>
          <cell r="DD56">
            <v>-0.848127572433649</v>
          </cell>
          <cell r="DE56">
            <v>4.2859545402788619</v>
          </cell>
          <cell r="DG56">
            <v>20.472498937079301</v>
          </cell>
          <cell r="DH56">
            <v>201415127</v>
          </cell>
          <cell r="DI56">
            <v>59.4</v>
          </cell>
          <cell r="DJ56">
            <v>11964058543.799999</v>
          </cell>
          <cell r="DK56">
            <v>14589910620</v>
          </cell>
          <cell r="DM56">
            <v>2683468000</v>
          </cell>
          <cell r="DN56" t="str">
            <v>NULL</v>
          </cell>
          <cell r="DO56" t="str">
            <v>NULL</v>
          </cell>
          <cell r="DP56">
            <v>76613000</v>
          </cell>
          <cell r="DQ56">
            <v>94820000</v>
          </cell>
          <cell r="DR56">
            <v>2512035000</v>
          </cell>
          <cell r="DS56">
            <v>4.7626957999390926</v>
          </cell>
          <cell r="DT56">
            <v>-4.1329999999999999E-2</v>
          </cell>
          <cell r="DU56">
            <v>-0.19958000000000001</v>
          </cell>
          <cell r="DV56">
            <v>0.19589999999999999</v>
          </cell>
          <cell r="DW56">
            <v>0.66852</v>
          </cell>
          <cell r="DX56">
            <v>0.62351000000000001</v>
          </cell>
          <cell r="DY56">
            <v>94.304822697310399</v>
          </cell>
          <cell r="DZ56">
            <v>0.59632842840814182</v>
          </cell>
          <cell r="EA56">
            <v>435220000</v>
          </cell>
          <cell r="EB56">
            <v>27.489680032627174</v>
          </cell>
          <cell r="EC56">
            <v>96.229410915622793</v>
          </cell>
          <cell r="ED56">
            <v>0.76051573386434801</v>
          </cell>
          <cell r="EE56">
            <v>0.65701088808763597</v>
          </cell>
          <cell r="EG56">
            <v>0.43699326904422053</v>
          </cell>
          <cell r="EH56">
            <v>3.4248761224468183E-2</v>
          </cell>
          <cell r="EK56" t="str">
            <v>NULL</v>
          </cell>
          <cell r="EM56">
            <v>-46.4271846789336</v>
          </cell>
          <cell r="EN56" t="str">
            <v>NULL</v>
          </cell>
        </row>
        <row r="57">
          <cell r="A57" t="str">
            <v>MORI</v>
          </cell>
          <cell r="B57" t="str">
            <v>MOR.BA</v>
          </cell>
          <cell r="C57" t="str">
            <v>MORIXE HERMANOS SACI SA</v>
          </cell>
          <cell r="D57">
            <v>43069</v>
          </cell>
          <cell r="E57">
            <v>78661420</v>
          </cell>
          <cell r="F57">
            <v>68987250</v>
          </cell>
          <cell r="G57">
            <v>1.1402300000000001</v>
          </cell>
          <cell r="H57">
            <v>0.87421000000000004</v>
          </cell>
          <cell r="I57">
            <v>0.75095000000000001</v>
          </cell>
          <cell r="J57">
            <v>0.58487</v>
          </cell>
          <cell r="K57">
            <v>4.3</v>
          </cell>
          <cell r="L57">
            <v>0</v>
          </cell>
          <cell r="M57">
            <v>0</v>
          </cell>
          <cell r="N57" t="str">
            <v>NULL</v>
          </cell>
          <cell r="O57">
            <v>0</v>
          </cell>
          <cell r="P57">
            <v>0</v>
          </cell>
          <cell r="Q57">
            <v>0</v>
          </cell>
          <cell r="S57">
            <v>181.03776876680001</v>
          </cell>
          <cell r="T57">
            <v>428.812154341</v>
          </cell>
          <cell r="U57">
            <v>43069</v>
          </cell>
          <cell r="V57">
            <v>242469220</v>
          </cell>
          <cell r="W57">
            <v>234240820</v>
          </cell>
          <cell r="X57">
            <v>192751380</v>
          </cell>
          <cell r="Y57">
            <v>199760100</v>
          </cell>
          <cell r="Z57">
            <v>54452400</v>
          </cell>
          <cell r="AA57">
            <v>4.4528656220846097</v>
          </cell>
          <cell r="AC57">
            <v>62935240</v>
          </cell>
          <cell r="AD57">
            <v>33844120</v>
          </cell>
          <cell r="AE57">
            <v>37844240</v>
          </cell>
          <cell r="AF57">
            <v>36544810</v>
          </cell>
          <cell r="AG57">
            <v>0.98455874175728098</v>
          </cell>
          <cell r="AH57">
            <v>39006540</v>
          </cell>
          <cell r="AI57">
            <v>40996800</v>
          </cell>
          <cell r="AJ57">
            <v>32519900</v>
          </cell>
          <cell r="AK57">
            <v>21976780</v>
          </cell>
          <cell r="AL57">
            <v>55190980</v>
          </cell>
          <cell r="AM57">
            <v>33096690</v>
          </cell>
          <cell r="AN57">
            <v>38225890</v>
          </cell>
          <cell r="AO57">
            <v>38385790</v>
          </cell>
          <cell r="AP57">
            <v>74.427987890795208</v>
          </cell>
          <cell r="AQ57">
            <v>22930470</v>
          </cell>
          <cell r="AR57">
            <v>9150520</v>
          </cell>
          <cell r="AS57">
            <v>7261360</v>
          </cell>
          <cell r="AT57">
            <v>14684120</v>
          </cell>
          <cell r="AU57">
            <v>28.801549231543369</v>
          </cell>
          <cell r="AV57">
            <v>18352150</v>
          </cell>
          <cell r="AW57">
            <v>14481140</v>
          </cell>
          <cell r="AX57">
            <v>4490630</v>
          </cell>
          <cell r="AY57">
            <v>10351700</v>
          </cell>
          <cell r="AZ57">
            <v>26.382155690728922</v>
          </cell>
          <cell r="BA57">
            <v>-19.244282968522917</v>
          </cell>
          <cell r="BC57">
            <v>0.24385999999999999</v>
          </cell>
          <cell r="BD57">
            <v>-38.224049999999998</v>
          </cell>
          <cell r="BE57">
            <v>-39.809240000000003</v>
          </cell>
          <cell r="BF57">
            <v>-10471040</v>
          </cell>
          <cell r="BG57">
            <v>-19097660</v>
          </cell>
          <cell r="BH57">
            <v>-34041390</v>
          </cell>
          <cell r="BI57">
            <v>-11842240</v>
          </cell>
          <cell r="BJ57">
            <v>-0.44080756490055611</v>
          </cell>
          <cell r="BK57">
            <v>-2625720</v>
          </cell>
          <cell r="BL57">
            <v>-10684810</v>
          </cell>
          <cell r="BM57">
            <v>-25310</v>
          </cell>
          <cell r="BN57">
            <v>-19700</v>
          </cell>
          <cell r="BO57">
            <v>-3100</v>
          </cell>
          <cell r="BP57">
            <v>-2647930</v>
          </cell>
          <cell r="BQ57">
            <v>-78112590</v>
          </cell>
          <cell r="BR57">
            <v>-38702730</v>
          </cell>
          <cell r="BS57">
            <v>-23913440</v>
          </cell>
          <cell r="BT57">
            <v>-32339550</v>
          </cell>
          <cell r="BU57">
            <v>-29075330</v>
          </cell>
          <cell r="BV57">
            <v>-72950700</v>
          </cell>
          <cell r="BW57">
            <v>-0.44166227868798924</v>
          </cell>
          <cell r="BX57">
            <v>-0.34721795659177879</v>
          </cell>
          <cell r="BY57">
            <v>54452400</v>
          </cell>
          <cell r="BZ57">
            <v>24923440</v>
          </cell>
          <cell r="CA57">
            <v>-5978900</v>
          </cell>
          <cell r="CB57">
            <v>-23858140</v>
          </cell>
          <cell r="CC57" t="str">
            <v>NULL</v>
          </cell>
          <cell r="CD57" t="str">
            <v>NULL</v>
          </cell>
          <cell r="CE57" t="str">
            <v>NULL</v>
          </cell>
          <cell r="CF57" t="str">
            <v>NULL</v>
          </cell>
          <cell r="CG57" t="str">
            <v>NULL</v>
          </cell>
          <cell r="CH57" t="str">
            <v>NULL</v>
          </cell>
          <cell r="CI57" t="str">
            <v>NULL</v>
          </cell>
          <cell r="CJ57" t="str">
            <v>NULL</v>
          </cell>
          <cell r="CK57">
            <v>54452400</v>
          </cell>
          <cell r="CL57">
            <v>24923440</v>
          </cell>
          <cell r="CM57">
            <v>-5978900</v>
          </cell>
          <cell r="CN57">
            <v>-23858140</v>
          </cell>
          <cell r="CO57">
            <v>-6.0923825365168316</v>
          </cell>
          <cell r="CP57">
            <v>-10471040</v>
          </cell>
          <cell r="CQ57">
            <v>-7423370</v>
          </cell>
          <cell r="CR57">
            <v>-62830450</v>
          </cell>
          <cell r="CS57">
            <v>-55623620</v>
          </cell>
          <cell r="CT57">
            <v>-29548010</v>
          </cell>
          <cell r="CU57">
            <v>-24774690</v>
          </cell>
          <cell r="CV57">
            <v>-28684740</v>
          </cell>
          <cell r="CW57">
            <v>-20624270</v>
          </cell>
          <cell r="CX57">
            <v>-0.41055073369642092</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4.4000000000000004</v>
          </cell>
          <cell r="DJ57">
            <v>206368879.19999999</v>
          </cell>
          <cell r="DK57">
            <v>316157993.69999999</v>
          </cell>
          <cell r="DM57">
            <v>54452400</v>
          </cell>
          <cell r="DN57" t="str">
            <v>NULL</v>
          </cell>
          <cell r="DO57" t="str">
            <v>NULL</v>
          </cell>
          <cell r="DP57">
            <v>1007350</v>
          </cell>
          <cell r="DQ57" t="str">
            <v>NULL</v>
          </cell>
          <cell r="DR57">
            <v>53445050</v>
          </cell>
          <cell r="DS57">
            <v>3.8613282090670697</v>
          </cell>
          <cell r="DT57">
            <v>-0.22325</v>
          </cell>
          <cell r="DU57">
            <v>-0.40717999999999999</v>
          </cell>
          <cell r="DV57">
            <v>-0.7258</v>
          </cell>
          <cell r="DW57">
            <v>-0.25248999999999999</v>
          </cell>
          <cell r="DX57">
            <v>-1.6087199999999999</v>
          </cell>
          <cell r="DY57">
            <v>-2.6729325177781091</v>
          </cell>
          <cell r="DZ57">
            <v>1.2056481637002996</v>
          </cell>
          <cell r="EA57">
            <v>-75598630</v>
          </cell>
          <cell r="EB57">
            <v>-2.7297965479004049</v>
          </cell>
          <cell r="EC57" t="str">
            <v>NULL</v>
          </cell>
          <cell r="ED57">
            <v>1.0952366843315899</v>
          </cell>
          <cell r="EE57">
            <v>1.01854881237101</v>
          </cell>
          <cell r="EG57">
            <v>0.54445185921625605</v>
          </cell>
          <cell r="EH57">
            <v>-9.0573918636191575E-2</v>
          </cell>
          <cell r="EK57" t="str">
            <v>NULL</v>
          </cell>
          <cell r="EM57">
            <v>-2.9782825371351498</v>
          </cell>
          <cell r="EN57" t="str">
            <v>NULL</v>
          </cell>
        </row>
        <row r="58">
          <cell r="A58" t="str">
            <v>OEST</v>
          </cell>
          <cell r="B58" t="str">
            <v>OEST.BA</v>
          </cell>
          <cell r="C58" t="str">
            <v>GRUPO CONCESIONARIO DEL OESTE S.A.</v>
          </cell>
          <cell r="D58">
            <v>43008</v>
          </cell>
          <cell r="E58">
            <v>693699370</v>
          </cell>
          <cell r="F58">
            <v>467680750</v>
          </cell>
          <cell r="G58">
            <v>1.4832799999999999</v>
          </cell>
          <cell r="H58">
            <v>1.4457100000000001</v>
          </cell>
          <cell r="I58">
            <v>1.71641</v>
          </cell>
          <cell r="J58">
            <v>1.6720200000000001</v>
          </cell>
          <cell r="K58">
            <v>33.65</v>
          </cell>
          <cell r="L58">
            <v>0.9375</v>
          </cell>
          <cell r="M58">
            <v>0.48168</v>
          </cell>
          <cell r="N58">
            <v>0</v>
          </cell>
          <cell r="O58">
            <v>0</v>
          </cell>
          <cell r="P58">
            <v>1.4191799999999999</v>
          </cell>
          <cell r="Q58">
            <v>4.2174739970282316E-2</v>
          </cell>
          <cell r="S58">
            <v>0</v>
          </cell>
          <cell r="T58">
            <v>0</v>
          </cell>
          <cell r="U58">
            <v>43008</v>
          </cell>
          <cell r="V58">
            <v>881282440</v>
          </cell>
          <cell r="W58">
            <v>865914350</v>
          </cell>
          <cell r="X58">
            <v>856352010</v>
          </cell>
          <cell r="Y58">
            <v>761673040</v>
          </cell>
          <cell r="Z58">
            <v>307445140</v>
          </cell>
          <cell r="AA58">
            <v>2.8664705514616364</v>
          </cell>
          <cell r="AC58">
            <v>486517620</v>
          </cell>
          <cell r="AD58">
            <v>431739690</v>
          </cell>
          <cell r="AE58">
            <v>379657290</v>
          </cell>
          <cell r="AF58">
            <v>326643820</v>
          </cell>
          <cell r="AG58">
            <v>2.4137155519356615</v>
          </cell>
          <cell r="AH58">
            <v>95874660</v>
          </cell>
          <cell r="AI58">
            <v>71932990</v>
          </cell>
          <cell r="AJ58">
            <v>54049500</v>
          </cell>
          <cell r="AK58">
            <v>66092210</v>
          </cell>
          <cell r="AL58">
            <v>284882000</v>
          </cell>
          <cell r="AM58">
            <v>251173440</v>
          </cell>
          <cell r="AN58">
            <v>224418750</v>
          </cell>
          <cell r="AO58">
            <v>244055400</v>
          </cell>
          <cell r="AP58">
            <v>26.156899071534568</v>
          </cell>
          <cell r="AQ58">
            <v>134214210</v>
          </cell>
          <cell r="AR58">
            <v>117352380</v>
          </cell>
          <cell r="AS58">
            <v>105439020</v>
          </cell>
          <cell r="AT58">
            <v>72610830</v>
          </cell>
          <cell r="AU58">
            <v>24.131172918976961</v>
          </cell>
          <cell r="AV58">
            <v>17569630</v>
          </cell>
          <cell r="AW58">
            <v>17119100</v>
          </cell>
          <cell r="AX58">
            <v>13683490</v>
          </cell>
          <cell r="AY58">
            <v>14094290</v>
          </cell>
          <cell r="AZ58">
            <v>5.6743664838185603</v>
          </cell>
          <cell r="BA58">
            <v>3.6486403312609532</v>
          </cell>
          <cell r="BC58">
            <v>29.60698</v>
          </cell>
          <cell r="BD58">
            <v>14.451560000000001</v>
          </cell>
          <cell r="BE58">
            <v>13.53623</v>
          </cell>
          <cell r="BF58">
            <v>98566590</v>
          </cell>
          <cell r="BG58">
            <v>87493240</v>
          </cell>
          <cell r="BH58">
            <v>74819190</v>
          </cell>
          <cell r="BI58">
            <v>33845870</v>
          </cell>
          <cell r="BJ58">
            <v>0.18141846200889469</v>
          </cell>
          <cell r="BK58">
            <v>-6341070</v>
          </cell>
          <cell r="BL58">
            <v>-2373120</v>
          </cell>
          <cell r="BM58">
            <v>-589160</v>
          </cell>
          <cell r="BN58">
            <v>-9752220</v>
          </cell>
          <cell r="BO58">
            <v>-7544670</v>
          </cell>
          <cell r="BP58">
            <v>614440</v>
          </cell>
          <cell r="BQ58">
            <v>368092540</v>
          </cell>
          <cell r="BR58">
            <v>187433470</v>
          </cell>
          <cell r="BS58">
            <v>86150150</v>
          </cell>
          <cell r="BT58">
            <v>357325470</v>
          </cell>
          <cell r="BU58">
            <v>254461240</v>
          </cell>
          <cell r="BV58">
            <v>199781450</v>
          </cell>
          <cell r="BW58">
            <v>0.12335406811655317</v>
          </cell>
          <cell r="BX58">
            <v>0.35031852758925397</v>
          </cell>
          <cell r="BY58">
            <v>307445140</v>
          </cell>
          <cell r="BZ58">
            <v>358878540</v>
          </cell>
          <cell r="CA58">
            <v>348453970</v>
          </cell>
          <cell r="CB58">
            <v>273634780</v>
          </cell>
          <cell r="CC58" t="str">
            <v>NULL</v>
          </cell>
          <cell r="CD58" t="str">
            <v>NULL</v>
          </cell>
          <cell r="CE58" t="str">
            <v>NULL</v>
          </cell>
          <cell r="CF58" t="str">
            <v>NULL</v>
          </cell>
          <cell r="CG58" t="str">
            <v>NULL</v>
          </cell>
          <cell r="CH58" t="str">
            <v>NULL</v>
          </cell>
          <cell r="CI58" t="str">
            <v>NULL</v>
          </cell>
          <cell r="CJ58" t="str">
            <v>NULL</v>
          </cell>
          <cell r="CK58">
            <v>307445140</v>
          </cell>
          <cell r="CL58">
            <v>358878540</v>
          </cell>
          <cell r="CM58">
            <v>348453970</v>
          </cell>
          <cell r="CN58">
            <v>273634780</v>
          </cell>
          <cell r="CO58">
            <v>0.91500169708856349</v>
          </cell>
          <cell r="CP58">
            <v>98566590</v>
          </cell>
          <cell r="CQ58">
            <v>40383520</v>
          </cell>
          <cell r="CR58">
            <v>164415460</v>
          </cell>
          <cell r="CS58">
            <v>66712660</v>
          </cell>
          <cell r="CT58">
            <v>30222120</v>
          </cell>
          <cell r="CU58">
            <v>63788270</v>
          </cell>
          <cell r="CV58">
            <v>59125540</v>
          </cell>
          <cell r="CW58">
            <v>26100850</v>
          </cell>
          <cell r="CX58">
            <v>1.4407627170687447</v>
          </cell>
          <cell r="CY58">
            <v>0.69797308676844372</v>
          </cell>
          <cell r="CZ58">
            <v>1.4645316196356135</v>
          </cell>
          <cell r="DA58">
            <v>1.2074116574217824</v>
          </cell>
          <cell r="DB58">
            <v>-0.52621195088062422</v>
          </cell>
          <cell r="DC58">
            <v>7.8861520757357972E-2</v>
          </cell>
          <cell r="DD58">
            <v>1.2652725869080892</v>
          </cell>
          <cell r="DE58">
            <v>0.8733407842892752</v>
          </cell>
          <cell r="DG58">
            <v>10.659750737608</v>
          </cell>
          <cell r="DH58">
            <v>160000000</v>
          </cell>
          <cell r="DI58">
            <v>32.9</v>
          </cell>
          <cell r="DJ58">
            <v>5264000000</v>
          </cell>
          <cell r="DK58">
            <v>5195849469.9999905</v>
          </cell>
          <cell r="DM58">
            <v>307445140</v>
          </cell>
          <cell r="DN58" t="str">
            <v>NULL</v>
          </cell>
          <cell r="DO58" t="str">
            <v>NULL</v>
          </cell>
          <cell r="DP58">
            <v>135761070</v>
          </cell>
          <cell r="DQ58" t="str">
            <v>NULL</v>
          </cell>
          <cell r="DR58">
            <v>171684070</v>
          </cell>
          <cell r="DS58">
            <v>30.660969302510129</v>
          </cell>
          <cell r="DT58">
            <v>0.61604000000000003</v>
          </cell>
          <cell r="DU58">
            <v>0.54683000000000004</v>
          </cell>
          <cell r="DV58">
            <v>0.46761999999999998</v>
          </cell>
          <cell r="DW58">
            <v>0.21154000000000001</v>
          </cell>
          <cell r="DX58">
            <v>1.8420300000000001</v>
          </cell>
          <cell r="DY58">
            <v>18.26788923090286</v>
          </cell>
          <cell r="DZ58">
            <v>3.2402651300160694</v>
          </cell>
          <cell r="EA58">
            <v>200395890</v>
          </cell>
          <cell r="EB58">
            <v>26.268003799878329</v>
          </cell>
          <cell r="EC58">
            <v>19.435079776116599</v>
          </cell>
          <cell r="ED58">
            <v>1.1223058663148699</v>
          </cell>
          <cell r="EE58">
            <v>1.0618170310985999</v>
          </cell>
          <cell r="EG58">
            <v>0.40586006396372359</v>
          </cell>
          <cell r="EH58">
            <v>0.27384467186054118</v>
          </cell>
          <cell r="EK58">
            <v>2.13427638519553</v>
          </cell>
          <cell r="EM58">
            <v>17.561859696806099</v>
          </cell>
          <cell r="EN58">
            <v>17.462710801699998</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210900000</v>
          </cell>
          <cell r="DK59" t="str">
            <v>NULL</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cell r="EM59" t="str">
            <v>NaN</v>
          </cell>
          <cell r="EN59" t="str">
            <v>NULL</v>
          </cell>
        </row>
        <row r="60">
          <cell r="A60" t="str">
            <v>PAMP</v>
          </cell>
          <cell r="B60" t="str">
            <v>PAM.BA</v>
          </cell>
          <cell r="C60" t="str">
            <v>PAMPA ENERGIA SA</v>
          </cell>
          <cell r="D60">
            <v>43008</v>
          </cell>
          <cell r="E60">
            <v>32834000000</v>
          </cell>
          <cell r="F60">
            <v>25906000000</v>
          </cell>
          <cell r="G60">
            <v>1.2674300000000001</v>
          </cell>
          <cell r="H60">
            <v>1.1070800000000001</v>
          </cell>
          <cell r="I60">
            <v>1.256</v>
          </cell>
          <cell r="J60">
            <v>1.0854900000000001</v>
          </cell>
          <cell r="K60">
            <v>49.5</v>
          </cell>
          <cell r="L60">
            <v>0</v>
          </cell>
          <cell r="M60">
            <v>0</v>
          </cell>
          <cell r="N60">
            <v>0</v>
          </cell>
          <cell r="O60">
            <v>0</v>
          </cell>
          <cell r="P60">
            <v>0</v>
          </cell>
          <cell r="Q60">
            <v>0</v>
          </cell>
          <cell r="S60">
            <v>265.63482635700001</v>
          </cell>
          <cell r="T60">
            <v>266.728682171</v>
          </cell>
          <cell r="U60">
            <v>43008</v>
          </cell>
          <cell r="V60">
            <v>94590000000</v>
          </cell>
          <cell r="W60">
            <v>88211000000</v>
          </cell>
          <cell r="X60">
            <v>85671000000</v>
          </cell>
          <cell r="Y60">
            <v>77277000000</v>
          </cell>
          <cell r="Z60">
            <v>14311000000</v>
          </cell>
          <cell r="AA60">
            <v>6.609601006218992</v>
          </cell>
          <cell r="AC60">
            <v>17357000000</v>
          </cell>
          <cell r="AD60">
            <v>15635000000</v>
          </cell>
          <cell r="AE60">
            <v>15166000000</v>
          </cell>
          <cell r="AF60">
            <v>13014900490</v>
          </cell>
          <cell r="AG60">
            <v>0.88464309196344715</v>
          </cell>
          <cell r="AH60">
            <v>13595000000</v>
          </cell>
          <cell r="AI60">
            <v>13660000000</v>
          </cell>
          <cell r="AJ60">
            <v>12552000000</v>
          </cell>
          <cell r="AK60">
            <v>12574000000</v>
          </cell>
          <cell r="AL60">
            <v>11914000000</v>
          </cell>
          <cell r="AM60">
            <v>11334000000</v>
          </cell>
          <cell r="AN60">
            <v>10532000000</v>
          </cell>
          <cell r="AO60">
            <v>9085307270</v>
          </cell>
          <cell r="AP60">
            <v>111.50663682154914</v>
          </cell>
          <cell r="AQ60">
            <v>10888000000</v>
          </cell>
          <cell r="AR60">
            <v>10354000000</v>
          </cell>
          <cell r="AS60">
            <v>10096000000</v>
          </cell>
          <cell r="AT60">
            <v>8904000000</v>
          </cell>
          <cell r="AU60">
            <v>60.027928553106285</v>
          </cell>
          <cell r="AV60">
            <v>4154000000</v>
          </cell>
          <cell r="AW60">
            <v>3917000000</v>
          </cell>
          <cell r="AX60">
            <v>3577000000</v>
          </cell>
          <cell r="AY60">
            <v>3360000000</v>
          </cell>
          <cell r="AZ60">
            <v>31.948447059388126</v>
          </cell>
          <cell r="BA60">
            <v>-19.530261209054729</v>
          </cell>
          <cell r="BC60">
            <v>37.092190000000002</v>
          </cell>
          <cell r="BD60">
            <v>7.0810000000000004</v>
          </cell>
          <cell r="BE60">
            <v>-3.5150000000000001E-2</v>
          </cell>
          <cell r="BF60">
            <v>1284000000</v>
          </cell>
          <cell r="BG60">
            <v>-91000000</v>
          </cell>
          <cell r="BH60">
            <v>1901000000</v>
          </cell>
          <cell r="BI60">
            <v>981921000</v>
          </cell>
          <cell r="BJ60">
            <v>6.6629520054657124E-2</v>
          </cell>
          <cell r="BK60">
            <v>-9217000000</v>
          </cell>
          <cell r="BL60">
            <v>-5959000000</v>
          </cell>
          <cell r="BM60">
            <v>-1861000000</v>
          </cell>
          <cell r="BN60">
            <v>-7188000000</v>
          </cell>
          <cell r="BO60">
            <v>-3957731250</v>
          </cell>
          <cell r="BP60">
            <v>-7120268750</v>
          </cell>
          <cell r="BQ60">
            <v>6049000000</v>
          </cell>
          <cell r="BR60">
            <v>2000000000</v>
          </cell>
          <cell r="BS60">
            <v>-719000000</v>
          </cell>
          <cell r="BT60">
            <v>5979000000</v>
          </cell>
          <cell r="BU60">
            <v>2503733180</v>
          </cell>
          <cell r="BV60">
            <v>2826266820</v>
          </cell>
          <cell r="BW60">
            <v>-7.0194512530952255E-2</v>
          </cell>
          <cell r="BX60">
            <v>4.7154681575362477E-2</v>
          </cell>
          <cell r="BY60">
            <v>14311000000</v>
          </cell>
          <cell r="BZ60">
            <v>12900000000</v>
          </cell>
          <cell r="CA60">
            <v>12807000000</v>
          </cell>
          <cell r="CB60">
            <v>11054000000</v>
          </cell>
          <cell r="CC60" t="str">
            <v>NULL</v>
          </cell>
          <cell r="CD60" t="str">
            <v>NULL</v>
          </cell>
          <cell r="CE60" t="str">
            <v>NULL</v>
          </cell>
          <cell r="CF60" t="str">
            <v>NULL</v>
          </cell>
          <cell r="CG60" t="str">
            <v>NULL</v>
          </cell>
          <cell r="CH60" t="str">
            <v>NULL</v>
          </cell>
          <cell r="CI60" t="str">
            <v>NULL</v>
          </cell>
          <cell r="CJ60" t="str">
            <v>NULL</v>
          </cell>
          <cell r="CK60">
            <v>14311000000</v>
          </cell>
          <cell r="CL60">
            <v>12900000000</v>
          </cell>
          <cell r="CM60">
            <v>12807000000</v>
          </cell>
          <cell r="CN60">
            <v>11054000000</v>
          </cell>
          <cell r="CO60">
            <v>0.31922940162907271</v>
          </cell>
          <cell r="CP60">
            <v>1284000000</v>
          </cell>
          <cell r="CQ60">
            <v>-932000000</v>
          </cell>
          <cell r="CR60">
            <v>-11000000</v>
          </cell>
          <cell r="CS60">
            <v>3065089420</v>
          </cell>
          <cell r="CT60">
            <v>743159360</v>
          </cell>
          <cell r="CU60">
            <v>412942130</v>
          </cell>
          <cell r="CV60">
            <v>-680760780</v>
          </cell>
          <cell r="CW60">
            <v>-635420560</v>
          </cell>
          <cell r="CX60">
            <v>2.3776824034334765</v>
          </cell>
          <cell r="CY60">
            <v>0.89114384192973295</v>
          </cell>
          <cell r="CZ60">
            <v>-1.0035888023129844</v>
          </cell>
          <cell r="DA60">
            <v>3.1244039770958416</v>
          </cell>
          <cell r="DB60">
            <v>0.7996695081705516</v>
          </cell>
          <cell r="DC60">
            <v>1.6065891898178974</v>
          </cell>
          <cell r="DD60">
            <v>-7.135466312264116E-2</v>
          </cell>
          <cell r="DE60">
            <v>1.5830426081016189</v>
          </cell>
          <cell r="DG60">
            <v>7.9719242454800598</v>
          </cell>
          <cell r="DH60">
            <v>1836494690</v>
          </cell>
          <cell r="DI60">
            <v>49</v>
          </cell>
          <cell r="DJ60">
            <v>89988239810</v>
          </cell>
          <cell r="DK60">
            <v>121837682907</v>
          </cell>
          <cell r="DM60">
            <v>14311000000</v>
          </cell>
          <cell r="DN60" t="str">
            <v>NULL</v>
          </cell>
          <cell r="DO60" t="str">
            <v>NULL</v>
          </cell>
          <cell r="DP60">
            <v>910000000</v>
          </cell>
          <cell r="DQ60">
            <v>999000000</v>
          </cell>
          <cell r="DR60">
            <v>12402000000</v>
          </cell>
          <cell r="DS60">
            <v>7.2559457998709886</v>
          </cell>
          <cell r="DT60">
            <v>0.66322000000000003</v>
          </cell>
          <cell r="DU60">
            <v>-4.7E-2</v>
          </cell>
          <cell r="DV60">
            <v>1.03654</v>
          </cell>
          <cell r="DW60">
            <v>0.57901000000000002</v>
          </cell>
          <cell r="DX60">
            <v>2.23177</v>
          </cell>
          <cell r="DY60">
            <v>22.179704897906145</v>
          </cell>
          <cell r="DZ60">
            <v>1.471047458747039</v>
          </cell>
          <cell r="EA60">
            <v>-4294001930</v>
          </cell>
          <cell r="EB60">
            <v>-20.956730173151087</v>
          </cell>
          <cell r="EC60">
            <v>22.538164775043999</v>
          </cell>
          <cell r="ED60">
            <v>1.1438955503533901</v>
          </cell>
          <cell r="EE60">
            <v>1.2100846941421</v>
          </cell>
          <cell r="EG60">
            <v>0.44617191151787911</v>
          </cell>
          <cell r="EH60">
            <v>0.14012688492233827</v>
          </cell>
          <cell r="EK60">
            <v>0</v>
          </cell>
          <cell r="EM60">
            <v>-44.6838470286445</v>
          </cell>
          <cell r="EN60" t="str">
            <v>NULL</v>
          </cell>
        </row>
        <row r="61">
          <cell r="A61" t="str">
            <v>PATA</v>
          </cell>
          <cell r="B61" t="str">
            <v>PAT.BA</v>
          </cell>
          <cell r="C61" t="str">
            <v>IMPORTADORA Y EXPORTADORA DE LA PATAGONIA SA</v>
          </cell>
          <cell r="D61">
            <v>43008</v>
          </cell>
          <cell r="E61">
            <v>6685338000</v>
          </cell>
          <cell r="F61">
            <v>5659849000</v>
          </cell>
          <cell r="G61">
            <v>1.18119</v>
          </cell>
          <cell r="H61">
            <v>0.62107999999999997</v>
          </cell>
          <cell r="I61">
            <v>1.2380599999999999</v>
          </cell>
          <cell r="J61">
            <v>0.62836000000000003</v>
          </cell>
          <cell r="K61">
            <v>26.5</v>
          </cell>
          <cell r="L61">
            <v>0</v>
          </cell>
          <cell r="M61">
            <v>0</v>
          </cell>
          <cell r="N61">
            <v>0</v>
          </cell>
          <cell r="O61">
            <v>0.2</v>
          </cell>
          <cell r="P61">
            <v>0.2</v>
          </cell>
          <cell r="Q61">
            <v>7.5471698113207548E-3</v>
          </cell>
          <cell r="S61">
            <v>93.396257392999999</v>
          </cell>
          <cell r="T61">
            <v>87.330278664999994</v>
          </cell>
          <cell r="U61">
            <v>43008</v>
          </cell>
          <cell r="V61">
            <v>9353147000</v>
          </cell>
          <cell r="W61">
            <v>8517510000</v>
          </cell>
          <cell r="X61">
            <v>8527594000</v>
          </cell>
          <cell r="Y61">
            <v>8137059000</v>
          </cell>
          <cell r="Z61">
            <v>2619030000</v>
          </cell>
          <cell r="AA61">
            <v>3.5712256064268071</v>
          </cell>
          <cell r="AC61">
            <v>8402329000</v>
          </cell>
          <cell r="AD61">
            <v>7770731000</v>
          </cell>
          <cell r="AE61">
            <v>7657779000</v>
          </cell>
          <cell r="AF61">
            <v>7927489000</v>
          </cell>
          <cell r="AG61">
            <v>4.5979446036997631</v>
          </cell>
          <cell r="AH61">
            <v>3108749000</v>
          </cell>
          <cell r="AI61">
            <v>2510239000</v>
          </cell>
          <cell r="AJ61">
            <v>2614979000</v>
          </cell>
          <cell r="AK61">
            <v>2779897000</v>
          </cell>
          <cell r="AL61">
            <v>5760397000</v>
          </cell>
          <cell r="AM61">
            <v>5319399000</v>
          </cell>
          <cell r="AN61">
            <v>5262488000</v>
          </cell>
          <cell r="AO61">
            <v>5449278000</v>
          </cell>
          <cell r="AP61">
            <v>46.119460826167483</v>
          </cell>
          <cell r="AQ61">
            <v>2675298000</v>
          </cell>
          <cell r="AR61">
            <v>2245416000</v>
          </cell>
          <cell r="AS61">
            <v>2246208000</v>
          </cell>
          <cell r="AT61">
            <v>1960645000</v>
          </cell>
          <cell r="AU61">
            <v>26.225892268320926</v>
          </cell>
          <cell r="AV61">
            <v>3170101000</v>
          </cell>
          <cell r="AW61">
            <v>2937029000</v>
          </cell>
          <cell r="AX61">
            <v>3002899000</v>
          </cell>
          <cell r="AY61">
            <v>2986652000</v>
          </cell>
          <cell r="AZ61">
            <v>50.653649391906825</v>
          </cell>
          <cell r="BA61">
            <v>30.760080834060261</v>
          </cell>
          <cell r="BC61">
            <v>31.228590000000001</v>
          </cell>
          <cell r="BD61">
            <v>2.0658599999999998</v>
          </cell>
          <cell r="BE61">
            <v>0.97391000000000005</v>
          </cell>
          <cell r="BF61">
            <v>-19118000</v>
          </cell>
          <cell r="BG61">
            <v>-36007000</v>
          </cell>
          <cell r="BH61">
            <v>129289000</v>
          </cell>
          <cell r="BI61">
            <v>123002000</v>
          </cell>
          <cell r="BJ61">
            <v>6.2083243173255221E-3</v>
          </cell>
          <cell r="BK61">
            <v>-122758000</v>
          </cell>
          <cell r="BL61">
            <v>-481098000</v>
          </cell>
          <cell r="BM61">
            <v>-441557000</v>
          </cell>
          <cell r="BN61">
            <v>-338643000</v>
          </cell>
          <cell r="BO61">
            <v>-159200000</v>
          </cell>
          <cell r="BP61">
            <v>-405115000</v>
          </cell>
          <cell r="BQ61">
            <v>179496000</v>
          </cell>
          <cell r="BR61">
            <v>490769000</v>
          </cell>
          <cell r="BS61">
            <v>257146000</v>
          </cell>
          <cell r="BT61">
            <v>247657000</v>
          </cell>
          <cell r="BU61">
            <v>71810000</v>
          </cell>
          <cell r="BV61">
            <v>364832000</v>
          </cell>
          <cell r="BW61">
            <v>-1.268423199105444E-3</v>
          </cell>
          <cell r="BX61">
            <v>2.2836453473271269E-2</v>
          </cell>
          <cell r="BY61">
            <v>2619030000</v>
          </cell>
          <cell r="BZ61">
            <v>2638148000</v>
          </cell>
          <cell r="CA61">
            <v>2674155000</v>
          </cell>
          <cell r="CB61">
            <v>2544866000</v>
          </cell>
          <cell r="CC61" t="str">
            <v>NULL</v>
          </cell>
          <cell r="CD61" t="str">
            <v>NULL</v>
          </cell>
          <cell r="CE61" t="str">
            <v>NULL</v>
          </cell>
          <cell r="CF61" t="str">
            <v>NULL</v>
          </cell>
          <cell r="CG61" t="str">
            <v>NULL</v>
          </cell>
          <cell r="CH61" t="str">
            <v>NULL</v>
          </cell>
          <cell r="CI61" t="str">
            <v>NULL</v>
          </cell>
          <cell r="CJ61" t="str">
            <v>NULL</v>
          </cell>
          <cell r="CK61">
            <v>2619030000</v>
          </cell>
          <cell r="CL61">
            <v>2638148000</v>
          </cell>
          <cell r="CM61">
            <v>2674155000</v>
          </cell>
          <cell r="CN61">
            <v>2544866000</v>
          </cell>
          <cell r="CO61">
            <v>7.5281502384595786E-2</v>
          </cell>
          <cell r="CP61">
            <v>-19118000</v>
          </cell>
          <cell r="CQ61">
            <v>81332000</v>
          </cell>
          <cell r="CR61">
            <v>297616000</v>
          </cell>
          <cell r="CS61">
            <v>586144000</v>
          </cell>
          <cell r="CT61">
            <v>502796000</v>
          </cell>
          <cell r="CU61">
            <v>458824000</v>
          </cell>
          <cell r="CV61">
            <v>197071610</v>
          </cell>
          <cell r="CW61">
            <v>156953760</v>
          </cell>
          <cell r="CX61">
            <v>-1.2350612305119757</v>
          </cell>
          <cell r="CY61">
            <v>0.27063404161498239</v>
          </cell>
          <cell r="CZ61">
            <v>-0.49224763880548128</v>
          </cell>
          <cell r="DA61">
            <v>0.16576901964216106</v>
          </cell>
          <cell r="DB61">
            <v>9.5836311962756993E-2</v>
          </cell>
          <cell r="DC61">
            <v>1.3282095274910475</v>
          </cell>
          <cell r="DD61">
            <v>0.25560298778442769</v>
          </cell>
          <cell r="DE61">
            <v>0.6599680330045038</v>
          </cell>
          <cell r="DG61">
            <v>24.395946726106899</v>
          </cell>
          <cell r="DH61">
            <v>500000000</v>
          </cell>
          <cell r="DI61">
            <v>26.5</v>
          </cell>
          <cell r="DJ61">
            <v>13250000000</v>
          </cell>
          <cell r="DK61">
            <v>15804231000</v>
          </cell>
          <cell r="DM61">
            <v>2619030000</v>
          </cell>
          <cell r="DN61" t="str">
            <v>NULL</v>
          </cell>
          <cell r="DO61" t="str">
            <v>NULL</v>
          </cell>
          <cell r="DP61">
            <v>6613000</v>
          </cell>
          <cell r="DQ61">
            <v>19873000</v>
          </cell>
          <cell r="DR61">
            <v>2592544000</v>
          </cell>
          <cell r="DS61">
            <v>5.1108100768974412</v>
          </cell>
          <cell r="DT61">
            <v>-3.8240000000000003E-2</v>
          </cell>
          <cell r="DU61">
            <v>-7.2010000000000005E-2</v>
          </cell>
          <cell r="DV61">
            <v>0.25857999999999998</v>
          </cell>
          <cell r="DW61">
            <v>0.246</v>
          </cell>
          <cell r="DX61">
            <v>0.39432999999999996</v>
          </cell>
          <cell r="DY61">
            <v>67.202596809778612</v>
          </cell>
          <cell r="DZ61">
            <v>0.41721339989939016</v>
          </cell>
          <cell r="EA61">
            <v>-40283000</v>
          </cell>
          <cell r="EB61">
            <v>-328.92287068986917</v>
          </cell>
          <cell r="EC61">
            <v>68.470570334491399</v>
          </cell>
          <cell r="ED61">
            <v>-1.8188200521799001E-2</v>
          </cell>
          <cell r="EE61">
            <v>0.143530179052615</v>
          </cell>
          <cell r="EG61">
            <v>0.31834586511910362</v>
          </cell>
          <cell r="EH61">
            <v>7.092844038616164E-2</v>
          </cell>
          <cell r="EK61">
            <v>0.51111111111111096</v>
          </cell>
          <cell r="EM61">
            <v>-1956.0077245884299</v>
          </cell>
          <cell r="EN61" t="str">
            <v>NULL</v>
          </cell>
        </row>
        <row r="62">
          <cell r="A62" t="str">
            <v>PATY</v>
          </cell>
          <cell r="B62" t="str">
            <v>QUI.BA</v>
          </cell>
          <cell r="C62" t="str">
            <v>QUICKFOOD SA</v>
          </cell>
          <cell r="D62">
            <v>43008</v>
          </cell>
          <cell r="E62">
            <v>1462537000</v>
          </cell>
          <cell r="F62">
            <v>2547191000</v>
          </cell>
          <cell r="G62">
            <v>0.57418000000000002</v>
          </cell>
          <cell r="H62">
            <v>0.35483999999999999</v>
          </cell>
          <cell r="I62">
            <v>0.59638999999999998</v>
          </cell>
          <cell r="J62">
            <v>0.36606</v>
          </cell>
          <cell r="K62">
            <v>13.5</v>
          </cell>
          <cell r="L62">
            <v>0</v>
          </cell>
          <cell r="M62">
            <v>0</v>
          </cell>
          <cell r="N62">
            <v>0</v>
          </cell>
          <cell r="O62" t="str">
            <v>NULL</v>
          </cell>
          <cell r="P62">
            <v>0</v>
          </cell>
          <cell r="Q62">
            <v>0</v>
          </cell>
          <cell r="S62">
            <v>1051.180270026</v>
          </cell>
          <cell r="T62">
            <v>736.66122220600005</v>
          </cell>
          <cell r="U62">
            <v>43008</v>
          </cell>
          <cell r="V62">
            <v>3209500000</v>
          </cell>
          <cell r="W62">
            <v>3185750000</v>
          </cell>
          <cell r="X62">
            <v>3164991000</v>
          </cell>
          <cell r="Y62">
            <v>2957871000</v>
          </cell>
          <cell r="Z62">
            <v>137172000</v>
          </cell>
          <cell r="AA62">
            <v>23.397632169830576</v>
          </cell>
          <cell r="AC62">
            <v>1560813000</v>
          </cell>
          <cell r="AD62">
            <v>1335116000</v>
          </cell>
          <cell r="AE62">
            <v>1370932000</v>
          </cell>
          <cell r="AF62">
            <v>1305876000</v>
          </cell>
          <cell r="AG62">
            <v>2.2258619566695814</v>
          </cell>
          <cell r="AH62">
            <v>985383000</v>
          </cell>
          <cell r="AI62">
            <v>850004000</v>
          </cell>
          <cell r="AJ62">
            <v>750501000</v>
          </cell>
          <cell r="AK62">
            <v>559319000</v>
          </cell>
          <cell r="AL62">
            <v>1330910000</v>
          </cell>
          <cell r="AM62">
            <v>1189505000</v>
          </cell>
          <cell r="AN62">
            <v>1215268000</v>
          </cell>
          <cell r="AO62">
            <v>1156076000</v>
          </cell>
          <cell r="AP62">
            <v>58.67013046840615</v>
          </cell>
          <cell r="AQ62">
            <v>696069000</v>
          </cell>
          <cell r="AR62">
            <v>561640000</v>
          </cell>
          <cell r="AS62">
            <v>527092000</v>
          </cell>
          <cell r="AT62">
            <v>546718000</v>
          </cell>
          <cell r="AU62">
            <v>38.177130690000268</v>
          </cell>
          <cell r="AV62">
            <v>558693000</v>
          </cell>
          <cell r="AW62">
            <v>566654000</v>
          </cell>
          <cell r="AX62">
            <v>588732000</v>
          </cell>
          <cell r="AY62">
            <v>584344000</v>
          </cell>
          <cell r="AZ62">
            <v>42.874372746081725</v>
          </cell>
          <cell r="BA62">
            <v>22.381372967675837</v>
          </cell>
          <cell r="BC62">
            <v>11.621549999999999</v>
          </cell>
          <cell r="BD62">
            <v>-3.7842799999999999</v>
          </cell>
          <cell r="BE62">
            <v>-9.1504100000000008</v>
          </cell>
          <cell r="BF62">
            <v>-84460000</v>
          </cell>
          <cell r="BG62">
            <v>-123350000</v>
          </cell>
          <cell r="BH62">
            <v>-58345000</v>
          </cell>
          <cell r="BI62">
            <v>-132322000</v>
          </cell>
          <cell r="BJ62">
            <v>-7.1504720211989184E-2</v>
          </cell>
          <cell r="BK62">
            <v>-71419000</v>
          </cell>
          <cell r="BL62">
            <v>-62228000</v>
          </cell>
          <cell r="BM62">
            <v>-48049000</v>
          </cell>
          <cell r="BN62">
            <v>-288961000</v>
          </cell>
          <cell r="BO62">
            <v>-186304000</v>
          </cell>
          <cell r="BP62">
            <v>66836000</v>
          </cell>
          <cell r="BQ62">
            <v>138897000</v>
          </cell>
          <cell r="BR62">
            <v>-14854000</v>
          </cell>
          <cell r="BS62">
            <v>-52784000</v>
          </cell>
          <cell r="BT62">
            <v>-45943000</v>
          </cell>
          <cell r="BU62">
            <v>-131459000</v>
          </cell>
          <cell r="BV62">
            <v>217572000</v>
          </cell>
          <cell r="BW62">
            <v>5.1035604228227532E-2</v>
          </cell>
          <cell r="BX62">
            <v>-0.12732814660868988</v>
          </cell>
          <cell r="BY62">
            <v>137172000</v>
          </cell>
          <cell r="BZ62">
            <v>221632000</v>
          </cell>
          <cell r="CA62">
            <v>337936000</v>
          </cell>
          <cell r="CB62">
            <v>403327000</v>
          </cell>
          <cell r="CC62" t="str">
            <v>NULL</v>
          </cell>
          <cell r="CD62" t="str">
            <v>NULL</v>
          </cell>
          <cell r="CE62" t="str">
            <v>NULL</v>
          </cell>
          <cell r="CF62" t="str">
            <v>NULL</v>
          </cell>
          <cell r="CG62" t="str">
            <v>NULL</v>
          </cell>
          <cell r="CH62" t="str">
            <v>NULL</v>
          </cell>
          <cell r="CI62" t="str">
            <v>NULL</v>
          </cell>
          <cell r="CJ62" t="str">
            <v>NULL</v>
          </cell>
          <cell r="CK62">
            <v>137172000</v>
          </cell>
          <cell r="CL62">
            <v>221632000</v>
          </cell>
          <cell r="CM62">
            <v>337936000</v>
          </cell>
          <cell r="CN62">
            <v>403327000</v>
          </cell>
          <cell r="CO62">
            <v>-1.44891902038694</v>
          </cell>
          <cell r="CP62">
            <v>-84460000</v>
          </cell>
          <cell r="CQ62">
            <v>-74523000</v>
          </cell>
          <cell r="CR62">
            <v>-463075000</v>
          </cell>
          <cell r="CS62">
            <v>-113723000</v>
          </cell>
          <cell r="CT62">
            <v>-77570000</v>
          </cell>
          <cell r="CU62">
            <v>-13909000</v>
          </cell>
          <cell r="CV62">
            <v>32884000</v>
          </cell>
          <cell r="CW62">
            <v>65264510</v>
          </cell>
          <cell r="CX62">
            <v>-0.13334138453900146</v>
          </cell>
          <cell r="CY62">
            <v>-2.0068207615857356</v>
          </cell>
          <cell r="CZ62">
            <v>-3.0719555410954689</v>
          </cell>
          <cell r="DA62">
            <v>-0.46606935671006822</v>
          </cell>
          <cell r="DB62">
            <v>-4.5769645553238911</v>
          </cell>
          <cell r="DC62">
            <v>-1.4229716579491547</v>
          </cell>
          <cell r="DD62">
            <v>-0.49614269685009504</v>
          </cell>
          <cell r="DE62">
            <v>1.7844532847436079</v>
          </cell>
          <cell r="DG62">
            <v>125.849965459567</v>
          </cell>
          <cell r="DH62">
            <v>145828553</v>
          </cell>
          <cell r="DI62">
            <v>13.3</v>
          </cell>
          <cell r="DJ62">
            <v>1939519754.9000001</v>
          </cell>
          <cell r="DK62">
            <v>3280656899.5999999</v>
          </cell>
          <cell r="DM62">
            <v>137172000</v>
          </cell>
          <cell r="DN62" t="str">
            <v>NULL</v>
          </cell>
          <cell r="DO62" t="str">
            <v>NULL</v>
          </cell>
          <cell r="DP62">
            <v>362450000</v>
          </cell>
          <cell r="DQ62" t="str">
            <v>NULL</v>
          </cell>
          <cell r="DR62">
            <v>-225278000</v>
          </cell>
          <cell r="DS62">
            <v>-8.6094503453510782</v>
          </cell>
          <cell r="DT62">
            <v>-0.57916999999999996</v>
          </cell>
          <cell r="DU62">
            <v>-0.84584999999999999</v>
          </cell>
          <cell r="DV62">
            <v>-0.40009</v>
          </cell>
          <cell r="DW62">
            <v>-2.4060700000000002</v>
          </cell>
          <cell r="DX62">
            <v>-4.2311800000000002</v>
          </cell>
          <cell r="DY62">
            <v>-3.190599312721274</v>
          </cell>
          <cell r="DZ62">
            <v>0.3480371951699856</v>
          </cell>
          <cell r="EA62">
            <v>284408000</v>
          </cell>
          <cell r="EB62">
            <v>6.819497886487019</v>
          </cell>
          <cell r="EC62" t="str">
            <v>NULL</v>
          </cell>
          <cell r="ED62">
            <v>0.95810145154070003</v>
          </cell>
          <cell r="EE62">
            <v>0.80043198239392999</v>
          </cell>
          <cell r="EG62">
            <v>0.52001391337663638</v>
          </cell>
          <cell r="EH62">
            <v>-9.3803549264152575E-2</v>
          </cell>
          <cell r="EK62" t="str">
            <v>NULL</v>
          </cell>
          <cell r="EM62">
            <v>-3.8257015763353799</v>
          </cell>
          <cell r="EN62" t="str">
            <v>NULL</v>
          </cell>
        </row>
        <row r="63">
          <cell r="A63" t="str">
            <v>PERK</v>
          </cell>
          <cell r="B63" t="str">
            <v>PEK.BA</v>
          </cell>
          <cell r="C63" t="str">
            <v>PERTRAK SA</v>
          </cell>
          <cell r="D63">
            <v>42094</v>
          </cell>
          <cell r="E63">
            <v>33718620</v>
          </cell>
          <cell r="F63">
            <v>24058850</v>
          </cell>
          <cell r="G63">
            <v>1.40151</v>
          </cell>
          <cell r="H63">
            <v>0.76168000000000002</v>
          </cell>
          <cell r="I63">
            <v>1.2167699999999999</v>
          </cell>
          <cell r="J63">
            <v>0.61661999999999995</v>
          </cell>
          <cell r="K63" t="str">
            <v>*The record could not be found</v>
          </cell>
          <cell r="L63">
            <v>0</v>
          </cell>
          <cell r="M63">
            <v>0</v>
          </cell>
          <cell r="N63">
            <v>0</v>
          </cell>
          <cell r="O63" t="str">
            <v>NULL</v>
          </cell>
          <cell r="P63">
            <v>0</v>
          </cell>
          <cell r="Q63" t="e">
            <v>#VALUE!</v>
          </cell>
          <cell r="S63">
            <v>203.70210328100001</v>
          </cell>
          <cell r="T63">
            <v>175.44357459899999</v>
          </cell>
          <cell r="U63">
            <v>42094</v>
          </cell>
          <cell r="V63">
            <v>55809540</v>
          </cell>
          <cell r="W63">
            <v>52532250</v>
          </cell>
          <cell r="X63">
            <v>51823760</v>
          </cell>
          <cell r="Y63">
            <v>50687510</v>
          </cell>
          <cell r="Z63">
            <v>13283530</v>
          </cell>
          <cell r="AA63">
            <v>4.2014088122660169</v>
          </cell>
          <cell r="AC63">
            <v>16862830</v>
          </cell>
          <cell r="AD63">
            <v>18372190</v>
          </cell>
          <cell r="AE63">
            <v>16592280</v>
          </cell>
          <cell r="AF63">
            <v>13785080</v>
          </cell>
          <cell r="AG63">
            <v>1.555568697420141</v>
          </cell>
          <cell r="AH63">
            <v>8281810</v>
          </cell>
          <cell r="AI63">
            <v>8189630</v>
          </cell>
          <cell r="AJ63">
            <v>7863100</v>
          </cell>
          <cell r="AK63">
            <v>8255950</v>
          </cell>
          <cell r="AL63">
            <v>13657740</v>
          </cell>
          <cell r="AM63">
            <v>15305720</v>
          </cell>
          <cell r="AN63">
            <v>14756440</v>
          </cell>
          <cell r="AO63">
            <v>13249610</v>
          </cell>
          <cell r="AP63">
            <v>52.201295263027546</v>
          </cell>
          <cell r="AQ63">
            <v>10772970</v>
          </cell>
          <cell r="AR63">
            <v>9568280</v>
          </cell>
          <cell r="AS63">
            <v>9195620</v>
          </cell>
          <cell r="AT63">
            <v>8940770</v>
          </cell>
          <cell r="AU63">
            <v>53.51253300063189</v>
          </cell>
          <cell r="AV63">
            <v>15393470</v>
          </cell>
          <cell r="AW63">
            <v>16770300</v>
          </cell>
          <cell r="AX63">
            <v>15823770</v>
          </cell>
          <cell r="AY63">
            <v>15372260</v>
          </cell>
          <cell r="AZ63">
            <v>101.48554463606938</v>
          </cell>
          <cell r="BA63">
            <v>102.79678237367374</v>
          </cell>
          <cell r="BC63">
            <v>14.75062</v>
          </cell>
          <cell r="BD63">
            <v>-5.9367400000000004</v>
          </cell>
          <cell r="BE63">
            <v>3.08745</v>
          </cell>
          <cell r="BF63">
            <v>-284650</v>
          </cell>
          <cell r="BG63">
            <v>535160</v>
          </cell>
          <cell r="BH63">
            <v>-129920</v>
          </cell>
          <cell r="BI63">
            <v>1603720</v>
          </cell>
          <cell r="BJ63">
            <v>2.6280253817953257E-2</v>
          </cell>
          <cell r="BK63">
            <v>-4195910</v>
          </cell>
          <cell r="BL63">
            <v>-79750</v>
          </cell>
          <cell r="BM63">
            <v>-21310</v>
          </cell>
          <cell r="BN63">
            <v>-3572430</v>
          </cell>
          <cell r="BO63">
            <v>-3047300</v>
          </cell>
          <cell r="BP63">
            <v>-1169920</v>
          </cell>
          <cell r="BQ63">
            <v>2931590</v>
          </cell>
          <cell r="BR63">
            <v>2073750</v>
          </cell>
          <cell r="BS63">
            <v>1087590</v>
          </cell>
          <cell r="BT63">
            <v>4279190</v>
          </cell>
          <cell r="BU63">
            <v>3006050</v>
          </cell>
          <cell r="BV63">
            <v>1013130</v>
          </cell>
          <cell r="BW63">
            <v>-2.3896404916267325E-3</v>
          </cell>
          <cell r="BX63">
            <v>3.2711121195016096E-2</v>
          </cell>
          <cell r="BY63">
            <v>13283530</v>
          </cell>
          <cell r="BZ63">
            <v>13568180</v>
          </cell>
          <cell r="CA63">
            <v>13033020</v>
          </cell>
          <cell r="CB63">
            <v>13162940</v>
          </cell>
          <cell r="CC63" t="str">
            <v>NULL</v>
          </cell>
          <cell r="CD63" t="str">
            <v>NULL</v>
          </cell>
          <cell r="CE63" t="str">
            <v>NULL</v>
          </cell>
          <cell r="CF63" t="str">
            <v>NULL</v>
          </cell>
          <cell r="CG63" t="str">
            <v>NULL</v>
          </cell>
          <cell r="CH63" t="str">
            <v>NULL</v>
          </cell>
          <cell r="CI63" t="str">
            <v>NULL</v>
          </cell>
          <cell r="CJ63" t="str">
            <v>NULL</v>
          </cell>
          <cell r="CK63">
            <v>13283530</v>
          </cell>
          <cell r="CL63">
            <v>13568180</v>
          </cell>
          <cell r="CM63">
            <v>13033020</v>
          </cell>
          <cell r="CN63">
            <v>13162940</v>
          </cell>
          <cell r="CO63">
            <v>0.13001965967591037</v>
          </cell>
          <cell r="CP63">
            <v>-284650</v>
          </cell>
          <cell r="CQ63">
            <v>443030</v>
          </cell>
          <cell r="CR63">
            <v>1800720</v>
          </cell>
          <cell r="CS63">
            <v>-441650</v>
          </cell>
          <cell r="CT63">
            <v>-1748730</v>
          </cell>
          <cell r="CU63">
            <v>1296910</v>
          </cell>
          <cell r="CV63">
            <v>-1729350</v>
          </cell>
          <cell r="CW63">
            <v>-3681000</v>
          </cell>
          <cell r="CX63">
            <v>-1.6425072794167437</v>
          </cell>
          <cell r="CY63">
            <v>1.1512910878755325</v>
          </cell>
          <cell r="CZ63">
            <v>5.0772557454998299</v>
          </cell>
          <cell r="DA63">
            <v>0.74744528886677752</v>
          </cell>
          <cell r="DB63">
            <v>-2.3483819231866514</v>
          </cell>
          <cell r="DC63">
            <v>1.7499407291757019</v>
          </cell>
          <cell r="DD63">
            <v>0.53019559902200486</v>
          </cell>
          <cell r="DE63">
            <v>2.6724587043559795</v>
          </cell>
          <cell r="DG63" t="str">
            <v>NULL</v>
          </cell>
          <cell r="DH63">
            <v>2172589228</v>
          </cell>
          <cell r="DI63" t="str">
            <v>*The record could not be found</v>
          </cell>
          <cell r="DJ63" t="e">
            <v>#N/A</v>
          </cell>
          <cell r="DK63" t="str">
            <v>NULL</v>
          </cell>
          <cell r="DM63">
            <v>13283530</v>
          </cell>
          <cell r="DN63" t="str">
            <v>NULL</v>
          </cell>
          <cell r="DO63" t="str">
            <v>NULL</v>
          </cell>
          <cell r="DP63">
            <v>28280</v>
          </cell>
          <cell r="DQ63" t="str">
            <v>NULL</v>
          </cell>
          <cell r="DR63">
            <v>13255250</v>
          </cell>
          <cell r="DS63" t="e">
            <v>#N/A</v>
          </cell>
          <cell r="DT63">
            <v>-1.2999999999999999E-4</v>
          </cell>
          <cell r="DU63">
            <v>2.5000000000000001E-4</v>
          </cell>
          <cell r="DV63">
            <v>-6.0000000000000002E-5</v>
          </cell>
          <cell r="DW63">
            <v>7.3999999999999999E-4</v>
          </cell>
          <cell r="DX63">
            <v>8.0000000000000004E-4</v>
          </cell>
          <cell r="DY63" t="e">
            <v>#VALUE!</v>
          </cell>
          <cell r="DZ63" t="e">
            <v>#N/A</v>
          </cell>
          <cell r="EA63">
            <v>-156790</v>
          </cell>
          <cell r="EB63" t="e">
            <v>#N/A</v>
          </cell>
          <cell r="EC63" t="str">
            <v>NULL</v>
          </cell>
          <cell r="ED63" t="str">
            <v>NULL</v>
          </cell>
          <cell r="EE63" t="str">
            <v>NULL</v>
          </cell>
          <cell r="EG63" t="str">
            <v>-</v>
          </cell>
          <cell r="EH63" t="str">
            <v>-</v>
          </cell>
          <cell r="EK63" t="str">
            <v>NULL</v>
          </cell>
          <cell r="EM63" t="str">
            <v>NaN</v>
          </cell>
          <cell r="EN63" t="str">
            <v>NULL</v>
          </cell>
        </row>
        <row r="64">
          <cell r="A64" t="str">
            <v>PESA</v>
          </cell>
          <cell r="B64" t="str">
            <v>PER.BA</v>
          </cell>
          <cell r="C64" t="str">
            <v>PETROBRAS ARGENTINA SA</v>
          </cell>
          <cell r="D64">
            <v>42643</v>
          </cell>
          <cell r="E64">
            <v>16864000000</v>
          </cell>
          <cell r="F64">
            <v>8035000000</v>
          </cell>
          <cell r="G64">
            <v>2.0988199999999999</v>
          </cell>
          <cell r="H64">
            <v>1.7402599999999999</v>
          </cell>
          <cell r="I64">
            <v>1.00922</v>
          </cell>
          <cell r="J64">
            <v>0.78268000000000004</v>
          </cell>
          <cell r="K64">
            <v>24.3</v>
          </cell>
          <cell r="L64">
            <v>0</v>
          </cell>
          <cell r="M64">
            <v>0</v>
          </cell>
          <cell r="N64">
            <v>0</v>
          </cell>
          <cell r="O64">
            <v>6.8049999999999999E-2</v>
          </cell>
          <cell r="P64">
            <v>6.8049999999999999E-2</v>
          </cell>
          <cell r="Q64">
            <v>2.8004115226337449E-3</v>
          </cell>
          <cell r="S64">
            <v>54.891967553999997</v>
          </cell>
          <cell r="T64">
            <v>32.893365752000001</v>
          </cell>
          <cell r="U64">
            <v>42643</v>
          </cell>
          <cell r="V64">
            <v>36195000000</v>
          </cell>
          <cell r="W64">
            <v>32282000000</v>
          </cell>
          <cell r="X64">
            <v>31348000000</v>
          </cell>
          <cell r="Y64">
            <v>29097000000</v>
          </cell>
          <cell r="Z64">
            <v>13931000000</v>
          </cell>
          <cell r="AA64">
            <v>2.598162371689039</v>
          </cell>
          <cell r="AC64">
            <v>7471000000</v>
          </cell>
          <cell r="AD64">
            <v>7639000000</v>
          </cell>
          <cell r="AE64">
            <v>6811000000</v>
          </cell>
          <cell r="AF64">
            <v>5916000000</v>
          </cell>
          <cell r="AG64">
            <v>1.0796059164639464</v>
          </cell>
          <cell r="AH64">
            <v>3637000000</v>
          </cell>
          <cell r="AI64">
            <v>3665000000</v>
          </cell>
          <cell r="AJ64">
            <v>3784000000</v>
          </cell>
          <cell r="AK64">
            <v>4097000000</v>
          </cell>
          <cell r="AL64">
            <v>5574000000</v>
          </cell>
          <cell r="AM64">
            <v>5007000000</v>
          </cell>
          <cell r="AN64">
            <v>4348000000</v>
          </cell>
          <cell r="AO64">
            <v>4481000000</v>
          </cell>
          <cell r="AP64">
            <v>71.378091190108194</v>
          </cell>
          <cell r="AQ64">
            <v>4605000000</v>
          </cell>
          <cell r="AR64">
            <v>4606000000</v>
          </cell>
          <cell r="AS64">
            <v>3976000000</v>
          </cell>
          <cell r="AT64">
            <v>3241000000</v>
          </cell>
          <cell r="AU64">
            <v>53.851169307037395</v>
          </cell>
          <cell r="AV64">
            <v>2881000000</v>
          </cell>
          <cell r="AW64">
            <v>2702000000</v>
          </cell>
          <cell r="AX64">
            <v>2593000000</v>
          </cell>
          <cell r="AY64">
            <v>2130000000</v>
          </cell>
          <cell r="AZ64">
            <v>48.450412158681097</v>
          </cell>
          <cell r="BA64">
            <v>30.923490275610305</v>
          </cell>
          <cell r="BC64">
            <v>29.155090000000001</v>
          </cell>
          <cell r="BD64">
            <v>8.7406100000000002</v>
          </cell>
          <cell r="BE64">
            <v>3.8852199999999999</v>
          </cell>
          <cell r="BF64">
            <v>-483000000</v>
          </cell>
          <cell r="BG64">
            <v>324000000</v>
          </cell>
          <cell r="BH64">
            <v>931000000</v>
          </cell>
          <cell r="BI64">
            <v>-932000000</v>
          </cell>
          <cell r="BJ64">
            <v>-5.747745805941732E-3</v>
          </cell>
          <cell r="BK64">
            <v>-4048000000</v>
          </cell>
          <cell r="BL64">
            <v>-2716000000</v>
          </cell>
          <cell r="BM64">
            <v>-1348000000</v>
          </cell>
          <cell r="BN64">
            <v>-5474000000</v>
          </cell>
          <cell r="BO64">
            <v>-4245000000</v>
          </cell>
          <cell r="BP64">
            <v>-1151000000</v>
          </cell>
          <cell r="BQ64">
            <v>2105000000</v>
          </cell>
          <cell r="BR64">
            <v>1508000000</v>
          </cell>
          <cell r="BS64">
            <v>776000000</v>
          </cell>
          <cell r="BT64">
            <v>4239000000</v>
          </cell>
          <cell r="BU64">
            <v>3421000000</v>
          </cell>
          <cell r="BV64">
            <v>-540000000</v>
          </cell>
          <cell r="BW64">
            <v>-6.0746488486546679E-2</v>
          </cell>
          <cell r="BX64">
            <v>-4.9642419447417816E-3</v>
          </cell>
          <cell r="BY64">
            <v>13931000000</v>
          </cell>
          <cell r="BZ64">
            <v>14395000000</v>
          </cell>
          <cell r="CA64">
            <v>14017000000</v>
          </cell>
          <cell r="CB64">
            <v>12936000000</v>
          </cell>
          <cell r="CC64" t="str">
            <v>NULL</v>
          </cell>
          <cell r="CD64" t="str">
            <v>NULL</v>
          </cell>
          <cell r="CE64" t="str">
            <v>NULL</v>
          </cell>
          <cell r="CF64" t="str">
            <v>NULL</v>
          </cell>
          <cell r="CG64" t="str">
            <v>NULL</v>
          </cell>
          <cell r="CH64" t="str">
            <v>NULL</v>
          </cell>
          <cell r="CI64" t="str">
            <v>NULL</v>
          </cell>
          <cell r="CJ64" t="str">
            <v>NULL</v>
          </cell>
          <cell r="CK64">
            <v>13931000000</v>
          </cell>
          <cell r="CL64">
            <v>14395000000</v>
          </cell>
          <cell r="CM64">
            <v>14017000000</v>
          </cell>
          <cell r="CN64">
            <v>12936000000</v>
          </cell>
          <cell r="CO64">
            <v>-1.1577633459360697E-2</v>
          </cell>
          <cell r="CP64">
            <v>-483000000</v>
          </cell>
          <cell r="CQ64">
            <v>439000000</v>
          </cell>
          <cell r="CR64">
            <v>853000000</v>
          </cell>
          <cell r="CS64">
            <v>458000000</v>
          </cell>
          <cell r="CT64">
            <v>779000000</v>
          </cell>
          <cell r="CU64">
            <v>618000000</v>
          </cell>
          <cell r="CV64">
            <v>-25000000</v>
          </cell>
          <cell r="CW64">
            <v>350000000</v>
          </cell>
          <cell r="CX64">
            <v>-2.1002277904328017</v>
          </cell>
          <cell r="CY64">
            <v>5.0718935781049739</v>
          </cell>
          <cell r="CZ64">
            <v>0.86244541484716164</v>
          </cell>
          <cell r="DA64">
            <v>-0.41206675224646983</v>
          </cell>
          <cell r="DB64">
            <v>0.26051779935275077</v>
          </cell>
          <cell r="DC64">
            <v>25.72</v>
          </cell>
          <cell r="DD64">
            <v>-1.0714285714285714</v>
          </cell>
          <cell r="DE64">
            <v>11.565328761769361</v>
          </cell>
          <cell r="DG64">
            <v>9.88598254862322</v>
          </cell>
          <cell r="DH64">
            <v>2019236820</v>
          </cell>
          <cell r="DI64">
            <v>23.75</v>
          </cell>
          <cell r="DJ64">
            <v>47956874475</v>
          </cell>
          <cell r="DK64">
            <v>56725767864.000099</v>
          </cell>
          <cell r="DM64">
            <v>13931000000</v>
          </cell>
          <cell r="DN64" t="str">
            <v>NULL</v>
          </cell>
          <cell r="DO64" t="str">
            <v>NULL</v>
          </cell>
          <cell r="DP64" t="str">
            <v>NULL</v>
          </cell>
          <cell r="DQ64" t="str">
            <v>NULL</v>
          </cell>
          <cell r="DR64">
            <v>13931000000</v>
          </cell>
          <cell r="DS64">
            <v>3.4424574312683944</v>
          </cell>
          <cell r="DT64">
            <v>-0.2392</v>
          </cell>
          <cell r="DU64">
            <v>0.16045999999999999</v>
          </cell>
          <cell r="DV64">
            <v>0.46106999999999998</v>
          </cell>
          <cell r="DW64">
            <v>-0.46156000000000003</v>
          </cell>
          <cell r="DX64">
            <v>-7.9230000000000078E-2</v>
          </cell>
          <cell r="DY64">
            <v>-306.70200681559987</v>
          </cell>
          <cell r="DZ64">
            <v>1.722774525810971</v>
          </cell>
          <cell r="EA64">
            <v>-1691000000</v>
          </cell>
          <cell r="EB64">
            <v>-28.360067696629212</v>
          </cell>
          <cell r="EC64" t="str">
            <v>NULL</v>
          </cell>
          <cell r="ED64">
            <v>1.0429474125893701</v>
          </cell>
          <cell r="EE64">
            <v>1.1068227649245601</v>
          </cell>
          <cell r="EG64">
            <v>0.40657806989775519</v>
          </cell>
          <cell r="EH64">
            <v>-4.965299901229403E-3</v>
          </cell>
          <cell r="EK64" t="str">
            <v>NULL</v>
          </cell>
          <cell r="EM64">
            <v>-21.519629445838898</v>
          </cell>
          <cell r="EN64" t="str">
            <v>NULL</v>
          </cell>
        </row>
        <row r="65">
          <cell r="A65" t="str">
            <v>PETR</v>
          </cell>
          <cell r="B65" t="str">
            <v>PETR.BA</v>
          </cell>
          <cell r="C65" t="str">
            <v>PETROLERA PAMPA SA</v>
          </cell>
          <cell r="D65">
            <v>43008</v>
          </cell>
          <cell r="E65">
            <v>2997738080</v>
          </cell>
          <cell r="F65">
            <v>3418406360</v>
          </cell>
          <cell r="G65">
            <v>0.87694000000000005</v>
          </cell>
          <cell r="H65">
            <v>0.87434000000000001</v>
          </cell>
          <cell r="I65">
            <v>1.06613</v>
          </cell>
          <cell r="J65">
            <v>1.06609</v>
          </cell>
          <cell r="K65">
            <v>104.5</v>
          </cell>
          <cell r="L65">
            <v>0</v>
          </cell>
          <cell r="M65">
            <v>0</v>
          </cell>
          <cell r="N65">
            <v>0</v>
          </cell>
          <cell r="O65" t="str">
            <v>NULL</v>
          </cell>
          <cell r="P65">
            <v>0</v>
          </cell>
          <cell r="Q65">
            <v>0</v>
          </cell>
          <cell r="S65">
            <v>133.45397875200001</v>
          </cell>
          <cell r="T65">
            <v>163.00614296800001</v>
          </cell>
          <cell r="U65">
            <v>43008</v>
          </cell>
          <cell r="V65">
            <v>6325998600</v>
          </cell>
          <cell r="W65">
            <v>5875027680</v>
          </cell>
          <cell r="X65">
            <v>6010124320</v>
          </cell>
          <cell r="Y65">
            <v>7068425560</v>
          </cell>
          <cell r="Z65">
            <v>1959032810</v>
          </cell>
          <cell r="AA65">
            <v>3.2291437732479835</v>
          </cell>
          <cell r="AC65">
            <v>1036324060</v>
          </cell>
          <cell r="AD65">
            <v>986899910</v>
          </cell>
          <cell r="AE65">
            <v>871122220</v>
          </cell>
          <cell r="AF65">
            <v>871484150</v>
          </cell>
          <cell r="AG65">
            <v>0.74483525937901496</v>
          </cell>
          <cell r="AH65">
            <v>1018317070</v>
          </cell>
          <cell r="AI65">
            <v>786717880</v>
          </cell>
          <cell r="AJ65">
            <v>1073304660</v>
          </cell>
          <cell r="AK65">
            <v>1088433560</v>
          </cell>
          <cell r="AL65">
            <v>585034300</v>
          </cell>
          <cell r="AM65">
            <v>544345040</v>
          </cell>
          <cell r="AN65">
            <v>516780200</v>
          </cell>
          <cell r="AO65">
            <v>527101130</v>
          </cell>
          <cell r="AP65">
            <v>166.55528568623109</v>
          </cell>
          <cell r="AQ65" t="str">
            <v>NULL</v>
          </cell>
          <cell r="AR65" t="str">
            <v>NULL</v>
          </cell>
          <cell r="AS65" t="str">
            <v>NULL</v>
          </cell>
          <cell r="AT65" t="str">
            <v>NULL</v>
          </cell>
          <cell r="AU65" t="e">
            <v>#DIV/0!</v>
          </cell>
          <cell r="AV65">
            <v>8896430</v>
          </cell>
          <cell r="AW65">
            <v>113210</v>
          </cell>
          <cell r="AX65">
            <v>113210</v>
          </cell>
          <cell r="AY65" t="str">
            <v>NULL</v>
          </cell>
          <cell r="AZ65">
            <v>0.51072877051605592</v>
          </cell>
          <cell r="BA65" t="e">
            <v>#DIV/0!</v>
          </cell>
          <cell r="BC65">
            <v>38.062069999999999</v>
          </cell>
          <cell r="BD65">
            <v>52.886029999999998</v>
          </cell>
          <cell r="BE65">
            <v>17.0548</v>
          </cell>
          <cell r="BF65">
            <v>296649000</v>
          </cell>
          <cell r="BG65">
            <v>294904240</v>
          </cell>
          <cell r="BH65">
            <v>274202440</v>
          </cell>
          <cell r="BI65">
            <v>42595110</v>
          </cell>
          <cell r="BJ65">
            <v>0.24120863341921028</v>
          </cell>
          <cell r="BK65">
            <v>-672968810</v>
          </cell>
          <cell r="BL65">
            <v>-267303760</v>
          </cell>
          <cell r="BM65">
            <v>-54148860</v>
          </cell>
          <cell r="BN65">
            <v>-1075877930</v>
          </cell>
          <cell r="BO65">
            <v>-816900530</v>
          </cell>
          <cell r="BP65">
            <v>89782860</v>
          </cell>
          <cell r="BQ65">
            <v>565457330</v>
          </cell>
          <cell r="BR65">
            <v>41661240</v>
          </cell>
          <cell r="BS65">
            <v>-506634310</v>
          </cell>
          <cell r="BT65">
            <v>1658544000</v>
          </cell>
          <cell r="BU65">
            <v>458891940</v>
          </cell>
          <cell r="BV65">
            <v>-400068920</v>
          </cell>
          <cell r="BW65">
            <v>-8.239512457696116E-2</v>
          </cell>
          <cell r="BX65">
            <v>0.14372880055438397</v>
          </cell>
          <cell r="BY65">
            <v>1959032810</v>
          </cell>
          <cell r="BZ65">
            <v>1662383810</v>
          </cell>
          <cell r="CA65">
            <v>1367479570</v>
          </cell>
          <cell r="CB65">
            <v>1093277130</v>
          </cell>
          <cell r="CC65" t="str">
            <v>NULL</v>
          </cell>
          <cell r="CD65" t="str">
            <v>NULL</v>
          </cell>
          <cell r="CE65" t="str">
            <v>NULL</v>
          </cell>
          <cell r="CF65" t="str">
            <v>NULL</v>
          </cell>
          <cell r="CG65" t="str">
            <v>NULL</v>
          </cell>
          <cell r="CH65" t="str">
            <v>NULL</v>
          </cell>
          <cell r="CI65" t="str">
            <v>NULL</v>
          </cell>
          <cell r="CJ65" t="str">
            <v>NULL</v>
          </cell>
          <cell r="CK65">
            <v>1959032810</v>
          </cell>
          <cell r="CL65">
            <v>1662383810</v>
          </cell>
          <cell r="CM65">
            <v>1367479570</v>
          </cell>
          <cell r="CN65">
            <v>1093277130</v>
          </cell>
          <cell r="CO65">
            <v>0.59738566608292576</v>
          </cell>
          <cell r="CP65">
            <v>296649000</v>
          </cell>
          <cell r="CQ65">
            <v>143786910</v>
          </cell>
          <cell r="CR65">
            <v>484115190</v>
          </cell>
          <cell r="CS65">
            <v>351737430</v>
          </cell>
          <cell r="CT65">
            <v>83919230</v>
          </cell>
          <cell r="CU65">
            <v>33067310</v>
          </cell>
          <cell r="CV65">
            <v>-8970350</v>
          </cell>
          <cell r="CW65">
            <v>-5804460</v>
          </cell>
          <cell r="CX65">
            <v>1.0631154810962973</v>
          </cell>
          <cell r="CY65">
            <v>1.8492862386063826</v>
          </cell>
          <cell r="CZ65">
            <v>0.37635391831912801</v>
          </cell>
          <cell r="DA65">
            <v>3.1913805691496453</v>
          </cell>
          <cell r="DB65">
            <v>1.5378305643851888</v>
          </cell>
          <cell r="DC65">
            <v>4.6862898326152269</v>
          </cell>
          <cell r="DD65">
            <v>-0.54542369143727409</v>
          </cell>
          <cell r="DE65">
            <v>2.1125207981636858</v>
          </cell>
          <cell r="DG65">
            <v>5.4057028746460896</v>
          </cell>
          <cell r="DH65">
            <v>119400000</v>
          </cell>
          <cell r="DI65">
            <v>103.9</v>
          </cell>
          <cell r="DJ65">
            <v>12405660000</v>
          </cell>
          <cell r="DK65">
            <v>14966040590</v>
          </cell>
          <cell r="DM65">
            <v>1959032810</v>
          </cell>
          <cell r="DN65" t="str">
            <v>NULL</v>
          </cell>
          <cell r="DO65" t="str">
            <v>NULL</v>
          </cell>
          <cell r="DP65" t="str">
            <v>NULL</v>
          </cell>
          <cell r="DQ65" t="str">
            <v>NULL</v>
          </cell>
          <cell r="DR65">
            <v>1959032810</v>
          </cell>
          <cell r="DS65">
            <v>6.3325432512791862</v>
          </cell>
          <cell r="DT65">
            <v>2.4845000000000002</v>
          </cell>
          <cell r="DU65">
            <v>2.4698799999999999</v>
          </cell>
          <cell r="DV65">
            <v>2.2965</v>
          </cell>
          <cell r="DW65">
            <v>0.35674</v>
          </cell>
          <cell r="DX65">
            <v>7.6076200000000007</v>
          </cell>
          <cell r="DY65">
            <v>13.736227624408158</v>
          </cell>
          <cell r="DZ65">
            <v>3.2942694917052475</v>
          </cell>
          <cell r="EA65">
            <v>-310286060</v>
          </cell>
          <cell r="EB65">
            <v>-39.981364293323395</v>
          </cell>
          <cell r="EC65">
            <v>14.0517007947295</v>
          </cell>
          <cell r="ED65">
            <v>1.0196387524958199</v>
          </cell>
          <cell r="EE65">
            <v>0.96419232818832801</v>
          </cell>
          <cell r="EG65" t="str">
            <v>-</v>
          </cell>
          <cell r="EH65" t="str">
            <v>-</v>
          </cell>
          <cell r="EK65" t="str">
            <v>NULL</v>
          </cell>
          <cell r="EM65">
            <v>14.835692169652299</v>
          </cell>
          <cell r="EN65">
            <v>14.7519343836</v>
          </cell>
        </row>
        <row r="66">
          <cell r="A66" t="str">
            <v>POLL</v>
          </cell>
          <cell r="B66" t="str">
            <v>POL.BA</v>
          </cell>
          <cell r="C66" t="str">
            <v>POLLEDO SAIC Y F</v>
          </cell>
          <cell r="D66">
            <v>43008</v>
          </cell>
          <cell r="E66">
            <v>1525510</v>
          </cell>
          <cell r="F66">
            <v>16388010</v>
          </cell>
          <cell r="G66">
            <v>9.3090000000000006E-2</v>
          </cell>
          <cell r="H66">
            <v>9.3090000000000006E-2</v>
          </cell>
          <cell r="I66">
            <v>0.15581</v>
          </cell>
          <cell r="J66">
            <v>0.15581</v>
          </cell>
          <cell r="K66">
            <v>9.3000000000000007</v>
          </cell>
          <cell r="L66">
            <v>0</v>
          </cell>
          <cell r="M66">
            <v>0</v>
          </cell>
          <cell r="N66">
            <v>0</v>
          </cell>
          <cell r="O66" t="str">
            <v>NULL</v>
          </cell>
          <cell r="P66">
            <v>0</v>
          </cell>
          <cell r="Q66">
            <v>0</v>
          </cell>
          <cell r="S66" t="str">
            <v>NULL</v>
          </cell>
          <cell r="T66" t="str">
            <v>NULL</v>
          </cell>
          <cell r="U66">
            <v>43008</v>
          </cell>
          <cell r="V66">
            <v>6202050</v>
          </cell>
          <cell r="W66">
            <v>6262780</v>
          </cell>
          <cell r="X66">
            <v>5847250</v>
          </cell>
          <cell r="Y66">
            <v>6507210</v>
          </cell>
          <cell r="Z66">
            <v>-34829880</v>
          </cell>
          <cell r="AA66">
            <v>-0.17806693563113052</v>
          </cell>
          <cell r="AC66">
            <v>0</v>
          </cell>
          <cell r="AD66">
            <v>0</v>
          </cell>
          <cell r="AE66">
            <v>0</v>
          </cell>
          <cell r="AF66">
            <v>0</v>
          </cell>
          <cell r="AG66">
            <v>0</v>
          </cell>
          <cell r="AH66">
            <v>724570</v>
          </cell>
          <cell r="AI66">
            <v>500920</v>
          </cell>
          <cell r="AJ66">
            <v>601750</v>
          </cell>
          <cell r="AK66">
            <v>489630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-1152160</v>
          </cell>
          <cell r="BG66">
            <v>-1216440</v>
          </cell>
          <cell r="BH66">
            <v>-3524610</v>
          </cell>
          <cell r="BI66">
            <v>-3790460</v>
          </cell>
          <cell r="BJ66" t="e">
            <v>#DIV/0!</v>
          </cell>
          <cell r="BK66" t="str">
            <v>NULL</v>
          </cell>
          <cell r="BL66" t="str">
            <v>NULL</v>
          </cell>
          <cell r="BM66" t="str">
            <v>NULL</v>
          </cell>
          <cell r="BN66" t="str">
            <v>NULL</v>
          </cell>
          <cell r="BO66" t="str">
            <v>NULL</v>
          </cell>
          <cell r="BP66" t="e">
            <v>#VALUE!</v>
          </cell>
          <cell r="BQ66">
            <v>-3298230</v>
          </cell>
          <cell r="BR66">
            <v>-2533550</v>
          </cell>
          <cell r="BS66">
            <v>-1316770</v>
          </cell>
          <cell r="BT66">
            <v>-3416090</v>
          </cell>
          <cell r="BU66">
            <v>-2393110</v>
          </cell>
          <cell r="BV66">
            <v>-2221890</v>
          </cell>
          <cell r="BW66" t="e">
            <v>#VALUE!</v>
          </cell>
          <cell r="BX66">
            <v>-1.5606683349926609</v>
          </cell>
          <cell r="BY66">
            <v>-34829880</v>
          </cell>
          <cell r="BZ66">
            <v>-32901350</v>
          </cell>
          <cell r="CA66">
            <v>-33511030</v>
          </cell>
          <cell r="CB66">
            <v>-30589360</v>
          </cell>
          <cell r="CC66" t="str">
            <v>NULL</v>
          </cell>
          <cell r="CD66" t="str">
            <v>NULL</v>
          </cell>
          <cell r="CE66" t="str">
            <v>NULL</v>
          </cell>
          <cell r="CF66" t="str">
            <v>NULL</v>
          </cell>
          <cell r="CG66" t="str">
            <v>NULL</v>
          </cell>
          <cell r="CH66" t="str">
            <v>NULL</v>
          </cell>
          <cell r="CI66" t="str">
            <v>NULL</v>
          </cell>
          <cell r="CJ66" t="str">
            <v>NULL</v>
          </cell>
          <cell r="CK66">
            <v>-34829880</v>
          </cell>
          <cell r="CL66">
            <v>-32901350</v>
          </cell>
          <cell r="CM66">
            <v>-33511030</v>
          </cell>
          <cell r="CN66">
            <v>-30589360</v>
          </cell>
          <cell r="CO66" t="str">
            <v>-</v>
          </cell>
          <cell r="CP66">
            <v>-1152160</v>
          </cell>
          <cell r="CQ66">
            <v>-1545940</v>
          </cell>
          <cell r="CR66">
            <v>-7116770</v>
          </cell>
          <cell r="CS66">
            <v>-24152810</v>
          </cell>
          <cell r="CT66">
            <v>-41420</v>
          </cell>
          <cell r="CU66">
            <v>2068270</v>
          </cell>
          <cell r="CV66">
            <v>-476520</v>
          </cell>
          <cell r="CW66">
            <v>-54588470</v>
          </cell>
          <cell r="CX66">
            <v>0.2547188118555701</v>
          </cell>
          <cell r="CY66">
            <v>-115.22051114294906</v>
          </cell>
          <cell r="CZ66">
            <v>0.70534401587227324</v>
          </cell>
          <cell r="DA66">
            <v>-582.11950748430706</v>
          </cell>
          <cell r="DB66">
            <v>-1.0200263988744216</v>
          </cell>
          <cell r="DC66">
            <v>5.3403634684798122</v>
          </cell>
          <cell r="DD66">
            <v>0.99127068408401997</v>
          </cell>
          <cell r="DE66">
            <v>261.01500441408524</v>
          </cell>
          <cell r="DG66" t="str">
            <v>NULL</v>
          </cell>
          <cell r="DH66">
            <v>6420394</v>
          </cell>
          <cell r="DI66">
            <v>9.5</v>
          </cell>
          <cell r="DJ66">
            <v>60993743</v>
          </cell>
          <cell r="DK66">
            <v>57635126</v>
          </cell>
          <cell r="DM66">
            <v>-34829880</v>
          </cell>
          <cell r="DN66" t="str">
            <v>NULL</v>
          </cell>
          <cell r="DO66" t="str">
            <v>NULL</v>
          </cell>
          <cell r="DP66" t="str">
            <v>NULL</v>
          </cell>
          <cell r="DQ66" t="str">
            <v>NULL</v>
          </cell>
          <cell r="DR66">
            <v>-34829880</v>
          </cell>
          <cell r="DS66">
            <v>-1.7511901562681238</v>
          </cell>
          <cell r="DT66">
            <v>-0.17945</v>
          </cell>
          <cell r="DU66">
            <v>-0.18945999999999999</v>
          </cell>
          <cell r="DV66">
            <v>-0.54896999999999996</v>
          </cell>
          <cell r="DW66">
            <v>-0.59038000000000002</v>
          </cell>
          <cell r="DX66">
            <v>-1.5082599999999999</v>
          </cell>
          <cell r="DY66">
            <v>-6.1660456419980649</v>
          </cell>
          <cell r="DZ66" t="e">
            <v>#DIV/0!</v>
          </cell>
          <cell r="EA66" t="e">
            <v>#VALUE!</v>
          </cell>
          <cell r="EB66" t="e">
            <v>#VALUE!</v>
          </cell>
          <cell r="EC66" t="str">
            <v>NULL</v>
          </cell>
          <cell r="ED66">
            <v>0.31644696687031498</v>
          </cell>
          <cell r="EE66">
            <v>0.46753242096846098</v>
          </cell>
          <cell r="EG66">
            <v>0.62763797852139003</v>
          </cell>
          <cell r="EH66">
            <v>-0.1827299916884586</v>
          </cell>
          <cell r="EK66" t="str">
            <v>NULL</v>
          </cell>
          <cell r="EM66">
            <v>-6.0119497467784599</v>
          </cell>
          <cell r="EN66" t="str">
            <v>NULL</v>
          </cell>
        </row>
        <row r="67">
          <cell r="A67" t="str">
            <v>PSUR</v>
          </cell>
          <cell r="B67" t="str">
            <v>PSU.BA</v>
          </cell>
          <cell r="C67" t="str">
            <v>PETROLERA DEL CONOSUR SA</v>
          </cell>
          <cell r="D67">
            <v>43008</v>
          </cell>
          <cell r="E67">
            <v>84884300</v>
          </cell>
          <cell r="F67">
            <v>431770880</v>
          </cell>
          <cell r="G67">
            <v>0.1966</v>
          </cell>
          <cell r="H67">
            <v>0.17304</v>
          </cell>
          <cell r="I67">
            <v>0.26214999999999999</v>
          </cell>
          <cell r="J67">
            <v>0.22686999999999999</v>
          </cell>
          <cell r="K67">
            <v>4.25</v>
          </cell>
          <cell r="L67">
            <v>0</v>
          </cell>
          <cell r="M67">
            <v>0</v>
          </cell>
          <cell r="N67">
            <v>0</v>
          </cell>
          <cell r="O67" t="str">
            <v>NULL</v>
          </cell>
          <cell r="P67">
            <v>0</v>
          </cell>
          <cell r="Q67">
            <v>0</v>
          </cell>
          <cell r="S67" t="str">
            <v>NULL</v>
          </cell>
          <cell r="T67" t="str">
            <v>NULL</v>
          </cell>
          <cell r="U67">
            <v>43008</v>
          </cell>
          <cell r="V67">
            <v>283330940</v>
          </cell>
          <cell r="W67">
            <v>286351520</v>
          </cell>
          <cell r="X67">
            <v>292545220</v>
          </cell>
          <cell r="Y67">
            <v>298152870</v>
          </cell>
          <cell r="Z67">
            <v>-184216080</v>
          </cell>
          <cell r="AA67">
            <v>-1.5380358761298145</v>
          </cell>
          <cell r="AC67">
            <v>124280430</v>
          </cell>
          <cell r="AD67">
            <v>133684550</v>
          </cell>
          <cell r="AE67">
            <v>182725260</v>
          </cell>
          <cell r="AF67">
            <v>197470190</v>
          </cell>
          <cell r="AG67">
            <v>2.7496874981574617</v>
          </cell>
          <cell r="AH67">
            <v>401920910</v>
          </cell>
          <cell r="AI67">
            <v>388033240</v>
          </cell>
          <cell r="AJ67">
            <v>363093400</v>
          </cell>
          <cell r="AK67">
            <v>370123590</v>
          </cell>
          <cell r="AL67">
            <v>105158540</v>
          </cell>
          <cell r="AM67">
            <v>113652730</v>
          </cell>
          <cell r="AN67">
            <v>158693730</v>
          </cell>
          <cell r="AO67">
            <v>163891630</v>
          </cell>
          <cell r="AP67">
            <v>256.72373787217703</v>
          </cell>
          <cell r="AQ67">
            <v>5136120</v>
          </cell>
          <cell r="AR67">
            <v>4650030</v>
          </cell>
          <cell r="AS67">
            <v>6926060</v>
          </cell>
          <cell r="AT67">
            <v>7409410</v>
          </cell>
          <cell r="AU67">
            <v>3.4491292808612402</v>
          </cell>
          <cell r="AV67">
            <v>10171080</v>
          </cell>
          <cell r="AW67">
            <v>14579310</v>
          </cell>
          <cell r="AX67">
            <v>18789500</v>
          </cell>
          <cell r="AY67">
            <v>11704820</v>
          </cell>
          <cell r="AZ67">
            <v>9.31125076914498</v>
          </cell>
          <cell r="BA67">
            <v>-243.96335782217079</v>
          </cell>
          <cell r="BC67">
            <v>15.04074</v>
          </cell>
          <cell r="BD67">
            <v>-8.5904199999999999</v>
          </cell>
          <cell r="BE67">
            <v>-20.026029999999999</v>
          </cell>
          <cell r="BF67">
            <v>-38994150</v>
          </cell>
          <cell r="BG67">
            <v>-47612390</v>
          </cell>
          <cell r="BH67">
            <v>-11037150</v>
          </cell>
          <cell r="BI67">
            <v>-36870090</v>
          </cell>
          <cell r="BJ67">
            <v>-0.21078364260222152</v>
          </cell>
          <cell r="BK67">
            <v>-221060</v>
          </cell>
          <cell r="BL67">
            <v>-124060</v>
          </cell>
          <cell r="BM67">
            <v>-35440</v>
          </cell>
          <cell r="BN67">
            <v>-570530</v>
          </cell>
          <cell r="BO67">
            <v>-485180</v>
          </cell>
          <cell r="BP67">
            <v>228680</v>
          </cell>
          <cell r="BQ67">
            <v>-70520500</v>
          </cell>
          <cell r="BR67">
            <v>-55961190</v>
          </cell>
          <cell r="BS67">
            <v>-34302850</v>
          </cell>
          <cell r="BT67">
            <v>-65500750</v>
          </cell>
          <cell r="BU67">
            <v>-53591780</v>
          </cell>
          <cell r="BV67">
            <v>-51231570</v>
          </cell>
          <cell r="BW67">
            <v>-7.9921736921231543E-2</v>
          </cell>
          <cell r="BX67">
            <v>-0.46368850287950791</v>
          </cell>
          <cell r="BY67">
            <v>-184216080</v>
          </cell>
          <cell r="BZ67">
            <v>-160221940</v>
          </cell>
          <cell r="CA67">
            <v>-136109550</v>
          </cell>
          <cell r="CB67">
            <v>-151072400</v>
          </cell>
          <cell r="CC67" t="str">
            <v>NULL</v>
          </cell>
          <cell r="CD67" t="str">
            <v>NULL</v>
          </cell>
          <cell r="CE67" t="str">
            <v>NULL</v>
          </cell>
          <cell r="CF67" t="str">
            <v>NULL</v>
          </cell>
          <cell r="CG67" t="str">
            <v>NULL</v>
          </cell>
          <cell r="CH67" t="str">
            <v>NULL</v>
          </cell>
          <cell r="CI67" t="str">
            <v>NULL</v>
          </cell>
          <cell r="CJ67" t="str">
            <v>NULL</v>
          </cell>
          <cell r="CK67">
            <v>-184216080</v>
          </cell>
          <cell r="CL67">
            <v>-160221940</v>
          </cell>
          <cell r="CM67">
            <v>-136109550</v>
          </cell>
          <cell r="CN67">
            <v>-151072400</v>
          </cell>
          <cell r="CO67" t="str">
            <v>-</v>
          </cell>
          <cell r="CP67">
            <v>-38994150</v>
          </cell>
          <cell r="CQ67">
            <v>-21786300</v>
          </cell>
          <cell r="CR67">
            <v>-137124650</v>
          </cell>
          <cell r="CS67">
            <v>-224724510</v>
          </cell>
          <cell r="CT67">
            <v>-290306760</v>
          </cell>
          <cell r="CU67">
            <v>-216702690</v>
          </cell>
          <cell r="CV67">
            <v>-58410700</v>
          </cell>
          <cell r="CW67">
            <v>-109800740</v>
          </cell>
          <cell r="CX67">
            <v>-0.7898472893515649</v>
          </cell>
          <cell r="CY67">
            <v>-0.39317813247737443</v>
          </cell>
          <cell r="CZ67">
            <v>0.38980999446833819</v>
          </cell>
          <cell r="DA67">
            <v>0.22590672707724757</v>
          </cell>
          <cell r="DB67">
            <v>-0.33965462080789122</v>
          </cell>
          <cell r="DC67">
            <v>-2.7099827600080122</v>
          </cell>
          <cell r="DD67">
            <v>0.46802999688344538</v>
          </cell>
          <cell r="DE67">
            <v>1.3330851773980623</v>
          </cell>
          <cell r="DG67" t="str">
            <v>NULL</v>
          </cell>
          <cell r="DH67">
            <v>100368953</v>
          </cell>
          <cell r="DI67">
            <v>4.25</v>
          </cell>
          <cell r="DJ67" t="e">
            <v>#N/A</v>
          </cell>
          <cell r="DK67">
            <v>436132183.19999897</v>
          </cell>
          <cell r="DM67">
            <v>-184216080</v>
          </cell>
          <cell r="DN67" t="str">
            <v>NULL</v>
          </cell>
          <cell r="DO67" t="str">
            <v>NULL</v>
          </cell>
          <cell r="DP67" t="str">
            <v>NULL</v>
          </cell>
          <cell r="DQ67" t="str">
            <v>NULL</v>
          </cell>
          <cell r="DR67">
            <v>-184216080</v>
          </cell>
          <cell r="DS67" t="e">
            <v>#N/A</v>
          </cell>
          <cell r="DT67">
            <v>-0.38851000000000002</v>
          </cell>
          <cell r="DU67">
            <v>-0.47437000000000001</v>
          </cell>
          <cell r="DV67">
            <v>-0.10997</v>
          </cell>
          <cell r="DW67">
            <v>-0.36735000000000001</v>
          </cell>
          <cell r="DX67">
            <v>-1.3402000000000001</v>
          </cell>
          <cell r="DY67">
            <v>-3.1711684823160722</v>
          </cell>
          <cell r="DZ67" t="e">
            <v>#N/A</v>
          </cell>
          <cell r="EA67">
            <v>-51002890</v>
          </cell>
          <cell r="EB67" t="e">
            <v>#N/A</v>
          </cell>
          <cell r="EC67" t="str">
            <v>NULL</v>
          </cell>
          <cell r="ED67">
            <v>0.51806225215754398</v>
          </cell>
          <cell r="EE67">
            <v>0.41821035063263001</v>
          </cell>
          <cell r="EG67">
            <v>0.83990443446126495</v>
          </cell>
          <cell r="EH67">
            <v>-3.5198971176582883E-2</v>
          </cell>
          <cell r="EK67" t="str">
            <v>NULL</v>
          </cell>
          <cell r="EM67">
            <v>-3.4881110486781401</v>
          </cell>
          <cell r="EN67" t="str">
            <v>NULL</v>
          </cell>
        </row>
        <row r="68">
          <cell r="A68" t="str">
            <v>REP</v>
          </cell>
          <cell r="B68" t="str">
            <v>REP.BA</v>
          </cell>
          <cell r="C68" t="str">
            <v>REPSOL SA</v>
          </cell>
          <cell r="D68">
            <v>43008</v>
          </cell>
          <cell r="E68">
            <v>327747650602.40997</v>
          </cell>
          <cell r="F68">
            <v>293316686746.98798</v>
          </cell>
          <cell r="G68">
            <v>1.11738</v>
          </cell>
          <cell r="H68">
            <v>0.86751</v>
          </cell>
          <cell r="I68" t="str">
            <v>NULL</v>
          </cell>
          <cell r="J68" t="str">
            <v>NULL</v>
          </cell>
          <cell r="K68">
            <v>320</v>
          </cell>
          <cell r="L68">
            <v>0</v>
          </cell>
          <cell r="M68" t="str">
            <v>NULL</v>
          </cell>
          <cell r="N68">
            <v>0</v>
          </cell>
          <cell r="O68" t="str">
            <v>NULL</v>
          </cell>
          <cell r="P68">
            <v>0</v>
          </cell>
          <cell r="Q68">
            <v>0</v>
          </cell>
          <cell r="S68">
            <v>49.499832157999997</v>
          </cell>
          <cell r="T68" t="str">
            <v>NULL</v>
          </cell>
          <cell r="U68">
            <v>43008</v>
          </cell>
          <cell r="V68">
            <v>1240229457831.3301</v>
          </cell>
          <cell r="W68" t="str">
            <v>NULL</v>
          </cell>
          <cell r="X68">
            <v>1032632420718.59</v>
          </cell>
          <cell r="Y68" t="str">
            <v>NULL</v>
          </cell>
          <cell r="Z68">
            <v>608362048192.771</v>
          </cell>
          <cell r="AA68">
            <v>2.0386371265525427</v>
          </cell>
          <cell r="AC68">
            <v>205135843373.49399</v>
          </cell>
          <cell r="AD68" t="str">
            <v>NULL</v>
          </cell>
          <cell r="AE68">
            <v>165622438395.84299</v>
          </cell>
          <cell r="AF68" t="str">
            <v>NULL</v>
          </cell>
          <cell r="AG68">
            <v>0.48937193885742458</v>
          </cell>
          <cell r="AH68">
            <v>53831566265.060204</v>
          </cell>
          <cell r="AI68" t="str">
            <v>NULL</v>
          </cell>
          <cell r="AJ68">
            <v>30437480033.224701</v>
          </cell>
          <cell r="AK68" t="str">
            <v>NULL</v>
          </cell>
          <cell r="AL68">
            <v>145484096385.54199</v>
          </cell>
          <cell r="AM68" t="str">
            <v>NULL</v>
          </cell>
          <cell r="AN68">
            <v>116038801567.52499</v>
          </cell>
          <cell r="AO68" t="str">
            <v>NULL</v>
          </cell>
          <cell r="AP68">
            <v>58.805944220597219</v>
          </cell>
          <cell r="AQ68">
            <v>73620180722.891602</v>
          </cell>
          <cell r="AR68" t="str">
            <v>NULL</v>
          </cell>
          <cell r="AS68">
            <v>45656220049.837097</v>
          </cell>
          <cell r="AT68" t="str">
            <v>NULL</v>
          </cell>
          <cell r="AU68">
            <v>58.711953883111541</v>
          </cell>
          <cell r="AV68">
            <v>73293433734.939804</v>
          </cell>
          <cell r="AW68" t="str">
            <v>NULL</v>
          </cell>
          <cell r="AX68">
            <v>61447708346.644501</v>
          </cell>
          <cell r="AY68" t="str">
            <v>NULL</v>
          </cell>
          <cell r="AZ68">
            <v>94.027171702196853</v>
          </cell>
          <cell r="BA68">
            <v>93.933181364711174</v>
          </cell>
          <cell r="BC68">
            <v>32.295540000000003</v>
          </cell>
          <cell r="BD68">
            <v>5.6473199999999997</v>
          </cell>
          <cell r="BE68">
            <v>4.0618100000000004</v>
          </cell>
          <cell r="BF68">
            <v>10762228915.662701</v>
          </cell>
          <cell r="BG68" t="str">
            <v>NULL</v>
          </cell>
          <cell r="BH68">
            <v>11274959001.554701</v>
          </cell>
          <cell r="BI68" t="str">
            <v>NULL</v>
          </cell>
          <cell r="BJ68">
            <v>5.9438154185123729E-2</v>
          </cell>
          <cell r="BK68">
            <v>-28406566265.0602</v>
          </cell>
          <cell r="BL68" t="str">
            <v>NULL</v>
          </cell>
          <cell r="BM68">
            <v>-6627515813.6860304</v>
          </cell>
          <cell r="BN68" t="str">
            <v>NULL</v>
          </cell>
          <cell r="BO68">
            <v>-23780404342.353699</v>
          </cell>
          <cell r="BP68">
            <v>-11253677736.392532</v>
          </cell>
          <cell r="BQ68">
            <v>66738072289.156601</v>
          </cell>
          <cell r="BR68" t="str">
            <v>NULL</v>
          </cell>
          <cell r="BS68">
            <v>11111316635.7847</v>
          </cell>
          <cell r="BT68" t="str">
            <v>NULL</v>
          </cell>
          <cell r="BU68">
            <v>38662557313.6744</v>
          </cell>
          <cell r="BV68">
            <v>39186831611.266899</v>
          </cell>
          <cell r="BW68">
            <v>7.534060666580783E-2</v>
          </cell>
          <cell r="BX68">
            <v>1.9391576870722183E-2</v>
          </cell>
          <cell r="BY68">
            <v>608362048192.771</v>
          </cell>
          <cell r="BZ68" t="str">
            <v>NULL</v>
          </cell>
          <cell r="CA68">
            <v>510122346814.90002</v>
          </cell>
          <cell r="CB68" t="str">
            <v>NULL</v>
          </cell>
          <cell r="CC68" t="str">
            <v>NULL</v>
          </cell>
          <cell r="CD68" t="str">
            <v>NULL</v>
          </cell>
          <cell r="CE68" t="str">
            <v>NULL</v>
          </cell>
          <cell r="CF68" t="str">
            <v>NULL</v>
          </cell>
          <cell r="CG68" t="str">
            <v>NULL</v>
          </cell>
          <cell r="CH68" t="str">
            <v>NULL</v>
          </cell>
          <cell r="CI68" t="str">
            <v>NULL</v>
          </cell>
          <cell r="CJ68" t="str">
            <v>NULL</v>
          </cell>
          <cell r="CK68">
            <v>608362048192.771</v>
          </cell>
          <cell r="CL68" t="e">
            <v>#VALUE!</v>
          </cell>
          <cell r="CM68">
            <v>510122346814.90002</v>
          </cell>
          <cell r="CN68">
            <v>0</v>
          </cell>
          <cell r="CO68" t="e">
            <v>#VALUE!</v>
          </cell>
          <cell r="CP68">
            <v>10762228915.662701</v>
          </cell>
          <cell r="CQ68">
            <v>8294687809.0443201</v>
          </cell>
          <cell r="CR68">
            <v>23951007148.864601</v>
          </cell>
          <cell r="CS68">
            <v>-19639652262.681801</v>
          </cell>
          <cell r="CT68">
            <v>10486061815.7624</v>
          </cell>
          <cell r="CU68">
            <v>7873715534.5410604</v>
          </cell>
          <cell r="CV68">
            <v>8514612360.1435499</v>
          </cell>
          <cell r="CW68">
            <v>7891176699.02913</v>
          </cell>
          <cell r="CX68">
            <v>0.29748450615921129</v>
          </cell>
          <cell r="CY68">
            <v>-6.3578353682955946E-2</v>
          </cell>
          <cell r="CZ68">
            <v>2.2195229746697196</v>
          </cell>
          <cell r="DA68">
            <v>-2.8729292853452324</v>
          </cell>
          <cell r="DB68">
            <v>0.33178062755268267</v>
          </cell>
          <cell r="DC68">
            <v>-7.527022940028294E-2</v>
          </cell>
          <cell r="DD68">
            <v>7.9004144108333341E-2</v>
          </cell>
          <cell r="DE68">
            <v>1.8222087919222736</v>
          </cell>
          <cell r="DG68">
            <v>6.1750641022808397</v>
          </cell>
          <cell r="DH68">
            <v>1556375624</v>
          </cell>
          <cell r="DI68">
            <v>347</v>
          </cell>
          <cell r="DJ68">
            <v>508578502700</v>
          </cell>
          <cell r="DK68">
            <v>750602442409.16394</v>
          </cell>
          <cell r="DM68">
            <v>608362048192.771</v>
          </cell>
          <cell r="DN68" t="str">
            <v>NULL</v>
          </cell>
          <cell r="DO68" t="str">
            <v>NULL</v>
          </cell>
          <cell r="DP68">
            <v>37330843373.494003</v>
          </cell>
          <cell r="DQ68">
            <v>57384939759.036102</v>
          </cell>
          <cell r="DR68">
            <v>513646265060.24091</v>
          </cell>
          <cell r="DS68">
            <v>0.99013375019937788</v>
          </cell>
          <cell r="DT68">
            <v>6.8424903614457797</v>
          </cell>
          <cell r="DU68" t="str">
            <v>NULL</v>
          </cell>
          <cell r="DV68">
            <v>7.2012459480757398</v>
          </cell>
          <cell r="DW68" t="str">
            <v>NULL</v>
          </cell>
          <cell r="DX68">
            <v>14.04373630952152</v>
          </cell>
          <cell r="DY68">
            <v>22.785959017405006</v>
          </cell>
          <cell r="DZ68">
            <v>1.3717252660492323</v>
          </cell>
          <cell r="EA68">
            <v>27933153874.874367</v>
          </cell>
          <cell r="EB68">
            <v>18.206984609692142</v>
          </cell>
          <cell r="EC68">
            <v>11.8229722518677</v>
          </cell>
          <cell r="ED68">
            <v>0.27464841775073201</v>
          </cell>
          <cell r="EE68">
            <v>0.23779538902743799</v>
          </cell>
          <cell r="EG68">
            <v>0.37981436957214099</v>
          </cell>
          <cell r="EH68">
            <v>-4.0990397766700548E-2</v>
          </cell>
          <cell r="EK68">
            <v>4.7604827866220099</v>
          </cell>
          <cell r="EM68" t="str">
            <v>NaN</v>
          </cell>
          <cell r="EN68">
            <v>9.4805297267000004</v>
          </cell>
        </row>
        <row r="69">
          <cell r="A69" t="str">
            <v>RIGO</v>
          </cell>
          <cell r="B69" t="str">
            <v>RIG.BA</v>
          </cell>
          <cell r="C69" t="str">
            <v>RIGOLLEAU SA</v>
          </cell>
          <cell r="D69">
            <v>42978</v>
          </cell>
          <cell r="E69">
            <v>1171296730</v>
          </cell>
          <cell r="F69">
            <v>944201640</v>
          </cell>
          <cell r="G69">
            <v>1.2405200000000001</v>
          </cell>
          <cell r="H69">
            <v>0.58703000000000005</v>
          </cell>
          <cell r="I69">
            <v>1.36405</v>
          </cell>
          <cell r="J69">
            <v>0.74551000000000001</v>
          </cell>
          <cell r="K69">
            <v>61</v>
          </cell>
          <cell r="L69">
            <v>0.20624999999999999</v>
          </cell>
          <cell r="M69">
            <v>0.13750000000000001</v>
          </cell>
          <cell r="N69">
            <v>0</v>
          </cell>
          <cell r="O69">
            <v>0.20624999999999999</v>
          </cell>
          <cell r="P69">
            <v>0.55000000000000004</v>
          </cell>
          <cell r="Q69">
            <v>9.0163934426229515E-3</v>
          </cell>
          <cell r="S69">
            <v>104.375553928</v>
          </cell>
          <cell r="T69">
            <v>107.215016009</v>
          </cell>
          <cell r="U69">
            <v>42978</v>
          </cell>
          <cell r="V69">
            <v>1902665040</v>
          </cell>
          <cell r="W69">
            <v>1756990250</v>
          </cell>
          <cell r="X69">
            <v>1673578790</v>
          </cell>
          <cell r="Y69">
            <v>1640122160</v>
          </cell>
          <cell r="Z69">
            <v>580027590</v>
          </cell>
          <cell r="AA69">
            <v>3.2803009249956543</v>
          </cell>
          <cell r="AC69">
            <v>437341810</v>
          </cell>
          <cell r="AD69">
            <v>490313430</v>
          </cell>
          <cell r="AE69">
            <v>457854650</v>
          </cell>
          <cell r="AF69">
            <v>531598380</v>
          </cell>
          <cell r="AG69">
            <v>1.3745866327654728</v>
          </cell>
          <cell r="AH69">
            <v>89949100</v>
          </cell>
          <cell r="AI69">
            <v>59946670</v>
          </cell>
          <cell r="AJ69">
            <v>186590640</v>
          </cell>
          <cell r="AK69">
            <v>192118750</v>
          </cell>
          <cell r="AL69">
            <v>327074510</v>
          </cell>
          <cell r="AM69">
            <v>366797270</v>
          </cell>
          <cell r="AN69">
            <v>347235540</v>
          </cell>
          <cell r="AO69">
            <v>430092150</v>
          </cell>
          <cell r="AP69">
            <v>32.786322883871073</v>
          </cell>
          <cell r="AQ69">
            <v>390758740</v>
          </cell>
          <cell r="AR69">
            <v>441260850</v>
          </cell>
          <cell r="AS69">
            <v>445052820</v>
          </cell>
          <cell r="AT69">
            <v>460191340</v>
          </cell>
          <cell r="AU69">
            <v>82.689809265441227</v>
          </cell>
          <cell r="AV69">
            <v>617018560</v>
          </cell>
          <cell r="AW69">
            <v>489470120</v>
          </cell>
          <cell r="AX69">
            <v>466721560</v>
          </cell>
          <cell r="AY69">
            <v>476178340</v>
          </cell>
          <cell r="AZ69">
            <v>127.11172872091912</v>
          </cell>
          <cell r="BA69">
            <v>177.01521510248929</v>
          </cell>
          <cell r="BC69">
            <v>24.057210000000001</v>
          </cell>
          <cell r="BD69">
            <v>15.25614</v>
          </cell>
          <cell r="BE69">
            <v>7.0650700000000004</v>
          </cell>
          <cell r="BF69">
            <v>29992220</v>
          </cell>
          <cell r="BG69">
            <v>11328570</v>
          </cell>
          <cell r="BH69">
            <v>9943210</v>
          </cell>
          <cell r="BI69">
            <v>14410090</v>
          </cell>
          <cell r="BJ69">
            <v>3.4256849770931297E-2</v>
          </cell>
          <cell r="BK69">
            <v>-210242920</v>
          </cell>
          <cell r="BL69">
            <v>-150429520</v>
          </cell>
          <cell r="BM69">
            <v>-46012020</v>
          </cell>
          <cell r="BN69">
            <v>-51663990</v>
          </cell>
          <cell r="BO69">
            <v>-27489030</v>
          </cell>
          <cell r="BP69">
            <v>-228765910</v>
          </cell>
          <cell r="BQ69">
            <v>148075540</v>
          </cell>
          <cell r="BR69">
            <v>114426550</v>
          </cell>
          <cell r="BS69">
            <v>9465610</v>
          </cell>
          <cell r="BT69">
            <v>-80164910</v>
          </cell>
          <cell r="BU69">
            <v>-66274040</v>
          </cell>
          <cell r="BV69">
            <v>223815190</v>
          </cell>
          <cell r="BW69">
            <v>-2.5823893608262405E-3</v>
          </cell>
          <cell r="BX69">
            <v>3.7671438394777892E-2</v>
          </cell>
          <cell r="BY69">
            <v>580027590</v>
          </cell>
          <cell r="BZ69">
            <v>550035370</v>
          </cell>
          <cell r="CA69">
            <v>578599650</v>
          </cell>
          <cell r="CB69">
            <v>568656440</v>
          </cell>
          <cell r="CC69" t="str">
            <v>NULL</v>
          </cell>
          <cell r="CD69" t="str">
            <v>NULL</v>
          </cell>
          <cell r="CE69" t="str">
            <v>NULL</v>
          </cell>
          <cell r="CF69" t="str">
            <v>NULL</v>
          </cell>
          <cell r="CG69" t="str">
            <v>NULL</v>
          </cell>
          <cell r="CH69" t="str">
            <v>NULL</v>
          </cell>
          <cell r="CI69" t="str">
            <v>NULL</v>
          </cell>
          <cell r="CJ69" t="str">
            <v>NULL</v>
          </cell>
          <cell r="CK69">
            <v>580027590</v>
          </cell>
          <cell r="CL69">
            <v>550035370</v>
          </cell>
          <cell r="CM69">
            <v>578599650</v>
          </cell>
          <cell r="CN69">
            <v>568656440</v>
          </cell>
          <cell r="CO69">
            <v>0.11535334058703808</v>
          </cell>
          <cell r="CP69">
            <v>29992220</v>
          </cell>
          <cell r="CQ69">
            <v>39077860</v>
          </cell>
          <cell r="CR69">
            <v>136706120</v>
          </cell>
          <cell r="CS69">
            <v>93706890</v>
          </cell>
          <cell r="CT69">
            <v>82418550</v>
          </cell>
          <cell r="CU69">
            <v>71100470</v>
          </cell>
          <cell r="CV69">
            <v>86797700</v>
          </cell>
          <cell r="CW69">
            <v>56446230</v>
          </cell>
          <cell r="CX69">
            <v>-0.23250096090215788</v>
          </cell>
          <cell r="CY69">
            <v>0.22237495853634046</v>
          </cell>
          <cell r="CZ69">
            <v>0.45886945986575811</v>
          </cell>
          <cell r="DA69">
            <v>0.13696358404752318</v>
          </cell>
          <cell r="DB69">
            <v>0.15918432044120112</v>
          </cell>
          <cell r="DC69">
            <v>-0.1808484556618436</v>
          </cell>
          <cell r="DD69">
            <v>0.5377058839890636</v>
          </cell>
          <cell r="DE69">
            <v>0.28689742204248758</v>
          </cell>
          <cell r="DG69">
            <v>14.915686027370301</v>
          </cell>
          <cell r="DH69">
            <v>72534732</v>
          </cell>
          <cell r="DI69">
            <v>61</v>
          </cell>
          <cell r="DJ69">
            <v>4424461821</v>
          </cell>
          <cell r="DK69">
            <v>4811815973.8999996</v>
          </cell>
          <cell r="DM69">
            <v>580027590</v>
          </cell>
          <cell r="DN69" t="str">
            <v>NULL</v>
          </cell>
          <cell r="DO69" t="str">
            <v>NULL</v>
          </cell>
          <cell r="DP69" t="str">
            <v>NULL</v>
          </cell>
          <cell r="DQ69" t="str">
            <v>NULL</v>
          </cell>
          <cell r="DR69">
            <v>580027590</v>
          </cell>
          <cell r="DS69">
            <v>7.6280195929990162</v>
          </cell>
          <cell r="DT69">
            <v>0.41349999999999998</v>
          </cell>
          <cell r="DU69">
            <v>0.15619</v>
          </cell>
          <cell r="DV69">
            <v>0.13708999999999999</v>
          </cell>
          <cell r="DW69">
            <v>0.19867000000000001</v>
          </cell>
          <cell r="DX69">
            <v>0.90544999999999998</v>
          </cell>
          <cell r="DY69">
            <v>67.369816113534711</v>
          </cell>
          <cell r="DZ69">
            <v>2.3078831228452215</v>
          </cell>
          <cell r="EA69">
            <v>-4950720</v>
          </cell>
          <cell r="EB69">
            <v>-893.70067808318788</v>
          </cell>
          <cell r="EC69">
            <v>66.154950577061101</v>
          </cell>
          <cell r="ED69">
            <v>0.38977033479787299</v>
          </cell>
          <cell r="EE69">
            <v>0.33337705512992599</v>
          </cell>
          <cell r="EG69">
            <v>0.37803259386115051</v>
          </cell>
          <cell r="EH69">
            <v>0.1032373707069294</v>
          </cell>
          <cell r="EK69">
            <v>0.91819699499165297</v>
          </cell>
          <cell r="EM69">
            <v>-32.464890512272</v>
          </cell>
          <cell r="EN69" t="str">
            <v>NULL</v>
          </cell>
        </row>
        <row r="70">
          <cell r="A70" t="str">
            <v>ROSE</v>
          </cell>
          <cell r="B70" t="str">
            <v>ROS.BA</v>
          </cell>
          <cell r="C70" t="str">
            <v>INSTITUTO ROSENBUSCH SA DE BIOLOGIA EXPERIMENTAL AGROPECUARIA</v>
          </cell>
          <cell r="D70">
            <v>43008</v>
          </cell>
          <cell r="E70">
            <v>182951220</v>
          </cell>
          <cell r="F70">
            <v>107670650</v>
          </cell>
          <cell r="G70">
            <v>1.6991700000000001</v>
          </cell>
          <cell r="H70">
            <v>1.0045500000000001</v>
          </cell>
          <cell r="I70">
            <v>1.80243</v>
          </cell>
          <cell r="J70">
            <v>1.1015200000000001</v>
          </cell>
          <cell r="K70">
            <v>9.2000000000000011</v>
          </cell>
          <cell r="L70">
            <v>0</v>
          </cell>
          <cell r="M70">
            <v>0</v>
          </cell>
          <cell r="N70">
            <v>0</v>
          </cell>
          <cell r="O70">
            <v>0</v>
          </cell>
          <cell r="P70">
            <v>0</v>
          </cell>
          <cell r="Q70">
            <v>0</v>
          </cell>
          <cell r="S70">
            <v>57.502052743999997</v>
          </cell>
          <cell r="T70">
            <v>46.186793192000003</v>
          </cell>
          <cell r="U70">
            <v>43008</v>
          </cell>
          <cell r="V70">
            <v>214342580</v>
          </cell>
          <cell r="W70">
            <v>205528520</v>
          </cell>
          <cell r="X70">
            <v>195283710</v>
          </cell>
          <cell r="Y70">
            <v>197856840</v>
          </cell>
          <cell r="Z70">
            <v>80075750</v>
          </cell>
          <cell r="AA70">
            <v>2.6767477045172852</v>
          </cell>
          <cell r="AC70">
            <v>32167680</v>
          </cell>
          <cell r="AD70">
            <v>47608860</v>
          </cell>
          <cell r="AE70">
            <v>45054080</v>
          </cell>
          <cell r="AF70">
            <v>38137750</v>
          </cell>
          <cell r="AG70">
            <v>1.0021981203630224</v>
          </cell>
          <cell r="AH70">
            <v>31270810</v>
          </cell>
          <cell r="AI70">
            <v>28827220</v>
          </cell>
          <cell r="AJ70">
            <v>29875980</v>
          </cell>
          <cell r="AK70">
            <v>35641520</v>
          </cell>
          <cell r="AL70">
            <v>22086470</v>
          </cell>
          <cell r="AM70">
            <v>28787930</v>
          </cell>
          <cell r="AN70">
            <v>33157480</v>
          </cell>
          <cell r="AO70">
            <v>30027060</v>
          </cell>
          <cell r="AP70">
            <v>100.49556056281077</v>
          </cell>
          <cell r="AQ70">
            <v>75820140</v>
          </cell>
          <cell r="AR70">
            <v>79390940</v>
          </cell>
          <cell r="AS70">
            <v>73194530</v>
          </cell>
          <cell r="AT70">
            <v>61420260</v>
          </cell>
          <cell r="AU70">
            <v>162.28063542330329</v>
          </cell>
          <cell r="AV70">
            <v>74790580</v>
          </cell>
          <cell r="AW70">
            <v>67893620</v>
          </cell>
          <cell r="AX70">
            <v>65305530</v>
          </cell>
          <cell r="AY70">
            <v>69170310</v>
          </cell>
          <cell r="AZ70">
            <v>221.73495256049196</v>
          </cell>
          <cell r="BA70">
            <v>283.52002742098455</v>
          </cell>
          <cell r="BC70">
            <v>36.294119999999999</v>
          </cell>
          <cell r="BD70">
            <v>9.2446800000000007</v>
          </cell>
          <cell r="BE70">
            <v>6.0743200000000002</v>
          </cell>
          <cell r="BF70">
            <v>-928390</v>
          </cell>
          <cell r="BG70">
            <v>2060510</v>
          </cell>
          <cell r="BH70">
            <v>2003790</v>
          </cell>
          <cell r="BI70">
            <v>7525790</v>
          </cell>
          <cell r="BJ70">
            <v>6.542189751299593E-2</v>
          </cell>
          <cell r="BK70">
            <v>-1322500</v>
          </cell>
          <cell r="BL70">
            <v>-103980</v>
          </cell>
          <cell r="BM70">
            <v>-29120</v>
          </cell>
          <cell r="BN70">
            <v>-15756560</v>
          </cell>
          <cell r="BO70">
            <v>-4021000</v>
          </cell>
          <cell r="BP70">
            <v>2669380</v>
          </cell>
          <cell r="BQ70">
            <v>-16378180</v>
          </cell>
          <cell r="BR70">
            <v>-5331600</v>
          </cell>
          <cell r="BS70">
            <v>-805500</v>
          </cell>
          <cell r="BT70">
            <v>15839800</v>
          </cell>
          <cell r="BU70">
            <v>-448410</v>
          </cell>
          <cell r="BV70">
            <v>-16735270</v>
          </cell>
          <cell r="BW70">
            <v>-8.6310552164202164E-2</v>
          </cell>
          <cell r="BX70">
            <v>5.2455336894618912E-2</v>
          </cell>
          <cell r="BY70">
            <v>80075750</v>
          </cell>
          <cell r="BZ70">
            <v>81004130</v>
          </cell>
          <cell r="CA70">
            <v>78816770</v>
          </cell>
          <cell r="CB70">
            <v>75752250</v>
          </cell>
          <cell r="CC70" t="str">
            <v>NULL</v>
          </cell>
          <cell r="CD70" t="str">
            <v>NULL</v>
          </cell>
          <cell r="CE70" t="str">
            <v>NULL</v>
          </cell>
          <cell r="CF70" t="str">
            <v>NULL</v>
          </cell>
          <cell r="CG70" t="str">
            <v>NULL</v>
          </cell>
          <cell r="CH70" t="str">
            <v>NULL</v>
          </cell>
          <cell r="CI70" t="str">
            <v>NULL</v>
          </cell>
          <cell r="CJ70" t="str">
            <v>NULL</v>
          </cell>
          <cell r="CK70">
            <v>80075750</v>
          </cell>
          <cell r="CL70">
            <v>81004130</v>
          </cell>
          <cell r="CM70">
            <v>78816770</v>
          </cell>
          <cell r="CN70">
            <v>75752250</v>
          </cell>
          <cell r="CO70">
            <v>0.13510834347909972</v>
          </cell>
          <cell r="CP70">
            <v>-928390</v>
          </cell>
          <cell r="CQ70">
            <v>-411770</v>
          </cell>
          <cell r="CR70">
            <v>10162700</v>
          </cell>
          <cell r="CS70">
            <v>-727460</v>
          </cell>
          <cell r="CT70">
            <v>8346230</v>
          </cell>
          <cell r="CU70">
            <v>-9120270</v>
          </cell>
          <cell r="CV70">
            <v>9284000</v>
          </cell>
          <cell r="CW70">
            <v>6956820</v>
          </cell>
          <cell r="CX70">
            <v>-1.2546324404400515</v>
          </cell>
          <cell r="CY70">
            <v>2.8300476180274359</v>
          </cell>
          <cell r="CZ70">
            <v>14.9701151953372</v>
          </cell>
          <cell r="DA70">
            <v>-1.0871603107031558</v>
          </cell>
          <cell r="DB70">
            <v>1.9151297055898564</v>
          </cell>
          <cell r="DC70">
            <v>-1.9823642826367944</v>
          </cell>
          <cell r="DD70">
            <v>0.33451778255007314</v>
          </cell>
          <cell r="DE70">
            <v>6.9453187649392518</v>
          </cell>
          <cell r="DG70">
            <v>60.7926768808452</v>
          </cell>
          <cell r="DH70">
            <v>42589465</v>
          </cell>
          <cell r="DI70">
            <v>9.1</v>
          </cell>
          <cell r="DJ70">
            <v>387564131.5</v>
          </cell>
          <cell r="DK70">
            <v>443587141.25000101</v>
          </cell>
          <cell r="DM70">
            <v>80075750</v>
          </cell>
          <cell r="DN70" t="str">
            <v>NULL</v>
          </cell>
          <cell r="DO70" t="str">
            <v>NULL</v>
          </cell>
          <cell r="DP70">
            <v>740</v>
          </cell>
          <cell r="DQ70" t="str">
            <v>NULL</v>
          </cell>
          <cell r="DR70">
            <v>80075010</v>
          </cell>
          <cell r="DS70">
            <v>4.8400135260676205</v>
          </cell>
          <cell r="DT70">
            <v>-2.18E-2</v>
          </cell>
          <cell r="DU70">
            <v>4.8379999999999999E-2</v>
          </cell>
          <cell r="DV70">
            <v>4.7050000000000002E-2</v>
          </cell>
          <cell r="DW70">
            <v>0.17671000000000001</v>
          </cell>
          <cell r="DX70">
            <v>0.25034000000000001</v>
          </cell>
          <cell r="DY70">
            <v>36.750019972836945</v>
          </cell>
          <cell r="DZ70">
            <v>2.378155537175711</v>
          </cell>
          <cell r="EA70">
            <v>-14065890</v>
          </cell>
          <cell r="EB70">
            <v>-27.553473793695243</v>
          </cell>
          <cell r="EC70">
            <v>36.949748342254502</v>
          </cell>
          <cell r="ED70">
            <v>0.53183526952333804</v>
          </cell>
          <cell r="EE70">
            <v>0.59842300456077702</v>
          </cell>
          <cell r="EG70">
            <v>0.40633068378248327</v>
          </cell>
          <cell r="EH70">
            <v>-3.5219263106330501E-2</v>
          </cell>
          <cell r="EK70" t="str">
            <v>NULL</v>
          </cell>
          <cell r="EM70">
            <v>127.077433715871</v>
          </cell>
          <cell r="EN70">
            <v>126.3599933445</v>
          </cell>
        </row>
        <row r="71">
          <cell r="A71" t="str">
            <v>SAMI</v>
          </cell>
          <cell r="B71" t="str">
            <v>SMI.BA</v>
          </cell>
          <cell r="C71" t="str">
            <v>S.A. SAN MIGUEL AGICI Y F-B</v>
          </cell>
          <cell r="D71">
            <v>43008</v>
          </cell>
          <cell r="E71">
            <v>4481701000</v>
          </cell>
          <cell r="F71">
            <v>4510087000</v>
          </cell>
          <cell r="G71">
            <v>0.99370999999999998</v>
          </cell>
          <cell r="H71">
            <v>0.65639000000000003</v>
          </cell>
          <cell r="I71">
            <v>1.2956399999999999</v>
          </cell>
          <cell r="J71">
            <v>0.84518000000000004</v>
          </cell>
          <cell r="K71">
            <v>110.5</v>
          </cell>
          <cell r="L71">
            <v>0</v>
          </cell>
          <cell r="M71">
            <v>0</v>
          </cell>
          <cell r="N71">
            <v>0</v>
          </cell>
          <cell r="O71">
            <v>0</v>
          </cell>
          <cell r="P71">
            <v>0</v>
          </cell>
          <cell r="Q71">
            <v>0</v>
          </cell>
          <cell r="S71">
            <v>197.73112367799999</v>
          </cell>
          <cell r="T71">
            <v>156.18300827100001</v>
          </cell>
          <cell r="U71">
            <v>43008</v>
          </cell>
          <cell r="V71">
            <v>8400448000</v>
          </cell>
          <cell r="W71">
            <v>6995684710</v>
          </cell>
          <cell r="X71">
            <v>5209527950</v>
          </cell>
          <cell r="Y71">
            <v>4091618430</v>
          </cell>
          <cell r="Z71">
            <v>2189542000</v>
          </cell>
          <cell r="AA71">
            <v>3.8366233668959078</v>
          </cell>
          <cell r="AC71">
            <v>1683484130</v>
          </cell>
          <cell r="AD71">
            <v>1085626030</v>
          </cell>
          <cell r="AE71">
            <v>138761850</v>
          </cell>
          <cell r="AF71">
            <v>805539420</v>
          </cell>
          <cell r="AG71">
            <v>0.75178422487770713</v>
          </cell>
          <cell r="AH71">
            <v>1214693000</v>
          </cell>
          <cell r="AI71">
            <v>1547488480</v>
          </cell>
          <cell r="AJ71">
            <v>662967750</v>
          </cell>
          <cell r="AK71">
            <v>543527850</v>
          </cell>
          <cell r="AL71">
            <v>1437536070</v>
          </cell>
          <cell r="AM71">
            <v>779527940</v>
          </cell>
          <cell r="AN71">
            <v>108167000</v>
          </cell>
          <cell r="AO71">
            <v>587144130</v>
          </cell>
          <cell r="AP71">
            <v>124.34585729570539</v>
          </cell>
          <cell r="AQ71">
            <v>1625230000</v>
          </cell>
          <cell r="AR71">
            <v>1010250640</v>
          </cell>
          <cell r="AS71">
            <v>265598820</v>
          </cell>
          <cell r="AT71">
            <v>151056650</v>
          </cell>
          <cell r="AU71">
            <v>75.00042084954211</v>
          </cell>
          <cell r="AV71">
            <v>1521317000</v>
          </cell>
          <cell r="AW71">
            <v>1604393380</v>
          </cell>
          <cell r="AX71">
            <v>1069878520</v>
          </cell>
          <cell r="AY71">
            <v>829302920</v>
          </cell>
          <cell r="AZ71">
            <v>157.43898245711574</v>
          </cell>
          <cell r="BA71">
            <v>108.09354601095247</v>
          </cell>
          <cell r="BC71">
            <v>35.559640000000002</v>
          </cell>
          <cell r="BD71">
            <v>17.499079999999999</v>
          </cell>
          <cell r="BE71">
            <v>5.7342700000000004</v>
          </cell>
          <cell r="BF71">
            <v>240609130</v>
          </cell>
          <cell r="BG71">
            <v>-25322950</v>
          </cell>
          <cell r="BH71">
            <v>-84293570</v>
          </cell>
          <cell r="BI71">
            <v>11150350</v>
          </cell>
          <cell r="BJ71">
            <v>3.8278268562339186E-2</v>
          </cell>
          <cell r="BK71">
            <v>-270966000</v>
          </cell>
          <cell r="BL71">
            <v>-136955080</v>
          </cell>
          <cell r="BM71">
            <v>-78513670</v>
          </cell>
          <cell r="BN71">
            <v>-261439500</v>
          </cell>
          <cell r="BO71">
            <v>-182664000</v>
          </cell>
          <cell r="BP71">
            <v>-166815670</v>
          </cell>
          <cell r="BQ71">
            <v>-1982375000</v>
          </cell>
          <cell r="BR71">
            <v>-1294747830</v>
          </cell>
          <cell r="BS71">
            <v>-648798900</v>
          </cell>
          <cell r="BT71">
            <v>687511930</v>
          </cell>
          <cell r="BU71">
            <v>-522977000</v>
          </cell>
          <cell r="BV71">
            <v>-2108196900</v>
          </cell>
          <cell r="BW71">
            <v>-0.61264759181290074</v>
          </cell>
          <cell r="BX71">
            <v>2.3021638858598654E-2</v>
          </cell>
          <cell r="BY71">
            <v>2189542000</v>
          </cell>
          <cell r="BZ71">
            <v>1903202290</v>
          </cell>
          <cell r="CA71">
            <v>1964178210</v>
          </cell>
          <cell r="CB71">
            <v>1369171320</v>
          </cell>
          <cell r="CC71" t="str">
            <v>NULL</v>
          </cell>
          <cell r="CD71" t="str">
            <v>NULL</v>
          </cell>
          <cell r="CE71" t="str">
            <v>NULL</v>
          </cell>
          <cell r="CF71" t="str">
            <v>NULL</v>
          </cell>
          <cell r="CG71" t="str">
            <v>NULL</v>
          </cell>
          <cell r="CH71" t="str">
            <v>NULL</v>
          </cell>
          <cell r="CI71" t="str">
            <v>NULL</v>
          </cell>
          <cell r="CJ71" t="str">
            <v>NULL</v>
          </cell>
          <cell r="CK71">
            <v>2189542000</v>
          </cell>
          <cell r="CL71">
            <v>1903202290</v>
          </cell>
          <cell r="CM71">
            <v>1964178210</v>
          </cell>
          <cell r="CN71">
            <v>1369171320</v>
          </cell>
          <cell r="CO71">
            <v>7.6564052889921602E-2</v>
          </cell>
          <cell r="CP71">
            <v>240609130</v>
          </cell>
          <cell r="CQ71">
            <v>171012190</v>
          </cell>
          <cell r="CR71">
            <v>230741690</v>
          </cell>
          <cell r="CS71">
            <v>-65092850</v>
          </cell>
          <cell r="CT71">
            <v>298878460</v>
          </cell>
          <cell r="CU71">
            <v>93683650</v>
          </cell>
          <cell r="CV71">
            <v>20394660</v>
          </cell>
          <cell r="CW71">
            <v>105639260</v>
          </cell>
          <cell r="CX71">
            <v>0.4069706375902209</v>
          </cell>
          <cell r="CY71">
            <v>1.6607821263818323</v>
          </cell>
          <cell r="CZ71">
            <v>4.544808531198127</v>
          </cell>
          <cell r="DA71">
            <v>-1.2177903687003742</v>
          </cell>
          <cell r="DB71">
            <v>2.1902947846289083</v>
          </cell>
          <cell r="DC71">
            <v>3.5935382104923548</v>
          </cell>
          <cell r="DD71">
            <v>-0.80694052570985453</v>
          </cell>
          <cell r="DE71">
            <v>2.5840555690947302</v>
          </cell>
          <cell r="DG71">
            <v>54.989089928373197</v>
          </cell>
          <cell r="DH71">
            <v>407135300</v>
          </cell>
          <cell r="DI71">
            <v>108</v>
          </cell>
          <cell r="DJ71" t="e">
            <v>#N/A</v>
          </cell>
          <cell r="DK71">
            <v>8561417478.0000095</v>
          </cell>
          <cell r="DM71">
            <v>2189542000</v>
          </cell>
          <cell r="DN71" t="str">
            <v>NULL</v>
          </cell>
          <cell r="DO71" t="str">
            <v>NULL</v>
          </cell>
          <cell r="DP71">
            <v>5512000</v>
          </cell>
          <cell r="DQ71">
            <v>932000</v>
          </cell>
          <cell r="DR71">
            <v>2183098000</v>
          </cell>
          <cell r="DS71" t="e">
            <v>#N/A</v>
          </cell>
          <cell r="DT71">
            <v>0.33817000000000003</v>
          </cell>
          <cell r="DU71">
            <v>-3.5589999999999997E-2</v>
          </cell>
          <cell r="DV71">
            <v>-0.11847000000000001</v>
          </cell>
          <cell r="DW71">
            <v>1.7309999999999999E-2</v>
          </cell>
          <cell r="DX71">
            <v>0.20141999999999999</v>
          </cell>
          <cell r="DY71">
            <v>548.6049051732698</v>
          </cell>
          <cell r="DZ71" t="e">
            <v>#N/A</v>
          </cell>
          <cell r="EA71">
            <v>-2275012570</v>
          </cell>
          <cell r="EB71" t="e">
            <v>#N/A</v>
          </cell>
          <cell r="EC71">
            <v>55.903088074669803</v>
          </cell>
          <cell r="ED71">
            <v>0.80075236850889697</v>
          </cell>
          <cell r="EE71">
            <v>0.74211574728952501</v>
          </cell>
          <cell r="EG71">
            <v>0.61039942209259535</v>
          </cell>
          <cell r="EH71">
            <v>0.34366367280355736</v>
          </cell>
          <cell r="EK71" t="str">
            <v>NULL</v>
          </cell>
          <cell r="EM71">
            <v>-88.013915981388493</v>
          </cell>
          <cell r="EN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3.8000000000000003</v>
          </cell>
          <cell r="L72">
            <v>2.683E-2</v>
          </cell>
          <cell r="M72">
            <v>0</v>
          </cell>
          <cell r="N72">
            <v>0</v>
          </cell>
          <cell r="O72">
            <v>0</v>
          </cell>
          <cell r="P72">
            <v>2.683E-2</v>
          </cell>
          <cell r="Q72">
            <v>7.0605263157894728E-3</v>
          </cell>
          <cell r="S72">
            <v>54.060166314699998</v>
          </cell>
          <cell r="T72">
            <v>46.967072166999998</v>
          </cell>
          <cell r="U72">
            <v>43069</v>
          </cell>
          <cell r="V72">
            <v>384513470</v>
          </cell>
          <cell r="W72">
            <v>354285100</v>
          </cell>
          <cell r="X72">
            <v>335002930</v>
          </cell>
          <cell r="Y72">
            <v>335860320</v>
          </cell>
          <cell r="Z72">
            <v>182937580</v>
          </cell>
          <cell r="AA72">
            <v>2.1018834402422946</v>
          </cell>
          <cell r="AC72">
            <v>192596920</v>
          </cell>
          <cell r="AD72">
            <v>182403030</v>
          </cell>
          <cell r="AE72">
            <v>170810250</v>
          </cell>
          <cell r="AF72">
            <v>145218680</v>
          </cell>
          <cell r="AG72">
            <v>2.4509700058222612</v>
          </cell>
          <cell r="AH72">
            <v>70946330</v>
          </cell>
          <cell r="AI72">
            <v>50859850</v>
          </cell>
          <cell r="AJ72">
            <v>50665690</v>
          </cell>
          <cell r="AK72">
            <v>64432330</v>
          </cell>
          <cell r="AL72">
            <v>168962550</v>
          </cell>
          <cell r="AM72">
            <v>159931670</v>
          </cell>
          <cell r="AN72">
            <v>140979510</v>
          </cell>
          <cell r="AO72">
            <v>122396000</v>
          </cell>
          <cell r="AP72">
            <v>36.499431179776828</v>
          </cell>
          <cell r="AQ72">
            <v>131603590</v>
          </cell>
          <cell r="AR72">
            <v>125923230</v>
          </cell>
          <cell r="AS72">
            <v>115741490</v>
          </cell>
          <cell r="AT72">
            <v>97029220</v>
          </cell>
          <cell r="AU72">
            <v>62.102541376418301</v>
          </cell>
          <cell r="AV72">
            <v>88789410</v>
          </cell>
          <cell r="AW72">
            <v>73667070</v>
          </cell>
          <cell r="AX72">
            <v>68817510</v>
          </cell>
          <cell r="AY72">
            <v>99638620</v>
          </cell>
          <cell r="AZ72">
            <v>50.983148611191055</v>
          </cell>
          <cell r="BA72">
            <v>76.586258807832536</v>
          </cell>
          <cell r="BC72">
            <v>14.604760000000001</v>
          </cell>
          <cell r="BD72">
            <v>4.59145</v>
          </cell>
          <cell r="BE72">
            <v>2.6616399999999998</v>
          </cell>
          <cell r="BF72">
            <v>1242990</v>
          </cell>
          <cell r="BG72">
            <v>3255020</v>
          </cell>
          <cell r="BH72">
            <v>7098660</v>
          </cell>
          <cell r="BI72">
            <v>4605100</v>
          </cell>
          <cell r="BJ72">
            <v>2.3445865243721796E-2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-6.3197763890852146E-2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13.760067658537</v>
          </cell>
          <cell r="DH72">
            <v>157000000</v>
          </cell>
          <cell r="DI72">
            <v>3.8000000000000003</v>
          </cell>
          <cell r="DJ72">
            <v>596600000</v>
          </cell>
          <cell r="DK72">
            <v>693753440</v>
          </cell>
          <cell r="DM72">
            <v>182937580</v>
          </cell>
          <cell r="DN72" t="str">
            <v>NULL</v>
          </cell>
          <cell r="DO72" t="str">
            <v>NULL</v>
          </cell>
          <cell r="DP72" t="str">
            <v>NULL</v>
          </cell>
          <cell r="DQ72" t="str">
            <v>NULL</v>
          </cell>
          <cell r="DR72">
            <v>182937580</v>
          </cell>
          <cell r="DS72">
            <v>3.2612216691616891</v>
          </cell>
          <cell r="DT72">
            <v>7.4000000000000003E-3</v>
          </cell>
          <cell r="DU72">
            <v>2.0729999999999998E-2</v>
          </cell>
          <cell r="DV72">
            <v>4.521E-2</v>
          </cell>
          <cell r="DW72">
            <v>2.9329999999999998E-2</v>
          </cell>
          <cell r="DX72">
            <v>0.10267</v>
          </cell>
          <cell r="DY72">
            <v>37.011785331645079</v>
          </cell>
          <cell r="DZ72">
            <v>0.8633503132314817</v>
          </cell>
          <cell r="EA72">
            <v>-43671480</v>
          </cell>
          <cell r="EB72">
            <v>-13.661089571500668</v>
          </cell>
          <cell r="EC72">
            <v>38.083179117561102</v>
          </cell>
          <cell r="ED72">
            <v>0.84975461875514502</v>
          </cell>
          <cell r="EE72">
            <v>0.78996450911285399</v>
          </cell>
          <cell r="EG72">
            <v>0.49198453144124871</v>
          </cell>
          <cell r="EH72">
            <v>-3.8944350607767242E-2</v>
          </cell>
          <cell r="EK72">
            <v>0.68623242966751896</v>
          </cell>
          <cell r="EM72">
            <v>131.654457787133</v>
          </cell>
          <cell r="EN72">
            <v>130.911176936</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139</v>
          </cell>
          <cell r="L73" t="str">
            <v>NULL</v>
          </cell>
          <cell r="M73">
            <v>1.22530120481928</v>
          </cell>
          <cell r="N73" t="str">
            <v>NULL</v>
          </cell>
          <cell r="O73">
            <v>0.97612671181820099</v>
          </cell>
          <cell r="P73">
            <v>2.2014279166374808</v>
          </cell>
          <cell r="Q73">
            <v>1.5837610911061013E-2</v>
          </cell>
          <cell r="S73" t="str">
            <v>NULL</v>
          </cell>
          <cell r="T73">
            <v>227.98986433600001</v>
          </cell>
          <cell r="V73" t="str">
            <v>NULL</v>
          </cell>
          <cell r="W73">
            <v>29979648795180.699</v>
          </cell>
          <cell r="X73" t="str">
            <v>NULL</v>
          </cell>
          <cell r="Y73">
            <v>22123727825698</v>
          </cell>
          <cell r="Z73" t="str">
            <v>NULL</v>
          </cell>
          <cell r="AA73" t="e">
            <v>#VALUE!</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t="str">
            <v>NULL</v>
          </cell>
          <cell r="BG73">
            <v>40373674698.795197</v>
          </cell>
          <cell r="BH73" t="str">
            <v>NULL</v>
          </cell>
          <cell r="BI73">
            <v>30552029689.263699</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2.7224993460265596E-3</v>
          </cell>
          <cell r="BY73" t="str">
            <v>NULL</v>
          </cell>
          <cell r="BZ73">
            <v>1958419337349.3999</v>
          </cell>
          <cell r="CA73" t="str">
            <v>NULL</v>
          </cell>
          <cell r="CB73">
            <v>1515066479245.2</v>
          </cell>
          <cell r="CC73" t="str">
            <v>NULL</v>
          </cell>
          <cell r="CD73" t="str">
            <v>NULL</v>
          </cell>
          <cell r="CE73" t="str">
            <v>NULL</v>
          </cell>
          <cell r="CF73" t="str">
            <v>NULL</v>
          </cell>
          <cell r="CG73" t="str">
            <v>NULL</v>
          </cell>
          <cell r="CH73" t="str">
            <v>NULL</v>
          </cell>
          <cell r="CI73" t="str">
            <v>NULL</v>
          </cell>
          <cell r="CJ73" t="str">
            <v>NULL</v>
          </cell>
          <cell r="CK73">
            <v>0</v>
          </cell>
          <cell r="CL73">
            <v>1958419337349.3999</v>
          </cell>
          <cell r="CM73">
            <v>0</v>
          </cell>
          <cell r="CN73">
            <v>1515066479245.2</v>
          </cell>
          <cell r="CO73">
            <v>8.16766880684653E-2</v>
          </cell>
          <cell r="CP73" t="str">
            <v>NULL</v>
          </cell>
          <cell r="CQ73" t="str">
            <v>NULL</v>
          </cell>
          <cell r="CR73">
            <v>147639406916.90399</v>
          </cell>
          <cell r="CS73">
            <v>103404348191.758</v>
          </cell>
          <cell r="CT73">
            <v>83812707724.720596</v>
          </cell>
          <cell r="CU73">
            <v>60354259239.097603</v>
          </cell>
          <cell r="CV73">
            <v>37532273139.621201</v>
          </cell>
          <cell r="CW73">
            <v>14350980314.545099</v>
          </cell>
          <cell r="CX73" t="str">
            <v>-</v>
          </cell>
          <cell r="CY73">
            <v>0.65471904538243175</v>
          </cell>
          <cell r="CZ73">
            <v>0.42778722073770425</v>
          </cell>
          <cell r="DA73">
            <v>0.23375501160737278</v>
          </cell>
          <cell r="DB73">
            <v>0.38867925447797669</v>
          </cell>
          <cell r="DC73">
            <v>0.60806298660829627</v>
          </cell>
          <cell r="DD73">
            <v>1.6153107534808089</v>
          </cell>
          <cell r="DE73">
            <v>0.55326285764565264</v>
          </cell>
          <cell r="DG73">
            <v>8.8706723320287004</v>
          </cell>
          <cell r="DH73">
            <v>16134643057</v>
          </cell>
          <cell r="DI73">
            <v>141</v>
          </cell>
          <cell r="DJ73">
            <v>2261720855886</v>
          </cell>
          <cell r="DK73">
            <v>3459768419202.75</v>
          </cell>
          <cell r="DM73" t="str">
            <v>NULL</v>
          </cell>
          <cell r="DN73" t="str">
            <v>NULL</v>
          </cell>
          <cell r="DO73" t="str">
            <v>NULL</v>
          </cell>
          <cell r="DP73" t="str">
            <v>NULL</v>
          </cell>
          <cell r="DQ73" t="str">
            <v>NULL</v>
          </cell>
          <cell r="DR73" t="e">
            <v>#VALUE!</v>
          </cell>
          <cell r="DS73" t="e">
            <v>#VALUE!</v>
          </cell>
          <cell r="DT73" t="str">
            <v>NULL</v>
          </cell>
          <cell r="DU73">
            <v>1.8600072289156599</v>
          </cell>
          <cell r="DV73" t="str">
            <v>NULL</v>
          </cell>
          <cell r="DW73">
            <v>2.0484751347091801</v>
          </cell>
          <cell r="DX73">
            <v>3.9084823636248398</v>
          </cell>
          <cell r="DY73">
            <v>35.563675889556109</v>
          </cell>
          <cell r="DZ73" t="e">
            <v>#DIV/0!</v>
          </cell>
          <cell r="EA73" t="e">
            <v>#VALUE!</v>
          </cell>
          <cell r="EB73" t="e">
            <v>#VALUE!</v>
          </cell>
          <cell r="EC73">
            <v>13.4792376259149</v>
          </cell>
          <cell r="ED73">
            <v>0.179541309331921</v>
          </cell>
          <cell r="EE73">
            <v>0.10767939454363699</v>
          </cell>
          <cell r="EG73">
            <v>0.47049249639562463</v>
          </cell>
          <cell r="EH73">
            <v>-5.0145772035455671E-2</v>
          </cell>
          <cell r="EK73">
            <v>3.7180526446358599</v>
          </cell>
          <cell r="EM73" t="str">
            <v>NaN</v>
          </cell>
          <cell r="EN73" t="str">
            <v>NULL</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127.5</v>
          </cell>
          <cell r="L74">
            <v>0</v>
          </cell>
          <cell r="M74">
            <v>0.18006</v>
          </cell>
          <cell r="N74">
            <v>0</v>
          </cell>
          <cell r="O74" t="str">
            <v>NULL</v>
          </cell>
          <cell r="Q74">
            <v>0</v>
          </cell>
          <cell r="S74">
            <v>71.142428534000004</v>
          </cell>
          <cell r="T74">
            <v>121.414431967</v>
          </cell>
          <cell r="U74">
            <v>43008</v>
          </cell>
          <cell r="V74">
            <v>78957704000</v>
          </cell>
          <cell r="W74">
            <v>67183230000</v>
          </cell>
          <cell r="X74">
            <v>64519039000</v>
          </cell>
          <cell r="Y74">
            <v>53206042000</v>
          </cell>
          <cell r="Z74">
            <v>14300098000</v>
          </cell>
          <cell r="AA74">
            <v>5.5214799227250051</v>
          </cell>
          <cell r="AC74" t="str">
            <v>NULL</v>
          </cell>
          <cell r="AD74" t="str">
            <v>NULL</v>
          </cell>
          <cell r="AE74" t="str">
            <v>NULL</v>
          </cell>
          <cell r="AF74" t="str">
            <v>NULL</v>
          </cell>
          <cell r="AG74">
            <v>0</v>
          </cell>
          <cell r="AH74">
            <v>4513908000</v>
          </cell>
          <cell r="AI74">
            <v>4611546000</v>
          </cell>
          <cell r="AJ74">
            <v>6516059000</v>
          </cell>
          <cell r="AK74">
            <v>3027019000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14.935879999999999</v>
          </cell>
          <cell r="BF74">
            <v>624107000</v>
          </cell>
          <cell r="BG74">
            <v>579708000</v>
          </cell>
          <cell r="BH74">
            <v>381878000</v>
          </cell>
          <cell r="BI74">
            <v>532260000</v>
          </cell>
          <cell r="BJ74" t="e">
            <v>#DIV/0!</v>
          </cell>
          <cell r="BK74">
            <v>-64652000</v>
          </cell>
          <cell r="BL74">
            <v>-46231000</v>
          </cell>
          <cell r="BM74">
            <v>-26020000</v>
          </cell>
          <cell r="BN74">
            <v>-494253000</v>
          </cell>
          <cell r="BO74">
            <v>-98711000</v>
          </cell>
          <cell r="BP74">
            <v>8039000</v>
          </cell>
          <cell r="BQ74">
            <v>-1082517000</v>
          </cell>
          <cell r="BR74">
            <v>934127000</v>
          </cell>
          <cell r="BS74">
            <v>2422551000</v>
          </cell>
          <cell r="BT74">
            <v>-294347000</v>
          </cell>
          <cell r="BU74">
            <v>-2080700000</v>
          </cell>
          <cell r="BV74">
            <v>3420734000</v>
          </cell>
          <cell r="BW74" t="e">
            <v>#DIV/0!</v>
          </cell>
          <cell r="BX74">
            <v>3.2106491622272769E-2</v>
          </cell>
          <cell r="BY74">
            <v>14300098000</v>
          </cell>
          <cell r="BZ74">
            <v>7827637000</v>
          </cell>
          <cell r="CA74">
            <v>7313429000</v>
          </cell>
          <cell r="CB74">
            <v>6931551000</v>
          </cell>
          <cell r="CC74" t="str">
            <v>NULL</v>
          </cell>
          <cell r="CD74" t="str">
            <v>NULL</v>
          </cell>
          <cell r="CE74" t="str">
            <v>NULL</v>
          </cell>
          <cell r="CF74" t="str">
            <v>NULL</v>
          </cell>
          <cell r="CG74" t="str">
            <v>NULL</v>
          </cell>
          <cell r="CH74" t="str">
            <v>NULL</v>
          </cell>
          <cell r="CI74" t="str">
            <v>NULL</v>
          </cell>
          <cell r="CJ74" t="str">
            <v>NULL</v>
          </cell>
          <cell r="CK74">
            <v>14300098000</v>
          </cell>
          <cell r="CL74">
            <v>7827637000</v>
          </cell>
          <cell r="CM74">
            <v>7313429000</v>
          </cell>
          <cell r="CN74">
            <v>6931551000</v>
          </cell>
          <cell r="CO74">
            <v>0.23291667943951944</v>
          </cell>
          <cell r="CP74">
            <v>624107000</v>
          </cell>
          <cell r="CQ74">
            <v>436446000</v>
          </cell>
          <cell r="CR74">
            <v>1311304000</v>
          </cell>
          <cell r="CS74">
            <v>674109000</v>
          </cell>
          <cell r="CT74">
            <v>362920000</v>
          </cell>
          <cell r="CU74">
            <v>372990000</v>
          </cell>
          <cell r="CV74" t="str">
            <v>NULL</v>
          </cell>
          <cell r="CW74" t="str">
            <v>NULL</v>
          </cell>
          <cell r="CX74">
            <v>0.42997530049536481</v>
          </cell>
          <cell r="CY74">
            <v>0.59190040369282504</v>
          </cell>
          <cell r="CZ74">
            <v>0.94524030980153051</v>
          </cell>
          <cell r="DA74">
            <v>0.8574589441199163</v>
          </cell>
          <cell r="DB74">
            <v>-2.6998042842971692E-2</v>
          </cell>
          <cell r="DC74" t="e">
            <v>#VALUE!</v>
          </cell>
          <cell r="DD74" t="e">
            <v>#VALUE!</v>
          </cell>
          <cell r="DE74">
            <v>0.53777584306432835</v>
          </cell>
          <cell r="DG74">
            <v>9.1965604451870995</v>
          </cell>
          <cell r="DH74">
            <v>329984134</v>
          </cell>
          <cell r="DI74">
            <v>122.5</v>
          </cell>
          <cell r="DJ74">
            <v>55948484445</v>
          </cell>
          <cell r="DK74">
            <v>34839283951.700104</v>
          </cell>
          <cell r="DM74">
            <v>14300098000</v>
          </cell>
          <cell r="DN74" t="str">
            <v>NULL</v>
          </cell>
          <cell r="DO74" t="str">
            <v>NULL</v>
          </cell>
          <cell r="DP74">
            <v>246301000</v>
          </cell>
          <cell r="DQ74">
            <v>24348000</v>
          </cell>
          <cell r="DR74">
            <v>14029449000</v>
          </cell>
          <cell r="DS74">
            <v>3.9879317031623978</v>
          </cell>
          <cell r="DT74">
            <v>1.36649</v>
          </cell>
          <cell r="DU74">
            <v>1.59358</v>
          </cell>
          <cell r="DV74">
            <v>1.04976</v>
          </cell>
          <cell r="DW74">
            <v>1.46315</v>
          </cell>
          <cell r="DX74">
            <v>5.4729799999999997</v>
          </cell>
          <cell r="DY74">
            <v>23.296266385040692</v>
          </cell>
          <cell r="DZ74" t="e">
            <v>#DIV/0!</v>
          </cell>
          <cell r="EA74">
            <v>3428773000</v>
          </cell>
          <cell r="EB74">
            <v>16.317348639002933</v>
          </cell>
          <cell r="EC74">
            <v>21.478244027933599</v>
          </cell>
          <cell r="ED74">
            <v>0.94929726708524398</v>
          </cell>
          <cell r="EE74">
            <v>0.91847154811668796</v>
          </cell>
          <cell r="EG74" t="str">
            <v>-</v>
          </cell>
          <cell r="EH74" t="str">
            <v>-</v>
          </cell>
          <cell r="EK74">
            <v>0.15317316818375201</v>
          </cell>
          <cell r="EM74">
            <v>20.468286527954099</v>
          </cell>
          <cell r="EN74">
            <v>20.352728834800001</v>
          </cell>
        </row>
        <row r="75">
          <cell r="A75" t="str">
            <v>TECO2</v>
          </cell>
          <cell r="B75" t="str">
            <v>TEC2.BA</v>
          </cell>
          <cell r="C75" t="str">
            <v>TELECOM ARGENTINA SA</v>
          </cell>
          <cell r="D75">
            <v>43008</v>
          </cell>
          <cell r="E75">
            <v>19125000000</v>
          </cell>
          <cell r="F75">
            <v>20515000000</v>
          </cell>
          <cell r="G75">
            <v>0.93223999999999996</v>
          </cell>
          <cell r="H75">
            <v>0.83714</v>
          </cell>
          <cell r="I75">
            <v>0.85333999999999999</v>
          </cell>
          <cell r="J75">
            <v>0.78349999999999997</v>
          </cell>
          <cell r="K75">
            <v>132.5</v>
          </cell>
          <cell r="L75">
            <v>0</v>
          </cell>
          <cell r="M75">
            <v>0</v>
          </cell>
          <cell r="N75">
            <v>0</v>
          </cell>
          <cell r="O75">
            <v>0</v>
          </cell>
          <cell r="P75">
            <v>0</v>
          </cell>
          <cell r="Q75">
            <v>0</v>
          </cell>
          <cell r="S75">
            <v>41.718868452000002</v>
          </cell>
          <cell r="T75">
            <v>38.497325971000002</v>
          </cell>
          <cell r="U75">
            <v>43008</v>
          </cell>
          <cell r="V75">
            <v>58035000000</v>
          </cell>
          <cell r="W75">
            <v>52166000000</v>
          </cell>
          <cell r="X75">
            <v>48870000000</v>
          </cell>
          <cell r="Y75">
            <v>47914000000</v>
          </cell>
          <cell r="Z75">
            <v>25063000000</v>
          </cell>
          <cell r="AA75">
            <v>2.3155647767625585</v>
          </cell>
          <cell r="AC75">
            <v>16741000000</v>
          </cell>
          <cell r="AD75">
            <v>15841000000</v>
          </cell>
          <cell r="AE75">
            <v>14742000000</v>
          </cell>
          <cell r="AF75">
            <v>14471000000</v>
          </cell>
          <cell r="AG75">
            <v>1.4927407097142671</v>
          </cell>
          <cell r="AH75">
            <v>10660000000</v>
          </cell>
          <cell r="AI75">
            <v>9963000000</v>
          </cell>
          <cell r="AJ75">
            <v>9015000000</v>
          </cell>
          <cell r="AK75">
            <v>8979000000</v>
          </cell>
          <cell r="AL75">
            <v>2850000000</v>
          </cell>
          <cell r="AM75">
            <v>2528000000</v>
          </cell>
          <cell r="AN75">
            <v>2227000000</v>
          </cell>
          <cell r="AO75">
            <v>2506000000</v>
          </cell>
          <cell r="AP75">
            <v>348.51164573237065</v>
          </cell>
          <cell r="AQ75">
            <v>7802000000</v>
          </cell>
          <cell r="AR75">
            <v>7832000000</v>
          </cell>
          <cell r="AS75">
            <v>8042000000</v>
          </cell>
          <cell r="AT75">
            <v>7556000000</v>
          </cell>
          <cell r="AU75">
            <v>46.118941661946764</v>
          </cell>
          <cell r="AV75">
            <v>1951000000</v>
          </cell>
          <cell r="AW75">
            <v>1251000000</v>
          </cell>
          <cell r="AX75">
            <v>1229000000</v>
          </cell>
          <cell r="AY75">
            <v>1278000000</v>
          </cell>
          <cell r="AZ75">
            <v>51.522722777173371</v>
          </cell>
          <cell r="BA75">
            <v>-250.86998129325053</v>
          </cell>
          <cell r="BC75">
            <v>80.888170000000002</v>
          </cell>
          <cell r="BD75">
            <v>14.70847</v>
          </cell>
          <cell r="BE75">
            <v>7.4545700000000004</v>
          </cell>
          <cell r="BF75">
            <v>2026000000</v>
          </cell>
          <cell r="BG75">
            <v>1660000000</v>
          </cell>
          <cell r="BH75">
            <v>1955000000</v>
          </cell>
          <cell r="BI75">
            <v>1504000000</v>
          </cell>
          <cell r="BJ75">
            <v>0.11562424144348248</v>
          </cell>
          <cell r="BK75">
            <v>-8548000000</v>
          </cell>
          <cell r="BL75">
            <v>-5271000000</v>
          </cell>
          <cell r="BM75">
            <v>-2626000000</v>
          </cell>
          <cell r="BN75">
            <v>-11339000000</v>
          </cell>
          <cell r="BO75">
            <v>-8125000000</v>
          </cell>
          <cell r="BP75">
            <v>-3049000000</v>
          </cell>
          <cell r="BQ75">
            <v>15568000000</v>
          </cell>
          <cell r="BR75">
            <v>10806000000</v>
          </cell>
          <cell r="BS75">
            <v>5568000000</v>
          </cell>
          <cell r="BT75">
            <v>11365000000</v>
          </cell>
          <cell r="BU75">
            <v>6359000000</v>
          </cell>
          <cell r="BV75">
            <v>14777000000</v>
          </cell>
          <cell r="BW75">
            <v>0.1897888178655231</v>
          </cell>
          <cell r="BX75">
            <v>0.1380776384762181</v>
          </cell>
          <cell r="BY75">
            <v>25063000000</v>
          </cell>
          <cell r="BZ75">
            <v>22999000000</v>
          </cell>
          <cell r="CA75">
            <v>21270000000</v>
          </cell>
          <cell r="CB75">
            <v>19336000000</v>
          </cell>
          <cell r="CC75" t="str">
            <v>NULL</v>
          </cell>
          <cell r="CD75" t="str">
            <v>NULL</v>
          </cell>
          <cell r="CE75" t="str">
            <v>NULL</v>
          </cell>
          <cell r="CF75" t="str">
            <v>NULL</v>
          </cell>
          <cell r="CG75" t="str">
            <v>NULL</v>
          </cell>
          <cell r="CH75" t="str">
            <v>NULL</v>
          </cell>
          <cell r="CI75" t="str">
            <v>NULL</v>
          </cell>
          <cell r="CJ75" t="str">
            <v>NULL</v>
          </cell>
          <cell r="CK75">
            <v>25063000000</v>
          </cell>
          <cell r="CL75">
            <v>22999000000</v>
          </cell>
          <cell r="CM75">
            <v>21270000000</v>
          </cell>
          <cell r="CN75">
            <v>19336000000</v>
          </cell>
          <cell r="CO75">
            <v>0.32232598006045021</v>
          </cell>
          <cell r="CP75">
            <v>2026000000</v>
          </cell>
          <cell r="CQ75">
            <v>746000000</v>
          </cell>
          <cell r="CR75">
            <v>3975000000</v>
          </cell>
          <cell r="CS75">
            <v>3403000000</v>
          </cell>
          <cell r="CT75">
            <v>3673000000</v>
          </cell>
          <cell r="CU75">
            <v>3202000000</v>
          </cell>
          <cell r="CV75">
            <v>2685000000</v>
          </cell>
          <cell r="CW75">
            <v>2513000000</v>
          </cell>
          <cell r="CX75">
            <v>1.715817694369973</v>
          </cell>
          <cell r="CY75">
            <v>0.10053369112719952</v>
          </cell>
          <cell r="CZ75">
            <v>0.16808698207464001</v>
          </cell>
          <cell r="DA75">
            <v>-7.3509392866866308E-2</v>
          </cell>
          <cell r="DB75">
            <v>0.1470955652717052</v>
          </cell>
          <cell r="DC75">
            <v>0.19255121042830536</v>
          </cell>
          <cell r="DD75">
            <v>6.8444090728213336E-2</v>
          </cell>
          <cell r="DE75">
            <v>0.1078418015427457</v>
          </cell>
          <cell r="DG75">
            <v>3.5902168521798901</v>
          </cell>
          <cell r="DH75">
            <v>643151378</v>
          </cell>
          <cell r="DI75">
            <v>134.19999999999999</v>
          </cell>
          <cell r="DJ75">
            <v>132103927247.60001</v>
          </cell>
          <cell r="DK75">
            <v>67855098506.199898</v>
          </cell>
          <cell r="DM75">
            <v>25063000000</v>
          </cell>
          <cell r="DN75" t="str">
            <v>NULL</v>
          </cell>
          <cell r="DO75" t="str">
            <v>NULL</v>
          </cell>
          <cell r="DP75">
            <v>7192000000</v>
          </cell>
          <cell r="DQ75">
            <v>2000000</v>
          </cell>
          <cell r="DR75">
            <v>17869000000</v>
          </cell>
          <cell r="DS75">
            <v>7.3929110329397281</v>
          </cell>
          <cell r="DT75">
            <v>2.0904699999999998</v>
          </cell>
          <cell r="DU75">
            <v>1.71282</v>
          </cell>
          <cell r="DV75">
            <v>2.0172099999999999</v>
          </cell>
          <cell r="DW75">
            <v>1.55186</v>
          </cell>
          <cell r="DX75">
            <v>7.3723599999999987</v>
          </cell>
          <cell r="DY75">
            <v>17.972535253297455</v>
          </cell>
          <cell r="DZ75">
            <v>2.1377769600712031</v>
          </cell>
          <cell r="EA75">
            <v>11728000000</v>
          </cell>
          <cell r="EB75">
            <v>11.263977425613916</v>
          </cell>
          <cell r="EC75">
            <v>18.840642616475598</v>
          </cell>
          <cell r="ED75">
            <v>0.67305769131181004</v>
          </cell>
          <cell r="EE75">
            <v>0.76004763588499002</v>
          </cell>
          <cell r="EG75">
            <v>0.42538774566535764</v>
          </cell>
          <cell r="EH75">
            <v>7.5876161521486685E-2</v>
          </cell>
          <cell r="EK75">
            <v>6.9170844940964704</v>
          </cell>
          <cell r="EM75">
            <v>39.336735536855997</v>
          </cell>
          <cell r="EN75">
            <v>28.556186044099999</v>
          </cell>
        </row>
        <row r="76">
          <cell r="A76" t="str">
            <v>TEF</v>
          </cell>
          <cell r="B76" t="str">
            <v>TEF.BA</v>
          </cell>
          <cell r="C76" t="str">
            <v>TELEFONICA SA</v>
          </cell>
          <cell r="D76">
            <v>43008</v>
          </cell>
          <cell r="E76">
            <v>385990301204.81897</v>
          </cell>
          <cell r="F76">
            <v>577709096385.54199</v>
          </cell>
          <cell r="G76">
            <v>0.66813999999999996</v>
          </cell>
          <cell r="H76">
            <v>0.62473000000000001</v>
          </cell>
          <cell r="I76">
            <v>0.70418000000000003</v>
          </cell>
          <cell r="J76">
            <v>0.67251000000000005</v>
          </cell>
          <cell r="K76">
            <v>190</v>
          </cell>
          <cell r="L76">
            <v>0</v>
          </cell>
          <cell r="M76">
            <v>0</v>
          </cell>
          <cell r="N76">
            <v>0</v>
          </cell>
          <cell r="O76" t="str">
            <v>NULL</v>
          </cell>
          <cell r="P76">
            <v>0</v>
          </cell>
          <cell r="Q76">
            <v>0</v>
          </cell>
          <cell r="S76">
            <v>331.09175846400001</v>
          </cell>
          <cell r="T76">
            <v>370.29685370599998</v>
          </cell>
          <cell r="U76">
            <v>43008</v>
          </cell>
          <cell r="V76">
            <v>2367935421686.75</v>
          </cell>
          <cell r="W76">
            <v>2282933765121.1401</v>
          </cell>
          <cell r="X76">
            <v>2096651447191.8701</v>
          </cell>
          <cell r="Y76">
            <v>2060769989486.96</v>
          </cell>
          <cell r="Z76">
            <v>354091626506.02399</v>
          </cell>
          <cell r="AA76">
            <v>6.68735221177693</v>
          </cell>
          <cell r="AC76">
            <v>260458192771.08401</v>
          </cell>
          <cell r="AD76">
            <v>245818802188.63901</v>
          </cell>
          <cell r="AE76">
            <v>214895154729.19699</v>
          </cell>
          <cell r="AF76">
            <v>228692949957.948</v>
          </cell>
          <cell r="AG76">
            <v>0.53918809881013441</v>
          </cell>
          <cell r="AH76">
            <v>291437891566.26501</v>
          </cell>
          <cell r="AI76">
            <v>272887513564.76199</v>
          </cell>
          <cell r="AJ76">
            <v>237183244947.07501</v>
          </cell>
          <cell r="AK76">
            <v>269177985702.271</v>
          </cell>
          <cell r="AL76">
            <v>70291445783.132507</v>
          </cell>
          <cell r="AM76">
            <v>68895276606.924606</v>
          </cell>
          <cell r="AN76">
            <v>57634841224.202904</v>
          </cell>
          <cell r="AO76">
            <v>65052735492.010101</v>
          </cell>
          <cell r="AP76">
            <v>373.08035133036003</v>
          </cell>
          <cell r="AQ76">
            <v>210813072289.15701</v>
          </cell>
          <cell r="AR76">
            <v>203726671464.30899</v>
          </cell>
          <cell r="AS76">
            <v>173477271952.80399</v>
          </cell>
          <cell r="AT76">
            <v>177924148444.07101</v>
          </cell>
          <cell r="AU76">
            <v>73.581112996679707</v>
          </cell>
          <cell r="AV76">
            <v>25077831325.301201</v>
          </cell>
          <cell r="AW76">
            <v>19519063774.373699</v>
          </cell>
          <cell r="AX76">
            <v>18409766149.127899</v>
          </cell>
          <cell r="AY76">
            <v>17584072750.2103</v>
          </cell>
          <cell r="AZ76">
            <v>28.081810633985455</v>
          </cell>
          <cell r="BA76">
            <v>-271.41742769969488</v>
          </cell>
          <cell r="BC76">
            <v>52.31955</v>
          </cell>
          <cell r="BD76">
            <v>10.51003</v>
          </cell>
          <cell r="BE76">
            <v>4.0606499999999999</v>
          </cell>
          <cell r="BF76">
            <v>17133795180.7229</v>
          </cell>
          <cell r="BG76">
            <v>15573519299.087299</v>
          </cell>
          <cell r="BH76">
            <v>12747740293.485001</v>
          </cell>
          <cell r="BI76">
            <v>2400100925.1471801</v>
          </cell>
          <cell r="BJ76">
            <v>5.0381002224666974E-2</v>
          </cell>
          <cell r="BK76">
            <v>-138744939759.03601</v>
          </cell>
          <cell r="BL76">
            <v>-83558285642.484299</v>
          </cell>
          <cell r="BM76">
            <v>-37392280578.450798</v>
          </cell>
          <cell r="BN76">
            <v>-153123105550.883</v>
          </cell>
          <cell r="BO76">
            <v>-124678987233.66</v>
          </cell>
          <cell r="BP76">
            <v>-51458233103.826813</v>
          </cell>
          <cell r="BQ76">
            <v>201419096385.54199</v>
          </cell>
          <cell r="BR76">
            <v>112941210605.07401</v>
          </cell>
          <cell r="BS76">
            <v>44887100930.718002</v>
          </cell>
          <cell r="BT76">
            <v>222309348191.758</v>
          </cell>
          <cell r="BU76">
            <v>160409950103.38901</v>
          </cell>
          <cell r="BV76">
            <v>85896247212.871002</v>
          </cell>
          <cell r="BW76">
            <v>3.6255689488799231E-2</v>
          </cell>
          <cell r="BX76">
            <v>2.1731869550643476E-2</v>
          </cell>
          <cell r="BY76">
            <v>354091626506.02399</v>
          </cell>
          <cell r="BZ76">
            <v>320139202449.08197</v>
          </cell>
          <cell r="CA76">
            <v>332063088620.53497</v>
          </cell>
          <cell r="CB76">
            <v>302629392346.51001</v>
          </cell>
          <cell r="CC76" t="str">
            <v>NULL</v>
          </cell>
          <cell r="CD76" t="str">
            <v>NULL</v>
          </cell>
          <cell r="CE76" t="str">
            <v>NULL</v>
          </cell>
          <cell r="CF76" t="str">
            <v>NULL</v>
          </cell>
          <cell r="CG76" t="str">
            <v>NULL</v>
          </cell>
          <cell r="CH76" t="str">
            <v>NULL</v>
          </cell>
          <cell r="CI76" t="str">
            <v>NULL</v>
          </cell>
          <cell r="CJ76" t="str">
            <v>NULL</v>
          </cell>
          <cell r="CK76">
            <v>354091626506.02399</v>
          </cell>
          <cell r="CL76">
            <v>320139202449.08197</v>
          </cell>
          <cell r="CM76">
            <v>332063088620.53497</v>
          </cell>
          <cell r="CN76">
            <v>302629392346.51001</v>
          </cell>
          <cell r="CO76">
            <v>0.14624280990545915</v>
          </cell>
          <cell r="CP76">
            <v>17133795180.7229</v>
          </cell>
          <cell r="CQ76">
            <v>16951513755.2819</v>
          </cell>
          <cell r="CR76">
            <v>39484993692.178299</v>
          </cell>
          <cell r="CS76">
            <v>8653809580.6952591</v>
          </cell>
          <cell r="CT76">
            <v>26468266376.3382</v>
          </cell>
          <cell r="CU76">
            <v>41142179124.171898</v>
          </cell>
          <cell r="CV76">
            <v>25472503694.321301</v>
          </cell>
          <cell r="CW76">
            <v>30088939805.825199</v>
          </cell>
          <cell r="CX76">
            <v>1.0753106069020024E-2</v>
          </cell>
          <cell r="CY76">
            <v>0.5989501215752584</v>
          </cell>
          <cell r="CZ76">
            <v>3.5627296653557776</v>
          </cell>
          <cell r="DA76">
            <v>-0.67304962638461685</v>
          </cell>
          <cell r="DB76">
            <v>-0.35666347918874486</v>
          </cell>
          <cell r="DC76">
            <v>0.61516039482777307</v>
          </cell>
          <cell r="DD76">
            <v>-0.15342634673389721</v>
          </cell>
          <cell r="DE76">
            <v>1.7234778080911917</v>
          </cell>
          <cell r="DG76">
            <v>6.5340809280613996</v>
          </cell>
          <cell r="DH76">
            <v>5053831120</v>
          </cell>
          <cell r="DI76">
            <v>190</v>
          </cell>
          <cell r="DJ76">
            <v>945287847430</v>
          </cell>
          <cell r="DK76">
            <v>2421793155685.9702</v>
          </cell>
          <cell r="DM76">
            <v>354091626506.02399</v>
          </cell>
          <cell r="DN76" t="str">
            <v>NULL</v>
          </cell>
          <cell r="DO76" t="str">
            <v>NULL</v>
          </cell>
          <cell r="DP76">
            <v>382641144578.31299</v>
          </cell>
          <cell r="DQ76">
            <v>561575963855.422</v>
          </cell>
          <cell r="DR76">
            <v>-590125481927.71094</v>
          </cell>
          <cell r="DS76">
            <v>-1.601842110498451</v>
          </cell>
          <cell r="DT76">
            <v>3.06815421686747</v>
          </cell>
          <cell r="DU76">
            <v>2.6074737671772699</v>
          </cell>
          <cell r="DV76">
            <v>2.51829236683492</v>
          </cell>
          <cell r="DW76">
            <v>-0.368015475189235</v>
          </cell>
          <cell r="DX76">
            <v>7.8259048756904246</v>
          </cell>
          <cell r="DY76">
            <v>24.278342634881266</v>
          </cell>
          <cell r="DZ76">
            <v>0.99518115549400676</v>
          </cell>
          <cell r="EA76">
            <v>34438014109.044189</v>
          </cell>
          <cell r="EB76">
            <v>27.448965101090028</v>
          </cell>
          <cell r="EC76">
            <v>18.484716789801499</v>
          </cell>
          <cell r="ED76">
            <v>0.23278079309466099</v>
          </cell>
          <cell r="EE76">
            <v>0.17701395104103701</v>
          </cell>
          <cell r="EG76">
            <v>0.35584839216493591</v>
          </cell>
          <cell r="EH76">
            <v>-8.8118203109155968E-2</v>
          </cell>
          <cell r="EK76">
            <v>6.3346353070240804</v>
          </cell>
          <cell r="EM76" t="str">
            <v>NaN</v>
          </cell>
          <cell r="EN76">
            <v>26.607068398900001</v>
          </cell>
        </row>
        <row r="77">
          <cell r="A77" t="str">
            <v>TGLT</v>
          </cell>
          <cell r="B77" t="str">
            <v>TGLT.BA</v>
          </cell>
          <cell r="C77" t="str">
            <v>TGLT SA</v>
          </cell>
          <cell r="D77">
            <v>43008</v>
          </cell>
          <cell r="E77">
            <v>5831526580</v>
          </cell>
          <cell r="F77">
            <v>4025733840</v>
          </cell>
          <cell r="G77">
            <v>1.4485600000000001</v>
          </cell>
          <cell r="H77">
            <v>0.61987000000000003</v>
          </cell>
          <cell r="I77">
            <v>0.89622999999999997</v>
          </cell>
          <cell r="J77">
            <v>0.13236000000000001</v>
          </cell>
          <cell r="K77">
            <v>20.85</v>
          </cell>
          <cell r="L77">
            <v>0</v>
          </cell>
          <cell r="M77">
            <v>0</v>
          </cell>
          <cell r="N77">
            <v>0</v>
          </cell>
          <cell r="O77" t="str">
            <v>NULL</v>
          </cell>
          <cell r="Q77">
            <v>0</v>
          </cell>
          <cell r="S77">
            <v>263.11694745</v>
          </cell>
          <cell r="T77">
            <v>807.91667951800002</v>
          </cell>
          <cell r="U77">
            <v>43008</v>
          </cell>
          <cell r="V77">
            <v>6837759940</v>
          </cell>
          <cell r="W77">
            <v>4815993090</v>
          </cell>
          <cell r="X77">
            <v>4782729380</v>
          </cell>
          <cell r="Y77">
            <v>4973889600</v>
          </cell>
          <cell r="Z77">
            <v>887832100</v>
          </cell>
          <cell r="AA77">
            <v>7.7016363116404554</v>
          </cell>
          <cell r="AC77">
            <v>204709950</v>
          </cell>
          <cell r="AD77">
            <v>334630310</v>
          </cell>
          <cell r="AE77">
            <v>313189600</v>
          </cell>
          <cell r="AF77">
            <v>272946100</v>
          </cell>
          <cell r="AG77">
            <v>0.2628337561541424</v>
          </cell>
          <cell r="AH77">
            <v>490813250</v>
          </cell>
          <cell r="AI77">
            <v>509992960</v>
          </cell>
          <cell r="AJ77">
            <v>507560520</v>
          </cell>
          <cell r="AK77">
            <v>525504430</v>
          </cell>
          <cell r="AL77">
            <v>183996670</v>
          </cell>
          <cell r="AM77">
            <v>313627430</v>
          </cell>
          <cell r="AN77">
            <v>276734060</v>
          </cell>
          <cell r="AO77">
            <v>244757770</v>
          </cell>
          <cell r="AQ77">
            <v>16065800</v>
          </cell>
          <cell r="AR77">
            <v>28718970</v>
          </cell>
          <cell r="AS77">
            <v>28384890</v>
          </cell>
          <cell r="AT77">
            <v>21390830</v>
          </cell>
          <cell r="AU77">
            <v>7.6666628334735831</v>
          </cell>
          <cell r="AV77">
            <v>3336088710</v>
          </cell>
          <cell r="AW77">
            <v>3219834480</v>
          </cell>
          <cell r="AX77">
            <v>3275616260</v>
          </cell>
          <cell r="AY77">
            <v>3466638000</v>
          </cell>
          <cell r="BA77">
            <v>7.6666628334735831</v>
          </cell>
          <cell r="BC77">
            <v>8.3731100000000005</v>
          </cell>
          <cell r="BD77">
            <v>-27.29074</v>
          </cell>
          <cell r="BE77">
            <v>0.66310999999999998</v>
          </cell>
          <cell r="BF77">
            <v>-158418780</v>
          </cell>
          <cell r="BG77">
            <v>-6574150</v>
          </cell>
          <cell r="BH77">
            <v>-40228330</v>
          </cell>
          <cell r="BI77">
            <v>117690770</v>
          </cell>
          <cell r="BJ77">
            <v>-7.7771976577802687E-2</v>
          </cell>
          <cell r="BK77">
            <v>-466500</v>
          </cell>
          <cell r="BL77">
            <v>-239640</v>
          </cell>
          <cell r="BM77">
            <v>-224840</v>
          </cell>
          <cell r="BN77">
            <v>-3795350</v>
          </cell>
          <cell r="BO77">
            <v>-2830360</v>
          </cell>
          <cell r="BP77">
            <v>2139020</v>
          </cell>
          <cell r="BQ77">
            <v>-583479640</v>
          </cell>
          <cell r="BR77">
            <v>-173019150</v>
          </cell>
          <cell r="BS77">
            <v>-102143140</v>
          </cell>
          <cell r="BT77">
            <v>-311135670</v>
          </cell>
          <cell r="BU77">
            <v>-148834310</v>
          </cell>
          <cell r="BV77">
            <v>-536788470</v>
          </cell>
          <cell r="BW77">
            <v>-0.47504297648436666</v>
          </cell>
          <cell r="BX77">
            <v>-1.6352913430764813E-2</v>
          </cell>
          <cell r="BY77">
            <v>887832100</v>
          </cell>
          <cell r="BZ77">
            <v>91429620</v>
          </cell>
          <cell r="CA77">
            <v>102842500</v>
          </cell>
          <cell r="CB77">
            <v>147742170</v>
          </cell>
          <cell r="CC77" t="str">
            <v>NULL</v>
          </cell>
          <cell r="CD77" t="str">
            <v>NULL</v>
          </cell>
          <cell r="CE77" t="str">
            <v>NULL</v>
          </cell>
          <cell r="CF77" t="str">
            <v>NULL</v>
          </cell>
          <cell r="CG77" t="str">
            <v>NULL</v>
          </cell>
          <cell r="CH77" t="str">
            <v>NULL</v>
          </cell>
          <cell r="CI77" t="str">
            <v>NULL</v>
          </cell>
          <cell r="CJ77" t="str">
            <v>NULL</v>
          </cell>
          <cell r="CK77">
            <v>887832100</v>
          </cell>
          <cell r="CL77">
            <v>91429620</v>
          </cell>
          <cell r="CM77">
            <v>102842500</v>
          </cell>
          <cell r="CN77">
            <v>147742170</v>
          </cell>
          <cell r="CO77">
            <v>-0.28468755354073122</v>
          </cell>
          <cell r="CP77">
            <v>-158418780</v>
          </cell>
          <cell r="CQ77">
            <v>-37810340</v>
          </cell>
          <cell r="CR77">
            <v>4776570</v>
          </cell>
          <cell r="CS77">
            <v>-45076830</v>
          </cell>
          <cell r="CT77">
            <v>-18712940</v>
          </cell>
          <cell r="CU77">
            <v>-55850760</v>
          </cell>
          <cell r="CV77">
            <v>-142481430</v>
          </cell>
          <cell r="CW77">
            <v>-45241820</v>
          </cell>
          <cell r="CX77">
            <v>-3.1898269097818215</v>
          </cell>
          <cell r="CY77">
            <v>-0.23585254091702593</v>
          </cell>
          <cell r="CZ77">
            <v>1.1059650822828491</v>
          </cell>
          <cell r="DA77">
            <v>-1.4088587896931215</v>
          </cell>
          <cell r="DB77">
            <v>0.66494744207598966</v>
          </cell>
          <cell r="DC77">
            <v>0.60801376010894892</v>
          </cell>
          <cell r="DD77">
            <v>-2.1493301993597957</v>
          </cell>
          <cell r="DE77">
            <v>1.4458013250724175</v>
          </cell>
          <cell r="DG77" t="str">
            <v>NULL</v>
          </cell>
          <cell r="DH77">
            <v>70349485</v>
          </cell>
          <cell r="DI77">
            <v>20</v>
          </cell>
          <cell r="DJ77">
            <v>1406989700</v>
          </cell>
          <cell r="DK77">
            <v>2038590021.75</v>
          </cell>
          <cell r="DM77">
            <v>887832100</v>
          </cell>
          <cell r="DN77" t="str">
            <v>NULL</v>
          </cell>
          <cell r="DO77" t="str">
            <v>NULL</v>
          </cell>
          <cell r="DP77">
            <v>644350</v>
          </cell>
          <cell r="DQ77">
            <v>26050290</v>
          </cell>
          <cell r="DR77">
            <v>861137460</v>
          </cell>
          <cell r="DS77">
            <v>1.6338735281589074</v>
          </cell>
          <cell r="DT77">
            <v>-2.2518799999999999</v>
          </cell>
          <cell r="DU77">
            <v>-9.3450000000000005E-2</v>
          </cell>
          <cell r="DV77">
            <v>-0.57191999999999998</v>
          </cell>
          <cell r="DW77">
            <v>1.6738999999999999</v>
          </cell>
          <cell r="DX77">
            <v>-1.2433499999999997</v>
          </cell>
          <cell r="DY77">
            <v>-16.769212208951629</v>
          </cell>
          <cell r="DZ77">
            <v>1.2501286122539659</v>
          </cell>
          <cell r="EA77">
            <v>-534649450</v>
          </cell>
          <cell r="EB77">
            <v>-2.6316116101868241</v>
          </cell>
          <cell r="EC77" t="str">
            <v>NULL</v>
          </cell>
          <cell r="ED77">
            <v>0.93061603509797997</v>
          </cell>
          <cell r="EE77">
            <v>0.86113618239541401</v>
          </cell>
          <cell r="EG77" t="str">
            <v>-</v>
          </cell>
          <cell r="EH77" t="str">
            <v>-</v>
          </cell>
          <cell r="EK77" t="str">
            <v>NULL</v>
          </cell>
          <cell r="EM77">
            <v>9.6939869195691593</v>
          </cell>
          <cell r="EN77">
            <v>9.6392576306999995</v>
          </cell>
        </row>
        <row r="78">
          <cell r="A78" t="str">
            <v>TGNO4</v>
          </cell>
          <cell r="B78" t="str">
            <v>TGNC.BA</v>
          </cell>
          <cell r="C78" t="str">
            <v>TRANSPORTADORA DE GAS DEL NORTE SA</v>
          </cell>
          <cell r="D78">
            <v>43008</v>
          </cell>
          <cell r="E78">
            <v>1426258000</v>
          </cell>
          <cell r="F78">
            <v>4247425000</v>
          </cell>
          <cell r="G78">
            <v>0.33578999999999998</v>
          </cell>
          <cell r="H78">
            <v>0.32695000000000002</v>
          </cell>
          <cell r="I78">
            <v>1.04166</v>
          </cell>
          <cell r="J78">
            <v>1.01196</v>
          </cell>
          <cell r="K78">
            <v>71.400000000000006</v>
          </cell>
          <cell r="L78">
            <v>0</v>
          </cell>
          <cell r="M78">
            <v>0</v>
          </cell>
          <cell r="N78">
            <v>0</v>
          </cell>
          <cell r="O78" t="str">
            <v>NULL</v>
          </cell>
          <cell r="P78">
            <v>0</v>
          </cell>
          <cell r="Q78">
            <v>0</v>
          </cell>
          <cell r="S78">
            <v>540.81574530199998</v>
          </cell>
          <cell r="T78">
            <v>991.350768657</v>
          </cell>
          <cell r="U78">
            <v>43008</v>
          </cell>
          <cell r="V78">
            <v>5394582000</v>
          </cell>
          <cell r="W78">
            <v>5059089000</v>
          </cell>
          <cell r="X78">
            <v>4641566000</v>
          </cell>
          <cell r="Y78">
            <v>4584665000</v>
          </cell>
          <cell r="Z78">
            <v>660108000</v>
          </cell>
          <cell r="AA78">
            <v>8.1722718100674427</v>
          </cell>
          <cell r="AC78">
            <v>1027188000</v>
          </cell>
          <cell r="AD78">
            <v>981231000</v>
          </cell>
          <cell r="AE78">
            <v>633792000</v>
          </cell>
          <cell r="AF78">
            <v>632417000</v>
          </cell>
          <cell r="AG78">
            <v>0.83197082071846407</v>
          </cell>
          <cell r="AH78">
            <v>307051000</v>
          </cell>
          <cell r="AI78">
            <v>343625000</v>
          </cell>
          <cell r="AJ78">
            <v>353725000</v>
          </cell>
          <cell r="AK78">
            <v>299150000</v>
          </cell>
          <cell r="AL78">
            <v>457262000</v>
          </cell>
          <cell r="AM78">
            <v>388990000</v>
          </cell>
          <cell r="AN78">
            <v>274695000</v>
          </cell>
          <cell r="AO78">
            <v>285566000</v>
          </cell>
          <cell r="AP78">
            <v>84.570159500836468</v>
          </cell>
          <cell r="AQ78">
            <v>578901000</v>
          </cell>
          <cell r="AR78">
            <v>648237000</v>
          </cell>
          <cell r="AS78">
            <v>431761000</v>
          </cell>
          <cell r="AT78">
            <v>437855000</v>
          </cell>
          <cell r="AU78">
            <v>58.427645063805727</v>
          </cell>
          <cell r="AV78">
            <v>37545000</v>
          </cell>
          <cell r="AW78">
            <v>34643000</v>
          </cell>
          <cell r="AX78">
            <v>33207000</v>
          </cell>
          <cell r="AY78">
            <v>21542000</v>
          </cell>
          <cell r="AZ78">
            <v>8.2352607121299268</v>
          </cell>
          <cell r="BA78">
            <v>-17.907253724900812</v>
          </cell>
          <cell r="BC78">
            <v>41.204999999999998</v>
          </cell>
          <cell r="BD78">
            <v>11.33586</v>
          </cell>
          <cell r="BE78">
            <v>-14.102919999999999</v>
          </cell>
          <cell r="BF78">
            <v>300290000</v>
          </cell>
          <cell r="BG78">
            <v>100449000</v>
          </cell>
          <cell r="BH78">
            <v>202371000</v>
          </cell>
          <cell r="BI78">
            <v>17691000</v>
          </cell>
          <cell r="BJ78">
            <v>0.18957909112118995</v>
          </cell>
          <cell r="BK78">
            <v>-479029000</v>
          </cell>
          <cell r="BL78">
            <v>-306840000</v>
          </cell>
          <cell r="BM78">
            <v>-128179000</v>
          </cell>
          <cell r="BN78">
            <v>-328610000</v>
          </cell>
          <cell r="BO78">
            <v>-265191000</v>
          </cell>
          <cell r="BP78">
            <v>-342017000</v>
          </cell>
          <cell r="BQ78">
            <v>924058000</v>
          </cell>
          <cell r="BR78">
            <v>454425000</v>
          </cell>
          <cell r="BS78">
            <v>258103000</v>
          </cell>
          <cell r="BT78">
            <v>577164000</v>
          </cell>
          <cell r="BU78">
            <v>313531000</v>
          </cell>
          <cell r="BV78">
            <v>868630000</v>
          </cell>
          <cell r="BW78">
            <v>0.1608161293435468</v>
          </cell>
          <cell r="BX78">
            <v>0.12617969337448937</v>
          </cell>
          <cell r="BY78">
            <v>660108000</v>
          </cell>
          <cell r="BZ78">
            <v>359003000</v>
          </cell>
          <cell r="CA78">
            <v>258120000</v>
          </cell>
          <cell r="CB78">
            <v>55866000</v>
          </cell>
          <cell r="CC78" t="str">
            <v>NULL</v>
          </cell>
          <cell r="CD78" t="str">
            <v>NULL</v>
          </cell>
          <cell r="CE78" t="str">
            <v>NULL</v>
          </cell>
          <cell r="CF78" t="str">
            <v>NULL</v>
          </cell>
          <cell r="CG78" t="str">
            <v>NULL</v>
          </cell>
          <cell r="CH78" t="str">
            <v>NULL</v>
          </cell>
          <cell r="CI78" t="str">
            <v>NULL</v>
          </cell>
          <cell r="CJ78" t="str">
            <v>NULL</v>
          </cell>
          <cell r="CK78">
            <v>660108000</v>
          </cell>
          <cell r="CL78">
            <v>359003000</v>
          </cell>
          <cell r="CM78">
            <v>258120000</v>
          </cell>
          <cell r="CN78">
            <v>55866000</v>
          </cell>
          <cell r="CO78">
            <v>1.8627331694542857</v>
          </cell>
          <cell r="CP78">
            <v>300290000</v>
          </cell>
          <cell r="CQ78">
            <v>-117157000</v>
          </cell>
          <cell r="CR78">
            <v>-258826000</v>
          </cell>
          <cell r="CS78">
            <v>-517663000</v>
          </cell>
          <cell r="CT78">
            <v>-256625000</v>
          </cell>
          <cell r="CU78">
            <v>28876000</v>
          </cell>
          <cell r="CV78">
            <v>214613000</v>
          </cell>
          <cell r="CW78">
            <v>-135931000</v>
          </cell>
          <cell r="CX78">
            <v>3.5631417670305656</v>
          </cell>
          <cell r="CY78">
            <v>-1.738187364650684</v>
          </cell>
          <cell r="CZ78">
            <v>0.50001062467280843</v>
          </cell>
          <cell r="DA78">
            <v>-1.0171962981003411</v>
          </cell>
          <cell r="DB78">
            <v>-9.8871381077711593</v>
          </cell>
          <cell r="DC78">
            <v>-0.86545083475837903</v>
          </cell>
          <cell r="DD78">
            <v>2.5788377927036512</v>
          </cell>
          <cell r="DE78">
            <v>4.7784184577927968</v>
          </cell>
          <cell r="DG78">
            <v>6.2298767962856196</v>
          </cell>
          <cell r="DH78">
            <v>439373355</v>
          </cell>
          <cell r="DI78">
            <v>72</v>
          </cell>
          <cell r="DJ78">
            <v>31634923608</v>
          </cell>
          <cell r="DK78">
            <v>9566941451.5999908</v>
          </cell>
          <cell r="DM78">
            <v>660108000</v>
          </cell>
          <cell r="DN78" t="str">
            <v>NULL</v>
          </cell>
          <cell r="DO78" t="str">
            <v>NULL</v>
          </cell>
          <cell r="DP78" t="str">
            <v>NULL</v>
          </cell>
          <cell r="DQ78" t="str">
            <v>NULL</v>
          </cell>
          <cell r="DR78">
            <v>660108000</v>
          </cell>
          <cell r="DS78">
            <v>47.923860350124528</v>
          </cell>
          <cell r="DT78">
            <v>0.68345</v>
          </cell>
          <cell r="DU78">
            <v>0.22861999999999999</v>
          </cell>
          <cell r="DV78">
            <v>0.46059</v>
          </cell>
          <cell r="DW78">
            <v>4.0259999999999997E-2</v>
          </cell>
          <cell r="DX78">
            <v>1.41292</v>
          </cell>
          <cell r="DY78">
            <v>50.533646632505736</v>
          </cell>
          <cell r="DZ78">
            <v>9.6606159869151558</v>
          </cell>
          <cell r="EA78">
            <v>526613000</v>
          </cell>
          <cell r="EB78">
            <v>60.072431952876208</v>
          </cell>
          <cell r="EC78" t="str">
            <v>NULL</v>
          </cell>
          <cell r="ED78">
            <v>1.05940611157447</v>
          </cell>
          <cell r="EE78">
            <v>1.2136424788589999</v>
          </cell>
          <cell r="EG78">
            <v>0.51299330701835644</v>
          </cell>
          <cell r="EH78">
            <v>0.22387567603359826</v>
          </cell>
          <cell r="EK78" t="str">
            <v>NULL</v>
          </cell>
          <cell r="EM78">
            <v>25.550243816241299</v>
          </cell>
          <cell r="EN78">
            <v>25.405994944700002</v>
          </cell>
        </row>
        <row r="79">
          <cell r="A79" t="str">
            <v>TGSU2</v>
          </cell>
          <cell r="B79" t="str">
            <v>TGS2.BA</v>
          </cell>
          <cell r="C79" t="str">
            <v>TRANSPORTADORA DE GAS DEL SUR SA</v>
          </cell>
          <cell r="D79">
            <v>43008</v>
          </cell>
          <cell r="E79">
            <v>5287553000</v>
          </cell>
          <cell r="F79">
            <v>3404697000</v>
          </cell>
          <cell r="G79">
            <v>1.5530200000000001</v>
          </cell>
          <cell r="H79">
            <v>1.49247</v>
          </cell>
          <cell r="K79">
            <v>85.850000000000009</v>
          </cell>
          <cell r="L79">
            <v>0</v>
          </cell>
          <cell r="M79">
            <v>0</v>
          </cell>
          <cell r="N79">
            <v>0</v>
          </cell>
          <cell r="O79">
            <v>0</v>
          </cell>
          <cell r="P79">
            <v>0</v>
          </cell>
          <cell r="Q79">
            <v>0</v>
          </cell>
          <cell r="S79">
            <v>95.640015797999993</v>
          </cell>
          <cell r="T79">
            <v>104.68106434000001</v>
          </cell>
          <cell r="U79">
            <v>43008</v>
          </cell>
          <cell r="V79">
            <v>11395301000</v>
          </cell>
          <cell r="W79">
            <v>10485337000</v>
          </cell>
          <cell r="X79">
            <v>9799678000</v>
          </cell>
          <cell r="Y79">
            <v>8931332000</v>
          </cell>
          <cell r="Z79">
            <v>4344924000</v>
          </cell>
          <cell r="AA79">
            <v>2.6226698096445413</v>
          </cell>
          <cell r="AC79">
            <v>2625852000</v>
          </cell>
          <cell r="AD79">
            <v>2920805000</v>
          </cell>
          <cell r="AE79">
            <v>2555238000</v>
          </cell>
          <cell r="AF79">
            <v>2533776000</v>
          </cell>
          <cell r="AG79">
            <v>1.3094346401267685</v>
          </cell>
          <cell r="AH79">
            <v>790061000</v>
          </cell>
          <cell r="AI79">
            <v>838787000</v>
          </cell>
          <cell r="AJ79">
            <v>820354000</v>
          </cell>
          <cell r="AK79">
            <v>961248000</v>
          </cell>
          <cell r="AP79" t="e">
            <v>#DIV/0!</v>
          </cell>
          <cell r="AQ79">
            <v>1197581000</v>
          </cell>
          <cell r="AR79">
            <v>1131996000</v>
          </cell>
          <cell r="AS79">
            <v>1043642000</v>
          </cell>
          <cell r="AT79">
            <v>1226439000</v>
          </cell>
          <cell r="AU79">
            <v>39.46331101253508</v>
          </cell>
          <cell r="AZ79" t="e">
            <v>#DIV/0!</v>
          </cell>
          <cell r="BA79" t="e">
            <v>#DIV/0!</v>
          </cell>
          <cell r="BC79">
            <v>40.069629999999997</v>
          </cell>
          <cell r="BD79">
            <v>30.15089</v>
          </cell>
          <cell r="BE79">
            <v>12.573</v>
          </cell>
          <cell r="BF79">
            <v>518102000</v>
          </cell>
          <cell r="BG79">
            <v>635640000</v>
          </cell>
          <cell r="BH79">
            <v>664815000</v>
          </cell>
          <cell r="BI79">
            <v>462007000</v>
          </cell>
          <cell r="BJ79">
            <v>0.21442596334542502</v>
          </cell>
          <cell r="BK79">
            <v>-678340000</v>
          </cell>
          <cell r="BL79">
            <v>-378922000</v>
          </cell>
          <cell r="BM79">
            <v>-193154000</v>
          </cell>
          <cell r="BN79">
            <v>-596109000</v>
          </cell>
          <cell r="BO79">
            <v>-394243000</v>
          </cell>
          <cell r="BP79">
            <v>-477251000</v>
          </cell>
          <cell r="BQ79">
            <v>2027697000</v>
          </cell>
          <cell r="BR79">
            <v>1489432000</v>
          </cell>
          <cell r="BS79">
            <v>1090954000</v>
          </cell>
          <cell r="BT79">
            <v>2137514000</v>
          </cell>
          <cell r="BU79">
            <v>1348375000</v>
          </cell>
          <cell r="BV79">
            <v>1770276000</v>
          </cell>
          <cell r="BW79">
            <v>0.12157436987285522</v>
          </cell>
          <cell r="BX79">
            <v>0.22462166519319776</v>
          </cell>
          <cell r="BY79">
            <v>4344924000</v>
          </cell>
          <cell r="BZ79">
            <v>3826822000</v>
          </cell>
          <cell r="CA79">
            <v>3191184000</v>
          </cell>
          <cell r="CB79">
            <v>2526369000</v>
          </cell>
          <cell r="CC79" t="str">
            <v>NULL</v>
          </cell>
          <cell r="CD79" t="str">
            <v>NULL</v>
          </cell>
          <cell r="CE79" t="str">
            <v>NULL</v>
          </cell>
          <cell r="CF79" t="str">
            <v>NULL</v>
          </cell>
          <cell r="CG79" t="str">
            <v>NULL</v>
          </cell>
          <cell r="CH79" t="str">
            <v>NULL</v>
          </cell>
          <cell r="CI79" t="str">
            <v>NULL</v>
          </cell>
          <cell r="CJ79" t="str">
            <v>NULL</v>
          </cell>
          <cell r="CK79">
            <v>4344924000</v>
          </cell>
          <cell r="CL79">
            <v>3826822000</v>
          </cell>
          <cell r="CM79">
            <v>3191184000</v>
          </cell>
          <cell r="CN79">
            <v>2526369000</v>
          </cell>
          <cell r="CO79">
            <v>0.65678303851043884</v>
          </cell>
          <cell r="CP79">
            <v>518102000</v>
          </cell>
          <cell r="CQ79">
            <v>151234000</v>
          </cell>
          <cell r="CR79">
            <v>930675000</v>
          </cell>
          <cell r="CS79">
            <v>-172109000</v>
          </cell>
          <cell r="CT79">
            <v>104983000</v>
          </cell>
          <cell r="CU79">
            <v>107504000</v>
          </cell>
          <cell r="CV79">
            <v>232747000</v>
          </cell>
          <cell r="CW79">
            <v>230679000</v>
          </cell>
          <cell r="CX79">
            <v>2.4258301704643137</v>
          </cell>
          <cell r="CY79">
            <v>0.64309644382360698</v>
          </cell>
          <cell r="CZ79">
            <v>6.4074743331261006</v>
          </cell>
          <cell r="DA79">
            <v>-2.6393987597992057</v>
          </cell>
          <cell r="DB79">
            <v>-2.3450290221759151E-2</v>
          </cell>
          <cell r="DC79">
            <v>-0.538107902572321</v>
          </cell>
          <cell r="DD79">
            <v>8.9648385852201251E-3</v>
          </cell>
          <cell r="DE79">
            <v>3.400164641670298</v>
          </cell>
          <cell r="DG79">
            <v>7.6945543839127497</v>
          </cell>
          <cell r="DH79">
            <v>794495283</v>
          </cell>
          <cell r="DI79">
            <v>86.350000000000009</v>
          </cell>
          <cell r="DJ79">
            <v>68604667687.050003</v>
          </cell>
          <cell r="DK79">
            <v>34505251926.25</v>
          </cell>
          <cell r="DM79">
            <v>4344924000</v>
          </cell>
          <cell r="DN79" t="str">
            <v>NULL</v>
          </cell>
          <cell r="DO79" t="str">
            <v>NULL</v>
          </cell>
          <cell r="DP79" t="str">
            <v>NULL</v>
          </cell>
          <cell r="DQ79" t="str">
            <v>NULL</v>
          </cell>
          <cell r="DR79">
            <v>4344924000</v>
          </cell>
          <cell r="DS79">
            <v>15.789612818785784</v>
          </cell>
          <cell r="DT79">
            <v>0.65210999999999997</v>
          </cell>
          <cell r="DU79">
            <v>0.80005000000000004</v>
          </cell>
          <cell r="DV79">
            <v>0.83677999999999997</v>
          </cell>
          <cell r="DW79">
            <v>0.58150999999999997</v>
          </cell>
          <cell r="DX79">
            <v>2.8704499999999999</v>
          </cell>
          <cell r="DY79">
            <v>29.908202546639032</v>
          </cell>
          <cell r="DZ79">
            <v>6.4504315418416009</v>
          </cell>
          <cell r="EA79">
            <v>1293025000</v>
          </cell>
          <cell r="EB79">
            <v>53.057495166025404</v>
          </cell>
          <cell r="EC79">
            <v>30.047553519482999</v>
          </cell>
          <cell r="ED79">
            <v>1.0667381126929001</v>
          </cell>
          <cell r="EE79">
            <v>1.20791506669449</v>
          </cell>
          <cell r="EG79">
            <v>0.48940972065205307</v>
          </cell>
          <cell r="EH79">
            <v>0.23739704017359609</v>
          </cell>
        </row>
        <row r="80">
          <cell r="A80" t="str">
            <v>TRAN</v>
          </cell>
          <cell r="B80" t="str">
            <v>TRA.BA</v>
          </cell>
          <cell r="C80" t="str">
            <v>COMPANIA DE TRANSPORTE DE ENERGIA ELECTRICA EN ALTA TENSION TRANSENER SA</v>
          </cell>
          <cell r="D80">
            <v>43008</v>
          </cell>
          <cell r="E80">
            <v>3256272660</v>
          </cell>
          <cell r="F80">
            <v>1381442630</v>
          </cell>
          <cell r="G80">
            <v>2.3571499999999999</v>
          </cell>
          <cell r="H80">
            <v>2.3571499999999999</v>
          </cell>
          <cell r="I80">
            <v>1.51579</v>
          </cell>
          <cell r="J80">
            <v>1.51579</v>
          </cell>
          <cell r="K80">
            <v>55.800000000000004</v>
          </cell>
          <cell r="L80">
            <v>0</v>
          </cell>
          <cell r="M80">
            <v>0</v>
          </cell>
          <cell r="N80">
            <v>0</v>
          </cell>
          <cell r="O80" t="str">
            <v>NULL</v>
          </cell>
          <cell r="P80">
            <v>0</v>
          </cell>
          <cell r="Q80">
            <v>0</v>
          </cell>
          <cell r="S80">
            <v>84.488428151999997</v>
          </cell>
          <cell r="T80">
            <v>111.76542382700001</v>
          </cell>
          <cell r="U80">
            <v>43008</v>
          </cell>
          <cell r="V80">
            <v>5493465370</v>
          </cell>
          <cell r="W80">
            <v>4600142320</v>
          </cell>
          <cell r="X80">
            <v>3622320940</v>
          </cell>
          <cell r="Y80">
            <v>3347053200</v>
          </cell>
          <cell r="Z80">
            <v>1984829410</v>
          </cell>
          <cell r="AA80">
            <v>2.7677267085638357</v>
          </cell>
          <cell r="AC80">
            <v>1356872090</v>
          </cell>
          <cell r="AD80">
            <v>1447980400</v>
          </cell>
          <cell r="AE80">
            <v>1194664480</v>
          </cell>
          <cell r="AF80">
            <v>1392802910</v>
          </cell>
          <cell r="AG80">
            <v>1.5801183937771397</v>
          </cell>
          <cell r="AH80">
            <v>57935400</v>
          </cell>
          <cell r="AI80">
            <v>54182740</v>
          </cell>
          <cell r="AJ80">
            <v>56916540</v>
          </cell>
          <cell r="AK80">
            <v>69612600</v>
          </cell>
          <cell r="AL80">
            <v>435420490</v>
          </cell>
          <cell r="AM80">
            <v>534107570</v>
          </cell>
          <cell r="AN80">
            <v>452360160</v>
          </cell>
          <cell r="AO80">
            <v>438725090</v>
          </cell>
          <cell r="AP80">
            <v>11.703971041677649</v>
          </cell>
          <cell r="AQ80">
            <v>1010580580</v>
          </cell>
          <cell r="AR80">
            <v>987012810</v>
          </cell>
          <cell r="AS80">
            <v>914689690</v>
          </cell>
          <cell r="AT80">
            <v>532444210</v>
          </cell>
          <cell r="AU80">
            <v>58.292418144247783</v>
          </cell>
          <cell r="AV80" t="str">
            <v>NULL</v>
          </cell>
          <cell r="AW80" t="str">
            <v>NULL</v>
          </cell>
          <cell r="AX80" t="str">
            <v>NULL</v>
          </cell>
          <cell r="AY80" t="str">
            <v>NULL</v>
          </cell>
          <cell r="AZ80" t="e">
            <v>#DIV/0!</v>
          </cell>
          <cell r="BA80" t="e">
            <v>#DIV/0!</v>
          </cell>
          <cell r="BC80">
            <v>22.146660000000001</v>
          </cell>
          <cell r="BD80">
            <v>4.9038899999999996</v>
          </cell>
          <cell r="BE80">
            <v>-2.50251</v>
          </cell>
          <cell r="BF80">
            <v>510194730</v>
          </cell>
          <cell r="BG80">
            <v>452717910</v>
          </cell>
          <cell r="BH80">
            <v>423215350</v>
          </cell>
          <cell r="BI80">
            <v>484465870</v>
          </cell>
          <cell r="BJ80">
            <v>0.34689964646533544</v>
          </cell>
          <cell r="BK80">
            <v>-391620810</v>
          </cell>
          <cell r="BL80">
            <v>-211002700</v>
          </cell>
          <cell r="BM80">
            <v>-116152140</v>
          </cell>
          <cell r="BN80">
            <v>-344923550</v>
          </cell>
          <cell r="BO80">
            <v>-273934880</v>
          </cell>
          <cell r="BP80">
            <v>-233838070</v>
          </cell>
          <cell r="BQ80">
            <v>725304830</v>
          </cell>
          <cell r="BR80">
            <v>-60883040</v>
          </cell>
          <cell r="BS80">
            <v>-795639240</v>
          </cell>
          <cell r="BT80">
            <v>-1303111620</v>
          </cell>
          <cell r="BU80">
            <v>-954095330</v>
          </cell>
          <cell r="BV80">
            <v>883760920</v>
          </cell>
          <cell r="BW80">
            <v>0.12052750290474236</v>
          </cell>
          <cell r="BX80">
            <v>0.43851511503367757</v>
          </cell>
          <cell r="BY80">
            <v>1984829410</v>
          </cell>
          <cell r="BZ80">
            <v>1474634680</v>
          </cell>
          <cell r="CA80">
            <v>1021916770</v>
          </cell>
          <cell r="CB80">
            <v>598701430</v>
          </cell>
          <cell r="CC80" t="str">
            <v>NULL</v>
          </cell>
          <cell r="CD80" t="str">
            <v>NULL</v>
          </cell>
          <cell r="CE80" t="str">
            <v>NULL</v>
          </cell>
          <cell r="CF80" t="str">
            <v>NULL</v>
          </cell>
          <cell r="CG80" t="str">
            <v>NULL</v>
          </cell>
          <cell r="CH80" t="str">
            <v>NULL</v>
          </cell>
          <cell r="CI80" t="str">
            <v>NULL</v>
          </cell>
          <cell r="CJ80" t="str">
            <v>NULL</v>
          </cell>
          <cell r="CK80">
            <v>1984829410</v>
          </cell>
          <cell r="CL80">
            <v>1474634680</v>
          </cell>
          <cell r="CM80">
            <v>1021916770</v>
          </cell>
          <cell r="CN80">
            <v>598701430</v>
          </cell>
          <cell r="CO80">
            <v>1.4728846921887164</v>
          </cell>
          <cell r="CP80">
            <v>510194730</v>
          </cell>
          <cell r="CQ80">
            <v>-269855570</v>
          </cell>
          <cell r="CR80">
            <v>-56813330</v>
          </cell>
          <cell r="CS80">
            <v>52246180</v>
          </cell>
          <cell r="CT80">
            <v>145199340</v>
          </cell>
          <cell r="CU80">
            <v>-5613350</v>
          </cell>
          <cell r="CV80">
            <v>-98922560</v>
          </cell>
          <cell r="CW80">
            <v>-25866640</v>
          </cell>
          <cell r="CX80">
            <v>2.8906214535427228</v>
          </cell>
          <cell r="CY80">
            <v>4.4516244475265472</v>
          </cell>
          <cell r="CZ80">
            <v>-2.0874159603630353</v>
          </cell>
          <cell r="DA80">
            <v>-0.64017618812867882</v>
          </cell>
          <cell r="DB80">
            <v>26.866788994094435</v>
          </cell>
          <cell r="DC80">
            <v>0.94325510783384503</v>
          </cell>
          <cell r="DD80">
            <v>-2.8243297158038305</v>
          </cell>
          <cell r="DE80">
            <v>12.613219743879498</v>
          </cell>
          <cell r="DG80">
            <v>4.1305377220798496</v>
          </cell>
          <cell r="DH80">
            <v>217890147</v>
          </cell>
          <cell r="DI80">
            <v>54.45</v>
          </cell>
          <cell r="DJ80">
            <v>24212488137.75</v>
          </cell>
          <cell r="DK80">
            <v>12435520203.950001</v>
          </cell>
          <cell r="DM80">
            <v>1984829410</v>
          </cell>
          <cell r="DN80" t="str">
            <v>NULL</v>
          </cell>
          <cell r="DO80" t="str">
            <v>NULL</v>
          </cell>
          <cell r="DP80" t="str">
            <v>NULL</v>
          </cell>
          <cell r="DQ80" t="str">
            <v>NULL</v>
          </cell>
          <cell r="DR80">
            <v>1984829410</v>
          </cell>
          <cell r="DS80">
            <v>12.198775378761644</v>
          </cell>
          <cell r="DT80">
            <v>1.1473500000000001</v>
          </cell>
          <cell r="DU80">
            <v>1.0180899999999999</v>
          </cell>
          <cell r="DV80">
            <v>0.95174000000000003</v>
          </cell>
          <cell r="DW80">
            <v>1.0894900000000001</v>
          </cell>
          <cell r="DX80">
            <v>4.2066700000000008</v>
          </cell>
          <cell r="DY80">
            <v>13.264648760183231</v>
          </cell>
          <cell r="DZ80">
            <v>4.4901802334749474</v>
          </cell>
          <cell r="EA80">
            <v>649922850</v>
          </cell>
          <cell r="EB80">
            <v>37.254403561515034</v>
          </cell>
          <cell r="EC80">
            <v>13.7519700856021</v>
          </cell>
          <cell r="ED80">
            <v>1.11990906351996</v>
          </cell>
          <cell r="EE80">
            <v>1.3669381618989001</v>
          </cell>
          <cell r="EG80">
            <v>0.51267443697466886</v>
          </cell>
          <cell r="EH80">
            <v>0.19568739573499405</v>
          </cell>
          <cell r="EK80" t="str">
            <v>NULL</v>
          </cell>
          <cell r="EM80">
            <v>25.239402179317601</v>
          </cell>
          <cell r="EN80">
            <v>25.1922844403</v>
          </cell>
        </row>
        <row r="81">
          <cell r="A81" t="str">
            <v>TS</v>
          </cell>
          <cell r="B81" t="str">
            <v>TENA.BA</v>
          </cell>
          <cell r="C81" t="str">
            <v>TENARIS SA</v>
          </cell>
          <cell r="D81">
            <v>43008</v>
          </cell>
          <cell r="E81">
            <v>90325135692</v>
          </cell>
          <cell r="F81">
            <v>33971242545</v>
          </cell>
          <cell r="G81">
            <v>2.6588699999999998</v>
          </cell>
          <cell r="H81">
            <v>1.53677</v>
          </cell>
          <cell r="I81">
            <v>2.94998</v>
          </cell>
          <cell r="J81">
            <v>1.9726300000000001</v>
          </cell>
          <cell r="K81">
            <v>319.95</v>
          </cell>
          <cell r="L81">
            <v>2.2475700000000001</v>
          </cell>
          <cell r="M81">
            <v>0</v>
          </cell>
          <cell r="N81">
            <v>0</v>
          </cell>
          <cell r="O81">
            <v>4.43912</v>
          </cell>
          <cell r="P81">
            <v>6.6866900000000005</v>
          </cell>
          <cell r="Q81">
            <v>2.0899171745585251E-2</v>
          </cell>
          <cell r="S81">
            <v>7.2334056469999997</v>
          </cell>
          <cell r="T81">
            <v>7.5200901069999997</v>
          </cell>
          <cell r="U81">
            <v>43008</v>
          </cell>
          <cell r="V81">
            <v>248275641636</v>
          </cell>
          <cell r="W81">
            <v>236238350904</v>
          </cell>
          <cell r="X81">
            <v>218153743016</v>
          </cell>
          <cell r="Y81">
            <v>222007921850</v>
          </cell>
          <cell r="Z81">
            <v>198749727837</v>
          </cell>
          <cell r="AA81">
            <v>1.2491873288984705</v>
          </cell>
          <cell r="AC81">
            <v>22526253036</v>
          </cell>
          <cell r="AD81">
            <v>20638003224</v>
          </cell>
          <cell r="AE81">
            <v>17731366620</v>
          </cell>
          <cell r="AF81">
            <v>13747605852</v>
          </cell>
          <cell r="AG81">
            <v>0.40361841831996015</v>
          </cell>
          <cell r="AH81">
            <v>12479338512</v>
          </cell>
          <cell r="AI81">
            <v>11786025470</v>
          </cell>
          <cell r="AJ81">
            <v>9867043131</v>
          </cell>
          <cell r="AK81">
            <v>8828046236</v>
          </cell>
          <cell r="AL81">
            <v>14376295774</v>
          </cell>
          <cell r="AM81">
            <v>12660195152</v>
          </cell>
          <cell r="AN81">
            <v>10414016980</v>
          </cell>
          <cell r="AO81">
            <v>11763078030</v>
          </cell>
          <cell r="AP81">
            <v>79.655674211471052</v>
          </cell>
          <cell r="AQ81">
            <v>18439098858</v>
          </cell>
          <cell r="AR81">
            <v>17012066518</v>
          </cell>
          <cell r="AS81">
            <v>15528783776</v>
          </cell>
          <cell r="AT81">
            <v>15135575990</v>
          </cell>
          <cell r="AU81">
            <v>80.825036265092564</v>
          </cell>
          <cell r="AV81">
            <v>33026344920</v>
          </cell>
          <cell r="AW81">
            <v>25709513478</v>
          </cell>
          <cell r="AX81">
            <v>24793896206</v>
          </cell>
          <cell r="AY81">
            <v>22996385280</v>
          </cell>
          <cell r="AZ81">
            <v>197.51680515734162</v>
          </cell>
          <cell r="BA81">
            <v>198.68616721096313</v>
          </cell>
          <cell r="BC81">
            <v>26.269570000000002</v>
          </cell>
          <cell r="BD81">
            <v>-1.37547</v>
          </cell>
          <cell r="BE81">
            <v>0.32344000000000001</v>
          </cell>
          <cell r="BF81">
            <v>1812820806</v>
          </cell>
          <cell r="BG81">
            <v>1237545544</v>
          </cell>
          <cell r="BH81">
            <v>1745460695</v>
          </cell>
          <cell r="BI81">
            <v>-120664794</v>
          </cell>
          <cell r="BJ81">
            <v>6.2633440841442733E-2</v>
          </cell>
          <cell r="BK81">
            <v>-7558093818</v>
          </cell>
          <cell r="BL81">
            <v>-4878942436</v>
          </cell>
          <cell r="BM81">
            <v>-2130096705</v>
          </cell>
          <cell r="BN81">
            <v>-12475084542</v>
          </cell>
          <cell r="BO81">
            <v>-9648920655</v>
          </cell>
          <cell r="BP81">
            <v>-39269868</v>
          </cell>
          <cell r="BQ81">
            <v>-157779414</v>
          </cell>
          <cell r="BR81">
            <v>-111193776</v>
          </cell>
          <cell r="BS81">
            <v>401601178</v>
          </cell>
          <cell r="BT81">
            <v>13690959510</v>
          </cell>
          <cell r="BU81">
            <v>14460913170</v>
          </cell>
          <cell r="BV81">
            <v>-14217091406</v>
          </cell>
          <cell r="BW81">
            <v>-0.19099336291020075</v>
          </cell>
          <cell r="BX81">
            <v>2.0224009201735751E-2</v>
          </cell>
          <cell r="BY81">
            <v>198749727837</v>
          </cell>
          <cell r="BZ81">
            <v>188331203324</v>
          </cell>
          <cell r="CA81">
            <v>177190960705</v>
          </cell>
          <cell r="CB81">
            <v>178950709118</v>
          </cell>
          <cell r="CC81" t="str">
            <v>NULL</v>
          </cell>
          <cell r="CD81" t="str">
            <v>NULL</v>
          </cell>
          <cell r="CE81" t="str">
            <v>NULL</v>
          </cell>
          <cell r="CF81" t="str">
            <v>NULL</v>
          </cell>
          <cell r="CG81" t="str">
            <v>NULL</v>
          </cell>
          <cell r="CH81" t="str">
            <v>NULL</v>
          </cell>
          <cell r="CI81" t="str">
            <v>NULL</v>
          </cell>
          <cell r="CJ81" t="str">
            <v>NULL</v>
          </cell>
          <cell r="CK81">
            <v>198749727837</v>
          </cell>
          <cell r="CL81">
            <v>188331203324</v>
          </cell>
          <cell r="CM81">
            <v>177190960705</v>
          </cell>
          <cell r="CN81">
            <v>178950709118</v>
          </cell>
          <cell r="CO81">
            <v>2.5161572023295595E-2</v>
          </cell>
          <cell r="CP81">
            <v>1812820806</v>
          </cell>
          <cell r="CQ81">
            <v>71231490</v>
          </cell>
          <cell r="CR81">
            <v>220164498</v>
          </cell>
          <cell r="CS81">
            <v>-1284431382.8</v>
          </cell>
          <cell r="CT81">
            <v>9788982204.7999992</v>
          </cell>
          <cell r="CU81">
            <v>10110434698</v>
          </cell>
          <cell r="CV81">
            <v>8352428125</v>
          </cell>
          <cell r="CW81">
            <v>5728715280</v>
          </cell>
          <cell r="CX81">
            <v>24.449710598500747</v>
          </cell>
          <cell r="CY81">
            <v>0.13537515051002974</v>
          </cell>
          <cell r="CZ81">
            <v>1.1714100892801698</v>
          </cell>
          <cell r="DA81">
            <v>-1.1312119437882093</v>
          </cell>
          <cell r="DB81">
            <v>-3.1794131785806257E-2</v>
          </cell>
          <cell r="DC81">
            <v>0.21047850357886189</v>
          </cell>
          <cell r="DD81">
            <v>0.45799323526513258</v>
          </cell>
          <cell r="DE81">
            <v>0.83893977331388958</v>
          </cell>
          <cell r="DG81">
            <v>24.245660002589201</v>
          </cell>
          <cell r="DH81">
            <v>1180536830</v>
          </cell>
          <cell r="DI81">
            <v>326.45</v>
          </cell>
          <cell r="DJ81">
            <v>385386248153.5</v>
          </cell>
          <cell r="DK81">
            <v>354706040071.76099</v>
          </cell>
          <cell r="DM81">
            <v>198749727837</v>
          </cell>
          <cell r="DN81" t="str">
            <v>NULL</v>
          </cell>
          <cell r="DO81" t="str">
            <v>NULL</v>
          </cell>
          <cell r="DP81">
            <v>29899440999</v>
          </cell>
          <cell r="DQ81" t="str">
            <v>NULL</v>
          </cell>
          <cell r="DR81">
            <v>168850286838</v>
          </cell>
          <cell r="DS81">
            <v>2.2824139382318673</v>
          </cell>
          <cell r="DT81">
            <v>1.5356089799999999</v>
          </cell>
          <cell r="DU81">
            <v>1.0483367800000001</v>
          </cell>
          <cell r="DV81">
            <v>1.47845907</v>
          </cell>
          <cell r="DW81">
            <v>-0.1022583</v>
          </cell>
          <cell r="DX81">
            <v>3.9601465300000003</v>
          </cell>
          <cell r="DY81">
            <v>80.792465020227411</v>
          </cell>
          <cell r="DZ81">
            <v>5.1630436504454504</v>
          </cell>
          <cell r="EA81">
            <v>-14256361274</v>
          </cell>
          <cell r="EB81">
            <v>-27.032581508462972</v>
          </cell>
          <cell r="EC81">
            <v>65.517882157789998</v>
          </cell>
          <cell r="ED81">
            <v>0.49240894561889098</v>
          </cell>
          <cell r="EE81">
            <v>0.37497958279812599</v>
          </cell>
          <cell r="EG81">
            <v>0.41468322509761862</v>
          </cell>
          <cell r="EH81">
            <v>-2.0659610213477064E-3</v>
          </cell>
          <cell r="EK81">
            <v>2.64653485120831</v>
          </cell>
          <cell r="EM81">
            <v>4796.0954323854203</v>
          </cell>
          <cell r="EN81">
            <v>274.39504363050003</v>
          </cell>
        </row>
        <row r="82">
          <cell r="A82" t="str">
            <v>YPFD</v>
          </cell>
          <cell r="B82" t="str">
            <v>YPFD.BA</v>
          </cell>
          <cell r="C82" t="str">
            <v>YPF SA</v>
          </cell>
          <cell r="D82">
            <v>43008</v>
          </cell>
          <cell r="E82">
            <v>102044000000</v>
          </cell>
          <cell r="F82">
            <v>79809000000</v>
          </cell>
          <cell r="G82">
            <v>1.2786</v>
          </cell>
          <cell r="H82">
            <v>0.96484999999999999</v>
          </cell>
          <cell r="I82">
            <v>1.05772</v>
          </cell>
          <cell r="J82">
            <v>0.79313</v>
          </cell>
          <cell r="K82">
            <v>451</v>
          </cell>
          <cell r="L82">
            <v>1.8204</v>
          </cell>
          <cell r="M82">
            <v>0</v>
          </cell>
          <cell r="N82">
            <v>0</v>
          </cell>
          <cell r="O82" t="str">
            <v>NULL</v>
          </cell>
          <cell r="P82">
            <v>1.8204</v>
          </cell>
          <cell r="Q82">
            <v>4.0363636363636365E-3</v>
          </cell>
          <cell r="S82">
            <v>132.18447122200001</v>
          </cell>
          <cell r="T82">
            <v>129.27895648000001</v>
          </cell>
          <cell r="U82">
            <v>43008</v>
          </cell>
          <cell r="V82">
            <v>461284000000</v>
          </cell>
          <cell r="W82">
            <v>434335000000</v>
          </cell>
          <cell r="X82">
            <v>403009000000</v>
          </cell>
          <cell r="Y82">
            <v>421139000000</v>
          </cell>
          <cell r="Z82">
            <v>130622000000</v>
          </cell>
          <cell r="AA82">
            <v>3.5314418704353017</v>
          </cell>
          <cell r="AC82">
            <v>66034000000</v>
          </cell>
          <cell r="AD82">
            <v>60162000000</v>
          </cell>
          <cell r="AE82">
            <v>57003000000</v>
          </cell>
          <cell r="AF82">
            <v>54558000000</v>
          </cell>
          <cell r="AG82">
            <v>0.69124769243206741</v>
          </cell>
          <cell r="AH82">
            <v>41645000000</v>
          </cell>
          <cell r="AI82">
            <v>37054000000</v>
          </cell>
          <cell r="AJ82">
            <v>37319000000</v>
          </cell>
          <cell r="AK82">
            <v>40667000000</v>
          </cell>
          <cell r="AL82">
            <v>46009000000</v>
          </cell>
          <cell r="AM82">
            <v>46605000000</v>
          </cell>
          <cell r="AN82">
            <v>48320000000</v>
          </cell>
          <cell r="AO82">
            <v>43084000000</v>
          </cell>
          <cell r="AP82">
            <v>77.696237596322092</v>
          </cell>
          <cell r="AQ82">
            <v>41988000000</v>
          </cell>
          <cell r="AR82">
            <v>32979000000</v>
          </cell>
          <cell r="AS82">
            <v>31919000000</v>
          </cell>
          <cell r="AT82">
            <v>33645000000</v>
          </cell>
          <cell r="AU82">
            <v>53.935125989981366</v>
          </cell>
          <cell r="AV82">
            <v>21032000000</v>
          </cell>
          <cell r="AW82">
            <v>21820000000</v>
          </cell>
          <cell r="AX82">
            <v>22703000000</v>
          </cell>
          <cell r="AY82">
            <v>22225000000</v>
          </cell>
          <cell r="AZ82">
            <v>43.527942918627524</v>
          </cell>
          <cell r="BA82">
            <v>19.766831312286797</v>
          </cell>
          <cell r="BC82">
            <v>15.120419999999999</v>
          </cell>
          <cell r="BD82">
            <v>-11.54022</v>
          </cell>
          <cell r="BE82">
            <v>-13.43979</v>
          </cell>
          <cell r="BF82">
            <v>93000000</v>
          </cell>
          <cell r="BG82">
            <v>212000000</v>
          </cell>
          <cell r="BH82">
            <v>25000000</v>
          </cell>
          <cell r="BI82">
            <v>1721000000</v>
          </cell>
          <cell r="BJ82">
            <v>8.6264547416059247E-3</v>
          </cell>
          <cell r="BK82">
            <v>-43951000000</v>
          </cell>
          <cell r="BL82">
            <v>-27678000000</v>
          </cell>
          <cell r="BM82">
            <v>-14574000000</v>
          </cell>
          <cell r="BN82">
            <v>-64160000000</v>
          </cell>
          <cell r="BO82">
            <v>-46970000000</v>
          </cell>
          <cell r="BP82">
            <v>-11555000000</v>
          </cell>
          <cell r="BQ82">
            <v>51185000000</v>
          </cell>
          <cell r="BR82">
            <v>37633000000</v>
          </cell>
          <cell r="BS82">
            <v>24650000000</v>
          </cell>
          <cell r="BT82">
            <v>49035000000</v>
          </cell>
          <cell r="BU82">
            <v>34012000000</v>
          </cell>
          <cell r="BV82">
            <v>41823000000</v>
          </cell>
          <cell r="BW82">
            <v>0.12730645154506492</v>
          </cell>
          <cell r="BX82">
            <v>4.7704136665024975E-3</v>
          </cell>
          <cell r="BY82">
            <v>130622000000</v>
          </cell>
          <cell r="BZ82">
            <v>124195000000</v>
          </cell>
          <cell r="CA82">
            <v>115163000000</v>
          </cell>
          <cell r="CB82">
            <v>118755000000</v>
          </cell>
          <cell r="CC82" t="str">
            <v>NULL</v>
          </cell>
          <cell r="CD82" t="str">
            <v>NULL</v>
          </cell>
          <cell r="CE82" t="str">
            <v>NULL</v>
          </cell>
          <cell r="CF82" t="str">
            <v>NULL</v>
          </cell>
          <cell r="CG82" t="str">
            <v>NULL</v>
          </cell>
          <cell r="CH82" t="str">
            <v>NULL</v>
          </cell>
          <cell r="CI82" t="str">
            <v>NULL</v>
          </cell>
          <cell r="CJ82" t="str">
            <v>NULL</v>
          </cell>
          <cell r="CK82">
            <v>130622000000</v>
          </cell>
          <cell r="CL82">
            <v>124195000000</v>
          </cell>
          <cell r="CM82">
            <v>115163000000</v>
          </cell>
          <cell r="CN82">
            <v>118755000000</v>
          </cell>
          <cell r="CO82">
            <v>1.6786192926637133E-2</v>
          </cell>
          <cell r="CP82">
            <v>93000000</v>
          </cell>
          <cell r="CQ82">
            <v>-30211000000</v>
          </cell>
          <cell r="CR82">
            <v>-28237000000</v>
          </cell>
          <cell r="CS82">
            <v>4579000000</v>
          </cell>
          <cell r="CT82">
            <v>9002000000</v>
          </cell>
          <cell r="CU82">
            <v>5125000000</v>
          </cell>
          <cell r="CV82">
            <v>3902000000</v>
          </cell>
          <cell r="CW82">
            <v>4445000000</v>
          </cell>
          <cell r="CX82">
            <v>1.0030783489457482</v>
          </cell>
          <cell r="CY82">
            <v>-1.342041688368192</v>
          </cell>
          <cell r="CZ82">
            <v>-7.1666302686176024</v>
          </cell>
          <cell r="DA82">
            <v>-0.49133525883137086</v>
          </cell>
          <cell r="DB82">
            <v>0.75648780487804879</v>
          </cell>
          <cell r="DC82">
            <v>0.31342901076371099</v>
          </cell>
          <cell r="DD82">
            <v>-0.12215973003374581</v>
          </cell>
          <cell r="DE82">
            <v>3.2894549252271874</v>
          </cell>
          <cell r="DG82">
            <v>4.64342484638901</v>
          </cell>
          <cell r="DH82">
            <v>393260983</v>
          </cell>
          <cell r="DI82">
            <v>457.35</v>
          </cell>
          <cell r="DJ82">
            <v>179881605878.54999</v>
          </cell>
          <cell r="DK82">
            <v>321863636652.29999</v>
          </cell>
          <cell r="DM82">
            <v>130622000000</v>
          </cell>
          <cell r="DN82" t="str">
            <v>NULL</v>
          </cell>
          <cell r="DO82" t="str">
            <v>NULL</v>
          </cell>
          <cell r="DP82">
            <v>9032000000</v>
          </cell>
          <cell r="DQ82" t="str">
            <v>NULL</v>
          </cell>
          <cell r="DR82">
            <v>121590000000</v>
          </cell>
          <cell r="DS82">
            <v>1.4794111841315074</v>
          </cell>
          <cell r="DT82">
            <v>0.23707</v>
          </cell>
          <cell r="DU82">
            <v>0.54</v>
          </cell>
          <cell r="DV82">
            <v>6.4009999999999997E-2</v>
          </cell>
          <cell r="DW82">
            <v>4.4020799999999998</v>
          </cell>
          <cell r="DX82">
            <v>5.2431599999999996</v>
          </cell>
          <cell r="DY82">
            <v>86.016829545541242</v>
          </cell>
          <cell r="DZ82">
            <v>0.75657753874144607</v>
          </cell>
          <cell r="EA82">
            <v>30268000000</v>
          </cell>
          <cell r="EB82">
            <v>5.9429630592886875</v>
          </cell>
          <cell r="EC82">
            <v>83.556481205990295</v>
          </cell>
          <cell r="ED82">
            <v>0.90358208498617998</v>
          </cell>
          <cell r="EE82">
            <v>0.92014811851450196</v>
          </cell>
          <cell r="EG82">
            <v>0.45101907311918604</v>
          </cell>
          <cell r="EH82">
            <v>-1.1494787845834575E-2</v>
          </cell>
          <cell r="EK82">
            <v>0.53228070175438602</v>
          </cell>
          <cell r="EM82">
            <v>-3.6624937054448399</v>
          </cell>
          <cell r="EN82" t="str">
            <v>NULL</v>
          </cell>
        </row>
        <row r="89">
          <cell r="A89">
            <v>1</v>
          </cell>
          <cell r="B89">
            <v>2</v>
          </cell>
          <cell r="C89">
            <v>3</v>
          </cell>
          <cell r="E89">
            <v>4</v>
          </cell>
          <cell r="F89">
            <v>5</v>
          </cell>
          <cell r="G89">
            <v>6</v>
          </cell>
          <cell r="H89">
            <v>7</v>
          </cell>
          <cell r="K89">
            <v>8</v>
          </cell>
          <cell r="L89">
            <v>9</v>
          </cell>
          <cell r="N89">
            <v>1</v>
          </cell>
          <cell r="O89">
            <v>2</v>
          </cell>
          <cell r="P89">
            <v>3</v>
          </cell>
          <cell r="Q89">
            <v>4</v>
          </cell>
          <cell r="R89">
            <v>5</v>
          </cell>
          <cell r="S89">
            <v>6</v>
          </cell>
          <cell r="U89">
            <v>7</v>
          </cell>
          <cell r="W89">
            <v>8</v>
          </cell>
          <cell r="X89">
            <v>9</v>
          </cell>
          <cell r="Y89">
            <v>10</v>
          </cell>
          <cell r="Z89">
            <v>11</v>
          </cell>
          <cell r="AA89">
            <v>12</v>
          </cell>
          <cell r="AB89">
            <v>13</v>
          </cell>
          <cell r="AC89">
            <v>14</v>
          </cell>
          <cell r="AD89">
            <v>15</v>
          </cell>
          <cell r="AE89">
            <v>16</v>
          </cell>
          <cell r="AF89">
            <v>17</v>
          </cell>
          <cell r="AG89">
            <v>18</v>
          </cell>
          <cell r="AH89">
            <v>19</v>
          </cell>
          <cell r="AI89">
            <v>20</v>
          </cell>
          <cell r="AJ89">
            <v>21</v>
          </cell>
          <cell r="AK89">
            <v>22</v>
          </cell>
          <cell r="AL89">
            <v>23</v>
          </cell>
          <cell r="AM89">
            <v>24</v>
          </cell>
          <cell r="AN89">
            <v>25</v>
          </cell>
          <cell r="AO89">
            <v>26</v>
          </cell>
          <cell r="AP89">
            <v>27</v>
          </cell>
          <cell r="AQ89">
            <v>28</v>
          </cell>
          <cell r="AR89">
            <v>29</v>
          </cell>
          <cell r="AS89">
            <v>30</v>
          </cell>
          <cell r="AT89">
            <v>31</v>
          </cell>
          <cell r="AU89">
            <v>32</v>
          </cell>
          <cell r="AV89">
            <v>33</v>
          </cell>
          <cell r="AW89">
            <v>34</v>
          </cell>
          <cell r="AX89">
            <v>35</v>
          </cell>
          <cell r="AY89">
            <v>36</v>
          </cell>
          <cell r="AZ89">
            <v>37</v>
          </cell>
          <cell r="BA89">
            <v>38</v>
          </cell>
          <cell r="BB89">
            <v>39</v>
          </cell>
          <cell r="BC89">
            <v>40</v>
          </cell>
          <cell r="BD89">
            <v>41</v>
          </cell>
          <cell r="BE89">
            <v>42</v>
          </cell>
          <cell r="BF89">
            <v>43</v>
          </cell>
          <cell r="BG89">
            <v>44</v>
          </cell>
          <cell r="BH89">
            <v>45</v>
          </cell>
          <cell r="BI89">
            <v>46</v>
          </cell>
          <cell r="BJ89">
            <v>47</v>
          </cell>
          <cell r="BK89">
            <v>48</v>
          </cell>
          <cell r="BL89">
            <v>49</v>
          </cell>
          <cell r="BM89">
            <v>50</v>
          </cell>
          <cell r="BN89">
            <v>51</v>
          </cell>
          <cell r="BO89">
            <v>52</v>
          </cell>
          <cell r="BP89">
            <v>53</v>
          </cell>
          <cell r="BQ89">
            <v>54</v>
          </cell>
          <cell r="BR89">
            <v>55</v>
          </cell>
          <cell r="BS89">
            <v>56</v>
          </cell>
          <cell r="BT89">
            <v>57</v>
          </cell>
          <cell r="BU89">
            <v>58</v>
          </cell>
          <cell r="BV89">
            <v>59</v>
          </cell>
          <cell r="BW89">
            <v>60</v>
          </cell>
          <cell r="BX89">
            <v>61</v>
          </cell>
          <cell r="BY89">
            <v>62</v>
          </cell>
          <cell r="BZ89">
            <v>63</v>
          </cell>
          <cell r="CA89">
            <v>64</v>
          </cell>
          <cell r="CB89">
            <v>65</v>
          </cell>
          <cell r="CC89">
            <v>66</v>
          </cell>
          <cell r="CD89">
            <v>67</v>
          </cell>
          <cell r="CE89">
            <v>68</v>
          </cell>
          <cell r="CF89">
            <v>69</v>
          </cell>
          <cell r="CG89">
            <v>70</v>
          </cell>
          <cell r="CH89">
            <v>71</v>
          </cell>
          <cell r="CI89">
            <v>72</v>
          </cell>
          <cell r="CJ89">
            <v>73</v>
          </cell>
          <cell r="CK89">
            <v>74</v>
          </cell>
          <cell r="CL89">
            <v>75</v>
          </cell>
          <cell r="CM89">
            <v>76</v>
          </cell>
          <cell r="CN89">
            <v>77</v>
          </cell>
          <cell r="CO89">
            <v>78</v>
          </cell>
          <cell r="CP89">
            <v>79</v>
          </cell>
          <cell r="CQ89">
            <v>80</v>
          </cell>
          <cell r="CR89">
            <v>81</v>
          </cell>
          <cell r="CS89">
            <v>82</v>
          </cell>
          <cell r="CT89">
            <v>83</v>
          </cell>
          <cell r="CU89">
            <v>84</v>
          </cell>
          <cell r="CV89">
            <v>85</v>
          </cell>
          <cell r="CW89">
            <v>86</v>
          </cell>
          <cell r="CX89">
            <v>87</v>
          </cell>
          <cell r="CY89">
            <v>88</v>
          </cell>
          <cell r="CZ89">
            <v>89</v>
          </cell>
          <cell r="DA89">
            <v>90</v>
          </cell>
          <cell r="DB89">
            <v>91</v>
          </cell>
          <cell r="DC89">
            <v>92</v>
          </cell>
          <cell r="DD89">
            <v>93</v>
          </cell>
          <cell r="DE89">
            <v>94</v>
          </cell>
          <cell r="DF89">
            <v>95</v>
          </cell>
          <cell r="DG89">
            <v>96</v>
          </cell>
          <cell r="DH89">
            <v>97</v>
          </cell>
          <cell r="DI89">
            <v>98</v>
          </cell>
          <cell r="DJ89">
            <v>99</v>
          </cell>
          <cell r="DK89">
            <v>100</v>
          </cell>
          <cell r="DL89">
            <v>101</v>
          </cell>
          <cell r="DM89">
            <v>102</v>
          </cell>
          <cell r="DN89">
            <v>103</v>
          </cell>
          <cell r="DO89">
            <v>104</v>
          </cell>
          <cell r="DP89">
            <v>105</v>
          </cell>
          <cell r="DQ89">
            <v>106</v>
          </cell>
          <cell r="DR89">
            <v>107</v>
          </cell>
          <cell r="DS89">
            <v>108</v>
          </cell>
          <cell r="DT89">
            <v>109</v>
          </cell>
          <cell r="DU89">
            <v>110</v>
          </cell>
          <cell r="DV89">
            <v>111</v>
          </cell>
          <cell r="DW89">
            <v>112</v>
          </cell>
          <cell r="DX89">
            <v>113</v>
          </cell>
          <cell r="DY89">
            <v>114</v>
          </cell>
          <cell r="DZ89">
            <v>115</v>
          </cell>
          <cell r="EA89">
            <v>116</v>
          </cell>
          <cell r="EB89">
            <v>117</v>
          </cell>
          <cell r="EC89">
            <v>118</v>
          </cell>
          <cell r="ED89" t="str">
            <v>Unable to collect data for the field 'TR.BetaDaily90D' and some specific identifier(s).</v>
          </cell>
          <cell r="EE89" t="str">
            <v>Unable to collect data for the field 'TR.BetaDaily180D' and some specific identifier(s).</v>
          </cell>
          <cell r="EF89" t="e">
            <v>#VALUE!</v>
          </cell>
          <cell r="EH89" t="e">
            <v>#REF!</v>
          </cell>
          <cell r="EI89" t="e">
            <v>#REF!</v>
          </cell>
          <cell r="EJ89" t="e">
            <v>#REF!</v>
          </cell>
          <cell r="EK89" t="e">
            <v>#REF!</v>
          </cell>
        </row>
      </sheetData>
      <sheetData sheetId="1"/>
      <sheetData sheetId="2"/>
      <sheetData sheetId="3"/>
      <sheetData sheetId="4"/>
      <sheetData sheetId="5"/>
      <sheetData sheetId="6">
        <row r="3">
          <cell r="I3" t="str">
            <v>TICKER</v>
          </cell>
          <cell r="J3" t="str">
            <v>VN</v>
          </cell>
        </row>
        <row r="4">
          <cell r="I4" t="str">
            <v>STD</v>
          </cell>
          <cell r="J4">
            <v>0.5</v>
          </cell>
        </row>
        <row r="5">
          <cell r="I5" t="str">
            <v>APBR</v>
          </cell>
          <cell r="J5">
            <v>1</v>
          </cell>
        </row>
        <row r="6">
          <cell r="I6" t="str">
            <v>TEF</v>
          </cell>
          <cell r="J6">
            <v>1</v>
          </cell>
        </row>
        <row r="7">
          <cell r="I7" t="str">
            <v>REP</v>
          </cell>
          <cell r="J7">
            <v>1</v>
          </cell>
        </row>
        <row r="8">
          <cell r="I8" t="str">
            <v>TS</v>
          </cell>
          <cell r="J8">
            <v>1</v>
          </cell>
        </row>
        <row r="9">
          <cell r="I9" t="str">
            <v>YPFD</v>
          </cell>
          <cell r="J9">
            <v>10</v>
          </cell>
        </row>
        <row r="10">
          <cell r="I10" t="str">
            <v>BMA</v>
          </cell>
          <cell r="J10">
            <v>1</v>
          </cell>
        </row>
        <row r="11">
          <cell r="I11" t="str">
            <v>BRIO</v>
          </cell>
          <cell r="J11">
            <v>1</v>
          </cell>
        </row>
        <row r="12">
          <cell r="I12" t="str">
            <v>GGAL</v>
          </cell>
          <cell r="J12">
            <v>1</v>
          </cell>
        </row>
        <row r="13">
          <cell r="I13" t="str">
            <v>TECO2</v>
          </cell>
          <cell r="J13">
            <v>1</v>
          </cell>
        </row>
        <row r="14">
          <cell r="I14" t="str">
            <v>FRAN</v>
          </cell>
          <cell r="J14">
            <v>1</v>
          </cell>
        </row>
        <row r="15">
          <cell r="I15" t="str">
            <v>GCLA</v>
          </cell>
          <cell r="J15">
            <v>1</v>
          </cell>
        </row>
        <row r="16">
          <cell r="I16" t="str">
            <v>ERAR</v>
          </cell>
          <cell r="J16">
            <v>1</v>
          </cell>
        </row>
        <row r="17">
          <cell r="I17" t="str">
            <v>BPAT</v>
          </cell>
          <cell r="J17">
            <v>1</v>
          </cell>
        </row>
        <row r="18">
          <cell r="I18" t="str">
            <v>CEPU</v>
          </cell>
          <cell r="J18">
            <v>1</v>
          </cell>
        </row>
        <row r="19">
          <cell r="I19" t="str">
            <v>PAMP</v>
          </cell>
          <cell r="J19">
            <v>1</v>
          </cell>
        </row>
        <row r="20">
          <cell r="I20" t="str">
            <v>ALUA</v>
          </cell>
          <cell r="J20">
            <v>1</v>
          </cell>
        </row>
        <row r="21">
          <cell r="I21" t="str">
            <v>MOLI</v>
          </cell>
          <cell r="J21">
            <v>1</v>
          </cell>
        </row>
        <row r="22">
          <cell r="I22" t="str">
            <v>PESA</v>
          </cell>
          <cell r="J22">
            <v>1</v>
          </cell>
        </row>
        <row r="23">
          <cell r="I23" t="str">
            <v>IRCP</v>
          </cell>
          <cell r="J23">
            <v>0.1</v>
          </cell>
        </row>
        <row r="24">
          <cell r="I24" t="str">
            <v>CTIO</v>
          </cell>
          <cell r="J24">
            <v>1</v>
          </cell>
        </row>
        <row r="25">
          <cell r="I25" t="str">
            <v>IRSA</v>
          </cell>
          <cell r="J25">
            <v>1</v>
          </cell>
        </row>
        <row r="26">
          <cell r="I26" t="str">
            <v>TGSU2</v>
          </cell>
          <cell r="J26">
            <v>1</v>
          </cell>
        </row>
        <row r="27">
          <cell r="I27" t="str">
            <v>CRES</v>
          </cell>
          <cell r="J27">
            <v>1</v>
          </cell>
        </row>
        <row r="28">
          <cell r="I28" t="str">
            <v>EDN</v>
          </cell>
          <cell r="J28">
            <v>1</v>
          </cell>
        </row>
        <row r="29">
          <cell r="I29" t="str">
            <v>BHIP</v>
          </cell>
          <cell r="J29">
            <v>1</v>
          </cell>
        </row>
        <row r="30">
          <cell r="I30" t="str">
            <v>JMIN</v>
          </cell>
          <cell r="J30">
            <v>1</v>
          </cell>
        </row>
        <row r="31">
          <cell r="I31" t="str">
            <v>PATA</v>
          </cell>
          <cell r="J31">
            <v>1</v>
          </cell>
        </row>
        <row r="32">
          <cell r="I32" t="str">
            <v>LEDE</v>
          </cell>
          <cell r="J32">
            <v>1</v>
          </cell>
        </row>
        <row r="33">
          <cell r="I33" t="str">
            <v>MIRG</v>
          </cell>
          <cell r="J33">
            <v>0.1</v>
          </cell>
        </row>
        <row r="34">
          <cell r="I34" t="str">
            <v>SAMI</v>
          </cell>
          <cell r="J34">
            <v>0.1</v>
          </cell>
        </row>
        <row r="35">
          <cell r="I35" t="str">
            <v>GBAN</v>
          </cell>
          <cell r="J35">
            <v>1</v>
          </cell>
        </row>
        <row r="36">
          <cell r="I36" t="str">
            <v>PETR</v>
          </cell>
          <cell r="J36">
            <v>1</v>
          </cell>
        </row>
        <row r="37">
          <cell r="I37" t="str">
            <v>CECO2</v>
          </cell>
          <cell r="J37">
            <v>1</v>
          </cell>
        </row>
        <row r="38">
          <cell r="I38" t="str">
            <v>ESME</v>
          </cell>
          <cell r="J38">
            <v>0.01</v>
          </cell>
        </row>
        <row r="39">
          <cell r="I39" t="str">
            <v>INVJ</v>
          </cell>
          <cell r="J39">
            <v>1</v>
          </cell>
        </row>
        <row r="40">
          <cell r="I40" t="str">
            <v>METR</v>
          </cell>
          <cell r="J40">
            <v>1</v>
          </cell>
        </row>
        <row r="41">
          <cell r="I41" t="str">
            <v>COME</v>
          </cell>
          <cell r="J41">
            <v>10</v>
          </cell>
        </row>
        <row r="42">
          <cell r="I42" t="str">
            <v>CAPX</v>
          </cell>
          <cell r="J42">
            <v>1</v>
          </cell>
        </row>
        <row r="43">
          <cell r="I43" t="str">
            <v>TGNO4</v>
          </cell>
          <cell r="J43">
            <v>1</v>
          </cell>
        </row>
        <row r="44">
          <cell r="I44" t="str">
            <v>AUSO</v>
          </cell>
          <cell r="J44">
            <v>1</v>
          </cell>
        </row>
        <row r="45">
          <cell r="I45" t="str">
            <v>TRAN</v>
          </cell>
          <cell r="J45">
            <v>1</v>
          </cell>
        </row>
        <row r="46">
          <cell r="I46" t="str">
            <v>FERR</v>
          </cell>
          <cell r="J46">
            <v>0.1</v>
          </cell>
        </row>
        <row r="47">
          <cell r="I47" t="str">
            <v>BOLT</v>
          </cell>
          <cell r="J47">
            <v>1</v>
          </cell>
        </row>
        <row r="48">
          <cell r="I48" t="str">
            <v>RIGO</v>
          </cell>
          <cell r="J48">
            <v>1</v>
          </cell>
        </row>
        <row r="49">
          <cell r="I49" t="str">
            <v>CGPA2</v>
          </cell>
          <cell r="J49">
            <v>1</v>
          </cell>
        </row>
        <row r="50">
          <cell r="I50" t="str">
            <v>GRIM</v>
          </cell>
          <cell r="J50">
            <v>1</v>
          </cell>
        </row>
        <row r="51">
          <cell r="I51" t="str">
            <v>OEST</v>
          </cell>
          <cell r="J51">
            <v>1</v>
          </cell>
        </row>
        <row r="52">
          <cell r="I52" t="str">
            <v>CELU</v>
          </cell>
          <cell r="J52">
            <v>0.01</v>
          </cell>
        </row>
        <row r="53">
          <cell r="I53" t="str">
            <v>DGCU2</v>
          </cell>
          <cell r="J53">
            <v>1</v>
          </cell>
        </row>
        <row r="54">
          <cell r="I54" t="str">
            <v>INDU</v>
          </cell>
          <cell r="J54">
            <v>1</v>
          </cell>
        </row>
        <row r="55">
          <cell r="I55" t="str">
            <v>CAPU</v>
          </cell>
          <cell r="J55">
            <v>1</v>
          </cell>
        </row>
        <row r="56">
          <cell r="I56" t="str">
            <v>TGLT</v>
          </cell>
          <cell r="J56">
            <v>1</v>
          </cell>
        </row>
        <row r="57">
          <cell r="I57" t="str">
            <v>CADO</v>
          </cell>
          <cell r="J57">
            <v>1</v>
          </cell>
        </row>
        <row r="58">
          <cell r="I58" t="str">
            <v>DYCA</v>
          </cell>
          <cell r="J58">
            <v>1</v>
          </cell>
        </row>
        <row r="59">
          <cell r="I59" t="str">
            <v>PATY</v>
          </cell>
          <cell r="J59">
            <v>1</v>
          </cell>
        </row>
        <row r="60">
          <cell r="I60" t="str">
            <v>LONG</v>
          </cell>
          <cell r="J60">
            <v>1</v>
          </cell>
        </row>
        <row r="61">
          <cell r="I61" t="str">
            <v>AGRO</v>
          </cell>
          <cell r="J61">
            <v>1</v>
          </cell>
        </row>
        <row r="62">
          <cell r="I62" t="str">
            <v>SEMI</v>
          </cell>
          <cell r="J62">
            <v>1</v>
          </cell>
        </row>
        <row r="63">
          <cell r="I63" t="str">
            <v>PSUR</v>
          </cell>
          <cell r="J63">
            <v>1</v>
          </cell>
        </row>
        <row r="64">
          <cell r="I64" t="str">
            <v>CARC</v>
          </cell>
          <cell r="J64">
            <v>1</v>
          </cell>
        </row>
        <row r="65">
          <cell r="I65" t="str">
            <v>INTR</v>
          </cell>
          <cell r="J65">
            <v>1</v>
          </cell>
        </row>
        <row r="66">
          <cell r="I66" t="str">
            <v>GARO</v>
          </cell>
          <cell r="J66">
            <v>1</v>
          </cell>
        </row>
        <row r="67">
          <cell r="I67" t="str">
            <v>FIPL</v>
          </cell>
          <cell r="J67">
            <v>1</v>
          </cell>
        </row>
        <row r="68">
          <cell r="I68" t="str">
            <v>ROSE</v>
          </cell>
          <cell r="J68">
            <v>1</v>
          </cell>
        </row>
        <row r="69">
          <cell r="I69" t="str">
            <v>MORI</v>
          </cell>
          <cell r="J69">
            <v>1</v>
          </cell>
        </row>
        <row r="70">
          <cell r="I70" t="str">
            <v>ESTR</v>
          </cell>
          <cell r="J70">
            <v>1</v>
          </cell>
        </row>
        <row r="71">
          <cell r="I71" t="str">
            <v>POLL</v>
          </cell>
          <cell r="J71">
            <v>1</v>
          </cell>
        </row>
        <row r="72">
          <cell r="I72" t="str">
            <v>OVOP</v>
          </cell>
          <cell r="J72">
            <v>1</v>
          </cell>
        </row>
        <row r="73">
          <cell r="I73" t="str">
            <v>MOLA</v>
          </cell>
          <cell r="J73">
            <v>1</v>
          </cell>
        </row>
        <row r="74">
          <cell r="I74" t="str">
            <v>DOM</v>
          </cell>
          <cell r="J74">
            <v>1</v>
          </cell>
        </row>
        <row r="75">
          <cell r="I75" t="str">
            <v>HAVA</v>
          </cell>
          <cell r="J75">
            <v>1</v>
          </cell>
        </row>
        <row r="76">
          <cell r="I76" t="str">
            <v>PGR</v>
          </cell>
          <cell r="J76">
            <v>0.1</v>
          </cell>
        </row>
        <row r="77">
          <cell r="I77" t="str">
            <v>BYMA</v>
          </cell>
          <cell r="J77">
            <v>1</v>
          </cell>
        </row>
        <row r="78">
          <cell r="I78" t="str">
            <v>SUPV</v>
          </cell>
          <cell r="J78">
            <v>1</v>
          </cell>
        </row>
        <row r="79">
          <cell r="I79" t="str">
            <v>INAG</v>
          </cell>
          <cell r="J79">
            <v>0.1</v>
          </cell>
        </row>
        <row r="80">
          <cell r="I80" t="str">
            <v>COLO</v>
          </cell>
          <cell r="J80">
            <v>0</v>
          </cell>
        </row>
      </sheetData>
      <sheetData sheetId="7"/>
      <sheetData sheetId="8">
        <row r="3">
          <cell r="A3" t="str">
            <v>Valores expresados en millones</v>
          </cell>
          <cell r="B3" t="str">
            <v>RICS</v>
          </cell>
          <cell r="C3" t="str">
            <v>Promedio ventas</v>
          </cell>
          <cell r="D3" t="str">
            <v>Desvío estándar</v>
          </cell>
        </row>
        <row r="4">
          <cell r="A4" t="str">
            <v>AEN (USD)</v>
          </cell>
          <cell r="B4" t="str">
            <v>AEN.BA</v>
          </cell>
          <cell r="C4">
            <v>21.009999999999998</v>
          </cell>
          <cell r="D4">
            <v>1.5359888145799658</v>
          </cell>
        </row>
        <row r="5">
          <cell r="A5" t="str">
            <v>AGRO</v>
          </cell>
          <cell r="B5" t="str">
            <v>AGR.BA</v>
          </cell>
          <cell r="C5">
            <v>3.2929689473684212</v>
          </cell>
          <cell r="D5">
            <v>4.6753448314036001</v>
          </cell>
        </row>
        <row r="6">
          <cell r="A6" t="str">
            <v>ALUA</v>
          </cell>
          <cell r="B6" t="str">
            <v>ALU.BA</v>
          </cell>
          <cell r="C6">
            <v>270.19333684210523</v>
          </cell>
          <cell r="D6">
            <v>2.2134169889252275</v>
          </cell>
        </row>
        <row r="7">
          <cell r="A7" t="str">
            <v>APBR (BRA)</v>
          </cell>
          <cell r="B7" t="str">
            <v>APBR.BA</v>
          </cell>
          <cell r="C7">
            <v>-1965.7888947368422</v>
          </cell>
          <cell r="D7">
            <v>10.435596413978413</v>
          </cell>
        </row>
        <row r="8">
          <cell r="A8" t="str">
            <v>AUSO</v>
          </cell>
          <cell r="B8" t="str">
            <v>AUS.BA</v>
          </cell>
          <cell r="C8">
            <v>22.769183684210525</v>
          </cell>
          <cell r="D8">
            <v>7.383827062312716</v>
          </cell>
        </row>
        <row r="9">
          <cell r="A9" t="str">
            <v>BHIP</v>
          </cell>
          <cell r="B9" t="str">
            <v>BHI.BA</v>
          </cell>
          <cell r="C9">
            <v>164.15563157894735</v>
          </cell>
          <cell r="D9">
            <v>1.7026209620221235</v>
          </cell>
        </row>
        <row r="10">
          <cell r="A10" t="str">
            <v>BMA</v>
          </cell>
          <cell r="B10" t="str">
            <v>BMA.BA</v>
          </cell>
          <cell r="C10">
            <v>1319.2117894736846</v>
          </cell>
          <cell r="D10">
            <v>1.4689329709518919</v>
          </cell>
        </row>
        <row r="11">
          <cell r="A11" t="str">
            <v>BOLT</v>
          </cell>
          <cell r="B11" t="str">
            <v>BOL.BA</v>
          </cell>
          <cell r="C11">
            <v>50.126128421052634</v>
          </cell>
          <cell r="D11">
            <v>5.1541336488460958</v>
          </cell>
        </row>
        <row r="12">
          <cell r="A12" t="str">
            <v>BPAT</v>
          </cell>
          <cell r="B12" t="str">
            <v>BPAT.BA</v>
          </cell>
          <cell r="C12">
            <v>545.78952631578943</v>
          </cell>
          <cell r="D12">
            <v>1.0820655981295801</v>
          </cell>
        </row>
        <row r="13">
          <cell r="A13" t="str">
            <v>BRIO</v>
          </cell>
          <cell r="B13" t="str">
            <v>RIO.BA</v>
          </cell>
          <cell r="C13">
            <v>923.15442105263162</v>
          </cell>
          <cell r="D13">
            <v>0.54683306175145985</v>
          </cell>
        </row>
        <row r="14">
          <cell r="A14" t="str">
            <v>BYMA</v>
          </cell>
          <cell r="B14" t="str">
            <v>BYMA.BA</v>
          </cell>
          <cell r="C14">
            <v>136.56607</v>
          </cell>
          <cell r="D14" t="str">
            <v>-</v>
          </cell>
        </row>
        <row r="15">
          <cell r="A15" t="str">
            <v>CADO</v>
          </cell>
          <cell r="B15" t="str">
            <v>CAO.BA</v>
          </cell>
          <cell r="C15">
            <v>18.86106736842105</v>
          </cell>
          <cell r="D15">
            <v>22.633358340438924</v>
          </cell>
        </row>
        <row r="16">
          <cell r="A16" t="str">
            <v>CAPU</v>
          </cell>
          <cell r="B16" t="str">
            <v>CAU.BA</v>
          </cell>
          <cell r="C16">
            <v>20.254080000000002</v>
          </cell>
          <cell r="D16">
            <v>2.3390464762466792</v>
          </cell>
        </row>
        <row r="17">
          <cell r="A17" t="str">
            <v>CAPX</v>
          </cell>
          <cell r="B17" t="str">
            <v>CPS.BA</v>
          </cell>
          <cell r="C17">
            <v>-10.623013500000001</v>
          </cell>
          <cell r="D17">
            <v>13.723583612948902</v>
          </cell>
        </row>
        <row r="18">
          <cell r="A18" t="str">
            <v>CARC</v>
          </cell>
          <cell r="B18" t="str">
            <v>CARC.BA</v>
          </cell>
          <cell r="C18">
            <v>-12.162279999999999</v>
          </cell>
          <cell r="D18">
            <v>10.47647576971546</v>
          </cell>
        </row>
        <row r="19">
          <cell r="A19" t="str">
            <v>CECO2</v>
          </cell>
          <cell r="B19" t="str">
            <v>CEC.BA</v>
          </cell>
          <cell r="C19">
            <v>4.2238042105263256</v>
          </cell>
          <cell r="D19">
            <v>7.3428981928396597</v>
          </cell>
        </row>
        <row r="20">
          <cell r="A20" t="str">
            <v>CELU</v>
          </cell>
          <cell r="B20" t="str">
            <v>CEL.BA</v>
          </cell>
          <cell r="C20">
            <v>-33.133052631578948</v>
          </cell>
          <cell r="D20">
            <v>64.868410967840347</v>
          </cell>
        </row>
        <row r="21">
          <cell r="A21" t="str">
            <v>CEPU</v>
          </cell>
          <cell r="B21" t="str">
            <v>CEPU.BA</v>
          </cell>
          <cell r="C21">
            <v>212.13794736842107</v>
          </cell>
          <cell r="D21">
            <v>9.9187180455369841</v>
          </cell>
        </row>
        <row r="22">
          <cell r="A22" t="str">
            <v>CGPA2</v>
          </cell>
          <cell r="B22" t="str">
            <v>CAMb.BA</v>
          </cell>
          <cell r="C22">
            <v>2.5482852631578958</v>
          </cell>
          <cell r="D22">
            <v>9.7268556130378308</v>
          </cell>
        </row>
        <row r="23">
          <cell r="A23" t="str">
            <v>COLO</v>
          </cell>
          <cell r="B23" t="str">
            <v>COL.BA</v>
          </cell>
          <cell r="C23">
            <v>-3.2512105263157891</v>
          </cell>
          <cell r="D23">
            <v>128.87140775821891</v>
          </cell>
        </row>
        <row r="24">
          <cell r="A24" t="str">
            <v>COME</v>
          </cell>
          <cell r="B24" t="str">
            <v>COM.BA</v>
          </cell>
          <cell r="C24">
            <v>92.513789473684184</v>
          </cell>
          <cell r="D24">
            <v>44.507165964752396</v>
          </cell>
        </row>
        <row r="25">
          <cell r="A25" t="str">
            <v>CRES</v>
          </cell>
          <cell r="B25" t="str">
            <v>CRE.BA</v>
          </cell>
          <cell r="C25">
            <v>459.83610526315789</v>
          </cell>
          <cell r="D25">
            <v>100.02612152244889</v>
          </cell>
        </row>
        <row r="26">
          <cell r="A26" t="str">
            <v>CTIO</v>
          </cell>
          <cell r="B26" t="str">
            <v>CON.BA</v>
          </cell>
          <cell r="C26">
            <v>503.94762263157901</v>
          </cell>
          <cell r="D26">
            <v>74.249418026238743</v>
          </cell>
        </row>
        <row r="27">
          <cell r="A27" t="str">
            <v>DGCU2</v>
          </cell>
          <cell r="B27" t="str">
            <v>ECO.BA</v>
          </cell>
          <cell r="C27">
            <v>10.649842105263156</v>
          </cell>
          <cell r="D27">
            <v>52.685277845072065</v>
          </cell>
        </row>
        <row r="28">
          <cell r="A28" t="str">
            <v>DOM</v>
          </cell>
          <cell r="B28" t="str">
            <v>DOM.BA</v>
          </cell>
          <cell r="C28">
            <v>2.1352057894736842</v>
          </cell>
          <cell r="D28">
            <v>4.5378698182963859</v>
          </cell>
        </row>
        <row r="29">
          <cell r="A29" t="str">
            <v>DYCA</v>
          </cell>
          <cell r="B29" t="str">
            <v>DYC.BA</v>
          </cell>
          <cell r="C29">
            <v>3.942854210526316</v>
          </cell>
          <cell r="D29">
            <v>39.877008588429838</v>
          </cell>
        </row>
        <row r="30">
          <cell r="A30" t="str">
            <v>EDN</v>
          </cell>
          <cell r="B30" t="str">
            <v>EDN.BA</v>
          </cell>
          <cell r="C30">
            <v>-8.5752631578947369</v>
          </cell>
          <cell r="D30">
            <v>29.339632836196952</v>
          </cell>
        </row>
        <row r="31">
          <cell r="A31" t="str">
            <v>ERAR</v>
          </cell>
          <cell r="B31" t="str">
            <v>SID.BA</v>
          </cell>
          <cell r="C31">
            <v>635.92910526315779</v>
          </cell>
          <cell r="D31">
            <v>27.289458997546461</v>
          </cell>
        </row>
        <row r="32">
          <cell r="A32" t="str">
            <v>ESME</v>
          </cell>
          <cell r="B32" t="str">
            <v>ESM.BA</v>
          </cell>
          <cell r="C32">
            <v>56.280278421052628</v>
          </cell>
          <cell r="D32">
            <v>2.6731771317937687</v>
          </cell>
        </row>
        <row r="33">
          <cell r="A33" t="str">
            <v>ESTR</v>
          </cell>
          <cell r="B33" t="str">
            <v>EST.BA</v>
          </cell>
          <cell r="C33">
            <v>8.3163611111111102</v>
          </cell>
          <cell r="D33">
            <v>17.657169143173888</v>
          </cell>
        </row>
        <row r="34">
          <cell r="A34" t="str">
            <v>FERR</v>
          </cell>
          <cell r="B34" t="str">
            <v>FER.BA</v>
          </cell>
          <cell r="C34">
            <v>34.496291499999998</v>
          </cell>
          <cell r="D34">
            <v>1.5390810945340569</v>
          </cell>
        </row>
        <row r="35">
          <cell r="A35" t="str">
            <v>FIPL</v>
          </cell>
          <cell r="B35" t="str">
            <v>FIP.BA</v>
          </cell>
          <cell r="C35">
            <v>2.3709910526315792</v>
          </cell>
          <cell r="D35">
            <v>4.9818819853548311</v>
          </cell>
        </row>
        <row r="36">
          <cell r="A36" t="str">
            <v>FRAN</v>
          </cell>
          <cell r="B36" t="str">
            <v>FRA.BA</v>
          </cell>
          <cell r="C36">
            <v>788.32184210526327</v>
          </cell>
          <cell r="D36">
            <v>1.1705070530121255</v>
          </cell>
        </row>
        <row r="37">
          <cell r="A37" t="str">
            <v>GARO</v>
          </cell>
          <cell r="B37" t="str">
            <v>GAR.BA</v>
          </cell>
          <cell r="C37">
            <v>10.349137894736845</v>
          </cell>
          <cell r="D37">
            <v>62.706916143918626</v>
          </cell>
        </row>
        <row r="38">
          <cell r="A38" t="str">
            <v>GBAN</v>
          </cell>
          <cell r="B38" t="str">
            <v>GBA.BA</v>
          </cell>
          <cell r="C38">
            <v>21.540165263157892</v>
          </cell>
          <cell r="D38">
            <v>7.48515603568638</v>
          </cell>
        </row>
        <row r="39">
          <cell r="A39" t="str">
            <v>GCLA</v>
          </cell>
          <cell r="B39" t="str">
            <v>CLA.BA</v>
          </cell>
          <cell r="C39">
            <v>234.2522268421053</v>
          </cell>
          <cell r="D39">
            <v>4.7401012745315398</v>
          </cell>
        </row>
        <row r="40">
          <cell r="A40" t="str">
            <v>GGAL</v>
          </cell>
          <cell r="B40" t="str">
            <v>GFG.BA</v>
          </cell>
          <cell r="C40">
            <v>1016.3634210526316</v>
          </cell>
          <cell r="D40">
            <v>0.33784347831485873</v>
          </cell>
        </row>
        <row r="41">
          <cell r="A41" t="str">
            <v>GRIM</v>
          </cell>
          <cell r="B41" t="str">
            <v>GRM.BA</v>
          </cell>
          <cell r="C41">
            <v>24.603043684210526</v>
          </cell>
          <cell r="D41">
            <v>2.790301795467832</v>
          </cell>
        </row>
        <row r="42">
          <cell r="A42" t="str">
            <v>HAVA</v>
          </cell>
          <cell r="B42" t="str">
            <v>HAVH.BA</v>
          </cell>
          <cell r="C42">
            <v>18.279998749999997</v>
          </cell>
          <cell r="D42">
            <v>430.20309778741671</v>
          </cell>
        </row>
        <row r="43">
          <cell r="A43" t="str">
            <v>INAG</v>
          </cell>
          <cell r="B43" t="str">
            <v>INA.BA</v>
          </cell>
          <cell r="C43">
            <v>1.3830550000000001</v>
          </cell>
          <cell r="D43">
            <v>6.114819140917664</v>
          </cell>
        </row>
        <row r="44">
          <cell r="A44" t="str">
            <v>INDU</v>
          </cell>
          <cell r="B44" t="str">
            <v>INU.BA</v>
          </cell>
          <cell r="C44">
            <v>-104.45605555555557</v>
          </cell>
          <cell r="D44">
            <v>91.86845803487887</v>
          </cell>
        </row>
        <row r="45">
          <cell r="A45" t="str">
            <v>INTR</v>
          </cell>
          <cell r="B45" t="str">
            <v>INR.BA</v>
          </cell>
          <cell r="C45">
            <v>9.5654289473684209</v>
          </cell>
          <cell r="D45">
            <v>1.5332526021114878</v>
          </cell>
        </row>
        <row r="46">
          <cell r="A46" t="str">
            <v>INVJ</v>
          </cell>
          <cell r="B46" t="str">
            <v>INVJ.BA</v>
          </cell>
          <cell r="C46">
            <v>7.4589473684209831E-2</v>
          </cell>
          <cell r="D46">
            <v>9.9544053243831545</v>
          </cell>
        </row>
        <row r="47">
          <cell r="A47" t="str">
            <v>IRCP</v>
          </cell>
          <cell r="B47" t="str">
            <v>IRCP.BA</v>
          </cell>
          <cell r="C47">
            <v>664.11336842105266</v>
          </cell>
          <cell r="D47">
            <v>12.058158562819161</v>
          </cell>
        </row>
        <row r="48">
          <cell r="A48" t="str">
            <v>IRSA</v>
          </cell>
          <cell r="B48" t="str">
            <v>IRS.BA</v>
          </cell>
          <cell r="C48">
            <v>664.59678947368423</v>
          </cell>
          <cell r="D48">
            <v>120.19282181741526</v>
          </cell>
        </row>
        <row r="49">
          <cell r="A49" t="str">
            <v>JMIN</v>
          </cell>
          <cell r="B49" t="str">
            <v>JMI.BA</v>
          </cell>
          <cell r="C49">
            <v>37.859548421052629</v>
          </cell>
          <cell r="D49">
            <v>7.1452393530924159</v>
          </cell>
        </row>
        <row r="50">
          <cell r="A50" t="str">
            <v>LEDE</v>
          </cell>
          <cell r="B50" t="str">
            <v>LED.BA</v>
          </cell>
          <cell r="C50">
            <v>19.317315789473682</v>
          </cell>
          <cell r="D50">
            <v>7.5565845243150651</v>
          </cell>
        </row>
        <row r="51">
          <cell r="A51" t="str">
            <v>LONG</v>
          </cell>
          <cell r="B51" t="str">
            <v>LON.BA</v>
          </cell>
          <cell r="C51">
            <v>10.537869473684211</v>
          </cell>
          <cell r="D51">
            <v>3.2814188838722997</v>
          </cell>
        </row>
        <row r="52">
          <cell r="A52" t="str">
            <v>METR</v>
          </cell>
          <cell r="B52" t="str">
            <v>MET.BA</v>
          </cell>
          <cell r="C52">
            <v>-58.355210526315801</v>
          </cell>
          <cell r="D52">
            <v>12.893589330158409</v>
          </cell>
        </row>
        <row r="53">
          <cell r="A53" t="str">
            <v>MIRG</v>
          </cell>
          <cell r="B53" t="str">
            <v>MIR.BA</v>
          </cell>
          <cell r="C53">
            <v>81.867526315789476</v>
          </cell>
          <cell r="D53">
            <v>12.127841938138198</v>
          </cell>
        </row>
        <row r="54">
          <cell r="A54" t="str">
            <v>MOLA</v>
          </cell>
          <cell r="B54" t="str">
            <v>MOLA.BA</v>
          </cell>
          <cell r="C54">
            <v>124.04833333333335</v>
          </cell>
          <cell r="D54">
            <v>1.858142660695854</v>
          </cell>
        </row>
        <row r="55">
          <cell r="A55" t="str">
            <v>MOLI</v>
          </cell>
          <cell r="B55" t="str">
            <v>MOL.BA</v>
          </cell>
          <cell r="C55">
            <v>92.485157894736858</v>
          </cell>
          <cell r="D55">
            <v>8.5517376535349872</v>
          </cell>
        </row>
        <row r="56">
          <cell r="A56" t="str">
            <v>MORI</v>
          </cell>
          <cell r="B56" t="str">
            <v>MOR.BA</v>
          </cell>
          <cell r="C56">
            <v>-8.8115836842105253</v>
          </cell>
          <cell r="D56">
            <v>2.2757606812576947</v>
          </cell>
        </row>
        <row r="57">
          <cell r="A57" t="str">
            <v>OEST</v>
          </cell>
          <cell r="B57" t="str">
            <v>OEST.BA</v>
          </cell>
          <cell r="C57">
            <v>22.334742631578944</v>
          </cell>
          <cell r="D57">
            <v>5.2073907952419276</v>
          </cell>
        </row>
        <row r="58">
          <cell r="A58" t="str">
            <v>OVOP</v>
          </cell>
          <cell r="B58" t="str">
            <v>OVOP.BA</v>
          </cell>
          <cell r="C58" t="str">
            <v>-</v>
          </cell>
          <cell r="D58" t="str">
            <v>-</v>
          </cell>
        </row>
        <row r="59">
          <cell r="A59" t="str">
            <v>PAMP</v>
          </cell>
          <cell r="B59" t="str">
            <v>PAM.BA</v>
          </cell>
          <cell r="C59">
            <v>337.24035578947365</v>
          </cell>
          <cell r="D59">
            <v>7.7980800922992808</v>
          </cell>
        </row>
        <row r="60">
          <cell r="A60" t="str">
            <v>PATA</v>
          </cell>
          <cell r="B60" t="str">
            <v>PAT.BA</v>
          </cell>
          <cell r="C60">
            <v>109.45659263157894</v>
          </cell>
          <cell r="D60">
            <v>1.9295144194874765</v>
          </cell>
        </row>
        <row r="61">
          <cell r="A61" t="str">
            <v>PATY</v>
          </cell>
          <cell r="B61" t="str">
            <v>QUI.BA</v>
          </cell>
          <cell r="C61">
            <v>-46.832411764705888</v>
          </cell>
          <cell r="D61">
            <v>19.875651381532268</v>
          </cell>
        </row>
        <row r="62">
          <cell r="A62" t="str">
            <v>PERK</v>
          </cell>
          <cell r="B62" t="str">
            <v>PEK.BA</v>
          </cell>
          <cell r="C62">
            <v>0.26250090909090906</v>
          </cell>
          <cell r="D62">
            <v>12.187743778136246</v>
          </cell>
        </row>
        <row r="63">
          <cell r="A63" t="str">
            <v>PESA</v>
          </cell>
          <cell r="B63" t="str">
            <v>PER.BA</v>
          </cell>
          <cell r="C63">
            <v>206.94117647058823</v>
          </cell>
          <cell r="D63">
            <v>6.3043428143724229</v>
          </cell>
        </row>
        <row r="64">
          <cell r="A64" t="str">
            <v>PETR</v>
          </cell>
          <cell r="B64" t="str">
            <v>PETR.BA</v>
          </cell>
          <cell r="C64">
            <v>64.296293684210525</v>
          </cell>
          <cell r="D64">
            <v>6.9514857139706514</v>
          </cell>
        </row>
        <row r="65">
          <cell r="A65" t="str">
            <v>POLL</v>
          </cell>
          <cell r="B65" t="str">
            <v>POL.BA</v>
          </cell>
          <cell r="C65">
            <v>-1.721624210526316</v>
          </cell>
          <cell r="D65">
            <v>19.2904053972985</v>
          </cell>
        </row>
        <row r="66">
          <cell r="A66" t="str">
            <v>PSUR</v>
          </cell>
          <cell r="B66" t="str">
            <v>PSU.BA</v>
          </cell>
          <cell r="C66">
            <v>-48.164514736842115</v>
          </cell>
          <cell r="D66">
            <v>1.9071224053192024</v>
          </cell>
        </row>
        <row r="67">
          <cell r="A67" t="str">
            <v>REP</v>
          </cell>
          <cell r="B67" t="str">
            <v>REP.BA</v>
          </cell>
          <cell r="C67">
            <v>420.66666666666669</v>
          </cell>
          <cell r="D67" t="str">
            <v>-</v>
          </cell>
        </row>
        <row r="68">
          <cell r="A68" t="str">
            <v>RIGO</v>
          </cell>
          <cell r="B68" t="str">
            <v>RIG.BA</v>
          </cell>
          <cell r="C68">
            <v>22.924651052631575</v>
          </cell>
          <cell r="D68">
            <v>0.96566287373705484</v>
          </cell>
        </row>
        <row r="69">
          <cell r="A69" t="str">
            <v>ROSE</v>
          </cell>
          <cell r="B69" t="str">
            <v>ROS.BA</v>
          </cell>
          <cell r="C69">
            <v>1.0781068421052631</v>
          </cell>
          <cell r="D69">
            <v>18.437855807984274</v>
          </cell>
        </row>
        <row r="70">
          <cell r="A70" t="str">
            <v>SAMI</v>
          </cell>
          <cell r="B70" t="str">
            <v>SMI.BA</v>
          </cell>
          <cell r="C70">
            <v>25.556921052631584</v>
          </cell>
          <cell r="D70">
            <v>9.0275016232984502</v>
          </cell>
        </row>
        <row r="71">
          <cell r="A71" t="str">
            <v>SEMI</v>
          </cell>
          <cell r="B71" t="str">
            <v>SEI.BA</v>
          </cell>
          <cell r="C71">
            <v>3.5035678947368414</v>
          </cell>
          <cell r="D71">
            <v>17.292354849122681</v>
          </cell>
        </row>
        <row r="72">
          <cell r="A72" t="str">
            <v>STD</v>
          </cell>
          <cell r="B72" t="str">
            <v>STD.BA</v>
          </cell>
          <cell r="C72">
            <v>3542.0588235294117</v>
          </cell>
          <cell r="D72">
            <v>11.717536717160607</v>
          </cell>
        </row>
        <row r="73">
          <cell r="A73" t="str">
            <v>SUPV</v>
          </cell>
          <cell r="B73" t="str">
            <v>SUPV.BA</v>
          </cell>
          <cell r="C73">
            <v>220.36841666666666</v>
          </cell>
          <cell r="D73">
            <v>2.824410922647858</v>
          </cell>
        </row>
        <row r="74">
          <cell r="A74" t="str">
            <v>TECO2</v>
          </cell>
          <cell r="B74" t="str">
            <v>TEC2.BA</v>
          </cell>
          <cell r="C74">
            <v>938.26315789473688</v>
          </cell>
          <cell r="D74">
            <v>0.58786366571628024</v>
          </cell>
        </row>
        <row r="75">
          <cell r="A75" t="str">
            <v>TEF</v>
          </cell>
          <cell r="B75" t="str">
            <v>TEF.BA</v>
          </cell>
          <cell r="C75">
            <v>744.15789473684208</v>
          </cell>
          <cell r="D75">
            <v>3.0919864222915203</v>
          </cell>
        </row>
        <row r="76">
          <cell r="A76" t="str">
            <v>TGLT</v>
          </cell>
          <cell r="B76" t="str">
            <v>TGLT.BA</v>
          </cell>
          <cell r="C76">
            <v>-4.1337468421052614</v>
          </cell>
          <cell r="D76">
            <v>9.1367501927882273</v>
          </cell>
        </row>
        <row r="77">
          <cell r="A77" t="str">
            <v>TGNO4</v>
          </cell>
          <cell r="B77" t="str">
            <v>TGNC.BA</v>
          </cell>
          <cell r="C77">
            <v>-23.968263157894732</v>
          </cell>
          <cell r="D77">
            <v>43.531509990178833</v>
          </cell>
        </row>
        <row r="78">
          <cell r="A78" t="str">
            <v>TGSU2</v>
          </cell>
          <cell r="B78" t="str">
            <v>TGS2.BA</v>
          </cell>
          <cell r="C78">
            <v>93.159578947368416</v>
          </cell>
          <cell r="D78">
            <v>4.7198580643084638</v>
          </cell>
        </row>
        <row r="79">
          <cell r="A79" t="str">
            <v>TRAN</v>
          </cell>
          <cell r="B79" t="str">
            <v>TRA.BA</v>
          </cell>
          <cell r="C79">
            <v>28.851963684210528</v>
          </cell>
          <cell r="D79">
            <v>4.4552269851325264</v>
          </cell>
        </row>
        <row r="80">
          <cell r="A80" t="str">
            <v>TS</v>
          </cell>
          <cell r="B80" t="str">
            <v>TENA.BA</v>
          </cell>
          <cell r="C80">
            <v>186.61794736842106</v>
          </cell>
          <cell r="D80">
            <v>5.0308026677807423</v>
          </cell>
        </row>
        <row r="81">
          <cell r="A81" t="str">
            <v>YPFD</v>
          </cell>
          <cell r="B81" t="str">
            <v>YPFD.BA</v>
          </cell>
          <cell r="C81">
            <v>-361.25</v>
          </cell>
          <cell r="D81">
            <v>18.665086150040683</v>
          </cell>
        </row>
      </sheetData>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s>
    <sheetDataSet>
      <sheetData sheetId="0">
        <row r="1">
          <cell r="E1" t="str">
            <v>LIQUIDEZ</v>
          </cell>
          <cell r="F1">
            <v>0</v>
          </cell>
          <cell r="G1">
            <v>0</v>
          </cell>
          <cell r="H1">
            <v>0</v>
          </cell>
          <cell r="I1">
            <v>0</v>
          </cell>
          <cell r="J1">
            <v>0</v>
          </cell>
          <cell r="K1">
            <v>0</v>
          </cell>
          <cell r="L1">
            <v>0</v>
          </cell>
          <cell r="M1">
            <v>0</v>
          </cell>
          <cell r="N1">
            <v>0</v>
          </cell>
          <cell r="O1">
            <v>0</v>
          </cell>
          <cell r="P1">
            <v>0</v>
          </cell>
          <cell r="Q1">
            <v>0</v>
          </cell>
          <cell r="S1" t="str">
            <v>SOLVENCIA/RIESGO</v>
          </cell>
          <cell r="T1">
            <v>0</v>
          </cell>
          <cell r="U1">
            <v>0</v>
          </cell>
          <cell r="V1">
            <v>0</v>
          </cell>
          <cell r="W1">
            <v>0</v>
          </cell>
          <cell r="X1">
            <v>0</v>
          </cell>
          <cell r="Y1">
            <v>0</v>
          </cell>
          <cell r="Z1">
            <v>0</v>
          </cell>
          <cell r="AA1">
            <v>0</v>
          </cell>
          <cell r="AC1" t="str">
            <v>OPERATIVOS</v>
          </cell>
          <cell r="AD1">
            <v>0</v>
          </cell>
          <cell r="AE1">
            <v>0</v>
          </cell>
          <cell r="AF1">
            <v>0</v>
          </cell>
          <cell r="AG1">
            <v>0</v>
          </cell>
          <cell r="AH1">
            <v>0</v>
          </cell>
          <cell r="AI1">
            <v>0</v>
          </cell>
          <cell r="AJ1">
            <v>0</v>
          </cell>
          <cell r="AK1">
            <v>0</v>
          </cell>
          <cell r="AL1">
            <v>0</v>
          </cell>
          <cell r="AM1">
            <v>0</v>
          </cell>
          <cell r="AN1">
            <v>0</v>
          </cell>
          <cell r="AO1">
            <v>0</v>
          </cell>
          <cell r="AP1">
            <v>0</v>
          </cell>
          <cell r="AQ1">
            <v>0</v>
          </cell>
          <cell r="AR1">
            <v>0</v>
          </cell>
          <cell r="AS1">
            <v>0</v>
          </cell>
          <cell r="AT1">
            <v>0</v>
          </cell>
          <cell r="AU1">
            <v>0</v>
          </cell>
          <cell r="AV1">
            <v>0</v>
          </cell>
          <cell r="AW1">
            <v>0</v>
          </cell>
          <cell r="AX1">
            <v>0</v>
          </cell>
          <cell r="AY1">
            <v>0</v>
          </cell>
          <cell r="AZ1">
            <v>0</v>
          </cell>
          <cell r="BA1">
            <v>0</v>
          </cell>
          <cell r="BC1" t="str">
            <v>RENDIMIENTO</v>
          </cell>
          <cell r="BD1">
            <v>0</v>
          </cell>
          <cell r="BE1">
            <v>0</v>
          </cell>
          <cell r="BF1">
            <v>0</v>
          </cell>
          <cell r="BG1">
            <v>0</v>
          </cell>
          <cell r="BH1">
            <v>0</v>
          </cell>
          <cell r="BI1">
            <v>0</v>
          </cell>
          <cell r="BJ1">
            <v>0</v>
          </cell>
          <cell r="BK1">
            <v>0</v>
          </cell>
          <cell r="BL1">
            <v>0</v>
          </cell>
          <cell r="BM1">
            <v>0</v>
          </cell>
          <cell r="BN1">
            <v>0</v>
          </cell>
          <cell r="BO1">
            <v>0</v>
          </cell>
          <cell r="BP1">
            <v>0</v>
          </cell>
          <cell r="BQ1">
            <v>0</v>
          </cell>
          <cell r="BR1">
            <v>0</v>
          </cell>
          <cell r="BS1">
            <v>0</v>
          </cell>
          <cell r="BT1">
            <v>0</v>
          </cell>
          <cell r="BU1">
            <v>0</v>
          </cell>
          <cell r="BV1">
            <v>0</v>
          </cell>
          <cell r="BW1">
            <v>0</v>
          </cell>
          <cell r="BX1">
            <v>0</v>
          </cell>
          <cell r="BY1">
            <v>0</v>
          </cell>
          <cell r="BZ1">
            <v>0</v>
          </cell>
          <cell r="CA1">
            <v>0</v>
          </cell>
          <cell r="CB1">
            <v>0</v>
          </cell>
          <cell r="CC1">
            <v>0</v>
          </cell>
          <cell r="CD1">
            <v>0</v>
          </cell>
          <cell r="CE1">
            <v>0</v>
          </cell>
          <cell r="CF1">
            <v>0</v>
          </cell>
          <cell r="CG1">
            <v>0</v>
          </cell>
          <cell r="CH1">
            <v>0</v>
          </cell>
          <cell r="CI1">
            <v>0</v>
          </cell>
          <cell r="CJ1">
            <v>0</v>
          </cell>
          <cell r="CK1">
            <v>0</v>
          </cell>
          <cell r="CL1">
            <v>0</v>
          </cell>
          <cell r="CM1">
            <v>0</v>
          </cell>
          <cell r="CN1">
            <v>0</v>
          </cell>
          <cell r="CO1">
            <v>0</v>
          </cell>
          <cell r="CP1">
            <v>0</v>
          </cell>
          <cell r="CQ1">
            <v>0</v>
          </cell>
          <cell r="CR1">
            <v>2014</v>
          </cell>
          <cell r="CS1">
            <v>2013</v>
          </cell>
          <cell r="CT1">
            <v>2012</v>
          </cell>
          <cell r="CU1">
            <v>2011</v>
          </cell>
          <cell r="CV1">
            <v>2010</v>
          </cell>
          <cell r="CW1">
            <v>2009</v>
          </cell>
          <cell r="CX1">
            <v>0</v>
          </cell>
          <cell r="CY1">
            <v>0</v>
          </cell>
          <cell r="CZ1">
            <v>0</v>
          </cell>
          <cell r="DA1">
            <v>0</v>
          </cell>
          <cell r="DB1">
            <v>0</v>
          </cell>
          <cell r="DC1">
            <v>0</v>
          </cell>
          <cell r="DD1">
            <v>0</v>
          </cell>
          <cell r="DE1">
            <v>0</v>
          </cell>
          <cell r="DG1" t="str">
            <v>VALOR EMPRESA</v>
          </cell>
          <cell r="DH1">
            <v>0</v>
          </cell>
          <cell r="DI1">
            <v>0</v>
          </cell>
          <cell r="DJ1">
            <v>0</v>
          </cell>
          <cell r="DK1">
            <v>0</v>
          </cell>
          <cell r="DM1" t="str">
            <v>RATIOS DE MERCADO</v>
          </cell>
          <cell r="DN1">
            <v>0</v>
          </cell>
          <cell r="DO1">
            <v>0</v>
          </cell>
          <cell r="DP1">
            <v>0</v>
          </cell>
          <cell r="DQ1">
            <v>0</v>
          </cell>
          <cell r="DR1">
            <v>0</v>
          </cell>
          <cell r="DS1">
            <v>0</v>
          </cell>
          <cell r="DT1">
            <v>0</v>
          </cell>
          <cell r="DU1">
            <v>0</v>
          </cell>
          <cell r="DV1">
            <v>0</v>
          </cell>
          <cell r="DW1">
            <v>0</v>
          </cell>
          <cell r="DX1">
            <v>0</v>
          </cell>
          <cell r="DY1">
            <v>0</v>
          </cell>
          <cell r="DZ1">
            <v>0</v>
          </cell>
          <cell r="EA1">
            <v>0</v>
          </cell>
          <cell r="EB1">
            <v>0</v>
          </cell>
          <cell r="EC1">
            <v>0</v>
          </cell>
          <cell r="ED1">
            <v>0</v>
          </cell>
          <cell r="EE1">
            <v>0</v>
          </cell>
          <cell r="EG1" t="str">
            <v>USD 10 yr</v>
          </cell>
          <cell r="EH1" t="str">
            <v>USD 10 yr</v>
          </cell>
          <cell r="EK1" t="str">
            <v>Updated at 17:19:09</v>
          </cell>
        </row>
        <row r="2">
          <cell r="E2" t="str">
            <v>Updated at 17:19:09</v>
          </cell>
          <cell r="F2">
            <v>0</v>
          </cell>
          <cell r="G2" t="str">
            <v>Updated at 17:19:09</v>
          </cell>
          <cell r="H2">
            <v>0</v>
          </cell>
          <cell r="I2" t="str">
            <v>Updated at 17:19:09</v>
          </cell>
          <cell r="J2">
            <v>0</v>
          </cell>
          <cell r="K2" t="str">
            <v>Updated at 17:22:10</v>
          </cell>
          <cell r="L2" t="str">
            <v>Updated at 17:19:09</v>
          </cell>
          <cell r="M2" t="str">
            <v>Updated at 17:19:09</v>
          </cell>
          <cell r="N2" t="str">
            <v>Updated at 17:19:09</v>
          </cell>
          <cell r="O2" t="str">
            <v>Updated at 17:19:09</v>
          </cell>
          <cell r="P2">
            <v>0</v>
          </cell>
          <cell r="Q2" t="str">
            <v>Dividend Yield</v>
          </cell>
          <cell r="R2">
            <v>0</v>
          </cell>
          <cell r="S2" t="str">
            <v>Updated at 17:19:09</v>
          </cell>
          <cell r="T2" t="str">
            <v>Updated at 17:19:09</v>
          </cell>
          <cell r="U2" t="str">
            <v>Updated at 17:19:09</v>
          </cell>
          <cell r="V2">
            <v>0</v>
          </cell>
          <cell r="W2" t="str">
            <v>Updated at 17:19:09</v>
          </cell>
          <cell r="X2" t="str">
            <v>Updated at 17:19:09</v>
          </cell>
          <cell r="Y2" t="str">
            <v>Updated at 17:19:09</v>
          </cell>
          <cell r="Z2" t="str">
            <v>Updated at 17:19:09</v>
          </cell>
          <cell r="AA2">
            <v>0</v>
          </cell>
          <cell r="AB2">
            <v>0</v>
          </cell>
          <cell r="AC2" t="str">
            <v>Updated at 17:19:09</v>
          </cell>
          <cell r="AD2" t="str">
            <v>Updated at 17:19:09</v>
          </cell>
          <cell r="AE2" t="str">
            <v>Updated at 17:19:09</v>
          </cell>
          <cell r="AF2" t="str">
            <v>Updated at 17:19:09</v>
          </cell>
          <cell r="AG2">
            <v>0</v>
          </cell>
          <cell r="AH2" t="str">
            <v>Updated at 17:19:09</v>
          </cell>
          <cell r="AI2" t="str">
            <v>Updated at 17:19:09</v>
          </cell>
          <cell r="AJ2" t="str">
            <v>Updated at 17:19:09</v>
          </cell>
          <cell r="AK2" t="str">
            <v>Updated at 17:19:09</v>
          </cell>
          <cell r="AL2" t="str">
            <v>Updated at 17:19:09</v>
          </cell>
          <cell r="AM2" t="str">
            <v>Updated at 17:19:09</v>
          </cell>
          <cell r="AN2" t="str">
            <v>Updated at 17:19:09</v>
          </cell>
          <cell r="AO2" t="str">
            <v>Updated at 17:19:09</v>
          </cell>
          <cell r="AP2">
            <v>0</v>
          </cell>
          <cell r="AQ2" t="str">
            <v>Updated at 17:19:09</v>
          </cell>
          <cell r="AR2" t="str">
            <v>Updated at 17:19:09</v>
          </cell>
          <cell r="AS2" t="str">
            <v>Updated at 17:19:09</v>
          </cell>
          <cell r="AT2" t="str">
            <v>Updated at 17:19:09</v>
          </cell>
          <cell r="AU2">
            <v>0</v>
          </cell>
          <cell r="AV2" t="str">
            <v>Updated at 17:19:09</v>
          </cell>
          <cell r="AW2" t="str">
            <v>Updated at 17:19:09</v>
          </cell>
          <cell r="AX2" t="str">
            <v>Updated at 17:19:09</v>
          </cell>
          <cell r="AY2" t="str">
            <v>Updated at 17:19:09</v>
          </cell>
          <cell r="AZ2">
            <v>0</v>
          </cell>
          <cell r="BA2">
            <v>0</v>
          </cell>
          <cell r="BB2">
            <v>0</v>
          </cell>
          <cell r="BC2" t="str">
            <v>Updated at 17:19:09</v>
          </cell>
          <cell r="BD2">
            <v>0</v>
          </cell>
          <cell r="BE2">
            <v>0</v>
          </cell>
          <cell r="BF2" t="str">
            <v>Updated at 17:19:09</v>
          </cell>
          <cell r="BG2" t="str">
            <v>Updated at 17:19:09</v>
          </cell>
          <cell r="BH2" t="str">
            <v>Updated at 17:19:09</v>
          </cell>
          <cell r="BI2" t="str">
            <v>Updated at 17:19:09</v>
          </cell>
          <cell r="BJ2">
            <v>0</v>
          </cell>
          <cell r="BK2" t="str">
            <v>Updated at 17:19:09</v>
          </cell>
          <cell r="BL2" t="str">
            <v>Updated at 17:19:09</v>
          </cell>
          <cell r="BM2" t="str">
            <v>Updated at 17:19:09</v>
          </cell>
          <cell r="BN2" t="str">
            <v>Updated at 17:19:09</v>
          </cell>
          <cell r="BO2" t="str">
            <v>Updated at 17:19:09</v>
          </cell>
          <cell r="BP2">
            <v>0</v>
          </cell>
          <cell r="BQ2" t="str">
            <v>Updated at 17:19:09</v>
          </cell>
          <cell r="BR2" t="str">
            <v>Updated at 17:19:09</v>
          </cell>
          <cell r="BS2" t="str">
            <v>Updated at 17:19:09</v>
          </cell>
          <cell r="BT2" t="str">
            <v>Updated at 17:19:09</v>
          </cell>
          <cell r="BU2" t="str">
            <v>Updated at 17:19:09</v>
          </cell>
          <cell r="BV2">
            <v>0</v>
          </cell>
          <cell r="BW2">
            <v>0</v>
          </cell>
          <cell r="BX2">
            <v>0</v>
          </cell>
          <cell r="BY2" t="str">
            <v>Updated at 17:19:09</v>
          </cell>
          <cell r="BZ2" t="str">
            <v>Updated at 17:19:09</v>
          </cell>
          <cell r="CA2" t="str">
            <v>Updated at 17:19:09</v>
          </cell>
          <cell r="CB2" t="str">
            <v>Updated at 17:19:09</v>
          </cell>
          <cell r="CC2" t="str">
            <v>Updated at 17:19:09</v>
          </cell>
          <cell r="CD2" t="str">
            <v>Updated at 17:19:09</v>
          </cell>
          <cell r="CE2" t="str">
            <v>Updated at 17:19:09</v>
          </cell>
          <cell r="CF2" t="str">
            <v>Updated at 17:19:09</v>
          </cell>
          <cell r="CG2" t="str">
            <v>Updated at 17:19:09</v>
          </cell>
          <cell r="CH2" t="str">
            <v>Updated at 17:19:09</v>
          </cell>
          <cell r="CI2" t="str">
            <v>Updated at 17:19:09</v>
          </cell>
          <cell r="CJ2" t="str">
            <v>Updated at 17:19:09</v>
          </cell>
          <cell r="CK2">
            <v>0</v>
          </cell>
          <cell r="CL2">
            <v>0</v>
          </cell>
          <cell r="CM2">
            <v>0</v>
          </cell>
          <cell r="CN2">
            <v>0</v>
          </cell>
          <cell r="CO2">
            <v>0</v>
          </cell>
          <cell r="CP2" t="str">
            <v>Updated at 17:19:09</v>
          </cell>
          <cell r="CQ2" t="str">
            <v>Updated at 17:19:09</v>
          </cell>
          <cell r="CR2" t="str">
            <v>Updated at 17:19:09</v>
          </cell>
          <cell r="CS2" t="str">
            <v>Updated at 17:19:09</v>
          </cell>
          <cell r="CT2" t="str">
            <v>Updated at 17:19:09</v>
          </cell>
          <cell r="CU2" t="str">
            <v>Updated at 17:19:09</v>
          </cell>
          <cell r="CV2" t="str">
            <v>Updated at 17:19:09</v>
          </cell>
          <cell r="CW2" t="str">
            <v>Updated at 17:19:09</v>
          </cell>
          <cell r="CX2">
            <v>0</v>
          </cell>
          <cell r="CY2">
            <v>0</v>
          </cell>
          <cell r="CZ2">
            <v>0</v>
          </cell>
          <cell r="DA2">
            <v>0</v>
          </cell>
          <cell r="DB2">
            <v>0</v>
          </cell>
          <cell r="DC2">
            <v>0</v>
          </cell>
          <cell r="DD2">
            <v>0</v>
          </cell>
          <cell r="DE2">
            <v>0</v>
          </cell>
          <cell r="DF2">
            <v>0</v>
          </cell>
          <cell r="DG2" t="str">
            <v>Updated at 17:19:09</v>
          </cell>
          <cell r="DH2" t="str">
            <v>Updated at 17:19:09</v>
          </cell>
          <cell r="DI2" t="str">
            <v>Updated at 17:18:59</v>
          </cell>
          <cell r="DJ2">
            <v>0</v>
          </cell>
          <cell r="DK2" t="str">
            <v>Updated at 17:19:09</v>
          </cell>
          <cell r="DL2">
            <v>0</v>
          </cell>
          <cell r="DM2" t="str">
            <v>Updated at 17:19:09</v>
          </cell>
          <cell r="DN2" t="str">
            <v>Updated at 17:19:09</v>
          </cell>
          <cell r="DO2" t="str">
            <v>Updated at 17:19:09</v>
          </cell>
          <cell r="DP2" t="str">
            <v>Updated at 17:19:09</v>
          </cell>
          <cell r="DQ2" t="str">
            <v>Updated at 17:19:09</v>
          </cell>
          <cell r="DR2">
            <v>0</v>
          </cell>
          <cell r="DS2">
            <v>0</v>
          </cell>
          <cell r="DT2" t="str">
            <v>Updated at 17:19:09</v>
          </cell>
          <cell r="DU2" t="str">
            <v>Updated at 17:19:09</v>
          </cell>
          <cell r="DV2" t="str">
            <v>Updated at 17:19:09</v>
          </cell>
          <cell r="DW2" t="str">
            <v>Updated at 17:19:09</v>
          </cell>
          <cell r="DX2">
            <v>0</v>
          </cell>
          <cell r="DY2">
            <v>0</v>
          </cell>
          <cell r="DZ2">
            <v>0</v>
          </cell>
          <cell r="EA2">
            <v>0</v>
          </cell>
          <cell r="EB2">
            <v>0</v>
          </cell>
          <cell r="EC2">
            <v>0</v>
          </cell>
          <cell r="ED2" t="str">
            <v>Updated at 17:19:09</v>
          </cell>
          <cell r="EE2">
            <v>0</v>
          </cell>
          <cell r="EF2">
            <v>0</v>
          </cell>
          <cell r="EG2">
            <v>0</v>
          </cell>
          <cell r="EH2">
            <v>0</v>
          </cell>
        </row>
        <row r="3">
          <cell r="E3">
            <v>0</v>
          </cell>
          <cell r="F3">
            <v>0</v>
          </cell>
          <cell r="G3">
            <v>0</v>
          </cell>
          <cell r="H3">
            <v>0</v>
          </cell>
          <cell r="I3">
            <v>0</v>
          </cell>
          <cell r="J3">
            <v>0</v>
          </cell>
          <cell r="K3">
            <v>0</v>
          </cell>
          <cell r="L3" t="str">
            <v>FQ0</v>
          </cell>
          <cell r="M3" t="str">
            <v>FQ-1</v>
          </cell>
          <cell r="N3" t="str">
            <v>FQ-2</v>
          </cell>
          <cell r="O3" t="str">
            <v>FQ-3</v>
          </cell>
          <cell r="P3">
            <v>0</v>
          </cell>
          <cell r="Q3">
            <v>0</v>
          </cell>
          <cell r="R3">
            <v>0</v>
          </cell>
          <cell r="S3">
            <v>0</v>
          </cell>
          <cell r="T3">
            <v>0</v>
          </cell>
          <cell r="U3" t="str">
            <v>Period End Date</v>
          </cell>
          <cell r="V3" t="str">
            <v>FQ0</v>
          </cell>
          <cell r="W3" t="str">
            <v>FQ-1</v>
          </cell>
          <cell r="X3" t="str">
            <v>FQ-2</v>
          </cell>
          <cell r="Y3" t="str">
            <v>FQ-3</v>
          </cell>
          <cell r="Z3" t="str">
            <v>FQ0</v>
          </cell>
          <cell r="AA3">
            <v>0</v>
          </cell>
          <cell r="AB3">
            <v>0</v>
          </cell>
          <cell r="AC3" t="str">
            <v>FQ0</v>
          </cell>
          <cell r="AD3" t="str">
            <v>FQ-1</v>
          </cell>
          <cell r="AE3" t="str">
            <v>FQ-2</v>
          </cell>
          <cell r="AF3" t="str">
            <v>FQ-3</v>
          </cell>
          <cell r="AG3">
            <v>0</v>
          </cell>
          <cell r="AH3" t="str">
            <v>FQ0</v>
          </cell>
          <cell r="AI3" t="str">
            <v>FQ-1</v>
          </cell>
          <cell r="AJ3" t="str">
            <v>FQ-2</v>
          </cell>
          <cell r="AK3" t="str">
            <v>FQ-3</v>
          </cell>
          <cell r="AL3" t="str">
            <v>FQ0</v>
          </cell>
          <cell r="AM3" t="str">
            <v>FQ-1</v>
          </cell>
          <cell r="AN3" t="str">
            <v>FQ-2</v>
          </cell>
          <cell r="AO3" t="str">
            <v>FQ-3</v>
          </cell>
          <cell r="AP3">
            <v>0</v>
          </cell>
          <cell r="AQ3" t="str">
            <v>FQ0</v>
          </cell>
          <cell r="AR3" t="str">
            <v>FQ-1</v>
          </cell>
          <cell r="AS3" t="str">
            <v>FQ-2</v>
          </cell>
          <cell r="AT3" t="str">
            <v>FQ-3</v>
          </cell>
          <cell r="AU3">
            <v>0</v>
          </cell>
          <cell r="AV3" t="str">
            <v>FQ0</v>
          </cell>
          <cell r="AW3" t="str">
            <v>FQ-1</v>
          </cell>
          <cell r="AX3" t="str">
            <v>FQ-2</v>
          </cell>
          <cell r="AY3" t="str">
            <v>FQ-3</v>
          </cell>
          <cell r="AZ3">
            <v>0</v>
          </cell>
          <cell r="BA3">
            <v>0</v>
          </cell>
          <cell r="BB3">
            <v>0</v>
          </cell>
          <cell r="BC3" t="str">
            <v>FY0</v>
          </cell>
          <cell r="BD3" t="str">
            <v>FY0</v>
          </cell>
          <cell r="BE3" t="str">
            <v>FY0</v>
          </cell>
          <cell r="BF3" t="str">
            <v>FQ0</v>
          </cell>
          <cell r="BG3" t="str">
            <v>FQ-1</v>
          </cell>
          <cell r="BH3" t="str">
            <v>FQ-2</v>
          </cell>
          <cell r="BI3" t="str">
            <v>FQ-3</v>
          </cell>
          <cell r="BJ3">
            <v>0</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W3">
            <v>0</v>
          </cell>
          <cell r="BX3">
            <v>0</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O3">
            <v>0</v>
          </cell>
          <cell r="CP3" t="str">
            <v>FQ0</v>
          </cell>
          <cell r="CQ3" t="str">
            <v>FQ-4</v>
          </cell>
          <cell r="CR3" t="str">
            <v>FY0</v>
          </cell>
          <cell r="CS3" t="str">
            <v>FY-1</v>
          </cell>
          <cell r="CT3" t="str">
            <v>FY-2</v>
          </cell>
          <cell r="CU3" t="str">
            <v>FY-3</v>
          </cell>
          <cell r="CV3" t="str">
            <v>FY-4</v>
          </cell>
          <cell r="CW3" t="str">
            <v>FY-5</v>
          </cell>
          <cell r="CX3" t="str">
            <v>Growth Rate</v>
          </cell>
          <cell r="CY3">
            <v>0</v>
          </cell>
          <cell r="CZ3">
            <v>0</v>
          </cell>
          <cell r="DA3">
            <v>0</v>
          </cell>
          <cell r="DB3">
            <v>0</v>
          </cell>
          <cell r="DC3">
            <v>0</v>
          </cell>
          <cell r="DD3">
            <v>0</v>
          </cell>
          <cell r="DE3">
            <v>0</v>
          </cell>
          <cell r="DF3">
            <v>0</v>
          </cell>
          <cell r="DG3">
            <v>0</v>
          </cell>
          <cell r="DH3">
            <v>0</v>
          </cell>
          <cell r="DI3">
            <v>0</v>
          </cell>
          <cell r="DJ3">
            <v>0</v>
          </cell>
          <cell r="DK3">
            <v>0</v>
          </cell>
          <cell r="DL3">
            <v>0</v>
          </cell>
          <cell r="DM3">
            <v>0</v>
          </cell>
          <cell r="DN3">
            <v>0</v>
          </cell>
          <cell r="DO3">
            <v>0</v>
          </cell>
          <cell r="DP3">
            <v>0</v>
          </cell>
          <cell r="DQ3">
            <v>0</v>
          </cell>
          <cell r="DR3">
            <v>0</v>
          </cell>
          <cell r="DS3">
            <v>0</v>
          </cell>
          <cell r="DT3" t="str">
            <v>FQ0</v>
          </cell>
          <cell r="DU3" t="str">
            <v>FQ-1</v>
          </cell>
          <cell r="DV3" t="str">
            <v>FQ-2</v>
          </cell>
          <cell r="DW3" t="str">
            <v>FQ-3</v>
          </cell>
          <cell r="DX3">
            <v>0</v>
          </cell>
          <cell r="DY3">
            <v>0</v>
          </cell>
          <cell r="DZ3">
            <v>0</v>
          </cell>
          <cell r="EA3">
            <v>0</v>
          </cell>
          <cell r="EB3">
            <v>0</v>
          </cell>
          <cell r="EC3">
            <v>0</v>
          </cell>
          <cell r="ED3">
            <v>0</v>
          </cell>
          <cell r="EE3">
            <v>0</v>
          </cell>
          <cell r="EF3">
            <v>0</v>
          </cell>
          <cell r="EG3">
            <v>0</v>
          </cell>
          <cell r="EH3">
            <v>0</v>
          </cell>
        </row>
        <row r="4">
          <cell r="A4" t="str">
            <v>Ticker</v>
          </cell>
          <cell r="B4">
            <v>0</v>
          </cell>
          <cell r="C4" t="str">
            <v>Nombre</v>
          </cell>
          <cell r="D4">
            <v>0</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Q4">
            <v>0</v>
          </cell>
          <cell r="S4" t="str">
            <v>Total Debt to Total Equity, Percent FQ0</v>
          </cell>
          <cell r="T4">
            <v>0</v>
          </cell>
          <cell r="U4">
            <v>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AGRO</v>
          </cell>
          <cell r="B5" t="str">
            <v>AGR.BA</v>
          </cell>
          <cell r="C5" t="str">
            <v>AGROMETAL SAI</v>
          </cell>
          <cell r="D5">
            <v>42825</v>
          </cell>
          <cell r="E5">
            <v>355256960</v>
          </cell>
          <cell r="F5">
            <v>249998720</v>
          </cell>
          <cell r="G5">
            <v>1.4210400000000001</v>
          </cell>
          <cell r="H5">
            <v>0.88754999999999995</v>
          </cell>
          <cell r="I5">
            <v>1.5781799999999999</v>
          </cell>
          <cell r="J5">
            <v>1.1691199999999999</v>
          </cell>
          <cell r="K5">
            <v>35.85</v>
          </cell>
          <cell r="L5">
            <v>0</v>
          </cell>
          <cell r="M5" t="str">
            <v>NULL</v>
          </cell>
          <cell r="N5">
            <v>0</v>
          </cell>
          <cell r="O5">
            <v>0</v>
          </cell>
          <cell r="P5">
            <v>0</v>
          </cell>
          <cell r="Q5">
            <v>0</v>
          </cell>
          <cell r="R5">
            <v>0</v>
          </cell>
          <cell r="S5">
            <v>71.074382331400002</v>
          </cell>
          <cell r="T5">
            <v>45.508210702</v>
          </cell>
          <cell r="U5">
            <v>42825</v>
          </cell>
          <cell r="V5">
            <v>409675650</v>
          </cell>
          <cell r="W5">
            <v>361868190</v>
          </cell>
          <cell r="X5">
            <v>413197540</v>
          </cell>
          <cell r="Y5">
            <v>313284760</v>
          </cell>
          <cell r="Z5">
            <v>141169950</v>
          </cell>
          <cell r="AA5">
            <v>2.9020032237738982</v>
          </cell>
          <cell r="AB5">
            <v>0</v>
          </cell>
          <cell r="AC5">
            <v>58290710</v>
          </cell>
          <cell r="AD5">
            <v>215992280</v>
          </cell>
          <cell r="AE5">
            <v>213716530</v>
          </cell>
          <cell r="AF5">
            <v>140346510</v>
          </cell>
          <cell r="AG5">
            <v>2.0971865938094512</v>
          </cell>
          <cell r="AH5">
            <v>102154920</v>
          </cell>
          <cell r="AI5">
            <v>91040760</v>
          </cell>
          <cell r="AJ5">
            <v>130229430</v>
          </cell>
          <cell r="AK5">
            <v>92650970</v>
          </cell>
          <cell r="AL5">
            <v>50477540</v>
          </cell>
          <cell r="AM5">
            <v>147945570</v>
          </cell>
          <cell r="AN5">
            <v>157161090</v>
          </cell>
          <cell r="AO5">
            <v>89103470</v>
          </cell>
          <cell r="AP5">
            <v>85.378895933858487</v>
          </cell>
          <cell r="AQ5">
            <v>78436300</v>
          </cell>
          <cell r="AR5">
            <v>97437970</v>
          </cell>
          <cell r="AS5">
            <v>115445180</v>
          </cell>
          <cell r="AT5">
            <v>80552380</v>
          </cell>
          <cell r="AU5">
            <v>54.00416787466613</v>
          </cell>
          <cell r="AV5">
            <v>133369910</v>
          </cell>
          <cell r="AW5">
            <v>79477860</v>
          </cell>
          <cell r="AX5">
            <v>109011690</v>
          </cell>
          <cell r="AY5">
            <v>91751470</v>
          </cell>
          <cell r="AZ5">
            <v>84.873046654295592</v>
          </cell>
          <cell r="BA5">
            <v>53.498318595103243</v>
          </cell>
          <cell r="BB5">
            <v>0</v>
          </cell>
          <cell r="BC5">
            <v>28.870809999999999</v>
          </cell>
          <cell r="BD5">
            <v>17.141079999999999</v>
          </cell>
          <cell r="BE5">
            <v>8.5808300000000006</v>
          </cell>
          <cell r="BF5">
            <v>-8202680</v>
          </cell>
          <cell r="BG5">
            <v>24434100</v>
          </cell>
          <cell r="BH5">
            <v>21313260</v>
          </cell>
          <cell r="BI5">
            <v>17546170</v>
          </cell>
          <cell r="BJ5">
            <v>8.7675973698759582E-2</v>
          </cell>
          <cell r="BK5">
            <v>-646690</v>
          </cell>
          <cell r="BL5">
            <v>-5236620</v>
          </cell>
          <cell r="BM5">
            <v>-5125930</v>
          </cell>
          <cell r="BN5">
            <v>-3112970</v>
          </cell>
          <cell r="BO5">
            <v>-461540</v>
          </cell>
          <cell r="BP5">
            <v>-5311080</v>
          </cell>
          <cell r="BQ5">
            <v>-29015880</v>
          </cell>
          <cell r="BR5">
            <v>37885900</v>
          </cell>
          <cell r="BS5">
            <v>39624970</v>
          </cell>
          <cell r="BT5">
            <v>8452450</v>
          </cell>
          <cell r="BU5">
            <v>1115090</v>
          </cell>
          <cell r="BV5">
            <v>9494000</v>
          </cell>
          <cell r="BW5">
            <v>6.6570325907844121E-3</v>
          </cell>
          <cell r="BX5">
            <v>0.14710250650232312</v>
          </cell>
          <cell r="BY5">
            <v>141169950</v>
          </cell>
          <cell r="BZ5">
            <v>149387350</v>
          </cell>
          <cell r="CA5">
            <v>124967970</v>
          </cell>
          <cell r="CB5">
            <v>103669440</v>
          </cell>
          <cell r="CC5" t="str">
            <v>NULL</v>
          </cell>
          <cell r="CD5" t="str">
            <v>NULL</v>
          </cell>
          <cell r="CE5" t="str">
            <v>NULL</v>
          </cell>
          <cell r="CF5" t="str">
            <v>NULL</v>
          </cell>
          <cell r="CG5" t="str">
            <v>NULL</v>
          </cell>
          <cell r="CH5" t="str">
            <v>NULL</v>
          </cell>
          <cell r="CI5" t="str">
            <v>NULL</v>
          </cell>
          <cell r="CJ5" t="str">
            <v>NULL</v>
          </cell>
          <cell r="CK5">
            <v>141169950</v>
          </cell>
          <cell r="CL5">
            <v>149387350</v>
          </cell>
          <cell r="CM5">
            <v>124967970</v>
          </cell>
          <cell r="CN5">
            <v>103669440</v>
          </cell>
          <cell r="CO5">
            <v>0.4244330609608869</v>
          </cell>
          <cell r="CP5">
            <v>-8202680</v>
          </cell>
          <cell r="CQ5">
            <v>-12682400</v>
          </cell>
          <cell r="CR5">
            <v>50611130</v>
          </cell>
          <cell r="CS5">
            <v>-18284880</v>
          </cell>
          <cell r="CT5">
            <v>3797350</v>
          </cell>
          <cell r="CU5">
            <v>29828280</v>
          </cell>
          <cell r="CV5">
            <v>-3648610</v>
          </cell>
          <cell r="CW5">
            <v>24967420</v>
          </cell>
          <cell r="CX5">
            <v>0.35322336466283988</v>
          </cell>
          <cell r="CY5">
            <v>1.0218342001485241</v>
          </cell>
          <cell r="CZ5">
            <v>3.7679224583371616</v>
          </cell>
          <cell r="DA5">
            <v>-5.8151684727507345</v>
          </cell>
          <cell r="DB5">
            <v>-0.87269296117644057</v>
          </cell>
          <cell r="DC5">
            <v>9.1752448192599374</v>
          </cell>
          <cell r="DD5">
            <v>-1.1461348429273028</v>
          </cell>
          <cell r="DE5">
            <v>5.6800755701743313</v>
          </cell>
          <cell r="DF5">
            <v>0</v>
          </cell>
          <cell r="DG5">
            <v>16.3916740810742</v>
          </cell>
          <cell r="DH5">
            <v>48000000</v>
          </cell>
          <cell r="DI5">
            <v>36.200000000000003</v>
          </cell>
          <cell r="DJ5">
            <v>1737600000</v>
          </cell>
          <cell r="DK5">
            <v>1811555530</v>
          </cell>
          <cell r="DL5">
            <v>0</v>
          </cell>
          <cell r="DM5">
            <v>141169950</v>
          </cell>
          <cell r="DN5" t="str">
            <v>NULL</v>
          </cell>
          <cell r="DO5" t="str">
            <v>NULL</v>
          </cell>
          <cell r="DP5">
            <v>2387610</v>
          </cell>
          <cell r="DQ5" t="str">
            <v>NULL</v>
          </cell>
          <cell r="DR5">
            <v>138782340</v>
          </cell>
          <cell r="DS5">
            <v>12.520324992358537</v>
          </cell>
          <cell r="DT5">
            <v>-0.17088999999999999</v>
          </cell>
          <cell r="DU5">
            <v>0.50904000000000005</v>
          </cell>
          <cell r="DV5">
            <v>0.44402999999999998</v>
          </cell>
          <cell r="DW5">
            <v>0.36554999999999999</v>
          </cell>
          <cell r="DX5">
            <v>1.1477300000000001</v>
          </cell>
          <cell r="DY5">
            <v>31.235569341221364</v>
          </cell>
          <cell r="DZ5">
            <v>2.7653552613358596</v>
          </cell>
          <cell r="EA5">
            <v>4182920</v>
          </cell>
          <cell r="EB5">
            <v>415.4035936618439</v>
          </cell>
          <cell r="EC5">
            <v>31.627647617470998</v>
          </cell>
          <cell r="ED5">
            <v>1.54680660140132</v>
          </cell>
          <cell r="EE5">
            <v>1.2534671835269</v>
          </cell>
          <cell r="EF5">
            <v>0</v>
          </cell>
          <cell r="EG5">
            <v>0.47556231561875123</v>
          </cell>
          <cell r="EH5" t="str">
            <v>-</v>
          </cell>
          <cell r="EK5" t="str">
            <v>NULL</v>
          </cell>
          <cell r="EL5">
            <v>0</v>
          </cell>
        </row>
        <row r="6">
          <cell r="A6" t="str">
            <v>ALUA</v>
          </cell>
          <cell r="B6" t="str">
            <v>ALU.BA</v>
          </cell>
          <cell r="C6" t="str">
            <v>ALUAR ALUMINIO ARGENTINO SAIC</v>
          </cell>
          <cell r="D6">
            <v>42825</v>
          </cell>
          <cell r="E6">
            <v>8969039530</v>
          </cell>
          <cell r="F6">
            <v>3553687150</v>
          </cell>
          <cell r="G6">
            <v>2.5238700000000001</v>
          </cell>
          <cell r="H6">
            <v>0.64158000000000004</v>
          </cell>
          <cell r="I6">
            <v>2.2471399999999999</v>
          </cell>
          <cell r="J6">
            <v>0.70313000000000003</v>
          </cell>
          <cell r="K6">
            <v>11.450000000000001</v>
          </cell>
          <cell r="L6">
            <v>0</v>
          </cell>
          <cell r="M6">
            <v>0.23449999999999999</v>
          </cell>
          <cell r="N6">
            <v>0</v>
          </cell>
          <cell r="O6">
            <v>0</v>
          </cell>
          <cell r="P6">
            <v>0.23449999999999999</v>
          </cell>
          <cell r="Q6">
            <v>2.0480349344978162E-2</v>
          </cell>
          <cell r="R6">
            <v>0</v>
          </cell>
          <cell r="S6">
            <v>16.730268753499999</v>
          </cell>
          <cell r="T6">
            <v>21.794029675000001</v>
          </cell>
          <cell r="U6">
            <v>42825</v>
          </cell>
          <cell r="V6">
            <v>13619654190</v>
          </cell>
          <cell r="W6">
            <v>13641790210</v>
          </cell>
          <cell r="X6">
            <v>14207486630</v>
          </cell>
          <cell r="Y6">
            <v>13691848550</v>
          </cell>
          <cell r="Z6">
            <v>8774028150</v>
          </cell>
          <cell r="AA6">
            <v>1.5522692607271837</v>
          </cell>
          <cell r="AC6">
            <v>3175000740</v>
          </cell>
          <cell r="AD6">
            <v>3846831990</v>
          </cell>
          <cell r="AE6">
            <v>3434718060</v>
          </cell>
          <cell r="AF6">
            <v>3730091930</v>
          </cell>
          <cell r="AG6">
            <v>1.2859346635406641</v>
          </cell>
          <cell r="AH6">
            <v>848139560</v>
          </cell>
          <cell r="AI6">
            <v>1105217620</v>
          </cell>
          <cell r="AJ6">
            <v>832222390</v>
          </cell>
          <cell r="AK6">
            <v>952237600</v>
          </cell>
          <cell r="AL6">
            <v>2227799000</v>
          </cell>
          <cell r="AM6">
            <v>2735528630</v>
          </cell>
          <cell r="AN6">
            <v>2396866190</v>
          </cell>
          <cell r="AO6">
            <v>2665703230</v>
          </cell>
          <cell r="AP6">
            <v>34.019481255545109</v>
          </cell>
          <cell r="AQ6">
            <v>598785190</v>
          </cell>
          <cell r="AR6">
            <v>791963590</v>
          </cell>
          <cell r="AS6">
            <v>747369250</v>
          </cell>
          <cell r="AT6">
            <v>776061270</v>
          </cell>
          <cell r="AU6">
            <v>18.744312264247959</v>
          </cell>
          <cell r="AV6">
            <v>6689058920</v>
          </cell>
          <cell r="AW6">
            <v>6211363160</v>
          </cell>
          <cell r="AX6">
            <v>6039281990</v>
          </cell>
          <cell r="AY6">
            <v>5731896630</v>
          </cell>
          <cell r="AZ6">
            <v>224.54684629691067</v>
          </cell>
          <cell r="BA6">
            <v>209.27167730561351</v>
          </cell>
          <cell r="BC6">
            <v>27.946919999999999</v>
          </cell>
          <cell r="BD6">
            <v>18.00262</v>
          </cell>
          <cell r="BE6">
            <v>10.696730000000001</v>
          </cell>
          <cell r="BF6">
            <v>535103900</v>
          </cell>
          <cell r="BG6">
            <v>386657270</v>
          </cell>
          <cell r="BH6">
            <v>454020020</v>
          </cell>
          <cell r="BI6">
            <v>397718760</v>
          </cell>
          <cell r="BJ6">
            <v>0.12501195561228598</v>
          </cell>
          <cell r="BK6">
            <v>-323547020</v>
          </cell>
          <cell r="BL6">
            <v>-208621890</v>
          </cell>
          <cell r="BM6">
            <v>-97247070</v>
          </cell>
          <cell r="BN6">
            <v>-498897790</v>
          </cell>
          <cell r="BO6">
            <v>-458944900</v>
          </cell>
          <cell r="BP6">
            <v>38150810</v>
          </cell>
          <cell r="BQ6">
            <v>1793065790</v>
          </cell>
          <cell r="BR6">
            <v>1396880460</v>
          </cell>
          <cell r="BS6">
            <v>407300350</v>
          </cell>
          <cell r="BT6">
            <v>983218840</v>
          </cell>
          <cell r="BU6">
            <v>1297464850</v>
          </cell>
          <cell r="BV6">
            <v>902901290</v>
          </cell>
          <cell r="BW6">
            <v>6.6333671649693879E-2</v>
          </cell>
          <cell r="BX6">
            <v>0.12860586550832789</v>
          </cell>
          <cell r="BY6">
            <v>8774028150</v>
          </cell>
          <cell r="BZ6">
            <v>8344384160</v>
          </cell>
          <cell r="CA6">
            <v>8609051450</v>
          </cell>
          <cell r="CB6">
            <v>8155031420</v>
          </cell>
          <cell r="CC6" t="str">
            <v>NULL</v>
          </cell>
          <cell r="CD6" t="str">
            <v>NULL</v>
          </cell>
          <cell r="CE6" t="str">
            <v>NULL</v>
          </cell>
          <cell r="CF6" t="str">
            <v>NULL</v>
          </cell>
          <cell r="CG6" t="str">
            <v>NULL</v>
          </cell>
          <cell r="CH6" t="str">
            <v>NULL</v>
          </cell>
          <cell r="CI6" t="str">
            <v>NULL</v>
          </cell>
          <cell r="CJ6" t="str">
            <v>NULL</v>
          </cell>
          <cell r="CK6">
            <v>8774028150</v>
          </cell>
          <cell r="CL6">
            <v>8344384160</v>
          </cell>
          <cell r="CM6">
            <v>8609051450</v>
          </cell>
          <cell r="CN6">
            <v>8155031420</v>
          </cell>
          <cell r="CO6">
            <v>0.20937064293267907</v>
          </cell>
          <cell r="CP6">
            <v>535103900</v>
          </cell>
          <cell r="CQ6">
            <v>536401490</v>
          </cell>
          <cell r="CR6">
            <v>1193479770</v>
          </cell>
          <cell r="CS6">
            <v>1276918120</v>
          </cell>
          <cell r="CT6">
            <v>698215620</v>
          </cell>
          <cell r="CU6">
            <v>223698240</v>
          </cell>
          <cell r="CV6">
            <v>320235230</v>
          </cell>
          <cell r="CW6">
            <v>766262480</v>
          </cell>
          <cell r="CX6">
            <v>-2.4190648687422156E-3</v>
          </cell>
          <cell r="CY6">
            <v>0.40023756629451501</v>
          </cell>
          <cell r="CZ6">
            <v>-6.5343539803476181E-2</v>
          </cell>
          <cell r="DA6">
            <v>0.82883064117070315</v>
          </cell>
          <cell r="DB6">
            <v>2.121238772374785</v>
          </cell>
          <cell r="DC6">
            <v>-0.30145649496465454</v>
          </cell>
          <cell r="DD6">
            <v>-0.58208154730478256</v>
          </cell>
          <cell r="DE6">
            <v>1.0976825973460971</v>
          </cell>
          <cell r="DG6">
            <v>9.3531530143012702</v>
          </cell>
          <cell r="DH6">
            <v>2800000000</v>
          </cell>
          <cell r="DI6">
            <v>11.3</v>
          </cell>
          <cell r="DJ6">
            <v>31640000000</v>
          </cell>
          <cell r="DK6">
            <v>32935108620</v>
          </cell>
          <cell r="DM6">
            <v>8774028150</v>
          </cell>
          <cell r="DN6" t="str">
            <v>NULL</v>
          </cell>
          <cell r="DO6" t="str">
            <v>NULL</v>
          </cell>
          <cell r="DP6">
            <v>84829230</v>
          </cell>
          <cell r="DQ6" t="str">
            <v>NULL</v>
          </cell>
          <cell r="DR6">
            <v>8689198920</v>
          </cell>
          <cell r="DS6">
            <v>3.6413022985552734</v>
          </cell>
          <cell r="DT6">
            <v>0.19111</v>
          </cell>
          <cell r="DU6">
            <v>0.13808999999999999</v>
          </cell>
          <cell r="DV6">
            <v>0.16214999999999999</v>
          </cell>
          <cell r="DW6">
            <v>0.14204</v>
          </cell>
          <cell r="DX6">
            <v>0.6333899999999999</v>
          </cell>
          <cell r="DY6">
            <v>18.077329923112146</v>
          </cell>
          <cell r="DZ6">
            <v>2.2302669225182266</v>
          </cell>
          <cell r="EA6">
            <v>941052100</v>
          </cell>
          <cell r="EB6">
            <v>33.621942929621007</v>
          </cell>
          <cell r="EC6">
            <v>17.919449312429901</v>
          </cell>
          <cell r="ED6">
            <v>0.85136839235391304</v>
          </cell>
          <cell r="EE6">
            <v>0.85571276905764004</v>
          </cell>
          <cell r="EG6">
            <v>0.38909607660651069</v>
          </cell>
          <cell r="EH6">
            <v>-4.3351929202942174E-2</v>
          </cell>
          <cell r="EK6">
            <v>1.90455212951542</v>
          </cell>
          <cell r="EL6">
            <v>0</v>
          </cell>
        </row>
        <row r="7">
          <cell r="A7" t="str">
            <v>IRCP</v>
          </cell>
          <cell r="B7" t="str">
            <v>IRCP.BA</v>
          </cell>
          <cell r="C7" t="str">
            <v>ALTO PALERMO SA APSA</v>
          </cell>
          <cell r="D7">
            <v>42825</v>
          </cell>
          <cell r="E7">
            <v>4243358000</v>
          </cell>
          <cell r="F7">
            <v>1436299000</v>
          </cell>
          <cell r="G7">
            <v>2.9543699999999999</v>
          </cell>
          <cell r="H7">
            <v>2.9374199999999999</v>
          </cell>
          <cell r="I7">
            <v>2.4900199999999999</v>
          </cell>
          <cell r="J7">
            <v>2.4764300000000001</v>
          </cell>
          <cell r="K7">
            <v>230</v>
          </cell>
          <cell r="L7">
            <v>0</v>
          </cell>
          <cell r="M7">
            <v>3.6503999999999999</v>
          </cell>
          <cell r="N7">
            <v>0</v>
          </cell>
          <cell r="O7" t="str">
            <v>NULL</v>
          </cell>
          <cell r="P7">
            <v>3.6503999999999999</v>
          </cell>
          <cell r="Q7">
            <v>1.5871304347826087E-2</v>
          </cell>
          <cell r="R7">
            <v>0</v>
          </cell>
          <cell r="S7">
            <v>25.5247735427</v>
          </cell>
          <cell r="T7">
            <v>415.87459532499997</v>
          </cell>
          <cell r="U7">
            <v>42825</v>
          </cell>
          <cell r="V7">
            <v>40493025000</v>
          </cell>
          <cell r="W7">
            <v>9597761000</v>
          </cell>
          <cell r="X7">
            <v>9450887000</v>
          </cell>
          <cell r="Y7">
            <v>38021502000</v>
          </cell>
          <cell r="Z7">
            <v>21552630000</v>
          </cell>
          <cell r="AA7">
            <v>1.8787973903880872</v>
          </cell>
          <cell r="AC7">
            <v>1158311000</v>
          </cell>
          <cell r="AD7">
            <v>1315317000</v>
          </cell>
          <cell r="AE7">
            <v>1108479000</v>
          </cell>
          <cell r="AF7">
            <v>1059508000</v>
          </cell>
          <cell r="AG7">
            <v>0.23787730168585181</v>
          </cell>
          <cell r="AH7">
            <v>789200000</v>
          </cell>
          <cell r="AI7">
            <v>759528000</v>
          </cell>
          <cell r="AJ7">
            <v>842752000</v>
          </cell>
          <cell r="AK7">
            <v>743428000</v>
          </cell>
          <cell r="AL7">
            <v>421073000</v>
          </cell>
          <cell r="AM7">
            <v>541713000</v>
          </cell>
          <cell r="AN7">
            <v>483942000</v>
          </cell>
          <cell r="AO7">
            <v>454766000</v>
          </cell>
          <cell r="AP7">
            <v>150.43978839796497</v>
          </cell>
          <cell r="AQ7">
            <v>868532000</v>
          </cell>
          <cell r="AR7">
            <v>860198000</v>
          </cell>
          <cell r="AS7">
            <v>728227000</v>
          </cell>
          <cell r="AT7">
            <v>756495000</v>
          </cell>
          <cell r="AU7">
            <v>63.173592596542363</v>
          </cell>
          <cell r="AV7">
            <v>24341000</v>
          </cell>
          <cell r="AW7">
            <v>23356000</v>
          </cell>
          <cell r="AX7">
            <v>21014000</v>
          </cell>
          <cell r="AY7">
            <v>18202000</v>
          </cell>
          <cell r="AZ7">
            <v>4.1708315934733422</v>
          </cell>
          <cell r="BA7">
            <v>-83.095364207949274</v>
          </cell>
          <cell r="BC7">
            <v>56.363280000000003</v>
          </cell>
          <cell r="BD7">
            <v>50.138370000000002</v>
          </cell>
          <cell r="BE7">
            <v>21.163609999999998</v>
          </cell>
          <cell r="BF7">
            <v>355617000</v>
          </cell>
          <cell r="BG7">
            <v>400257000</v>
          </cell>
          <cell r="BH7">
            <v>78882000</v>
          </cell>
          <cell r="BI7">
            <v>257878000</v>
          </cell>
          <cell r="BJ7">
            <v>0.23539953227486554</v>
          </cell>
          <cell r="BK7">
            <v>-31387000</v>
          </cell>
          <cell r="BL7">
            <v>-23141000</v>
          </cell>
          <cell r="BM7">
            <v>-6043000</v>
          </cell>
          <cell r="BN7">
            <v>-15330000</v>
          </cell>
          <cell r="BO7">
            <v>-7568000</v>
          </cell>
          <cell r="BP7">
            <v>-29862000</v>
          </cell>
          <cell r="BQ7">
            <v>1848021000</v>
          </cell>
          <cell r="BR7">
            <v>1005614000</v>
          </cell>
          <cell r="BS7">
            <v>577514000</v>
          </cell>
          <cell r="BT7">
            <v>1013373000</v>
          </cell>
          <cell r="BU7">
            <v>653078000</v>
          </cell>
          <cell r="BV7">
            <v>1772457000</v>
          </cell>
          <cell r="BW7">
            <v>0.37542859543499407</v>
          </cell>
          <cell r="BX7">
            <v>4.4796984107989518E-2</v>
          </cell>
          <cell r="BY7">
            <v>21552630000</v>
          </cell>
          <cell r="BZ7">
            <v>1510470000</v>
          </cell>
          <cell r="CA7">
            <v>1570213000</v>
          </cell>
          <cell r="CB7">
            <v>19654617000</v>
          </cell>
          <cell r="CC7" t="str">
            <v>NULL</v>
          </cell>
          <cell r="CD7" t="str">
            <v>NULL</v>
          </cell>
          <cell r="CE7" t="str">
            <v>NULL</v>
          </cell>
          <cell r="CF7" t="str">
            <v>NULL</v>
          </cell>
          <cell r="CG7" t="str">
            <v>NULL</v>
          </cell>
          <cell r="CH7" t="str">
            <v>NULL</v>
          </cell>
          <cell r="CI7" t="str">
            <v>NULL</v>
          </cell>
          <cell r="CJ7" t="str">
            <v>NULL</v>
          </cell>
          <cell r="CK7">
            <v>21552630000</v>
          </cell>
          <cell r="CL7">
            <v>1510470000</v>
          </cell>
          <cell r="CM7">
            <v>1570213000</v>
          </cell>
          <cell r="CN7">
            <v>19654617000</v>
          </cell>
          <cell r="CO7">
            <v>9.8684585168013039E-2</v>
          </cell>
          <cell r="CP7">
            <v>355617000</v>
          </cell>
          <cell r="CQ7">
            <v>6675884000</v>
          </cell>
          <cell r="CR7">
            <v>816598000</v>
          </cell>
          <cell r="CS7">
            <v>581269000</v>
          </cell>
          <cell r="CT7">
            <v>377003000</v>
          </cell>
          <cell r="CU7">
            <v>330098000</v>
          </cell>
          <cell r="CV7">
            <v>332047000</v>
          </cell>
          <cell r="CW7">
            <v>272054000</v>
          </cell>
          <cell r="CX7">
            <v>-0.94673109958171831</v>
          </cell>
          <cell r="CY7">
            <v>0.26068248310018005</v>
          </cell>
          <cell r="CZ7">
            <v>0.40485386284147262</v>
          </cell>
          <cell r="DA7">
            <v>0.54181531711949238</v>
          </cell>
          <cell r="DB7">
            <v>0.14209416597495284</v>
          </cell>
          <cell r="DC7">
            <v>-5.8696509831439592E-3</v>
          </cell>
          <cell r="DD7">
            <v>0.22051872054812649</v>
          </cell>
          <cell r="DE7">
            <v>0.21595567488812592</v>
          </cell>
          <cell r="DG7">
            <v>15.1758144264588</v>
          </cell>
          <cell r="DH7">
            <v>1400140500</v>
          </cell>
          <cell r="DI7">
            <v>230</v>
          </cell>
          <cell r="DJ7">
            <v>32203231500</v>
          </cell>
          <cell r="DK7">
            <v>35981294500</v>
          </cell>
          <cell r="DM7">
            <v>21552630000</v>
          </cell>
          <cell r="DN7" t="str">
            <v>NULL</v>
          </cell>
          <cell r="DO7" t="str">
            <v>NULL</v>
          </cell>
          <cell r="DP7">
            <v>105924000</v>
          </cell>
          <cell r="DQ7" t="str">
            <v>NULL</v>
          </cell>
          <cell r="DR7">
            <v>21446706000</v>
          </cell>
          <cell r="DS7">
            <v>1.5015467410240062</v>
          </cell>
          <cell r="DT7">
            <v>2.8082500000000001</v>
          </cell>
          <cell r="DU7">
            <v>3.1607699999999999</v>
          </cell>
          <cell r="DV7">
            <v>0.62292000000000003</v>
          </cell>
          <cell r="DW7">
            <v>2.0464199999999999</v>
          </cell>
          <cell r="DX7">
            <v>8.6383600000000005</v>
          </cell>
          <cell r="DY7">
            <v>26.625424270347612</v>
          </cell>
          <cell r="DZ7">
            <v>6.9379367957058049</v>
          </cell>
          <cell r="EA7">
            <v>1742595000</v>
          </cell>
          <cell r="EB7">
            <v>18.480043555731537</v>
          </cell>
          <cell r="EC7">
            <v>1.1126451639119801</v>
          </cell>
          <cell r="ED7">
            <v>0.38752383697737403</v>
          </cell>
          <cell r="EE7" t="str">
            <v>NULL</v>
          </cell>
          <cell r="EG7">
            <v>0.40580746292347775</v>
          </cell>
          <cell r="EH7">
            <v>0.18358776992011516</v>
          </cell>
          <cell r="EK7">
            <v>1.5871246004347801</v>
          </cell>
          <cell r="EL7">
            <v>0</v>
          </cell>
        </row>
        <row r="8">
          <cell r="A8" t="str">
            <v>AUSO</v>
          </cell>
          <cell r="B8" t="str">
            <v>AUS.BA</v>
          </cell>
          <cell r="C8" t="str">
            <v>AUTOPISTAS DEL SOL SA</v>
          </cell>
          <cell r="D8">
            <v>42825</v>
          </cell>
          <cell r="E8">
            <v>853232400</v>
          </cell>
          <cell r="F8">
            <v>556559730</v>
          </cell>
          <cell r="G8">
            <v>1.53305</v>
          </cell>
          <cell r="H8">
            <v>1.53305</v>
          </cell>
          <cell r="I8">
            <v>1.4611400000000001</v>
          </cell>
          <cell r="J8">
            <v>1.4611400000000001</v>
          </cell>
          <cell r="K8">
            <v>99</v>
          </cell>
          <cell r="L8">
            <v>0</v>
          </cell>
          <cell r="M8" t="str">
            <v>NULL</v>
          </cell>
          <cell r="N8">
            <v>0</v>
          </cell>
          <cell r="O8">
            <v>0</v>
          </cell>
          <cell r="P8">
            <v>0</v>
          </cell>
          <cell r="Q8">
            <v>0</v>
          </cell>
          <cell r="R8">
            <v>0</v>
          </cell>
          <cell r="S8">
            <v>0</v>
          </cell>
          <cell r="T8">
            <v>0</v>
          </cell>
          <cell r="U8">
            <v>42825</v>
          </cell>
          <cell r="V8">
            <v>1390929110</v>
          </cell>
          <cell r="W8">
            <v>1228458470</v>
          </cell>
          <cell r="X8">
            <v>1082444120</v>
          </cell>
          <cell r="Y8">
            <v>1280488780</v>
          </cell>
          <cell r="Z8">
            <v>541076400</v>
          </cell>
          <cell r="AA8">
            <v>2.5706704450609932</v>
          </cell>
          <cell r="AC8">
            <v>502410740</v>
          </cell>
          <cell r="AD8">
            <v>512075160</v>
          </cell>
          <cell r="AE8">
            <v>486060200</v>
          </cell>
          <cell r="AF8">
            <v>461576590</v>
          </cell>
          <cell r="AG8">
            <v>1.9690682612716457</v>
          </cell>
          <cell r="AH8">
            <v>81605920</v>
          </cell>
          <cell r="AI8">
            <v>85265540</v>
          </cell>
          <cell r="AJ8">
            <v>83951540</v>
          </cell>
          <cell r="AK8">
            <v>79719710</v>
          </cell>
          <cell r="AL8">
            <v>355268650</v>
          </cell>
          <cell r="AM8">
            <v>348725640</v>
          </cell>
          <cell r="AN8">
            <v>307466520</v>
          </cell>
          <cell r="AO8">
            <v>311698910</v>
          </cell>
          <cell r="AP8">
            <v>22.795450792214261</v>
          </cell>
          <cell r="AQ8">
            <v>163890000</v>
          </cell>
          <cell r="AR8">
            <v>118096100</v>
          </cell>
          <cell r="AS8">
            <v>118259530</v>
          </cell>
          <cell r="AT8">
            <v>119468380</v>
          </cell>
          <cell r="AU8">
            <v>24.169693186973948</v>
          </cell>
          <cell r="AV8" t="str">
            <v>NULL</v>
          </cell>
          <cell r="AW8" t="str">
            <v>NULL</v>
          </cell>
          <cell r="AX8" t="str">
            <v>NULL</v>
          </cell>
          <cell r="AY8" t="str">
            <v>NULL</v>
          </cell>
          <cell r="AZ8" t="e">
            <v>#DIV/0!</v>
          </cell>
          <cell r="BA8" t="e">
            <v>#DIV/0!</v>
          </cell>
          <cell r="BC8">
            <v>35.29468</v>
          </cell>
          <cell r="BD8">
            <v>25.33014</v>
          </cell>
          <cell r="BE8">
            <v>15.61031</v>
          </cell>
          <cell r="BF8">
            <v>74631480</v>
          </cell>
          <cell r="BG8">
            <v>89189350</v>
          </cell>
          <cell r="BH8">
            <v>90307390</v>
          </cell>
          <cell r="BI8">
            <v>57349430</v>
          </cell>
          <cell r="BJ8">
            <v>0.15874524645551089</v>
          </cell>
          <cell r="BK8">
            <v>-12907110</v>
          </cell>
          <cell r="BL8">
            <v>-45060840</v>
          </cell>
          <cell r="BM8">
            <v>-28602850</v>
          </cell>
          <cell r="BN8">
            <v>-17538700</v>
          </cell>
          <cell r="BO8">
            <v>-3226800</v>
          </cell>
          <cell r="BP8">
            <v>-38283160</v>
          </cell>
          <cell r="BQ8">
            <v>122755630</v>
          </cell>
          <cell r="BR8">
            <v>428018660</v>
          </cell>
          <cell r="BS8">
            <v>296373860</v>
          </cell>
          <cell r="BT8">
            <v>242054530</v>
          </cell>
          <cell r="BU8">
            <v>112144680</v>
          </cell>
          <cell r="BV8">
            <v>306984810</v>
          </cell>
          <cell r="BW8">
            <v>0.13694436712313846</v>
          </cell>
          <cell r="BX8">
            <v>0.25006633053841609</v>
          </cell>
          <cell r="BY8">
            <v>541076400</v>
          </cell>
          <cell r="BZ8">
            <v>466444920</v>
          </cell>
          <cell r="CA8">
            <v>377255570</v>
          </cell>
          <cell r="CB8">
            <v>286948180</v>
          </cell>
          <cell r="CC8" t="str">
            <v>NULL</v>
          </cell>
          <cell r="CD8" t="str">
            <v>NULL</v>
          </cell>
          <cell r="CE8" t="str">
            <v>NULL</v>
          </cell>
          <cell r="CF8" t="str">
            <v>NULL</v>
          </cell>
          <cell r="CG8" t="str">
            <v>NULL</v>
          </cell>
          <cell r="CH8" t="str">
            <v>NULL</v>
          </cell>
          <cell r="CI8" t="str">
            <v>NULL</v>
          </cell>
          <cell r="CJ8" t="str">
            <v>NULL</v>
          </cell>
          <cell r="CK8">
            <v>541076400</v>
          </cell>
          <cell r="CL8">
            <v>466444920</v>
          </cell>
          <cell r="CM8">
            <v>377255570</v>
          </cell>
          <cell r="CN8">
            <v>286948180</v>
          </cell>
          <cell r="CO8">
            <v>0.7452843905726676</v>
          </cell>
          <cell r="CP8">
            <v>74631480</v>
          </cell>
          <cell r="CQ8">
            <v>54455860</v>
          </cell>
          <cell r="CR8">
            <v>291302030</v>
          </cell>
          <cell r="CS8">
            <v>75226720</v>
          </cell>
          <cell r="CT8">
            <v>18121770</v>
          </cell>
          <cell r="CU8">
            <v>-17533300</v>
          </cell>
          <cell r="CV8">
            <v>4140670</v>
          </cell>
          <cell r="CW8">
            <v>-33712190</v>
          </cell>
          <cell r="CX8">
            <v>0.37049492928768357</v>
          </cell>
          <cell r="CY8">
            <v>0.78909531215023887</v>
          </cell>
          <cell r="CZ8">
            <v>2.8723212975389596</v>
          </cell>
          <cell r="DA8">
            <v>3.1511794929523989</v>
          </cell>
          <cell r="DB8">
            <v>2.0335629915646227</v>
          </cell>
          <cell r="DC8">
            <v>-5.2344113392277096</v>
          </cell>
          <cell r="DD8">
            <v>1.1228241179229235</v>
          </cell>
          <cell r="DE8">
            <v>3.459117636171777</v>
          </cell>
          <cell r="DG8">
            <v>3.5454904046606899</v>
          </cell>
          <cell r="DH8">
            <v>26554267</v>
          </cell>
          <cell r="DI8">
            <v>99.2</v>
          </cell>
          <cell r="DJ8">
            <v>8767701926.3999996</v>
          </cell>
          <cell r="DK8">
            <v>2029833249.80001</v>
          </cell>
          <cell r="DM8">
            <v>541076400</v>
          </cell>
          <cell r="DN8" t="str">
            <v>NULL</v>
          </cell>
          <cell r="DO8" t="str">
            <v>NULL</v>
          </cell>
          <cell r="DP8">
            <v>485419550</v>
          </cell>
          <cell r="DQ8" t="str">
            <v>NULL</v>
          </cell>
          <cell r="DR8">
            <v>55656850</v>
          </cell>
          <cell r="DS8">
            <v>157.53140765961422</v>
          </cell>
          <cell r="DT8">
            <v>0.84440000000000004</v>
          </cell>
          <cell r="DU8">
            <v>1.00911</v>
          </cell>
          <cell r="DV8">
            <v>1.02176</v>
          </cell>
          <cell r="DW8">
            <v>0.64886999999999995</v>
          </cell>
          <cell r="DX8">
            <v>3.5241400000000001</v>
          </cell>
          <cell r="DY8">
            <v>28.091960024289612</v>
          </cell>
          <cell r="DZ8">
            <v>4.4684779249966269</v>
          </cell>
          <cell r="EA8">
            <v>268701650</v>
          </cell>
          <cell r="EB8">
            <v>32.629877510614463</v>
          </cell>
          <cell r="EC8">
            <v>28.2054628930746</v>
          </cell>
          <cell r="ED8">
            <v>0.78115698142272705</v>
          </cell>
          <cell r="EE8">
            <v>0.83363817371592797</v>
          </cell>
          <cell r="EG8">
            <v>0.63362911974502989</v>
          </cell>
          <cell r="EH8">
            <v>0.25709200743724381</v>
          </cell>
          <cell r="EK8">
            <v>4.1020884638833</v>
          </cell>
          <cell r="EL8">
            <v>0</v>
          </cell>
        </row>
        <row r="9">
          <cell r="A9" t="str">
            <v>BHIP</v>
          </cell>
          <cell r="B9" t="str">
            <v>BHI.BA</v>
          </cell>
          <cell r="C9" t="str">
            <v>BANCO HIPOTECARIO SA</v>
          </cell>
          <cell r="E9" t="str">
            <v>NULL</v>
          </cell>
          <cell r="F9" t="str">
            <v>NULL</v>
          </cell>
          <cell r="G9" t="str">
            <v>NULL</v>
          </cell>
          <cell r="H9" t="str">
            <v>NULL</v>
          </cell>
          <cell r="I9" t="str">
            <v>NULL</v>
          </cell>
          <cell r="J9" t="str">
            <v>NULL</v>
          </cell>
          <cell r="K9">
            <v>6.45</v>
          </cell>
          <cell r="L9">
            <v>0</v>
          </cell>
          <cell r="M9" t="str">
            <v>NULL</v>
          </cell>
          <cell r="N9">
            <v>0</v>
          </cell>
          <cell r="O9">
            <v>0</v>
          </cell>
          <cell r="P9">
            <v>0</v>
          </cell>
          <cell r="Q9">
            <v>0</v>
          </cell>
          <cell r="R9">
            <v>0</v>
          </cell>
          <cell r="S9">
            <v>5.3842586252000002</v>
          </cell>
          <cell r="T9">
            <v>11.549680757999999</v>
          </cell>
          <cell r="U9">
            <v>42825</v>
          </cell>
          <cell r="V9">
            <v>56129745000</v>
          </cell>
          <cell r="W9">
            <v>52108110000</v>
          </cell>
          <cell r="X9">
            <v>45695887000</v>
          </cell>
          <cell r="Y9">
            <v>40527329000</v>
          </cell>
          <cell r="Z9">
            <v>6308928000</v>
          </cell>
          <cell r="AA9">
            <v>8.8968751902066412</v>
          </cell>
          <cell r="AC9" t="str">
            <v>NULL</v>
          </cell>
          <cell r="AD9" t="str">
            <v>NULL</v>
          </cell>
          <cell r="AE9" t="str">
            <v>NULL</v>
          </cell>
          <cell r="AF9" t="str">
            <v>NULL</v>
          </cell>
          <cell r="AG9">
            <v>0</v>
          </cell>
          <cell r="AH9">
            <v>3244221000</v>
          </cell>
          <cell r="AI9">
            <v>3412327000</v>
          </cell>
          <cell r="AJ9">
            <v>3122788000</v>
          </cell>
          <cell r="AK9">
            <v>2702505000</v>
          </cell>
          <cell r="AL9" t="str">
            <v>NULL</v>
          </cell>
          <cell r="AM9" t="str">
            <v>NULL</v>
          </cell>
          <cell r="AN9" t="str">
            <v>NULL</v>
          </cell>
          <cell r="AO9" t="str">
            <v>NULL</v>
          </cell>
          <cell r="AP9" t="e">
            <v>#DIV/0!</v>
          </cell>
          <cell r="AQ9" t="str">
            <v>NULL</v>
          </cell>
          <cell r="AR9" t="str">
            <v>NULL</v>
          </cell>
          <cell r="AS9" t="str">
            <v>NULL</v>
          </cell>
          <cell r="AT9" t="str">
            <v>NULL</v>
          </cell>
          <cell r="AU9" t="e">
            <v>#DIV/0!</v>
          </cell>
          <cell r="AV9" t="str">
            <v>NULL</v>
          </cell>
          <cell r="AW9" t="str">
            <v>NULL</v>
          </cell>
          <cell r="AX9" t="str">
            <v>NULL</v>
          </cell>
          <cell r="AY9" t="str">
            <v>NULL</v>
          </cell>
          <cell r="AZ9" t="e">
            <v>#DIV/0!</v>
          </cell>
          <cell r="BA9" t="e">
            <v>#DIV/0!</v>
          </cell>
          <cell r="BC9" t="str">
            <v>NULL</v>
          </cell>
          <cell r="BD9" t="str">
            <v>NULL</v>
          </cell>
          <cell r="BE9">
            <v>6.5614299999999997</v>
          </cell>
          <cell r="BF9">
            <v>252696000</v>
          </cell>
          <cell r="BG9">
            <v>136355000</v>
          </cell>
          <cell r="BH9">
            <v>103631000</v>
          </cell>
          <cell r="BI9">
            <v>144963000</v>
          </cell>
          <cell r="BJ9" t="e">
            <v>#DIV/0!</v>
          </cell>
          <cell r="BK9">
            <v>-9050000</v>
          </cell>
          <cell r="BL9">
            <v>-378366000</v>
          </cell>
          <cell r="BM9">
            <v>-361060000</v>
          </cell>
          <cell r="BN9">
            <v>-262635000</v>
          </cell>
          <cell r="BO9">
            <v>-8718000</v>
          </cell>
          <cell r="BP9">
            <v>-361392000</v>
          </cell>
          <cell r="BQ9">
            <v>-6261272000</v>
          </cell>
          <cell r="BR9">
            <v>-10397007000</v>
          </cell>
          <cell r="BS9">
            <v>-8786971000</v>
          </cell>
          <cell r="BT9">
            <v>-6319923000</v>
          </cell>
          <cell r="BU9">
            <v>-3757770000</v>
          </cell>
          <cell r="BV9">
            <v>-11290473000</v>
          </cell>
          <cell r="BW9" t="e">
            <v>#DIV/0!</v>
          </cell>
          <cell r="BX9">
            <v>1.3116147035927823E-2</v>
          </cell>
          <cell r="BY9">
            <v>6308928000</v>
          </cell>
          <cell r="BZ9">
            <v>6056228000</v>
          </cell>
          <cell r="CA9">
            <v>5919873000</v>
          </cell>
          <cell r="CB9">
            <v>5816242000</v>
          </cell>
          <cell r="CC9" t="str">
            <v>NULL</v>
          </cell>
          <cell r="CD9" t="str">
            <v>NULL</v>
          </cell>
          <cell r="CE9" t="str">
            <v>NULL</v>
          </cell>
          <cell r="CF9" t="str">
            <v>NULL</v>
          </cell>
          <cell r="CG9" t="str">
            <v>NULL</v>
          </cell>
          <cell r="CH9" t="str">
            <v>NULL</v>
          </cell>
          <cell r="CI9" t="str">
            <v>NULL</v>
          </cell>
          <cell r="CJ9" t="str">
            <v>NULL</v>
          </cell>
          <cell r="CK9">
            <v>6308928000</v>
          </cell>
          <cell r="CL9">
            <v>6056228000</v>
          </cell>
          <cell r="CM9">
            <v>5919873000</v>
          </cell>
          <cell r="CN9">
            <v>5816242000</v>
          </cell>
          <cell r="CO9">
            <v>0.1058276138216943</v>
          </cell>
          <cell r="CP9">
            <v>252696000</v>
          </cell>
          <cell r="CQ9">
            <v>230379000</v>
          </cell>
          <cell r="CR9">
            <v>615328000</v>
          </cell>
          <cell r="CS9">
            <v>1085814000</v>
          </cell>
          <cell r="CT9">
            <v>549972000</v>
          </cell>
          <cell r="CU9">
            <v>420950000</v>
          </cell>
          <cell r="CV9">
            <v>343607000</v>
          </cell>
          <cell r="CW9">
            <v>251517000</v>
          </cell>
          <cell r="CX9">
            <v>9.6870808537236508E-2</v>
          </cell>
          <cell r="CY9">
            <v>0.28774737979622966</v>
          </cell>
          <cell r="CZ9">
            <v>-0.43330257300053232</v>
          </cell>
          <cell r="DA9">
            <v>0.97430778294167708</v>
          </cell>
          <cell r="DB9">
            <v>0.30650195985271411</v>
          </cell>
          <cell r="DC9">
            <v>0.22509145622760895</v>
          </cell>
          <cell r="DD9">
            <v>0.36613827295968071</v>
          </cell>
          <cell r="DE9">
            <v>0.50042503253677961</v>
          </cell>
          <cell r="DG9">
            <v>0.514570146177034</v>
          </cell>
          <cell r="DH9">
            <v>1500000000</v>
          </cell>
          <cell r="DI9">
            <v>6.2700000000000005</v>
          </cell>
          <cell r="DJ9">
            <v>9405000000</v>
          </cell>
          <cell r="DK9">
            <v>1617982464.29</v>
          </cell>
          <cell r="DM9">
            <v>6308928000</v>
          </cell>
          <cell r="DN9" t="str">
            <v>NULL</v>
          </cell>
          <cell r="DO9" t="str">
            <v>NULL</v>
          </cell>
          <cell r="DP9">
            <v>16309000</v>
          </cell>
          <cell r="DQ9">
            <v>564777000</v>
          </cell>
          <cell r="DR9">
            <v>5727842000</v>
          </cell>
          <cell r="DS9">
            <v>1.6419796495783228</v>
          </cell>
          <cell r="DT9">
            <v>0.17268</v>
          </cell>
          <cell r="DU9">
            <v>9.3179999999999999E-2</v>
          </cell>
          <cell r="DV9">
            <v>7.0819999999999994E-2</v>
          </cell>
          <cell r="DW9">
            <v>9.9059999999999995E-2</v>
          </cell>
          <cell r="DX9">
            <v>0.43573999999999996</v>
          </cell>
          <cell r="DY9">
            <v>14.80240510396108</v>
          </cell>
          <cell r="DZ9" t="e">
            <v>#DIV/0!</v>
          </cell>
          <cell r="EA9">
            <v>-11651865000</v>
          </cell>
          <cell r="EB9">
            <v>-0.80716692134692603</v>
          </cell>
          <cell r="EC9">
            <v>14.3893147289668</v>
          </cell>
          <cell r="ED9">
            <v>0.92832263246028501</v>
          </cell>
          <cell r="EE9">
            <v>0.95509856397301995</v>
          </cell>
          <cell r="EG9">
            <v>0.52376215590074549</v>
          </cell>
          <cell r="EH9">
            <v>-6.7309736755987726E-2</v>
          </cell>
          <cell r="EK9" t="str">
            <v>NULL</v>
          </cell>
          <cell r="EL9">
            <v>0</v>
          </cell>
        </row>
        <row r="10">
          <cell r="A10" t="str">
            <v>BMA</v>
          </cell>
          <cell r="B10" t="str">
            <v>BMA.BA</v>
          </cell>
          <cell r="C10" t="str">
            <v>BANCO MACRO SA</v>
          </cell>
          <cell r="E10" t="str">
            <v>NULL</v>
          </cell>
          <cell r="F10" t="str">
            <v>NULL</v>
          </cell>
          <cell r="G10" t="str">
            <v>NULL</v>
          </cell>
          <cell r="H10" t="str">
            <v>NULL</v>
          </cell>
          <cell r="I10" t="str">
            <v>NULL</v>
          </cell>
          <cell r="J10" t="str">
            <v>NULL</v>
          </cell>
          <cell r="K10">
            <v>155.9</v>
          </cell>
          <cell r="L10">
            <v>0</v>
          </cell>
          <cell r="M10">
            <v>0</v>
          </cell>
          <cell r="N10">
            <v>1.1000000000000001</v>
          </cell>
          <cell r="O10">
            <v>0</v>
          </cell>
          <cell r="P10">
            <v>1.1000000000000001</v>
          </cell>
          <cell r="Q10">
            <v>7.0558050032071846E-3</v>
          </cell>
          <cell r="R10">
            <v>0</v>
          </cell>
          <cell r="S10">
            <v>64.871038862600003</v>
          </cell>
          <cell r="T10">
            <v>37.194621091999998</v>
          </cell>
          <cell r="U10">
            <v>42825</v>
          </cell>
          <cell r="V10">
            <v>166992326000</v>
          </cell>
          <cell r="W10">
            <v>154998960000</v>
          </cell>
          <cell r="X10">
            <v>136780430000</v>
          </cell>
          <cell r="Y10">
            <v>127981078000</v>
          </cell>
          <cell r="Z10">
            <v>23869943000</v>
          </cell>
          <cell r="AA10">
            <v>6.9959247912741143</v>
          </cell>
          <cell r="AC10" t="str">
            <v>NULL</v>
          </cell>
          <cell r="AD10" t="str">
            <v>NULL</v>
          </cell>
          <cell r="AE10" t="str">
            <v>NULL</v>
          </cell>
          <cell r="AF10" t="str">
            <v>NULL</v>
          </cell>
          <cell r="AG10">
            <v>0</v>
          </cell>
          <cell r="AH10">
            <v>8480386000</v>
          </cell>
          <cell r="AI10">
            <v>9136232000</v>
          </cell>
          <cell r="AJ10">
            <v>6955162000</v>
          </cell>
          <cell r="AK10">
            <v>6852413000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22.605039999999999</v>
          </cell>
          <cell r="BF10">
            <v>1764045000</v>
          </cell>
          <cell r="BG10">
            <v>1695253000</v>
          </cell>
          <cell r="BH10">
            <v>1632692000</v>
          </cell>
          <cell r="BI10">
            <v>1805258000</v>
          </cell>
          <cell r="BJ10" t="e">
            <v>#DIV/0!</v>
          </cell>
          <cell r="BK10">
            <v>-80401000</v>
          </cell>
          <cell r="BL10">
            <v>-400420000</v>
          </cell>
          <cell r="BM10">
            <v>-268279000</v>
          </cell>
          <cell r="BN10">
            <v>-170567000</v>
          </cell>
          <cell r="BO10">
            <v>-69884000</v>
          </cell>
          <cell r="BP10">
            <v>-278796000</v>
          </cell>
          <cell r="BQ10">
            <v>284918000</v>
          </cell>
          <cell r="BR10">
            <v>12629637000</v>
          </cell>
          <cell r="BS10">
            <v>16146614000</v>
          </cell>
          <cell r="BT10">
            <v>7072809000</v>
          </cell>
          <cell r="BU10">
            <v>12857376000</v>
          </cell>
          <cell r="BV10">
            <v>3574156000</v>
          </cell>
          <cell r="BW10" t="e">
            <v>#DIV/0!</v>
          </cell>
          <cell r="BX10">
            <v>4.7019788030187033E-2</v>
          </cell>
          <cell r="BY10">
            <v>23869943000</v>
          </cell>
          <cell r="BZ10">
            <v>22105898000</v>
          </cell>
          <cell r="CA10">
            <v>20410645000</v>
          </cell>
          <cell r="CB10">
            <v>18777953000</v>
          </cell>
          <cell r="CC10" t="str">
            <v>NULL</v>
          </cell>
          <cell r="CD10" t="str">
            <v>NULL</v>
          </cell>
          <cell r="CE10" t="str">
            <v>NULL</v>
          </cell>
          <cell r="CF10" t="str">
            <v>NULL</v>
          </cell>
          <cell r="CG10" t="str">
            <v>NULL</v>
          </cell>
          <cell r="CH10" t="str">
            <v>NULL</v>
          </cell>
          <cell r="CI10" t="str">
            <v>NULL</v>
          </cell>
          <cell r="CJ10" t="str">
            <v>NULL</v>
          </cell>
          <cell r="CK10">
            <v>23869943000</v>
          </cell>
          <cell r="CL10">
            <v>22105898000</v>
          </cell>
          <cell r="CM10">
            <v>20410645000</v>
          </cell>
          <cell r="CN10">
            <v>18777953000</v>
          </cell>
          <cell r="CO10">
            <v>0.32394967105930211</v>
          </cell>
          <cell r="CP10">
            <v>1764045000</v>
          </cell>
          <cell r="CQ10">
            <v>1407629000</v>
          </cell>
          <cell r="CR10">
            <v>6540832000</v>
          </cell>
          <cell r="CS10">
            <v>5009889000</v>
          </cell>
          <cell r="CT10">
            <v>3479531000</v>
          </cell>
          <cell r="CU10">
            <v>2443564000</v>
          </cell>
          <cell r="CV10">
            <v>1493618000</v>
          </cell>
          <cell r="CW10">
            <v>1176097000</v>
          </cell>
          <cell r="CX10">
            <v>0.25320308120960844</v>
          </cell>
          <cell r="CY10">
            <v>0.41506816328875662</v>
          </cell>
          <cell r="CZ10">
            <v>0.30558421553850801</v>
          </cell>
          <cell r="DA10">
            <v>0.43981732020780973</v>
          </cell>
          <cell r="DB10">
            <v>0.42395738355942392</v>
          </cell>
          <cell r="DC10">
            <v>0.6360033154394229</v>
          </cell>
          <cell r="DD10">
            <v>0.26997858169861844</v>
          </cell>
          <cell r="DE10">
            <v>0.14365027145992709</v>
          </cell>
          <cell r="DG10">
            <v>6.3500914839967804</v>
          </cell>
          <cell r="DH10">
            <v>669663028</v>
          </cell>
          <cell r="DI10">
            <v>153.5</v>
          </cell>
          <cell r="DJ10">
            <v>102793274798</v>
          </cell>
          <cell r="DK10">
            <v>90215184555.000198</v>
          </cell>
          <cell r="DM10">
            <v>23869943000</v>
          </cell>
          <cell r="DN10" t="str">
            <v>NULL</v>
          </cell>
          <cell r="DO10" t="str">
            <v>NULL</v>
          </cell>
          <cell r="DP10">
            <v>739818000</v>
          </cell>
          <cell r="DQ10">
            <v>19204000</v>
          </cell>
          <cell r="DR10">
            <v>23110921000</v>
          </cell>
          <cell r="DS10">
            <v>4.447822516376565</v>
          </cell>
          <cell r="DT10">
            <v>3.0177200000000002</v>
          </cell>
          <cell r="DU10">
            <v>2.9000300000000001</v>
          </cell>
          <cell r="DV10">
            <v>2.7930100000000002</v>
          </cell>
          <cell r="DW10">
            <v>3.0882200000000002</v>
          </cell>
          <cell r="DX10">
            <v>11.79898</v>
          </cell>
          <cell r="DY10">
            <v>13.213006548023642</v>
          </cell>
          <cell r="DZ10" t="e">
            <v>#DIV/0!</v>
          </cell>
          <cell r="EA10">
            <v>3295360000</v>
          </cell>
          <cell r="EB10">
            <v>31.193336933749272</v>
          </cell>
          <cell r="EC10">
            <v>13.0307874070471</v>
          </cell>
          <cell r="ED10">
            <v>0.57107554910470504</v>
          </cell>
          <cell r="EE10">
            <v>0.772079624316244</v>
          </cell>
          <cell r="EG10">
            <v>0.46821830952898058</v>
          </cell>
          <cell r="EH10">
            <v>0.13945519373384596</v>
          </cell>
          <cell r="EK10">
            <v>0.89972899726829303</v>
          </cell>
          <cell r="EL10">
            <v>0</v>
          </cell>
        </row>
        <row r="11">
          <cell r="A11" t="str">
            <v>BOLT</v>
          </cell>
          <cell r="B11" t="str">
            <v>BOL.BA</v>
          </cell>
          <cell r="C11" t="str">
            <v>BOLDT SA</v>
          </cell>
          <cell r="D11">
            <v>42855</v>
          </cell>
          <cell r="E11">
            <v>1086859430</v>
          </cell>
          <cell r="F11">
            <v>359987160</v>
          </cell>
          <cell r="G11">
            <v>3.0191599999999998</v>
          </cell>
          <cell r="H11">
            <v>2.6479200000000001</v>
          </cell>
          <cell r="I11">
            <v>3.3701500000000002</v>
          </cell>
          <cell r="J11">
            <v>2.9652799999999999</v>
          </cell>
          <cell r="K11">
            <v>9.74</v>
          </cell>
          <cell r="L11">
            <v>3.5720000000000002E-2</v>
          </cell>
          <cell r="M11">
            <v>0</v>
          </cell>
          <cell r="N11">
            <v>0</v>
          </cell>
          <cell r="O11">
            <v>0</v>
          </cell>
          <cell r="P11">
            <v>3.5720000000000002E-2</v>
          </cell>
          <cell r="Q11">
            <v>3.6673511293634498E-3</v>
          </cell>
          <cell r="R11">
            <v>0</v>
          </cell>
          <cell r="S11">
            <v>3.4238132430000001</v>
          </cell>
          <cell r="T11">
            <v>4.6776349450000003</v>
          </cell>
          <cell r="U11">
            <v>42855</v>
          </cell>
          <cell r="V11">
            <v>1984474690</v>
          </cell>
          <cell r="W11">
            <v>1946498250</v>
          </cell>
          <cell r="X11">
            <v>1358263530</v>
          </cell>
          <cell r="Y11">
            <v>1284780520</v>
          </cell>
          <cell r="Z11">
            <v>1448819970</v>
          </cell>
          <cell r="AA11">
            <v>1.3697179298267128</v>
          </cell>
          <cell r="AC11">
            <v>422815340</v>
          </cell>
          <cell r="AD11">
            <v>324701630</v>
          </cell>
          <cell r="AE11">
            <v>185654250</v>
          </cell>
          <cell r="AF11">
            <v>164589790</v>
          </cell>
          <cell r="AG11">
            <v>0.83491863162374358</v>
          </cell>
          <cell r="AH11">
            <v>128160970</v>
          </cell>
          <cell r="AI11">
            <v>127829050</v>
          </cell>
          <cell r="AJ11">
            <v>53747840</v>
          </cell>
          <cell r="AK11">
            <v>36427700</v>
          </cell>
          <cell r="AL11">
            <v>200411170</v>
          </cell>
          <cell r="AM11">
            <v>161765430</v>
          </cell>
          <cell r="AN11">
            <v>99309690</v>
          </cell>
          <cell r="AO11">
            <v>96867430</v>
          </cell>
          <cell r="AP11">
            <v>56.572753468894234</v>
          </cell>
          <cell r="AQ11">
            <v>344158220</v>
          </cell>
          <cell r="AR11">
            <v>381259600</v>
          </cell>
          <cell r="AS11">
            <v>172167760</v>
          </cell>
          <cell r="AT11">
            <v>177393500</v>
          </cell>
          <cell r="AU11">
            <v>89.356280790114781</v>
          </cell>
          <cell r="AV11">
            <v>133641390</v>
          </cell>
          <cell r="AW11">
            <v>123940760</v>
          </cell>
          <cell r="AX11">
            <v>129818500</v>
          </cell>
          <cell r="AY11">
            <v>128245470</v>
          </cell>
          <cell r="AZ11">
            <v>84.27043066893151</v>
          </cell>
          <cell r="BA11">
            <v>117.05395799015207</v>
          </cell>
          <cell r="BC11">
            <v>45.142760000000003</v>
          </cell>
          <cell r="BD11">
            <v>30.17914</v>
          </cell>
          <cell r="BE11">
            <v>26.517029999999998</v>
          </cell>
          <cell r="BF11">
            <v>81080590</v>
          </cell>
          <cell r="BG11">
            <v>238803640</v>
          </cell>
          <cell r="BH11">
            <v>37386490</v>
          </cell>
          <cell r="BI11">
            <v>48302300</v>
          </cell>
          <cell r="BJ11">
            <v>0.36945475044700304</v>
          </cell>
          <cell r="BK11">
            <v>-43418040</v>
          </cell>
          <cell r="BL11">
            <v>-35721940</v>
          </cell>
          <cell r="BM11">
            <v>-88255880</v>
          </cell>
          <cell r="BN11">
            <v>-64697980</v>
          </cell>
          <cell r="BO11">
            <v>-51164030</v>
          </cell>
          <cell r="BP11">
            <v>-80509890</v>
          </cell>
          <cell r="BQ11">
            <v>183980270</v>
          </cell>
          <cell r="BR11">
            <v>20455230</v>
          </cell>
          <cell r="BS11">
            <v>377285180</v>
          </cell>
          <cell r="BT11">
            <v>287842490</v>
          </cell>
          <cell r="BU11">
            <v>-21319510</v>
          </cell>
          <cell r="BV11">
            <v>582584960</v>
          </cell>
          <cell r="BW11">
            <v>0.45736281888896746</v>
          </cell>
          <cell r="BX11">
            <v>0.24677333241878341</v>
          </cell>
          <cell r="BY11">
            <v>1448819970</v>
          </cell>
          <cell r="BZ11">
            <v>1425500510</v>
          </cell>
          <cell r="CA11">
            <v>1163176770</v>
          </cell>
          <cell r="CB11">
            <v>1114090490</v>
          </cell>
          <cell r="CC11" t="str">
            <v>NULL</v>
          </cell>
          <cell r="CD11" t="str">
            <v>NULL</v>
          </cell>
          <cell r="CE11" t="str">
            <v>NULL</v>
          </cell>
          <cell r="CF11" t="str">
            <v>NULL</v>
          </cell>
          <cell r="CG11" t="str">
            <v>NULL</v>
          </cell>
          <cell r="CH11" t="str">
            <v>NULL</v>
          </cell>
          <cell r="CI11" t="str">
            <v>NULL</v>
          </cell>
          <cell r="CJ11" t="str">
            <v>NULL</v>
          </cell>
          <cell r="CK11">
            <v>1448819970</v>
          </cell>
          <cell r="CL11">
            <v>1425500510</v>
          </cell>
          <cell r="CM11">
            <v>1163176770</v>
          </cell>
          <cell r="CN11">
            <v>1114090490</v>
          </cell>
          <cell r="CO11">
            <v>0.31491108409229968</v>
          </cell>
          <cell r="CP11">
            <v>81080590</v>
          </cell>
          <cell r="CQ11">
            <v>46260510</v>
          </cell>
          <cell r="CR11">
            <v>186127590</v>
          </cell>
          <cell r="CS11">
            <v>256336470</v>
          </cell>
          <cell r="CT11">
            <v>99671010</v>
          </cell>
          <cell r="CU11">
            <v>87608830</v>
          </cell>
          <cell r="CV11">
            <v>115303920</v>
          </cell>
          <cell r="CW11">
            <v>73916730</v>
          </cell>
          <cell r="CX11">
            <v>0.75269554961672491</v>
          </cell>
          <cell r="CY11">
            <v>0.35106777101561015</v>
          </cell>
          <cell r="CZ11">
            <v>-0.27389344949628125</v>
          </cell>
          <cell r="DA11">
            <v>1.57182574953339</v>
          </cell>
          <cell r="DB11">
            <v>0.13768224047735833</v>
          </cell>
          <cell r="DC11">
            <v>-0.24019209407624653</v>
          </cell>
          <cell r="DD11">
            <v>0.55991640863983028</v>
          </cell>
          <cell r="DE11">
            <v>0.76150606291210077</v>
          </cell>
          <cell r="DG11">
            <v>17.5580136962399</v>
          </cell>
          <cell r="DH11">
            <v>840000000</v>
          </cell>
          <cell r="DI11">
            <v>9.15</v>
          </cell>
          <cell r="DJ11">
            <v>7686000000</v>
          </cell>
          <cell r="DK11">
            <v>7551839170</v>
          </cell>
          <cell r="DM11">
            <v>1448819970</v>
          </cell>
          <cell r="DN11" t="str">
            <v>NULL</v>
          </cell>
          <cell r="DO11" t="str">
            <v>NULL</v>
          </cell>
          <cell r="DP11">
            <v>7187680</v>
          </cell>
          <cell r="DQ11" t="str">
            <v>NULL</v>
          </cell>
          <cell r="DR11">
            <v>1441632290</v>
          </cell>
          <cell r="DS11">
            <v>5.3314566088138884</v>
          </cell>
          <cell r="DT11">
            <v>9.6519999999999995E-2</v>
          </cell>
          <cell r="DU11">
            <v>0.28428999999999999</v>
          </cell>
          <cell r="DV11">
            <v>4.4510000000000001E-2</v>
          </cell>
          <cell r="DW11">
            <v>5.7500000000000002E-2</v>
          </cell>
          <cell r="DX11">
            <v>0.48281999999999997</v>
          </cell>
          <cell r="DY11">
            <v>20.173149413860241</v>
          </cell>
          <cell r="DZ11">
            <v>7.0015239473662847</v>
          </cell>
          <cell r="EA11">
            <v>502075070</v>
          </cell>
          <cell r="EB11">
            <v>15.308467715793975</v>
          </cell>
          <cell r="EC11">
            <v>18.951161923698301</v>
          </cell>
          <cell r="ED11">
            <v>0.75329692781234003</v>
          </cell>
          <cell r="EE11">
            <v>0.51315765923457801</v>
          </cell>
          <cell r="EG11">
            <v>0.43276137892305616</v>
          </cell>
          <cell r="EH11">
            <v>0.24887742965493942</v>
          </cell>
          <cell r="EK11">
            <v>0.39032021857923499</v>
          </cell>
          <cell r="EL11">
            <v>0</v>
          </cell>
        </row>
        <row r="12">
          <cell r="A12" t="str">
            <v>BPAT</v>
          </cell>
          <cell r="B12" t="str">
            <v>BPAT.BA</v>
          </cell>
          <cell r="C12" t="str">
            <v>BANCO PATAGONIA SA</v>
          </cell>
          <cell r="E12" t="str">
            <v>NULL</v>
          </cell>
          <cell r="F12" t="str">
            <v>NULL</v>
          </cell>
          <cell r="G12" t="str">
            <v>NULL</v>
          </cell>
          <cell r="H12" t="str">
            <v>NULL</v>
          </cell>
          <cell r="I12" t="str">
            <v>NULL</v>
          </cell>
          <cell r="J12" t="str">
            <v>NULL</v>
          </cell>
          <cell r="K12">
            <v>42.5</v>
          </cell>
          <cell r="L12">
            <v>0</v>
          </cell>
          <cell r="M12">
            <v>0</v>
          </cell>
          <cell r="N12">
            <v>0</v>
          </cell>
          <cell r="O12">
            <v>7.3319999999999996E-2</v>
          </cell>
          <cell r="P12">
            <v>7.3319999999999996E-2</v>
          </cell>
          <cell r="Q12">
            <v>1.7251764705882352E-3</v>
          </cell>
          <cell r="R12">
            <v>0</v>
          </cell>
          <cell r="S12">
            <v>72.887249149300004</v>
          </cell>
          <cell r="T12">
            <v>82.527623501999997</v>
          </cell>
          <cell r="U12">
            <v>42825</v>
          </cell>
          <cell r="V12">
            <v>73086384000</v>
          </cell>
          <cell r="W12">
            <v>72116987000</v>
          </cell>
          <cell r="X12">
            <v>65874860000</v>
          </cell>
          <cell r="Y12">
            <v>61877021000</v>
          </cell>
          <cell r="Z12">
            <v>9994541000</v>
          </cell>
          <cell r="AA12">
            <v>7.3126303649162079</v>
          </cell>
          <cell r="AC12" t="str">
            <v>NULL</v>
          </cell>
          <cell r="AD12" t="str">
            <v>NULL</v>
          </cell>
          <cell r="AE12" t="str">
            <v>NULL</v>
          </cell>
          <cell r="AF12" t="str">
            <v>NULL</v>
          </cell>
          <cell r="AG12">
            <v>0</v>
          </cell>
          <cell r="AH12">
            <v>2382520000</v>
          </cell>
          <cell r="AI12">
            <v>1102764000</v>
          </cell>
          <cell r="AJ12">
            <v>3394720000</v>
          </cell>
          <cell r="AK12">
            <v>2468665000</v>
          </cell>
          <cell r="AL12" t="str">
            <v>NULL</v>
          </cell>
          <cell r="AM12" t="str">
            <v>NULL</v>
          </cell>
          <cell r="AN12" t="str">
            <v>NULL</v>
          </cell>
          <cell r="AO12" t="str">
            <v>NULL</v>
          </cell>
          <cell r="AP12" t="e">
            <v>#DIV/0!</v>
          </cell>
          <cell r="AQ12" t="str">
            <v>NULL</v>
          </cell>
          <cell r="AR12" t="str">
            <v>NULL</v>
          </cell>
          <cell r="AS12" t="str">
            <v>NULL</v>
          </cell>
          <cell r="AT12" t="str">
            <v>NULL</v>
          </cell>
          <cell r="AU12" t="e">
            <v>#DIV/0!</v>
          </cell>
          <cell r="AV12" t="str">
            <v>NULL</v>
          </cell>
          <cell r="AW12" t="str">
            <v>NULL</v>
          </cell>
          <cell r="AX12" t="str">
            <v>NULL</v>
          </cell>
          <cell r="AY12" t="str">
            <v>NULL</v>
          </cell>
          <cell r="AZ12" t="e">
            <v>#DIV/0!</v>
          </cell>
          <cell r="BA12" t="e">
            <v>#DIV/0!</v>
          </cell>
          <cell r="BC12" t="str">
            <v>NULL</v>
          </cell>
          <cell r="BD12" t="str">
            <v>NULL</v>
          </cell>
          <cell r="BE12">
            <v>23.252559999999999</v>
          </cell>
          <cell r="BF12">
            <v>759289000</v>
          </cell>
          <cell r="BG12">
            <v>851924000</v>
          </cell>
          <cell r="BH12">
            <v>841156000</v>
          </cell>
          <cell r="BI12">
            <v>822335000</v>
          </cell>
          <cell r="BJ12" t="e">
            <v>#DIV/0!</v>
          </cell>
          <cell r="BK12">
            <v>-13042000</v>
          </cell>
          <cell r="BL12">
            <v>-309181000</v>
          </cell>
          <cell r="BM12">
            <v>-263093000</v>
          </cell>
          <cell r="BN12">
            <v>-128165000</v>
          </cell>
          <cell r="BO12">
            <v>-112138000</v>
          </cell>
          <cell r="BP12">
            <v>-163997000</v>
          </cell>
          <cell r="BQ12">
            <v>985465000</v>
          </cell>
          <cell r="BR12">
            <v>2474783000</v>
          </cell>
          <cell r="BS12">
            <v>791678000</v>
          </cell>
          <cell r="BT12">
            <v>-452965000</v>
          </cell>
          <cell r="BU12">
            <v>-741216000</v>
          </cell>
          <cell r="BV12">
            <v>2518359000</v>
          </cell>
          <cell r="BW12" t="e">
            <v>#DIV/0!</v>
          </cell>
          <cell r="BX12">
            <v>4.798887694602777E-2</v>
          </cell>
          <cell r="BY12">
            <v>9994541000</v>
          </cell>
          <cell r="BZ12">
            <v>9235252000</v>
          </cell>
          <cell r="CA12">
            <v>8383328000</v>
          </cell>
          <cell r="CB12">
            <v>9204705000</v>
          </cell>
          <cell r="CC12" t="str">
            <v>NULL</v>
          </cell>
          <cell r="CD12" t="str">
            <v>NULL</v>
          </cell>
          <cell r="CE12" t="str">
            <v>NULL</v>
          </cell>
          <cell r="CF12" t="str">
            <v>NULL</v>
          </cell>
          <cell r="CG12" t="str">
            <v>NULL</v>
          </cell>
          <cell r="CH12" t="str">
            <v>NULL</v>
          </cell>
          <cell r="CI12" t="str">
            <v>NULL</v>
          </cell>
          <cell r="CJ12" t="str">
            <v>NULL</v>
          </cell>
          <cell r="CK12">
            <v>9994541000</v>
          </cell>
          <cell r="CL12">
            <v>9235252000</v>
          </cell>
          <cell r="CM12">
            <v>8383328000</v>
          </cell>
          <cell r="CN12">
            <v>9204705000</v>
          </cell>
          <cell r="CO12">
            <v>0.35577374937890138</v>
          </cell>
          <cell r="CP12">
            <v>759289000</v>
          </cell>
          <cell r="CQ12">
            <v>753577000</v>
          </cell>
          <cell r="CR12">
            <v>3268992000</v>
          </cell>
          <cell r="CS12">
            <v>2405533000</v>
          </cell>
          <cell r="CT12">
            <v>2175977000</v>
          </cell>
          <cell r="CU12">
            <v>1229685000</v>
          </cell>
          <cell r="CV12">
            <v>884644000</v>
          </cell>
          <cell r="CW12">
            <v>591917000</v>
          </cell>
          <cell r="CX12">
            <v>7.5798491726790651E-3</v>
          </cell>
          <cell r="CY12">
            <v>0.42371143575055059</v>
          </cell>
          <cell r="CZ12">
            <v>0.35894706079692118</v>
          </cell>
          <cell r="DA12">
            <v>0.10549560036709948</v>
          </cell>
          <cell r="DB12">
            <v>0.76954016679068227</v>
          </cell>
          <cell r="DC12">
            <v>0.39003373108278594</v>
          </cell>
          <cell r="DD12">
            <v>0.4945406197152642</v>
          </cell>
          <cell r="DE12">
            <v>0.24041849682249197</v>
          </cell>
          <cell r="DG12">
            <v>3.7111770042224599</v>
          </cell>
          <cell r="DH12">
            <v>719145237</v>
          </cell>
          <cell r="DI12">
            <v>42</v>
          </cell>
          <cell r="DJ12">
            <v>30204099954</v>
          </cell>
          <cell r="DK12">
            <v>25468319598.000099</v>
          </cell>
          <cell r="DM12">
            <v>9994541000</v>
          </cell>
          <cell r="DN12" t="str">
            <v>NULL</v>
          </cell>
          <cell r="DO12" t="str">
            <v>NULL</v>
          </cell>
          <cell r="DP12">
            <v>63460000</v>
          </cell>
          <cell r="DQ12" t="str">
            <v>NULL</v>
          </cell>
          <cell r="DR12">
            <v>9931081000</v>
          </cell>
          <cell r="DS12">
            <v>3.0413708189471014</v>
          </cell>
          <cell r="DT12">
            <v>1.05582</v>
          </cell>
          <cell r="DU12">
            <v>1.1846300000000001</v>
          </cell>
          <cell r="DV12">
            <v>1.1696599999999999</v>
          </cell>
          <cell r="DW12">
            <v>1.1434899999999999</v>
          </cell>
          <cell r="DX12">
            <v>4.5535999999999994</v>
          </cell>
          <cell r="DY12">
            <v>9.3332747716092772</v>
          </cell>
          <cell r="DZ12" t="e">
            <v>#DIV/0!</v>
          </cell>
          <cell r="EA12">
            <v>2354362000</v>
          </cell>
          <cell r="EB12">
            <v>12.828995691401747</v>
          </cell>
          <cell r="EC12">
            <v>9.2234715390021105</v>
          </cell>
          <cell r="ED12">
            <v>0.77704168686935604</v>
          </cell>
          <cell r="EE12">
            <v>0.78467942004436297</v>
          </cell>
          <cell r="EG12">
            <v>0.44229491771342427</v>
          </cell>
          <cell r="EH12">
            <v>0.11592041677117249</v>
          </cell>
          <cell r="EK12" t="str">
            <v>NULL</v>
          </cell>
          <cell r="EL12">
            <v>0</v>
          </cell>
        </row>
        <row r="13">
          <cell r="A13" t="str">
            <v>BRIO</v>
          </cell>
          <cell r="B13" t="str">
            <v>RIO.BA</v>
          </cell>
          <cell r="C13" t="str">
            <v>BANCO SANTANDER RIO SA</v>
          </cell>
          <cell r="E13" t="str">
            <v>NULL</v>
          </cell>
          <cell r="F13" t="str">
            <v>NULL</v>
          </cell>
          <cell r="G13" t="str">
            <v>NULL</v>
          </cell>
          <cell r="H13" t="str">
            <v>NULL</v>
          </cell>
          <cell r="I13" t="str">
            <v>NULL</v>
          </cell>
          <cell r="J13" t="str">
            <v>NULL</v>
          </cell>
          <cell r="K13">
            <v>26.900000000000002</v>
          </cell>
          <cell r="L13">
            <v>0.72299999999999998</v>
          </cell>
          <cell r="M13">
            <v>0</v>
          </cell>
          <cell r="N13">
            <v>0</v>
          </cell>
          <cell r="O13">
            <v>0</v>
          </cell>
          <cell r="P13">
            <v>0.72299999999999998</v>
          </cell>
          <cell r="Q13">
            <v>2.6877323420074345E-2</v>
          </cell>
          <cell r="R13">
            <v>0</v>
          </cell>
          <cell r="S13">
            <v>116.9297884285</v>
          </cell>
          <cell r="T13">
            <v>40.677040110599997</v>
          </cell>
          <cell r="U13">
            <v>42825</v>
          </cell>
          <cell r="V13">
            <v>249613887000</v>
          </cell>
          <cell r="W13">
            <v>211351059000</v>
          </cell>
          <cell r="X13">
            <v>170418655000</v>
          </cell>
          <cell r="Y13">
            <v>165269407000</v>
          </cell>
          <cell r="Z13">
            <v>22878508000</v>
          </cell>
          <cell r="AA13">
            <v>10.910409323894722</v>
          </cell>
          <cell r="AC13" t="str">
            <v>NULL</v>
          </cell>
          <cell r="AD13" t="str">
            <v>NULL</v>
          </cell>
          <cell r="AE13" t="str">
            <v>NULL</v>
          </cell>
          <cell r="AF13" t="str">
            <v>NULL</v>
          </cell>
          <cell r="AG13">
            <v>0</v>
          </cell>
          <cell r="AH13">
            <v>3813525000</v>
          </cell>
          <cell r="AI13">
            <v>3594138000</v>
          </cell>
          <cell r="AJ13">
            <v>6044679000</v>
          </cell>
          <cell r="AK13">
            <v>2909695000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22.987200000000001</v>
          </cell>
          <cell r="BF13">
            <v>1527129000</v>
          </cell>
          <cell r="BG13">
            <v>1657962000</v>
          </cell>
          <cell r="BH13">
            <v>1324658000</v>
          </cell>
          <cell r="BI13">
            <v>1364061000</v>
          </cell>
          <cell r="BJ13" t="e">
            <v>#DIV/0!</v>
          </cell>
          <cell r="BK13">
            <v>-228713000</v>
          </cell>
          <cell r="BL13">
            <v>-1727331000</v>
          </cell>
          <cell r="BM13">
            <v>-1054266000</v>
          </cell>
          <cell r="BN13">
            <v>-511025000</v>
          </cell>
          <cell r="BO13">
            <v>-200872000</v>
          </cell>
          <cell r="BP13">
            <v>-1082107000</v>
          </cell>
          <cell r="BQ13">
            <v>-1774046000</v>
          </cell>
          <cell r="BR13">
            <v>34866625000</v>
          </cell>
          <cell r="BS13">
            <v>5143259000</v>
          </cell>
          <cell r="BT13">
            <v>3443317000</v>
          </cell>
          <cell r="BU13">
            <v>-10535618000</v>
          </cell>
          <cell r="BV13">
            <v>13904831000</v>
          </cell>
          <cell r="BW13" t="e">
            <v>#DIV/0!</v>
          </cell>
          <cell r="BX13">
            <v>2.9492438695467776E-2</v>
          </cell>
          <cell r="BY13">
            <v>22878508000</v>
          </cell>
          <cell r="BZ13">
            <v>21351379000</v>
          </cell>
          <cell r="CA13">
            <v>19693420000</v>
          </cell>
          <cell r="CB13">
            <v>18368760000</v>
          </cell>
          <cell r="CC13" t="str">
            <v>NULL</v>
          </cell>
          <cell r="CD13" t="str">
            <v>NULL</v>
          </cell>
          <cell r="CE13" t="str">
            <v>NULL</v>
          </cell>
          <cell r="CF13" t="str">
            <v>NULL</v>
          </cell>
          <cell r="CG13" t="str">
            <v>NULL</v>
          </cell>
          <cell r="CH13" t="str">
            <v>NULL</v>
          </cell>
          <cell r="CI13" t="str">
            <v>NULL</v>
          </cell>
          <cell r="CJ13" t="str">
            <v>NULL</v>
          </cell>
          <cell r="CK13">
            <v>22878508000</v>
          </cell>
          <cell r="CL13">
            <v>21351379000</v>
          </cell>
          <cell r="CM13">
            <v>19693420000</v>
          </cell>
          <cell r="CN13">
            <v>18368760000</v>
          </cell>
          <cell r="CO13">
            <v>0.28551038826136182</v>
          </cell>
          <cell r="CP13">
            <v>1527129000</v>
          </cell>
          <cell r="CQ13">
            <v>839899000</v>
          </cell>
          <cell r="CR13">
            <v>5186580000</v>
          </cell>
          <cell r="CS13">
            <v>4208538000</v>
          </cell>
          <cell r="CT13">
            <v>3233041000</v>
          </cell>
          <cell r="CU13">
            <v>2289753000</v>
          </cell>
          <cell r="CV13">
            <v>1954377000</v>
          </cell>
          <cell r="CW13">
            <v>1676972000</v>
          </cell>
          <cell r="CX13">
            <v>0.81822933471762682</v>
          </cell>
          <cell r="CY13">
            <v>0.25662107532228789</v>
          </cell>
          <cell r="CZ13">
            <v>0.23239471759551655</v>
          </cell>
          <cell r="DA13">
            <v>0.30172738298091484</v>
          </cell>
          <cell r="DB13">
            <v>0.41196059138256391</v>
          </cell>
          <cell r="DC13">
            <v>0.17160251067219878</v>
          </cell>
          <cell r="DD13">
            <v>0.16542017398024544</v>
          </cell>
          <cell r="DE13">
            <v>0.1028319276658559</v>
          </cell>
          <cell r="DG13">
            <v>1.3527362226788</v>
          </cell>
          <cell r="DH13">
            <v>2157750030</v>
          </cell>
          <cell r="DI13">
            <v>26.85</v>
          </cell>
          <cell r="DJ13">
            <v>58636469161.800003</v>
          </cell>
          <cell r="DK13">
            <v>14386854298.8001</v>
          </cell>
          <cell r="DM13">
            <v>22878508000</v>
          </cell>
          <cell r="DN13" t="str">
            <v>NULL</v>
          </cell>
          <cell r="DO13" t="str">
            <v>NULL</v>
          </cell>
          <cell r="DP13">
            <v>1971830000</v>
          </cell>
          <cell r="DQ13">
            <v>12554000</v>
          </cell>
          <cell r="DR13">
            <v>20894124000</v>
          </cell>
          <cell r="DS13">
            <v>2.8063616910572562</v>
          </cell>
          <cell r="DT13">
            <v>0.70774000000000004</v>
          </cell>
          <cell r="DU13">
            <v>0.76837</v>
          </cell>
          <cell r="DV13">
            <v>0.61390999999999996</v>
          </cell>
          <cell r="DW13">
            <v>0.63217000000000001</v>
          </cell>
          <cell r="DX13">
            <v>2.7221899999999999</v>
          </cell>
          <cell r="DY13">
            <v>9.8817496207097975</v>
          </cell>
          <cell r="DZ13" t="e">
            <v>#DIV/0!</v>
          </cell>
          <cell r="EA13">
            <v>12822724000</v>
          </cell>
          <cell r="EB13">
            <v>4.5728559050167501</v>
          </cell>
          <cell r="EC13">
            <v>9.8633820563590309</v>
          </cell>
          <cell r="ED13">
            <v>0.60125146963801002</v>
          </cell>
          <cell r="EE13">
            <v>0.65827980162159805</v>
          </cell>
          <cell r="EG13">
            <v>0.43554236183282197</v>
          </cell>
          <cell r="EH13">
            <v>8.5419297976743191E-2</v>
          </cell>
          <cell r="EK13">
            <v>2.6927374301675999</v>
          </cell>
          <cell r="EL13">
            <v>0</v>
          </cell>
        </row>
        <row r="14">
          <cell r="A14" t="str">
            <v>CADO</v>
          </cell>
          <cell r="B14" t="str">
            <v>CAO.BA</v>
          </cell>
          <cell r="C14" t="str">
            <v>CARLOS CASADO SA</v>
          </cell>
          <cell r="D14">
            <v>42825</v>
          </cell>
          <cell r="E14">
            <v>217097800</v>
          </cell>
          <cell r="F14">
            <v>70401220</v>
          </cell>
          <cell r="G14">
            <v>3.08372</v>
          </cell>
          <cell r="H14">
            <v>2.91303</v>
          </cell>
          <cell r="I14">
            <v>7.1981999999999999</v>
          </cell>
          <cell r="J14">
            <v>6.8953499999999996</v>
          </cell>
          <cell r="K14">
            <v>9.5500000000000007</v>
          </cell>
          <cell r="L14">
            <v>0</v>
          </cell>
          <cell r="M14">
            <v>0.11526</v>
          </cell>
          <cell r="N14">
            <v>0</v>
          </cell>
          <cell r="O14">
            <v>0</v>
          </cell>
          <cell r="P14">
            <v>0.11526</v>
          </cell>
          <cell r="Q14">
            <v>1.2069109947643979E-2</v>
          </cell>
          <cell r="R14">
            <v>0</v>
          </cell>
          <cell r="S14">
            <v>1.5936591699999999E-2</v>
          </cell>
          <cell r="T14">
            <v>1.5538689E-2</v>
          </cell>
          <cell r="U14">
            <v>42825</v>
          </cell>
          <cell r="V14">
            <v>687267510</v>
          </cell>
          <cell r="W14">
            <v>669414020</v>
          </cell>
          <cell r="X14">
            <v>670665110</v>
          </cell>
          <cell r="Y14">
            <v>651173890</v>
          </cell>
          <cell r="Z14">
            <v>586386360</v>
          </cell>
          <cell r="AA14">
            <v>1.1720387049930698</v>
          </cell>
          <cell r="AC14">
            <v>1724520</v>
          </cell>
          <cell r="AD14">
            <v>492470</v>
          </cell>
          <cell r="AE14">
            <v>432270</v>
          </cell>
          <cell r="AF14">
            <v>2954020</v>
          </cell>
          <cell r="AG14">
            <v>1.0459487526290003E-2</v>
          </cell>
          <cell r="AH14">
            <v>34964210</v>
          </cell>
          <cell r="AI14">
            <v>1697280</v>
          </cell>
          <cell r="AJ14">
            <v>1333850</v>
          </cell>
          <cell r="AK14">
            <v>1171600</v>
          </cell>
          <cell r="AL14">
            <v>2435100</v>
          </cell>
          <cell r="AM14">
            <v>798720</v>
          </cell>
          <cell r="AN14">
            <v>614120</v>
          </cell>
          <cell r="AO14">
            <v>3336050</v>
          </cell>
          <cell r="AP14">
            <v>497.49279648217771</v>
          </cell>
          <cell r="AQ14" t="str">
            <v>NULL</v>
          </cell>
          <cell r="AR14">
            <v>0</v>
          </cell>
          <cell r="AS14">
            <v>0</v>
          </cell>
          <cell r="AT14">
            <v>0</v>
          </cell>
          <cell r="AU14">
            <v>0</v>
          </cell>
          <cell r="AV14">
            <v>12017050</v>
          </cell>
          <cell r="AW14">
            <v>9522450</v>
          </cell>
          <cell r="AX14">
            <v>26207000</v>
          </cell>
          <cell r="AY14">
            <v>20711960</v>
          </cell>
          <cell r="AZ14">
            <v>869.54943909999872</v>
          </cell>
          <cell r="BA14">
            <v>372.05664261782101</v>
          </cell>
          <cell r="BC14">
            <v>-25.64367</v>
          </cell>
          <cell r="BD14">
            <v>-666.21902999999998</v>
          </cell>
          <cell r="BE14">
            <v>1456.45146</v>
          </cell>
          <cell r="BF14">
            <v>-719980</v>
          </cell>
          <cell r="BG14">
            <v>5050870</v>
          </cell>
          <cell r="BH14">
            <v>-543520</v>
          </cell>
          <cell r="BI14">
            <v>14186850</v>
          </cell>
          <cell r="BJ14">
            <v>3.207803286646393</v>
          </cell>
          <cell r="BK14" t="str">
            <v>NULL</v>
          </cell>
          <cell r="BL14">
            <v>-9922760</v>
          </cell>
          <cell r="BM14">
            <v>-8120510</v>
          </cell>
          <cell r="BN14">
            <v>-622890</v>
          </cell>
          <cell r="BO14">
            <v>-5632220</v>
          </cell>
          <cell r="BP14" t="e">
            <v>#VALUE!</v>
          </cell>
          <cell r="BQ14">
            <v>-4698820</v>
          </cell>
          <cell r="BR14">
            <v>10810330</v>
          </cell>
          <cell r="BS14">
            <v>-18513740</v>
          </cell>
          <cell r="BT14">
            <v>-13451350</v>
          </cell>
          <cell r="BU14">
            <v>-34576350</v>
          </cell>
          <cell r="BV14">
            <v>11363790</v>
          </cell>
          <cell r="BW14" t="e">
            <v>#VALUE!</v>
          </cell>
          <cell r="BX14">
            <v>2.6842011922156146E-2</v>
          </cell>
          <cell r="BY14">
            <v>586386360</v>
          </cell>
          <cell r="BZ14">
            <v>604040680</v>
          </cell>
          <cell r="CA14">
            <v>587777680</v>
          </cell>
          <cell r="CB14">
            <v>573592360</v>
          </cell>
          <cell r="CC14" t="str">
            <v>NULL</v>
          </cell>
          <cell r="CD14" t="str">
            <v>NULL</v>
          </cell>
          <cell r="CE14" t="str">
            <v>NULL</v>
          </cell>
          <cell r="CF14" t="str">
            <v>NULL</v>
          </cell>
          <cell r="CG14" t="str">
            <v>NULL</v>
          </cell>
          <cell r="CH14" t="str">
            <v>NULL</v>
          </cell>
          <cell r="CI14" t="str">
            <v>NULL</v>
          </cell>
          <cell r="CJ14" t="str">
            <v>NULL</v>
          </cell>
          <cell r="CK14">
            <v>586386360</v>
          </cell>
          <cell r="CL14">
            <v>604040680</v>
          </cell>
          <cell r="CM14">
            <v>587777680</v>
          </cell>
          <cell r="CN14">
            <v>573592360</v>
          </cell>
          <cell r="CO14">
            <v>3.0571038892522138E-2</v>
          </cell>
          <cell r="CP14">
            <v>-719980</v>
          </cell>
          <cell r="CQ14">
            <v>43547680</v>
          </cell>
          <cell r="CR14">
            <v>62241880</v>
          </cell>
          <cell r="CS14">
            <v>63969700</v>
          </cell>
          <cell r="CT14">
            <v>74752290</v>
          </cell>
          <cell r="CU14">
            <v>55495480</v>
          </cell>
          <cell r="CV14">
            <v>108238660</v>
          </cell>
          <cell r="CW14">
            <v>50835610</v>
          </cell>
          <cell r="CX14">
            <v>-1.0165331425233215</v>
          </cell>
          <cell r="CY14">
            <v>0.16352946935970675</v>
          </cell>
          <cell r="CZ14">
            <v>-2.7009975035055644E-2</v>
          </cell>
          <cell r="DA14">
            <v>-0.14424427666363127</v>
          </cell>
          <cell r="DB14">
            <v>0.34699780955133641</v>
          </cell>
          <cell r="DC14">
            <v>-0.48728596603099117</v>
          </cell>
          <cell r="DD14">
            <v>1.1291897549768755</v>
          </cell>
          <cell r="DE14">
            <v>0.61659368887160815</v>
          </cell>
          <cell r="DG14" t="str">
            <v>NULL</v>
          </cell>
          <cell r="DH14">
            <v>110000000</v>
          </cell>
          <cell r="DI14">
            <v>9.6</v>
          </cell>
          <cell r="DJ14">
            <v>1056000000</v>
          </cell>
          <cell r="DK14">
            <v>1040645790</v>
          </cell>
          <cell r="DM14">
            <v>586386360</v>
          </cell>
          <cell r="DN14" t="str">
            <v>NULL</v>
          </cell>
          <cell r="DO14" t="str">
            <v>NULL</v>
          </cell>
          <cell r="DP14" t="str">
            <v>NULL</v>
          </cell>
          <cell r="DQ14" t="str">
            <v>NULL</v>
          </cell>
          <cell r="DR14">
            <v>586386360</v>
          </cell>
          <cell r="DS14">
            <v>1.8008604429339046</v>
          </cell>
          <cell r="DT14">
            <v>-6.5500000000000003E-3</v>
          </cell>
          <cell r="DU14">
            <v>4.5920000000000002E-2</v>
          </cell>
          <cell r="DV14">
            <v>-4.9399999999999999E-3</v>
          </cell>
          <cell r="DW14">
            <v>0.11724999999999999</v>
          </cell>
          <cell r="DX14">
            <v>0.15167999999999998</v>
          </cell>
          <cell r="DY14">
            <v>62.961497890295369</v>
          </cell>
          <cell r="DZ14">
            <v>188.46104424551334</v>
          </cell>
          <cell r="EA14" t="e">
            <v>#VALUE!</v>
          </cell>
          <cell r="EB14" t="e">
            <v>#VALUE!</v>
          </cell>
          <cell r="EC14">
            <v>63.291139240506297</v>
          </cell>
          <cell r="ED14">
            <v>0.37478068734470199</v>
          </cell>
          <cell r="EE14">
            <v>0.70640869508925397</v>
          </cell>
          <cell r="EG14">
            <v>0.3292105627127444</v>
          </cell>
          <cell r="EH14">
            <v>4.6535178669679933E-3</v>
          </cell>
          <cell r="EK14">
            <v>1.6525378770833301</v>
          </cell>
          <cell r="EL14">
            <v>0</v>
          </cell>
        </row>
        <row r="15">
          <cell r="A15" t="str">
            <v>CAPU</v>
          </cell>
          <cell r="B15" t="str">
            <v>CAU.BA</v>
          </cell>
          <cell r="C15" t="str">
            <v>CAPUTO SAIC Y F</v>
          </cell>
          <cell r="D15">
            <v>42825</v>
          </cell>
          <cell r="E15">
            <v>858554000</v>
          </cell>
          <cell r="F15">
            <v>745426000</v>
          </cell>
          <cell r="G15">
            <v>1.1517599999999999</v>
          </cell>
          <cell r="H15">
            <v>1.1515299999999999</v>
          </cell>
          <cell r="I15">
            <v>1.1615899999999999</v>
          </cell>
          <cell r="J15">
            <v>1.16127</v>
          </cell>
          <cell r="K15">
            <v>17.900000000000002</v>
          </cell>
          <cell r="L15">
            <v>0</v>
          </cell>
          <cell r="M15" t="str">
            <v>NULL</v>
          </cell>
          <cell r="N15">
            <v>0</v>
          </cell>
          <cell r="O15">
            <v>0.71445999999999998</v>
          </cell>
          <cell r="P15">
            <v>0.71445999999999998</v>
          </cell>
          <cell r="Q15">
            <v>3.991396648044692E-2</v>
          </cell>
          <cell r="R15">
            <v>0</v>
          </cell>
          <cell r="S15">
            <v>19.828300029699999</v>
          </cell>
          <cell r="T15">
            <v>9.6723792779999993</v>
          </cell>
          <cell r="U15">
            <v>42825</v>
          </cell>
          <cell r="V15">
            <v>1161089000</v>
          </cell>
          <cell r="W15">
            <v>909814000</v>
          </cell>
          <cell r="X15">
            <v>939187000</v>
          </cell>
          <cell r="Y15">
            <v>722275000</v>
          </cell>
          <cell r="Z15">
            <v>384042000</v>
          </cell>
          <cell r="AA15">
            <v>3.0233385931747048</v>
          </cell>
          <cell r="AC15">
            <v>571282000</v>
          </cell>
          <cell r="AD15">
            <v>488104000</v>
          </cell>
          <cell r="AE15">
            <v>494618000</v>
          </cell>
          <cell r="AF15">
            <v>311541000</v>
          </cell>
          <cell r="AG15">
            <v>2.4991173090791601</v>
          </cell>
          <cell r="AH15">
            <v>176917000</v>
          </cell>
          <cell r="AI15">
            <v>151712000</v>
          </cell>
          <cell r="AJ15">
            <v>171585000</v>
          </cell>
          <cell r="AK15">
            <v>115684000</v>
          </cell>
          <cell r="AL15">
            <v>491396000</v>
          </cell>
          <cell r="AM15">
            <v>403954000</v>
          </cell>
          <cell r="AN15">
            <v>422653000</v>
          </cell>
          <cell r="AO15">
            <v>264030000</v>
          </cell>
          <cell r="AP15">
            <v>35.524349049608951</v>
          </cell>
          <cell r="AQ15">
            <v>634188000</v>
          </cell>
          <cell r="AR15">
            <v>437792000</v>
          </cell>
          <cell r="AS15">
            <v>488055000</v>
          </cell>
          <cell r="AT15">
            <v>275034000</v>
          </cell>
          <cell r="AU15">
            <v>89.759317652482238</v>
          </cell>
          <cell r="AV15">
            <v>170000</v>
          </cell>
          <cell r="AW15">
            <v>170000</v>
          </cell>
          <cell r="AX15">
            <v>320000</v>
          </cell>
          <cell r="AY15">
            <v>320000</v>
          </cell>
          <cell r="AZ15">
            <v>5.6525369571936865E-2</v>
          </cell>
          <cell r="BA15">
            <v>54.291493972445231</v>
          </cell>
          <cell r="BC15">
            <v>15.597770000000001</v>
          </cell>
          <cell r="BD15">
            <v>11.90441</v>
          </cell>
          <cell r="BE15">
            <v>9.1903299999999994</v>
          </cell>
          <cell r="BF15">
            <v>35865000</v>
          </cell>
          <cell r="BG15">
            <v>59624000</v>
          </cell>
          <cell r="BH15">
            <v>44052000</v>
          </cell>
          <cell r="BI15">
            <v>14319000</v>
          </cell>
          <cell r="BJ15">
            <v>8.2474558373022366E-2</v>
          </cell>
          <cell r="BK15">
            <v>-1359000</v>
          </cell>
          <cell r="BL15">
            <v>-6670000</v>
          </cell>
          <cell r="BM15">
            <v>-5296000</v>
          </cell>
          <cell r="BN15">
            <v>-3129000</v>
          </cell>
          <cell r="BO15">
            <v>-1724000</v>
          </cell>
          <cell r="BP15">
            <v>-4931000</v>
          </cell>
          <cell r="BQ15">
            <v>-61226000</v>
          </cell>
          <cell r="BR15">
            <v>-60733000</v>
          </cell>
          <cell r="BS15">
            <v>-91884000</v>
          </cell>
          <cell r="BT15">
            <v>-22031000</v>
          </cell>
          <cell r="BU15">
            <v>-35025000</v>
          </cell>
          <cell r="BV15">
            <v>-118085000</v>
          </cell>
          <cell r="BW15">
            <v>-6.5941052078615101E-2</v>
          </cell>
          <cell r="BX15">
            <v>0.16489276906197545</v>
          </cell>
          <cell r="BY15">
            <v>384042000</v>
          </cell>
          <cell r="BZ15">
            <v>348177000</v>
          </cell>
          <cell r="CA15">
            <v>288729000</v>
          </cell>
          <cell r="CB15">
            <v>244432000</v>
          </cell>
          <cell r="CC15" t="str">
            <v>NULL</v>
          </cell>
          <cell r="CD15" t="str">
            <v>NULL</v>
          </cell>
          <cell r="CE15" t="str">
            <v>NULL</v>
          </cell>
          <cell r="CF15" t="str">
            <v>NULL</v>
          </cell>
          <cell r="CG15" t="str">
            <v>NULL</v>
          </cell>
          <cell r="CH15" t="str">
            <v>NULL</v>
          </cell>
          <cell r="CI15" t="str">
            <v>NULL</v>
          </cell>
          <cell r="CJ15" t="str">
            <v>NULL</v>
          </cell>
          <cell r="CK15">
            <v>384042000</v>
          </cell>
          <cell r="CL15">
            <v>348177000</v>
          </cell>
          <cell r="CM15">
            <v>288729000</v>
          </cell>
          <cell r="CN15">
            <v>244432000</v>
          </cell>
          <cell r="CO15">
            <v>0.4863677314324551</v>
          </cell>
          <cell r="CP15">
            <v>35865000</v>
          </cell>
          <cell r="CQ15">
            <v>25744000</v>
          </cell>
          <cell r="CR15">
            <v>143739000</v>
          </cell>
          <cell r="CS15">
            <v>100111750</v>
          </cell>
          <cell r="CT15">
            <v>65788930</v>
          </cell>
          <cell r="CU15">
            <v>24408970</v>
          </cell>
          <cell r="CV15">
            <v>25867460</v>
          </cell>
          <cell r="CW15">
            <v>30052650</v>
          </cell>
          <cell r="CX15">
            <v>0.39314014916096962</v>
          </cell>
          <cell r="CY15">
            <v>0.49142566808242261</v>
          </cell>
          <cell r="CZ15">
            <v>0.43578550969291818</v>
          </cell>
          <cell r="DA15">
            <v>0.52171117542115364</v>
          </cell>
          <cell r="DB15">
            <v>1.695276777348655</v>
          </cell>
          <cell r="DC15">
            <v>-5.6383193402057996E-2</v>
          </cell>
          <cell r="DD15">
            <v>-0.13926192864855513</v>
          </cell>
          <cell r="DE15">
            <v>0.73333688129214036</v>
          </cell>
          <cell r="DG15">
            <v>9.4749491902113405</v>
          </cell>
          <cell r="DH15">
            <v>83979540</v>
          </cell>
          <cell r="DI15">
            <v>18.100000000000001</v>
          </cell>
          <cell r="DJ15">
            <v>1520029674</v>
          </cell>
          <cell r="DK15">
            <v>1543298674</v>
          </cell>
          <cell r="DM15">
            <v>384042000</v>
          </cell>
          <cell r="DN15" t="str">
            <v>NULL</v>
          </cell>
          <cell r="DO15" t="str">
            <v>NULL</v>
          </cell>
          <cell r="DP15">
            <v>1112000</v>
          </cell>
          <cell r="DQ15" t="str">
            <v>NULL</v>
          </cell>
          <cell r="DR15">
            <v>382930000</v>
          </cell>
          <cell r="DS15">
            <v>3.9694713759694982</v>
          </cell>
          <cell r="DT15">
            <v>0.42707000000000001</v>
          </cell>
          <cell r="DU15">
            <v>0.70998000000000006</v>
          </cell>
          <cell r="DV15">
            <v>0.52456000000000003</v>
          </cell>
          <cell r="DW15">
            <v>0.17050999999999999</v>
          </cell>
          <cell r="DX15">
            <v>1.83212</v>
          </cell>
          <cell r="DY15">
            <v>9.7701023950396273</v>
          </cell>
          <cell r="DZ15">
            <v>0.81479121329155824</v>
          </cell>
          <cell r="EA15">
            <v>-123016000</v>
          </cell>
          <cell r="EB15">
            <v>-12.356357498211615</v>
          </cell>
          <cell r="EC15">
            <v>9.8792655502914695</v>
          </cell>
          <cell r="ED15">
            <v>0.64253032138281096</v>
          </cell>
          <cell r="EE15">
            <v>0.90621706331378404</v>
          </cell>
          <cell r="EG15">
            <v>0.53392424064312682</v>
          </cell>
          <cell r="EH15">
            <v>0.17309141773376902</v>
          </cell>
          <cell r="EK15">
            <v>1.97364569060774</v>
          </cell>
          <cell r="EL15">
            <v>0</v>
          </cell>
        </row>
        <row r="16">
          <cell r="A16" t="str">
            <v>CAPX</v>
          </cell>
          <cell r="B16" t="str">
            <v>CPS.BA</v>
          </cell>
          <cell r="C16" t="str">
            <v>CAPEX SA</v>
          </cell>
          <cell r="D16">
            <v>42855</v>
          </cell>
          <cell r="E16">
            <v>2220810830</v>
          </cell>
          <cell r="F16">
            <v>3930921920</v>
          </cell>
          <cell r="G16">
            <v>0.56496000000000002</v>
          </cell>
          <cell r="H16">
            <v>0.55545</v>
          </cell>
          <cell r="I16">
            <v>3.5543900000000002</v>
          </cell>
          <cell r="J16">
            <v>3.4897399999999998</v>
          </cell>
          <cell r="K16">
            <v>69.7</v>
          </cell>
          <cell r="L16" t="str">
            <v>NULL</v>
          </cell>
          <cell r="M16">
            <v>0</v>
          </cell>
          <cell r="N16">
            <v>0</v>
          </cell>
          <cell r="O16">
            <v>0</v>
          </cell>
          <cell r="P16">
            <v>0</v>
          </cell>
          <cell r="Q16">
            <v>0</v>
          </cell>
          <cell r="R16">
            <v>0</v>
          </cell>
          <cell r="S16">
            <v>97.0581987865</v>
          </cell>
          <cell r="T16">
            <v>105.886018857</v>
          </cell>
          <cell r="U16">
            <v>42855</v>
          </cell>
          <cell r="V16">
            <v>9230780750</v>
          </cell>
          <cell r="W16">
            <v>9142724500</v>
          </cell>
          <cell r="X16">
            <v>6967219070</v>
          </cell>
          <cell r="Y16">
            <v>6827338680</v>
          </cell>
          <cell r="Z16">
            <v>3516882090</v>
          </cell>
          <cell r="AA16">
            <v>2.6247057802270533</v>
          </cell>
          <cell r="AC16">
            <v>750498910</v>
          </cell>
          <cell r="AD16">
            <v>723252310</v>
          </cell>
          <cell r="AE16">
            <v>735404630</v>
          </cell>
          <cell r="AF16">
            <v>686495200</v>
          </cell>
          <cell r="AG16">
            <v>0.45008106213221738</v>
          </cell>
          <cell r="AH16">
            <v>343973840</v>
          </cell>
          <cell r="AI16">
            <v>240614810</v>
          </cell>
          <cell r="AJ16">
            <v>235769230</v>
          </cell>
          <cell r="AK16">
            <v>266123940</v>
          </cell>
          <cell r="AL16">
            <v>408000970</v>
          </cell>
          <cell r="AM16">
            <v>306071970</v>
          </cell>
          <cell r="AN16">
            <v>309560680</v>
          </cell>
          <cell r="AO16">
            <v>287434840</v>
          </cell>
          <cell r="AP16">
            <v>75.618832349151319</v>
          </cell>
          <cell r="AQ16">
            <v>653803420</v>
          </cell>
          <cell r="AR16">
            <v>464154620</v>
          </cell>
          <cell r="AS16">
            <v>449873810</v>
          </cell>
          <cell r="AT16">
            <v>790141340</v>
          </cell>
          <cell r="AU16">
            <v>74.30627857852555</v>
          </cell>
          <cell r="AV16">
            <v>37374490</v>
          </cell>
          <cell r="AW16">
            <v>37042580</v>
          </cell>
          <cell r="AX16">
            <v>36201560</v>
          </cell>
          <cell r="AY16">
            <v>31857880</v>
          </cell>
          <cell r="AZ16">
            <v>9.9163254506938561</v>
          </cell>
          <cell r="BA16">
            <v>8.6037716800680926</v>
          </cell>
          <cell r="BC16" t="str">
            <v>NULL</v>
          </cell>
          <cell r="BD16">
            <v>45.217480000000002</v>
          </cell>
          <cell r="BE16">
            <v>19.46142</v>
          </cell>
          <cell r="BF16">
            <v>227574270</v>
          </cell>
          <cell r="BG16">
            <v>94910050</v>
          </cell>
          <cell r="BH16">
            <v>171060330</v>
          </cell>
          <cell r="BI16">
            <v>69990030</v>
          </cell>
          <cell r="BJ16">
            <v>0.19461415421585415</v>
          </cell>
          <cell r="BK16">
            <v>-976941570</v>
          </cell>
          <cell r="BL16">
            <v>-626902530</v>
          </cell>
          <cell r="BM16">
            <v>-434710820</v>
          </cell>
          <cell r="BN16">
            <v>-256876570</v>
          </cell>
          <cell r="BO16">
            <v>-633362740</v>
          </cell>
          <cell r="BP16">
            <v>-778289650</v>
          </cell>
          <cell r="BQ16">
            <v>2135458230</v>
          </cell>
          <cell r="BR16">
            <v>1635079200</v>
          </cell>
          <cell r="BS16">
            <v>1160729440</v>
          </cell>
          <cell r="BT16">
            <v>368798970</v>
          </cell>
          <cell r="BU16">
            <v>824398530</v>
          </cell>
          <cell r="BV16">
            <v>2471789140</v>
          </cell>
          <cell r="BW16">
            <v>0.58484239321585385</v>
          </cell>
          <cell r="BX16">
            <v>7.0073809542091484E-2</v>
          </cell>
          <cell r="BY16">
            <v>3516882090</v>
          </cell>
          <cell r="BZ16">
            <v>3375017560</v>
          </cell>
          <cell r="CA16">
            <v>2027858450</v>
          </cell>
          <cell r="CB16">
            <v>1856798120</v>
          </cell>
          <cell r="CC16" t="str">
            <v>NULL</v>
          </cell>
          <cell r="CD16" t="str">
            <v>NULL</v>
          </cell>
          <cell r="CE16" t="str">
            <v>NULL</v>
          </cell>
          <cell r="CF16" t="str">
            <v>NULL</v>
          </cell>
          <cell r="CG16" t="str">
            <v>NULL</v>
          </cell>
          <cell r="CH16" t="str">
            <v>NULL</v>
          </cell>
          <cell r="CI16" t="str">
            <v>NULL</v>
          </cell>
          <cell r="CJ16" t="str">
            <v>NULL</v>
          </cell>
          <cell r="CK16">
            <v>3516882090</v>
          </cell>
          <cell r="CL16">
            <v>3375017560</v>
          </cell>
          <cell r="CM16">
            <v>2027858450</v>
          </cell>
          <cell r="CN16">
            <v>1856798120</v>
          </cell>
          <cell r="CO16">
            <v>0.20917059902834154</v>
          </cell>
          <cell r="CP16">
            <v>227574270</v>
          </cell>
          <cell r="CQ16">
            <v>88239590</v>
          </cell>
          <cell r="CR16">
            <v>563534690</v>
          </cell>
          <cell r="CS16">
            <v>-259556430</v>
          </cell>
          <cell r="CT16">
            <v>531480</v>
          </cell>
          <cell r="CU16">
            <v>-224966820</v>
          </cell>
          <cell r="CV16">
            <v>-82350090</v>
          </cell>
          <cell r="CW16">
            <v>-14820230</v>
          </cell>
          <cell r="CX16">
            <v>1.5790494946769358</v>
          </cell>
          <cell r="CY16">
            <v>-98.296060562605774</v>
          </cell>
          <cell r="CZ16">
            <v>3.171145172554577</v>
          </cell>
          <cell r="DA16">
            <v>-489.36537593136148</v>
          </cell>
          <cell r="DB16">
            <v>1.0023624817206378</v>
          </cell>
          <cell r="DC16">
            <v>-1.7318345371571544</v>
          </cell>
          <cell r="DD16">
            <v>-4.556599998785444</v>
          </cell>
          <cell r="DE16">
            <v>218.63366409159673</v>
          </cell>
          <cell r="DG16">
            <v>8.1094610336261397</v>
          </cell>
          <cell r="DH16">
            <v>179802282</v>
          </cell>
          <cell r="DI16">
            <v>69.8</v>
          </cell>
          <cell r="DJ16">
            <v>12550199283.6</v>
          </cell>
          <cell r="DK16">
            <v>14537744753.6</v>
          </cell>
          <cell r="DM16">
            <v>3516882090</v>
          </cell>
          <cell r="DN16" t="str">
            <v>NULL</v>
          </cell>
          <cell r="DO16" t="str">
            <v>NULL</v>
          </cell>
          <cell r="DP16" t="str">
            <v>NULL</v>
          </cell>
          <cell r="DQ16" t="str">
            <v>NULL</v>
          </cell>
          <cell r="DR16">
            <v>3516882090</v>
          </cell>
          <cell r="DS16">
            <v>3.5685584453586272</v>
          </cell>
          <cell r="DT16">
            <v>1.26569</v>
          </cell>
          <cell r="DU16">
            <v>0.52786</v>
          </cell>
          <cell r="DV16">
            <v>0.95138</v>
          </cell>
          <cell r="DW16">
            <v>0.38925999999999999</v>
          </cell>
          <cell r="DX16">
            <v>3.1341900000000003</v>
          </cell>
          <cell r="DY16">
            <v>22.238600722993819</v>
          </cell>
          <cell r="DZ16">
            <v>4.33415458799844</v>
          </cell>
          <cell r="EA16">
            <v>1693499490</v>
          </cell>
          <cell r="EB16">
            <v>7.4108078317756094</v>
          </cell>
          <cell r="EC16">
            <v>22.270506893328101</v>
          </cell>
          <cell r="ED16">
            <v>1.5848331159273601</v>
          </cell>
          <cell r="EE16">
            <v>1.0164754974515799</v>
          </cell>
          <cell r="EG16">
            <v>0.52926309561867835</v>
          </cell>
          <cell r="EH16">
            <v>0.11292189992671431</v>
          </cell>
          <cell r="EK16" t="str">
            <v>NULL</v>
          </cell>
          <cell r="EL16">
            <v>0</v>
          </cell>
        </row>
        <row r="17">
          <cell r="A17" t="str">
            <v>CARC</v>
          </cell>
          <cell r="B17" t="str">
            <v>CARC.BA</v>
          </cell>
          <cell r="C17" t="str">
            <v>CARBOCLOR SA</v>
          </cell>
          <cell r="D17">
            <v>42825</v>
          </cell>
          <cell r="E17">
            <v>163009130</v>
          </cell>
          <cell r="F17">
            <v>495086720</v>
          </cell>
          <cell r="G17">
            <v>0.32924999999999999</v>
          </cell>
          <cell r="H17">
            <v>0.20985000000000001</v>
          </cell>
          <cell r="I17">
            <v>0.38861000000000001</v>
          </cell>
          <cell r="J17">
            <v>0.25289</v>
          </cell>
          <cell r="K17">
            <v>1.58</v>
          </cell>
          <cell r="L17">
            <v>0</v>
          </cell>
          <cell r="M17">
            <v>0</v>
          </cell>
          <cell r="N17">
            <v>0</v>
          </cell>
          <cell r="O17">
            <v>0</v>
          </cell>
          <cell r="P17">
            <v>0</v>
          </cell>
          <cell r="Q17">
            <v>0</v>
          </cell>
          <cell r="R17">
            <v>0</v>
          </cell>
          <cell r="S17" t="str">
            <v>NULL</v>
          </cell>
          <cell r="T17" t="str">
            <v>NULL</v>
          </cell>
          <cell r="U17">
            <v>42825</v>
          </cell>
          <cell r="V17">
            <v>415092970</v>
          </cell>
          <cell r="W17">
            <v>431223560</v>
          </cell>
          <cell r="X17">
            <v>487637410</v>
          </cell>
          <cell r="Y17">
            <v>482615610</v>
          </cell>
          <cell r="Z17">
            <v>-120908470</v>
          </cell>
          <cell r="AA17">
            <v>-3.4331173820990375</v>
          </cell>
          <cell r="AC17">
            <v>144851830</v>
          </cell>
          <cell r="AD17">
            <v>204185260</v>
          </cell>
          <cell r="AE17">
            <v>190403190</v>
          </cell>
          <cell r="AF17">
            <v>213858700</v>
          </cell>
          <cell r="AG17">
            <v>2.0733619080405088</v>
          </cell>
          <cell r="AH17">
            <v>37263780</v>
          </cell>
          <cell r="AI17">
            <v>175121190</v>
          </cell>
          <cell r="AJ17">
            <v>186803370</v>
          </cell>
          <cell r="AK17">
            <v>168162140</v>
          </cell>
          <cell r="AL17">
            <v>129774820</v>
          </cell>
          <cell r="AM17">
            <v>199023430</v>
          </cell>
          <cell r="AN17">
            <v>194255170</v>
          </cell>
          <cell r="AO17">
            <v>198462550</v>
          </cell>
          <cell r="AP17">
            <v>71.752717129740034</v>
          </cell>
          <cell r="AQ17">
            <v>50692690</v>
          </cell>
          <cell r="AR17">
            <v>61753390</v>
          </cell>
          <cell r="AS17">
            <v>110672160</v>
          </cell>
          <cell r="AT17">
            <v>95293560</v>
          </cell>
          <cell r="AU17">
            <v>38.570444831878042</v>
          </cell>
          <cell r="AV17">
            <v>59114090</v>
          </cell>
          <cell r="AW17">
            <v>65720160</v>
          </cell>
          <cell r="AX17">
            <v>93110010</v>
          </cell>
          <cell r="AY17">
            <v>115647190</v>
          </cell>
          <cell r="AZ17">
            <v>42.189253014732301</v>
          </cell>
          <cell r="BA17">
            <v>9.0069807168703164</v>
          </cell>
          <cell r="BC17">
            <v>9.1384100000000004</v>
          </cell>
          <cell r="BD17">
            <v>-11.06898</v>
          </cell>
          <cell r="BE17">
            <v>-31.57226</v>
          </cell>
          <cell r="BF17">
            <v>-27202290</v>
          </cell>
          <cell r="BG17">
            <v>-61194940</v>
          </cell>
          <cell r="BH17">
            <v>-70650590</v>
          </cell>
          <cell r="BI17">
            <v>-124893740</v>
          </cell>
          <cell r="BJ17">
            <v>-0.37693076393120828</v>
          </cell>
          <cell r="BK17">
            <v>-785220</v>
          </cell>
          <cell r="BL17">
            <v>-45231130</v>
          </cell>
          <cell r="BM17">
            <v>-42849140</v>
          </cell>
          <cell r="BN17">
            <v>-29820940</v>
          </cell>
          <cell r="BO17">
            <v>-20531590</v>
          </cell>
          <cell r="BP17">
            <v>-23102770</v>
          </cell>
          <cell r="BQ17">
            <v>3844760</v>
          </cell>
          <cell r="BR17">
            <v>-1265580</v>
          </cell>
          <cell r="BS17">
            <v>-18187790</v>
          </cell>
          <cell r="BT17">
            <v>25507460</v>
          </cell>
          <cell r="BU17">
            <v>-4640770</v>
          </cell>
          <cell r="BV17">
            <v>-9702260</v>
          </cell>
          <cell r="BW17">
            <v>-4.3548485888033457E-2</v>
          </cell>
          <cell r="BX17">
            <v>-0.62522584945894311</v>
          </cell>
          <cell r="BY17">
            <v>-120908470</v>
          </cell>
          <cell r="BZ17">
            <v>-93706170</v>
          </cell>
          <cell r="CA17">
            <v>-57557350</v>
          </cell>
          <cell r="CB17">
            <v>-30553750</v>
          </cell>
          <cell r="CC17" t="str">
            <v>NULL</v>
          </cell>
          <cell r="CD17" t="str">
            <v>NULL</v>
          </cell>
          <cell r="CE17" t="str">
            <v>NULL</v>
          </cell>
          <cell r="CF17" t="str">
            <v>NULL</v>
          </cell>
          <cell r="CG17" t="str">
            <v>NULL</v>
          </cell>
          <cell r="CH17" t="str">
            <v>NULL</v>
          </cell>
          <cell r="CI17" t="str">
            <v>NULL</v>
          </cell>
          <cell r="CJ17" t="str">
            <v>NULL</v>
          </cell>
          <cell r="CK17">
            <v>-120908470</v>
          </cell>
          <cell r="CL17">
            <v>-93706170</v>
          </cell>
          <cell r="CM17">
            <v>-57557350</v>
          </cell>
          <cell r="CN17">
            <v>-30553750</v>
          </cell>
          <cell r="CO17" t="str">
            <v>-</v>
          </cell>
          <cell r="CP17">
            <v>-27202290</v>
          </cell>
          <cell r="CQ17">
            <v>-9027300</v>
          </cell>
          <cell r="CR17">
            <v>-265766560</v>
          </cell>
          <cell r="CS17">
            <v>-68673860</v>
          </cell>
          <cell r="CT17">
            <v>-46316220</v>
          </cell>
          <cell r="CU17">
            <v>-28331250</v>
          </cell>
          <cell r="CV17">
            <v>13512840</v>
          </cell>
          <cell r="CW17">
            <v>2587330</v>
          </cell>
          <cell r="CX17">
            <v>-2.01333621348576</v>
          </cell>
          <cell r="CY17">
            <v>-0.57228584716572239</v>
          </cell>
          <cell r="CZ17">
            <v>-2.8699813873867002</v>
          </cell>
          <cell r="DA17">
            <v>-0.48271728565068561</v>
          </cell>
          <cell r="DB17">
            <v>-0.63481032428855055</v>
          </cell>
          <cell r="DC17">
            <v>-3.0966169953910505</v>
          </cell>
          <cell r="DD17">
            <v>4.2226967568883751</v>
          </cell>
          <cell r="DE17">
            <v>2.9434436699249376</v>
          </cell>
          <cell r="DG17" t="str">
            <v>NULL</v>
          </cell>
          <cell r="DH17">
            <v>258152457</v>
          </cell>
          <cell r="DI17">
            <v>1.55</v>
          </cell>
          <cell r="DJ17">
            <v>400136308.35000002</v>
          </cell>
          <cell r="DK17">
            <v>382173178.35000002</v>
          </cell>
          <cell r="DM17">
            <v>-120908470</v>
          </cell>
          <cell r="DN17" t="str">
            <v>NULL</v>
          </cell>
          <cell r="DO17" t="str">
            <v>NULL</v>
          </cell>
          <cell r="DP17">
            <v>897530</v>
          </cell>
          <cell r="DQ17" t="str">
            <v>NULL</v>
          </cell>
          <cell r="DR17">
            <v>-121806000</v>
          </cell>
          <cell r="DS17">
            <v>-3.2850295416481949</v>
          </cell>
          <cell r="DT17">
            <v>-0.10537000000000001</v>
          </cell>
          <cell r="DU17">
            <v>-0.26333000000000001</v>
          </cell>
          <cell r="DV17">
            <v>-0.31630999999999998</v>
          </cell>
          <cell r="DW17">
            <v>-0.64168999999999998</v>
          </cell>
          <cell r="DX17">
            <v>-1.3267</v>
          </cell>
          <cell r="DY17">
            <v>-1.1909248511343937</v>
          </cell>
          <cell r="DZ17">
            <v>0.53117861429999547</v>
          </cell>
          <cell r="EA17">
            <v>-32805030</v>
          </cell>
          <cell r="EB17">
            <v>-12.197407176582372</v>
          </cell>
          <cell r="EC17" t="str">
            <v>NULL</v>
          </cell>
          <cell r="ED17">
            <v>0.37347318460331302</v>
          </cell>
          <cell r="EE17">
            <v>0.56509040352866402</v>
          </cell>
          <cell r="EG17">
            <v>0.51433439336410314</v>
          </cell>
          <cell r="EH17">
            <v>-0.10823426392474145</v>
          </cell>
          <cell r="EK17">
            <v>0</v>
          </cell>
          <cell r="EL17">
            <v>0</v>
          </cell>
        </row>
        <row r="18">
          <cell r="A18" t="str">
            <v>CECO2</v>
          </cell>
          <cell r="B18" t="str">
            <v>CEC.BA</v>
          </cell>
          <cell r="C18" t="str">
            <v>ENDESA COSTANERA SA</v>
          </cell>
          <cell r="D18">
            <v>42916</v>
          </cell>
          <cell r="E18">
            <v>1106043380</v>
          </cell>
          <cell r="F18">
            <v>1413849150</v>
          </cell>
          <cell r="G18">
            <v>0.78229000000000004</v>
          </cell>
          <cell r="H18">
            <v>0.74336999999999998</v>
          </cell>
          <cell r="I18">
            <v>0.68169000000000002</v>
          </cell>
          <cell r="J18">
            <v>0.64222000000000001</v>
          </cell>
          <cell r="K18">
            <v>13.25</v>
          </cell>
          <cell r="L18">
            <v>0</v>
          </cell>
          <cell r="M18">
            <v>0</v>
          </cell>
          <cell r="N18" t="str">
            <v>NULL</v>
          </cell>
          <cell r="O18">
            <v>0</v>
          </cell>
          <cell r="P18">
            <v>0</v>
          </cell>
          <cell r="Q18">
            <v>0</v>
          </cell>
          <cell r="R18">
            <v>0</v>
          </cell>
          <cell r="S18">
            <v>142.87505902129999</v>
          </cell>
          <cell r="T18">
            <v>142.00766608480001</v>
          </cell>
          <cell r="U18">
            <v>42916</v>
          </cell>
          <cell r="V18">
            <v>4648798180</v>
          </cell>
          <cell r="W18">
            <v>4429818040</v>
          </cell>
          <cell r="X18">
            <v>4434506570</v>
          </cell>
          <cell r="Y18">
            <v>4163606100</v>
          </cell>
          <cell r="Z18">
            <v>570578130</v>
          </cell>
          <cell r="AA18">
            <v>8.1475225487524376</v>
          </cell>
          <cell r="AC18">
            <v>668704280</v>
          </cell>
          <cell r="AD18">
            <v>392518480</v>
          </cell>
          <cell r="AE18">
            <v>545031160</v>
          </cell>
          <cell r="AF18">
            <v>468763160</v>
          </cell>
          <cell r="AG18">
            <v>0.58693326552297298</v>
          </cell>
          <cell r="AH18">
            <v>970333080</v>
          </cell>
          <cell r="AI18">
            <v>859868820</v>
          </cell>
          <cell r="AJ18">
            <v>972351790</v>
          </cell>
          <cell r="AK18">
            <v>1068462750</v>
          </cell>
          <cell r="AL18">
            <v>441515990</v>
          </cell>
          <cell r="AM18">
            <v>377959520</v>
          </cell>
          <cell r="AN18">
            <v>263473740</v>
          </cell>
          <cell r="AO18">
            <v>310701150</v>
          </cell>
          <cell r="AP18">
            <v>253.45685700660655</v>
          </cell>
          <cell r="AQ18">
            <v>690006360</v>
          </cell>
          <cell r="AR18">
            <v>521246390</v>
          </cell>
          <cell r="AS18">
            <v>355619220</v>
          </cell>
          <cell r="AT18">
            <v>474157130</v>
          </cell>
          <cell r="AU18">
            <v>89.75536017033653</v>
          </cell>
          <cell r="AV18">
            <v>55027240</v>
          </cell>
          <cell r="AW18">
            <v>50085950</v>
          </cell>
          <cell r="AX18">
            <v>52412440</v>
          </cell>
          <cell r="AY18">
            <v>56137820</v>
          </cell>
          <cell r="AZ18">
            <v>13.989727848892377</v>
          </cell>
          <cell r="BA18">
            <v>-149.71176898737764</v>
          </cell>
          <cell r="BC18">
            <v>38.352260000000001</v>
          </cell>
          <cell r="BD18">
            <v>25.088750000000001</v>
          </cell>
          <cell r="BE18">
            <v>5.92483</v>
          </cell>
          <cell r="BF18">
            <v>37549850</v>
          </cell>
          <cell r="BG18">
            <v>-100646740</v>
          </cell>
          <cell r="BH18">
            <v>117307340</v>
          </cell>
          <cell r="BI18">
            <v>32793890</v>
          </cell>
          <cell r="BJ18">
            <v>4.1929457274636026E-2</v>
          </cell>
          <cell r="BK18">
            <v>-145734030</v>
          </cell>
          <cell r="BL18">
            <v>-35504440</v>
          </cell>
          <cell r="BM18">
            <v>-1141796370</v>
          </cell>
          <cell r="BN18">
            <v>-684865900</v>
          </cell>
          <cell r="BO18">
            <v>-520734650</v>
          </cell>
          <cell r="BP18">
            <v>-766795750</v>
          </cell>
          <cell r="BQ18">
            <v>91136780</v>
          </cell>
          <cell r="BR18">
            <v>-182572820</v>
          </cell>
          <cell r="BS18">
            <v>948139830</v>
          </cell>
          <cell r="BT18">
            <v>539213400</v>
          </cell>
          <cell r="BU18">
            <v>325442990</v>
          </cell>
          <cell r="BV18">
            <v>713833620</v>
          </cell>
          <cell r="BW18">
            <v>-2.5523707978345894E-2</v>
          </cell>
          <cell r="BX18">
            <v>1.9687882422458763E-2</v>
          </cell>
          <cell r="BY18">
            <v>570578130</v>
          </cell>
          <cell r="BZ18">
            <v>533028280</v>
          </cell>
          <cell r="CA18">
            <v>633675020</v>
          </cell>
          <cell r="CB18">
            <v>517160960</v>
          </cell>
          <cell r="CC18" t="str">
            <v>NULL</v>
          </cell>
          <cell r="CD18" t="str">
            <v>NULL</v>
          </cell>
          <cell r="CE18" t="str">
            <v>NULL</v>
          </cell>
          <cell r="CF18" t="str">
            <v>NULL</v>
          </cell>
          <cell r="CG18" t="str">
            <v>NULL</v>
          </cell>
          <cell r="CH18" t="str">
            <v>NULL</v>
          </cell>
          <cell r="CI18" t="str">
            <v>NULL</v>
          </cell>
          <cell r="CJ18" t="str">
            <v>NULL</v>
          </cell>
          <cell r="CK18">
            <v>570578130</v>
          </cell>
          <cell r="CL18">
            <v>533028280</v>
          </cell>
          <cell r="CM18">
            <v>633675020</v>
          </cell>
          <cell r="CN18">
            <v>517160960</v>
          </cell>
          <cell r="CO18">
            <v>0.15436959557879854</v>
          </cell>
          <cell r="CP18">
            <v>37549850</v>
          </cell>
          <cell r="CQ18">
            <v>16360930</v>
          </cell>
          <cell r="CR18">
            <v>116459890</v>
          </cell>
          <cell r="CS18">
            <v>-90756580</v>
          </cell>
          <cell r="CT18">
            <v>601539250</v>
          </cell>
          <cell r="CU18">
            <v>-199443740</v>
          </cell>
          <cell r="CV18">
            <v>-451450580</v>
          </cell>
          <cell r="CW18">
            <v>-185748510</v>
          </cell>
          <cell r="CX18">
            <v>1.2950926383769139</v>
          </cell>
          <cell r="CY18">
            <v>0.85523968908640735</v>
          </cell>
          <cell r="CZ18">
            <v>2.2832115313291883</v>
          </cell>
          <cell r="DA18">
            <v>-1.1508739122176981</v>
          </cell>
          <cell r="DB18">
            <v>4.0160848868959231</v>
          </cell>
          <cell r="DC18">
            <v>0.55821578521396509</v>
          </cell>
          <cell r="DD18">
            <v>-1.4304398457893419</v>
          </cell>
          <cell r="DE18">
            <v>2.3112275885183013</v>
          </cell>
          <cell r="DG18">
            <v>15.2859725624748</v>
          </cell>
          <cell r="DH18">
            <v>701988378</v>
          </cell>
          <cell r="DI18">
            <v>13.4</v>
          </cell>
          <cell r="DJ18">
            <v>9406644265.2000008</v>
          </cell>
          <cell r="DK18">
            <v>9989715845.2000008</v>
          </cell>
          <cell r="DM18">
            <v>570578130</v>
          </cell>
          <cell r="DN18" t="str">
            <v>NULL</v>
          </cell>
          <cell r="DO18" t="str">
            <v>NULL</v>
          </cell>
          <cell r="DP18" t="str">
            <v>NULL</v>
          </cell>
          <cell r="DQ18" t="str">
            <v>NULL</v>
          </cell>
          <cell r="DR18">
            <v>570578130</v>
          </cell>
          <cell r="DS18">
            <v>16.486163367670613</v>
          </cell>
          <cell r="DT18">
            <v>5.3490000000000003E-2</v>
          </cell>
          <cell r="DU18">
            <v>-0.14337</v>
          </cell>
          <cell r="DV18">
            <v>0.16711000000000001</v>
          </cell>
          <cell r="DW18">
            <v>4.6719999999999998E-2</v>
          </cell>
          <cell r="DX18">
            <v>0.12395000000000002</v>
          </cell>
          <cell r="DY18">
            <v>106.89794271883822</v>
          </cell>
          <cell r="DZ18">
            <v>4.5332852225004343</v>
          </cell>
          <cell r="EA18">
            <v>-52962130</v>
          </cell>
          <cell r="EB18">
            <v>-177.61076197652929</v>
          </cell>
          <cell r="EC18">
            <v>108.108108108108</v>
          </cell>
          <cell r="ED18">
            <v>1.45717301004106</v>
          </cell>
          <cell r="EE18">
            <v>1.3269990040516</v>
          </cell>
          <cell r="EG18">
            <v>0.52874408071117918</v>
          </cell>
          <cell r="EH18">
            <v>-4.4804923778468897E-2</v>
          </cell>
          <cell r="EK18" t="str">
            <v>NULL</v>
          </cell>
          <cell r="EL18">
            <v>0</v>
          </cell>
        </row>
        <row r="19">
          <cell r="A19" t="str">
            <v>CELU</v>
          </cell>
          <cell r="B19" t="str">
            <v>CEL.BA</v>
          </cell>
          <cell r="C19" t="str">
            <v>CELULOSA ARGENTINA SA</v>
          </cell>
          <cell r="D19">
            <v>42794</v>
          </cell>
          <cell r="E19">
            <v>2181768000</v>
          </cell>
          <cell r="F19">
            <v>2506063000</v>
          </cell>
          <cell r="G19">
            <v>0.87060000000000004</v>
          </cell>
          <cell r="H19">
            <v>0.58979999999999999</v>
          </cell>
          <cell r="I19">
            <v>0.77697000000000005</v>
          </cell>
          <cell r="J19">
            <v>0.49525999999999998</v>
          </cell>
          <cell r="K19">
            <v>10.8</v>
          </cell>
          <cell r="L19">
            <v>0</v>
          </cell>
          <cell r="M19">
            <v>0</v>
          </cell>
          <cell r="N19">
            <v>0</v>
          </cell>
          <cell r="O19">
            <v>0.32200000000000001</v>
          </cell>
          <cell r="P19">
            <v>0.32200000000000001</v>
          </cell>
          <cell r="Q19">
            <v>2.9814814814814815E-2</v>
          </cell>
          <cell r="R19">
            <v>0</v>
          </cell>
          <cell r="S19">
            <v>259.23796015990001</v>
          </cell>
          <cell r="T19">
            <v>185.82400460299999</v>
          </cell>
          <cell r="U19">
            <v>42794</v>
          </cell>
          <cell r="V19">
            <v>5404479000</v>
          </cell>
          <cell r="W19">
            <v>5200637000</v>
          </cell>
          <cell r="X19">
            <v>5127386000</v>
          </cell>
          <cell r="Y19">
            <v>5345412000</v>
          </cell>
          <cell r="Z19">
            <v>1006824000</v>
          </cell>
          <cell r="AA19">
            <v>5.3678487997902318</v>
          </cell>
          <cell r="AC19">
            <v>1027069000</v>
          </cell>
          <cell r="AD19">
            <v>1144505000</v>
          </cell>
          <cell r="AE19">
            <v>994772000</v>
          </cell>
          <cell r="AF19">
            <v>1137695000</v>
          </cell>
          <cell r="AG19">
            <v>1.0209815500772774</v>
          </cell>
          <cell r="AH19">
            <v>165885000</v>
          </cell>
          <cell r="AI19">
            <v>167393000</v>
          </cell>
          <cell r="AJ19">
            <v>155756000</v>
          </cell>
          <cell r="AK19">
            <v>143675000</v>
          </cell>
          <cell r="AL19">
            <v>894419000</v>
          </cell>
          <cell r="AM19">
            <v>981194000</v>
          </cell>
          <cell r="AN19">
            <v>878527000</v>
          </cell>
          <cell r="AO19">
            <v>1004839000</v>
          </cell>
          <cell r="AP19">
            <v>15.359143067838369</v>
          </cell>
          <cell r="AQ19">
            <v>928485000</v>
          </cell>
          <cell r="AR19">
            <v>874932000</v>
          </cell>
          <cell r="AS19">
            <v>815009000</v>
          </cell>
          <cell r="AT19">
            <v>1369525000</v>
          </cell>
          <cell r="AU19">
            <v>84.548573944811395</v>
          </cell>
          <cell r="AV19">
            <v>703686000</v>
          </cell>
          <cell r="AW19">
            <v>686233000</v>
          </cell>
          <cell r="AX19">
            <v>676267000</v>
          </cell>
          <cell r="AY19">
            <v>705540000</v>
          </cell>
          <cell r="AZ19">
            <v>67.284227312788929</v>
          </cell>
          <cell r="BA19">
            <v>136.47365818976195</v>
          </cell>
          <cell r="BC19">
            <v>23.08043</v>
          </cell>
          <cell r="BD19">
            <v>13.896509999999999</v>
          </cell>
          <cell r="BE19">
            <v>-2.4330400000000001</v>
          </cell>
          <cell r="BF19">
            <v>-81245000</v>
          </cell>
          <cell r="BG19">
            <v>-170066000</v>
          </cell>
          <cell r="BH19">
            <v>-141297000</v>
          </cell>
          <cell r="BI19">
            <v>166316000</v>
          </cell>
          <cell r="BJ19">
            <v>-5.2576636700254482E-2</v>
          </cell>
          <cell r="BK19">
            <v>-103538000</v>
          </cell>
          <cell r="BL19">
            <v>-64001000</v>
          </cell>
          <cell r="BM19">
            <v>-35668000</v>
          </cell>
          <cell r="BN19">
            <v>-158917000</v>
          </cell>
          <cell r="BO19">
            <v>-135142000</v>
          </cell>
          <cell r="BP19">
            <v>-4064000</v>
          </cell>
          <cell r="BQ19">
            <v>52466000</v>
          </cell>
          <cell r="BR19">
            <v>172805000</v>
          </cell>
          <cell r="BS19">
            <v>112966000</v>
          </cell>
          <cell r="BT19">
            <v>69602000</v>
          </cell>
          <cell r="BU19">
            <v>137671000</v>
          </cell>
          <cell r="BV19">
            <v>27761000</v>
          </cell>
          <cell r="BW19">
            <v>5.5057561022304391E-3</v>
          </cell>
          <cell r="BX19">
            <v>-4.294390801670412E-2</v>
          </cell>
          <cell r="BY19">
            <v>1006824000</v>
          </cell>
          <cell r="BZ19">
            <v>1161019000</v>
          </cell>
          <cell r="CA19">
            <v>1274000000</v>
          </cell>
          <cell r="CB19">
            <v>1348617000</v>
          </cell>
          <cell r="CC19" t="str">
            <v>NULL</v>
          </cell>
          <cell r="CD19" t="str">
            <v>NULL</v>
          </cell>
          <cell r="CE19" t="str">
            <v>NULL</v>
          </cell>
          <cell r="CF19" t="str">
            <v>NULL</v>
          </cell>
          <cell r="CG19" t="str">
            <v>NULL</v>
          </cell>
          <cell r="CH19" t="str">
            <v>NULL</v>
          </cell>
          <cell r="CI19" t="str">
            <v>NULL</v>
          </cell>
          <cell r="CJ19" t="str">
            <v>NULL</v>
          </cell>
          <cell r="CK19">
            <v>1006824000</v>
          </cell>
          <cell r="CL19">
            <v>1161019000</v>
          </cell>
          <cell r="CM19">
            <v>1274000000</v>
          </cell>
          <cell r="CN19">
            <v>1348617000</v>
          </cell>
          <cell r="CO19">
            <v>-0.18895220918241673</v>
          </cell>
          <cell r="CP19">
            <v>-81245000</v>
          </cell>
          <cell r="CQ19">
            <v>-264625000</v>
          </cell>
          <cell r="CR19">
            <v>-100103000</v>
          </cell>
          <cell r="CS19">
            <v>76162000</v>
          </cell>
          <cell r="CT19">
            <v>-157525000</v>
          </cell>
          <cell r="CU19">
            <v>-79381000</v>
          </cell>
          <cell r="CV19">
            <v>23239000</v>
          </cell>
          <cell r="CW19">
            <v>67792000</v>
          </cell>
          <cell r="CX19">
            <v>0.69298063297118562</v>
          </cell>
          <cell r="CY19">
            <v>-1.3776645257180387</v>
          </cell>
          <cell r="CZ19">
            <v>-2.3143431107376382</v>
          </cell>
          <cell r="DA19">
            <v>1.4834915092842407</v>
          </cell>
          <cell r="DB19">
            <v>-0.98441692596465158</v>
          </cell>
          <cell r="DC19">
            <v>-4.4158526614742453</v>
          </cell>
          <cell r="DD19">
            <v>-0.65720143969789946</v>
          </cell>
          <cell r="DE19">
            <v>2.1776063986372467</v>
          </cell>
          <cell r="DG19">
            <v>14.3620467492619</v>
          </cell>
          <cell r="DH19">
            <v>10093855034</v>
          </cell>
          <cell r="DI19">
            <v>11.1</v>
          </cell>
          <cell r="DJ19">
            <v>1120454201.6800001</v>
          </cell>
          <cell r="DK19">
            <v>3473058869</v>
          </cell>
          <cell r="DM19">
            <v>1006824000</v>
          </cell>
          <cell r="DN19" t="str">
            <v>NULL</v>
          </cell>
          <cell r="DO19" t="str">
            <v>NULL</v>
          </cell>
          <cell r="DP19">
            <v>1755000</v>
          </cell>
          <cell r="DQ19">
            <v>5699000</v>
          </cell>
          <cell r="DR19">
            <v>999370000</v>
          </cell>
          <cell r="DS19">
            <v>1.121160532815674</v>
          </cell>
          <cell r="DT19">
            <v>-8.0499999999999999E-3</v>
          </cell>
          <cell r="DU19">
            <v>-1.685E-2</v>
          </cell>
          <cell r="DV19">
            <v>-1.4E-2</v>
          </cell>
          <cell r="DW19">
            <v>1.6480000000000002E-2</v>
          </cell>
          <cell r="DX19">
            <v>-2.2419999999999995E-2</v>
          </cell>
          <cell r="DY19">
            <v>-481.71275646743993</v>
          </cell>
          <cell r="DZ19">
            <v>0.26032609858502742</v>
          </cell>
          <cell r="EA19">
            <v>23697000</v>
          </cell>
          <cell r="EB19">
            <v>47.282533724944088</v>
          </cell>
          <cell r="EC19" t="str">
            <v>NULL</v>
          </cell>
          <cell r="ED19">
            <v>1.07569762142585</v>
          </cell>
          <cell r="EE19">
            <v>1.0158134897350199</v>
          </cell>
          <cell r="EG19">
            <v>0.46049580844654076</v>
          </cell>
          <cell r="EH19">
            <v>-4.7590232498706642E-2</v>
          </cell>
          <cell r="EK19" t="str">
            <v>NULL</v>
          </cell>
          <cell r="EL19">
            <v>0</v>
          </cell>
        </row>
        <row r="20">
          <cell r="A20" t="str">
            <v>CEPU2</v>
          </cell>
          <cell r="B20" t="str">
            <v>CEPU.BA</v>
          </cell>
          <cell r="C20" t="str">
            <v>CENTRAL PUERTO SA</v>
          </cell>
          <cell r="D20">
            <v>42825</v>
          </cell>
          <cell r="E20">
            <v>4685710000</v>
          </cell>
          <cell r="F20">
            <v>4424817000</v>
          </cell>
          <cell r="G20">
            <v>1.0589599999999999</v>
          </cell>
          <cell r="H20">
            <v>1.02678</v>
          </cell>
          <cell r="I20">
            <v>1.00413</v>
          </cell>
          <cell r="J20">
            <v>0.97204000000000002</v>
          </cell>
          <cell r="K20">
            <v>22.25</v>
          </cell>
          <cell r="L20">
            <v>0</v>
          </cell>
          <cell r="M20" t="str">
            <v>NULL</v>
          </cell>
          <cell r="N20">
            <v>0</v>
          </cell>
          <cell r="O20">
            <v>0</v>
          </cell>
          <cell r="P20">
            <v>0</v>
          </cell>
          <cell r="Q20">
            <v>0</v>
          </cell>
          <cell r="R20">
            <v>0</v>
          </cell>
          <cell r="S20">
            <v>65.660737537399996</v>
          </cell>
          <cell r="T20">
            <v>70.438554279000002</v>
          </cell>
          <cell r="U20">
            <v>42825</v>
          </cell>
          <cell r="V20">
            <v>13242530000</v>
          </cell>
          <cell r="W20">
            <v>12722961000</v>
          </cell>
          <cell r="X20">
            <v>12717710000</v>
          </cell>
          <cell r="Y20">
            <v>11892837000</v>
          </cell>
          <cell r="Z20">
            <v>5543366000</v>
          </cell>
          <cell r="AA20">
            <v>2.388896926524426</v>
          </cell>
          <cell r="AC20">
            <v>1610246000</v>
          </cell>
          <cell r="AD20">
            <v>1415103000</v>
          </cell>
          <cell r="AE20">
            <v>1467155000</v>
          </cell>
          <cell r="AF20">
            <v>1404572000</v>
          </cell>
          <cell r="AG20">
            <v>0.58299060581667761</v>
          </cell>
          <cell r="AH20">
            <v>664175000</v>
          </cell>
          <cell r="AI20">
            <v>655598000</v>
          </cell>
          <cell r="AJ20">
            <v>551823000</v>
          </cell>
          <cell r="AK20">
            <v>486764000</v>
          </cell>
          <cell r="AL20">
            <v>964565000</v>
          </cell>
          <cell r="AM20">
            <v>864362000</v>
          </cell>
          <cell r="AN20">
            <v>873416000</v>
          </cell>
          <cell r="AO20">
            <v>785244000</v>
          </cell>
          <cell r="AP20">
            <v>61.704654249485387</v>
          </cell>
          <cell r="AQ20">
            <v>1231962000</v>
          </cell>
          <cell r="AR20">
            <v>987112000</v>
          </cell>
          <cell r="AS20">
            <v>1119400000</v>
          </cell>
          <cell r="AT20">
            <v>1376623000</v>
          </cell>
          <cell r="AU20">
            <v>72.960328347472554</v>
          </cell>
          <cell r="AV20">
            <v>142390000</v>
          </cell>
          <cell r="AW20">
            <v>137965000</v>
          </cell>
          <cell r="AX20">
            <v>103412000</v>
          </cell>
          <cell r="AY20">
            <v>104398000</v>
          </cell>
          <cell r="AZ20">
            <v>12.772457360920313</v>
          </cell>
          <cell r="BA20">
            <v>24.028131458907481</v>
          </cell>
          <cell r="BC20" t="str">
            <v>NULL</v>
          </cell>
          <cell r="BD20">
            <v>52.415289999999999</v>
          </cell>
          <cell r="BE20">
            <v>33.24635</v>
          </cell>
          <cell r="BF20">
            <v>526629000</v>
          </cell>
          <cell r="BG20">
            <v>365631000</v>
          </cell>
          <cell r="BH20">
            <v>303152000</v>
          </cell>
          <cell r="BI20">
            <v>352819000</v>
          </cell>
          <cell r="BJ20">
            <v>0.26254214800691056</v>
          </cell>
          <cell r="BK20">
            <v>-295557000</v>
          </cell>
          <cell r="BL20">
            <v>-2188359000</v>
          </cell>
          <cell r="BM20">
            <v>-2144899000</v>
          </cell>
          <cell r="BN20">
            <v>-1260785000</v>
          </cell>
          <cell r="BO20">
            <v>-64387000</v>
          </cell>
          <cell r="BP20">
            <v>-2376069000</v>
          </cell>
          <cell r="BQ20">
            <v>169278000</v>
          </cell>
          <cell r="BR20">
            <v>2088607000</v>
          </cell>
          <cell r="BS20">
            <v>1175344000</v>
          </cell>
          <cell r="BT20">
            <v>551914000</v>
          </cell>
          <cell r="BU20">
            <v>373762000</v>
          </cell>
          <cell r="BV20">
            <v>970860000</v>
          </cell>
          <cell r="BW20">
            <v>-0.23828911141725154</v>
          </cell>
          <cell r="BX20">
            <v>0.12244778841711564</v>
          </cell>
          <cell r="BY20">
            <v>5543366000</v>
          </cell>
          <cell r="BZ20">
            <v>5147299000</v>
          </cell>
          <cell r="CA20">
            <v>6116148000</v>
          </cell>
          <cell r="CB20">
            <v>5716354000</v>
          </cell>
          <cell r="CC20" t="str">
            <v>NULL</v>
          </cell>
          <cell r="CD20" t="str">
            <v>NULL</v>
          </cell>
          <cell r="CE20" t="str">
            <v>NULL</v>
          </cell>
          <cell r="CF20" t="str">
            <v>NULL</v>
          </cell>
          <cell r="CG20" t="str">
            <v>NULL</v>
          </cell>
          <cell r="CH20" t="str">
            <v>NULL</v>
          </cell>
          <cell r="CI20" t="str">
            <v>NULL</v>
          </cell>
          <cell r="CJ20" t="str">
            <v>NULL</v>
          </cell>
          <cell r="CK20">
            <v>5543366000</v>
          </cell>
          <cell r="CL20">
            <v>5147299000</v>
          </cell>
          <cell r="CM20">
            <v>6116148000</v>
          </cell>
          <cell r="CN20">
            <v>5716354000</v>
          </cell>
          <cell r="CO20">
            <v>0.27495795773303106</v>
          </cell>
          <cell r="CP20">
            <v>526629000</v>
          </cell>
          <cell r="CQ20">
            <v>747264000</v>
          </cell>
          <cell r="CR20">
            <v>1768843000</v>
          </cell>
          <cell r="CS20">
            <v>1341998000</v>
          </cell>
          <cell r="CT20">
            <v>317731000</v>
          </cell>
          <cell r="CU20">
            <v>90285000</v>
          </cell>
          <cell r="CV20">
            <v>-41695000</v>
          </cell>
          <cell r="CW20">
            <v>200460000</v>
          </cell>
          <cell r="CX20">
            <v>-0.29525709789311405</v>
          </cell>
          <cell r="CY20">
            <v>1.6036660828081604</v>
          </cell>
          <cell r="CZ20">
            <v>0.31806679294604012</v>
          </cell>
          <cell r="DA20">
            <v>3.2236923687018262</v>
          </cell>
          <cell r="DB20">
            <v>2.5192003101290359</v>
          </cell>
          <cell r="DC20">
            <v>3.1653675500659553</v>
          </cell>
          <cell r="DD20">
            <v>-1.2079966078020552</v>
          </cell>
          <cell r="DE20">
            <v>1.9659483831653026</v>
          </cell>
          <cell r="DG20">
            <v>14.0276258367488</v>
          </cell>
          <cell r="DH20">
            <v>1514022256</v>
          </cell>
          <cell r="DI20">
            <v>22.3</v>
          </cell>
          <cell r="DJ20">
            <v>4454250123.3999996</v>
          </cell>
          <cell r="DK20">
            <v>35564506308.800003</v>
          </cell>
          <cell r="DM20">
            <v>5543366000</v>
          </cell>
          <cell r="DN20" t="str">
            <v>NULL</v>
          </cell>
          <cell r="DO20" t="str">
            <v>NULL</v>
          </cell>
          <cell r="DP20">
            <v>226494000</v>
          </cell>
          <cell r="DQ20" t="str">
            <v>NULL</v>
          </cell>
          <cell r="DR20">
            <v>5316872000</v>
          </cell>
          <cell r="DS20">
            <v>0.8377576370843608</v>
          </cell>
          <cell r="DT20">
            <v>0.34782999999999997</v>
          </cell>
          <cell r="DU20">
            <v>0.24149999999999999</v>
          </cell>
          <cell r="DV20">
            <v>0.20022999999999999</v>
          </cell>
          <cell r="DW20">
            <v>0.23302999999999999</v>
          </cell>
          <cell r="DX20">
            <v>1.0225899999999999</v>
          </cell>
          <cell r="DY20">
            <v>21.758476026560011</v>
          </cell>
          <cell r="DZ20">
            <v>0.75533198544498992</v>
          </cell>
          <cell r="EA20">
            <v>-1405209000</v>
          </cell>
          <cell r="EB20">
            <v>-3.1698132615148347</v>
          </cell>
          <cell r="EC20">
            <v>21.268478779208401</v>
          </cell>
          <cell r="ED20">
            <v>0.96109237381972801</v>
          </cell>
          <cell r="EE20">
            <v>0.85264014187609005</v>
          </cell>
          <cell r="EG20">
            <v>0.41963340107488428</v>
          </cell>
          <cell r="EH20">
            <v>0.2445970819449681</v>
          </cell>
          <cell r="EK20">
            <v>1.0243026035874401</v>
          </cell>
          <cell r="EL20">
            <v>0</v>
          </cell>
        </row>
        <row r="21">
          <cell r="A21" t="str">
            <v>CGPA2</v>
          </cell>
          <cell r="B21" t="str">
            <v>CAMb.BA</v>
          </cell>
          <cell r="C21" t="str">
            <v>CAMUZZI GAS PAMPEANA SA</v>
          </cell>
          <cell r="D21">
            <v>42825</v>
          </cell>
          <cell r="E21">
            <v>2781594220</v>
          </cell>
          <cell r="F21">
            <v>3130100490</v>
          </cell>
          <cell r="G21">
            <v>0.88866000000000001</v>
          </cell>
          <cell r="H21">
            <v>0.88183</v>
          </cell>
          <cell r="I21">
            <v>0.72143000000000002</v>
          </cell>
          <cell r="J21">
            <v>0.71431</v>
          </cell>
          <cell r="K21">
            <v>28</v>
          </cell>
          <cell r="L21">
            <v>0</v>
          </cell>
          <cell r="M21" t="str">
            <v>NULL</v>
          </cell>
          <cell r="N21">
            <v>0</v>
          </cell>
          <cell r="O21">
            <v>0</v>
          </cell>
          <cell r="P21">
            <v>0</v>
          </cell>
          <cell r="Q21">
            <v>0</v>
          </cell>
          <cell r="R21">
            <v>0</v>
          </cell>
          <cell r="S21">
            <v>0</v>
          </cell>
          <cell r="T21">
            <v>0</v>
          </cell>
          <cell r="U21">
            <v>42825</v>
          </cell>
          <cell r="V21">
            <v>4125002540</v>
          </cell>
          <cell r="W21">
            <v>3353226920</v>
          </cell>
          <cell r="X21">
            <v>2918681420</v>
          </cell>
          <cell r="Y21">
            <v>2158955610</v>
          </cell>
          <cell r="Z21">
            <v>762296820</v>
          </cell>
          <cell r="AA21">
            <v>5.4112813169022536</v>
          </cell>
          <cell r="AC21">
            <v>746045280</v>
          </cell>
          <cell r="AD21">
            <v>1186918660</v>
          </cell>
          <cell r="AE21">
            <v>1047870270</v>
          </cell>
          <cell r="AF21">
            <v>752621580</v>
          </cell>
          <cell r="AG21">
            <v>1.4867325401672831</v>
          </cell>
          <cell r="AH21">
            <v>2663162780</v>
          </cell>
          <cell r="AI21">
            <v>2470014950</v>
          </cell>
          <cell r="AJ21">
            <v>2052740650</v>
          </cell>
          <cell r="AK21">
            <v>1249051200</v>
          </cell>
          <cell r="AL21">
            <v>646588690</v>
          </cell>
          <cell r="AM21">
            <v>1019581940</v>
          </cell>
          <cell r="AN21">
            <v>830640270</v>
          </cell>
          <cell r="AO21">
            <v>756814340</v>
          </cell>
          <cell r="AP21">
            <v>236.56411461050752</v>
          </cell>
          <cell r="AQ21">
            <v>1074435590</v>
          </cell>
          <cell r="AR21">
            <v>1489129130</v>
          </cell>
          <cell r="AS21">
            <v>1045768320</v>
          </cell>
          <cell r="AT21">
            <v>520749800</v>
          </cell>
          <cell r="AU21">
            <v>100.94402621813288</v>
          </cell>
          <cell r="AV21">
            <v>21369750</v>
          </cell>
          <cell r="AW21">
            <v>19871960</v>
          </cell>
          <cell r="AX21">
            <v>21732950</v>
          </cell>
          <cell r="AY21">
            <v>19127820</v>
          </cell>
          <cell r="AZ21">
            <v>2.302616542278852</v>
          </cell>
          <cell r="BA21">
            <v>-133.31747185009579</v>
          </cell>
          <cell r="BC21">
            <v>11.25938</v>
          </cell>
          <cell r="BD21">
            <v>-8.6710499999999993</v>
          </cell>
          <cell r="BE21">
            <v>-6.4898199999999999</v>
          </cell>
          <cell r="BF21">
            <v>258826170</v>
          </cell>
          <cell r="BG21">
            <v>-16135320</v>
          </cell>
          <cell r="BH21">
            <v>30616020</v>
          </cell>
          <cell r="BI21">
            <v>-125810350</v>
          </cell>
          <cell r="BJ21">
            <v>3.950670057351878E-2</v>
          </cell>
          <cell r="BK21">
            <v>-21244100</v>
          </cell>
          <cell r="BL21">
            <v>-266995200</v>
          </cell>
          <cell r="BM21">
            <v>-127065350</v>
          </cell>
          <cell r="BN21">
            <v>-82297700</v>
          </cell>
          <cell r="BO21">
            <v>-26157170</v>
          </cell>
          <cell r="BP21">
            <v>-122152280</v>
          </cell>
          <cell r="BQ21">
            <v>661990870</v>
          </cell>
          <cell r="BR21">
            <v>331857860</v>
          </cell>
          <cell r="BS21">
            <v>276214600</v>
          </cell>
          <cell r="BT21">
            <v>78671960</v>
          </cell>
          <cell r="BU21">
            <v>-81912490</v>
          </cell>
          <cell r="BV21">
            <v>1020117960</v>
          </cell>
          <cell r="BW21">
            <v>0.24051863220268641</v>
          </cell>
          <cell r="BX21">
            <v>4.6988878104899316E-2</v>
          </cell>
          <cell r="BY21">
            <v>762296820</v>
          </cell>
          <cell r="BZ21">
            <v>503470660</v>
          </cell>
          <cell r="CA21">
            <v>519605980</v>
          </cell>
          <cell r="CB21">
            <v>488989970</v>
          </cell>
          <cell r="CC21" t="str">
            <v>NULL</v>
          </cell>
          <cell r="CD21" t="str">
            <v>NULL</v>
          </cell>
          <cell r="CE21" t="str">
            <v>NULL</v>
          </cell>
          <cell r="CF21" t="str">
            <v>NULL</v>
          </cell>
          <cell r="CG21" t="str">
            <v>NULL</v>
          </cell>
          <cell r="CH21" t="str">
            <v>NULL</v>
          </cell>
          <cell r="CI21" t="str">
            <v>NULL</v>
          </cell>
          <cell r="CJ21" t="str">
            <v>NULL</v>
          </cell>
          <cell r="CK21">
            <v>762296820</v>
          </cell>
          <cell r="CL21">
            <v>503470660</v>
          </cell>
          <cell r="CM21">
            <v>519605980</v>
          </cell>
          <cell r="CN21">
            <v>488989970</v>
          </cell>
          <cell r="CO21">
            <v>0.25940712562371793</v>
          </cell>
          <cell r="CP21">
            <v>258826170</v>
          </cell>
          <cell r="CQ21">
            <v>-95954650</v>
          </cell>
          <cell r="CR21">
            <v>-207284310</v>
          </cell>
          <cell r="CS21">
            <v>90806640</v>
          </cell>
          <cell r="CT21">
            <v>-87507750</v>
          </cell>
          <cell r="CU21">
            <v>15348840</v>
          </cell>
          <cell r="CV21">
            <v>-48131120</v>
          </cell>
          <cell r="CW21">
            <v>-13009270</v>
          </cell>
          <cell r="CX21">
            <v>3.6973801686525873</v>
          </cell>
          <cell r="CY21">
            <v>-1.8654244756606935</v>
          </cell>
          <cell r="CZ21">
            <v>-3.2826999215035375</v>
          </cell>
          <cell r="DA21">
            <v>2.0376982610111676</v>
          </cell>
          <cell r="DB21">
            <v>-6.7012614634070067</v>
          </cell>
          <cell r="DC21">
            <v>1.3188963813848504</v>
          </cell>
          <cell r="DD21">
            <v>-2.6997556357889412</v>
          </cell>
          <cell r="DE21">
            <v>3.5869333686432414</v>
          </cell>
          <cell r="DG21">
            <v>23.588027171376002</v>
          </cell>
          <cell r="DH21">
            <v>333281049</v>
          </cell>
          <cell r="DI21">
            <v>28.2</v>
          </cell>
          <cell r="DJ21">
            <v>9398525581.7999992</v>
          </cell>
          <cell r="DK21">
            <v>8393474661.8000097</v>
          </cell>
          <cell r="DM21">
            <v>762296820</v>
          </cell>
          <cell r="DN21" t="str">
            <v>NULL</v>
          </cell>
          <cell r="DO21" t="str">
            <v>NULL</v>
          </cell>
          <cell r="DP21">
            <v>75193790</v>
          </cell>
          <cell r="DQ21" t="str">
            <v>NULL</v>
          </cell>
          <cell r="DR21">
            <v>687103030</v>
          </cell>
          <cell r="DS21">
            <v>13.678480768451857</v>
          </cell>
          <cell r="DT21">
            <v>0.77659999999999996</v>
          </cell>
          <cell r="DU21">
            <v>-4.8410000000000002E-2</v>
          </cell>
          <cell r="DV21">
            <v>9.1859999999999997E-2</v>
          </cell>
          <cell r="DW21">
            <v>-0.37748999999999999</v>
          </cell>
          <cell r="DX21">
            <v>0.44255999999999995</v>
          </cell>
          <cell r="DY21">
            <v>63.268257411424443</v>
          </cell>
          <cell r="DZ21">
            <v>2.5173796371109565</v>
          </cell>
          <cell r="EA21">
            <v>897965680</v>
          </cell>
          <cell r="EB21">
            <v>10.466464132348577</v>
          </cell>
          <cell r="EC21">
            <v>63.720173535791801</v>
          </cell>
          <cell r="ED21">
            <v>0.71449973717465698</v>
          </cell>
          <cell r="EE21">
            <v>0.52017991016425902</v>
          </cell>
          <cell r="EG21">
            <v>0.46058618609324725</v>
          </cell>
          <cell r="EH21">
            <v>0.14090004435558123</v>
          </cell>
          <cell r="EK21" t="str">
            <v>NULL</v>
          </cell>
          <cell r="EL21">
            <v>0</v>
          </cell>
        </row>
        <row r="22">
          <cell r="A22" t="str">
            <v>COME</v>
          </cell>
          <cell r="B22" t="str">
            <v>COM.BA</v>
          </cell>
          <cell r="C22" t="str">
            <v>SOCIEDAD COMERCIAL DEL PLATA SA</v>
          </cell>
          <cell r="D22">
            <v>42825</v>
          </cell>
          <cell r="E22">
            <v>1156824000</v>
          </cell>
          <cell r="F22">
            <v>1241565000</v>
          </cell>
          <cell r="G22">
            <v>0.93174999999999997</v>
          </cell>
          <cell r="H22">
            <v>0.54961000000000004</v>
          </cell>
          <cell r="I22">
            <v>1.00264</v>
          </cell>
          <cell r="J22">
            <v>0.58038000000000001</v>
          </cell>
          <cell r="K22">
            <v>3.2600000000000002</v>
          </cell>
          <cell r="L22">
            <v>0</v>
          </cell>
          <cell r="M22">
            <v>0</v>
          </cell>
          <cell r="N22">
            <v>0</v>
          </cell>
          <cell r="O22">
            <v>0</v>
          </cell>
          <cell r="P22">
            <v>0</v>
          </cell>
          <cell r="Q22">
            <v>0</v>
          </cell>
          <cell r="R22">
            <v>0</v>
          </cell>
          <cell r="S22">
            <v>38.486393174699998</v>
          </cell>
          <cell r="T22">
            <v>38.678967368000002</v>
          </cell>
          <cell r="U22">
            <v>42825</v>
          </cell>
          <cell r="V22">
            <v>3847436000</v>
          </cell>
          <cell r="W22">
            <v>3864829000</v>
          </cell>
          <cell r="X22">
            <v>3601716000</v>
          </cell>
          <cell r="Y22">
            <v>3533688000</v>
          </cell>
          <cell r="Z22">
            <v>1684559000</v>
          </cell>
          <cell r="AA22">
            <v>2.2839425630090724</v>
          </cell>
          <cell r="AC22">
            <v>736575000</v>
          </cell>
          <cell r="AD22">
            <v>623521000</v>
          </cell>
          <cell r="AE22">
            <v>666728000</v>
          </cell>
          <cell r="AF22">
            <v>569704000</v>
          </cell>
          <cell r="AG22">
            <v>0.87438658245914602</v>
          </cell>
          <cell r="AH22">
            <v>451316000</v>
          </cell>
          <cell r="AI22">
            <v>439388000</v>
          </cell>
          <cell r="AJ22">
            <v>467873000</v>
          </cell>
          <cell r="AK22">
            <v>445345000</v>
          </cell>
          <cell r="AL22">
            <v>540418000</v>
          </cell>
          <cell r="AM22">
            <v>604777000</v>
          </cell>
          <cell r="AN22">
            <v>458836000</v>
          </cell>
          <cell r="AO22">
            <v>411970000</v>
          </cell>
          <cell r="AP22">
            <v>81.650694865726763</v>
          </cell>
          <cell r="AQ22">
            <v>372520000</v>
          </cell>
          <cell r="AR22">
            <v>305778000</v>
          </cell>
          <cell r="AS22">
            <v>225449000</v>
          </cell>
          <cell r="AT22">
            <v>217667000</v>
          </cell>
          <cell r="AU22">
            <v>39.409945704417588</v>
          </cell>
          <cell r="AV22">
            <v>474447000</v>
          </cell>
          <cell r="AW22">
            <v>505034000</v>
          </cell>
          <cell r="AX22">
            <v>548772000</v>
          </cell>
          <cell r="AY22">
            <v>480564000</v>
          </cell>
          <cell r="AZ22">
            <v>90.92483151050024</v>
          </cell>
          <cell r="BA22">
            <v>48.684082349191073</v>
          </cell>
          <cell r="BC22">
            <v>24.485340000000001</v>
          </cell>
          <cell r="BD22">
            <v>9.7142800000000005</v>
          </cell>
          <cell r="BE22">
            <v>6.0946199999999999</v>
          </cell>
          <cell r="BF22">
            <v>3433000</v>
          </cell>
          <cell r="BG22">
            <v>183490000</v>
          </cell>
          <cell r="BH22">
            <v>-5722000</v>
          </cell>
          <cell r="BI22">
            <v>16131000</v>
          </cell>
          <cell r="BJ22">
            <v>7.5998410184677387E-2</v>
          </cell>
          <cell r="BK22">
            <v>-82528000</v>
          </cell>
          <cell r="BL22">
            <v>-245451000</v>
          </cell>
          <cell r="BM22">
            <v>-178058000</v>
          </cell>
          <cell r="BN22">
            <v>-121127000</v>
          </cell>
          <cell r="BO22">
            <v>-61363000</v>
          </cell>
          <cell r="BP22">
            <v>-199223000</v>
          </cell>
          <cell r="BQ22">
            <v>-6415000</v>
          </cell>
          <cell r="BR22">
            <v>-2377000</v>
          </cell>
          <cell r="BS22">
            <v>-12442000</v>
          </cell>
          <cell r="BT22">
            <v>30455000</v>
          </cell>
          <cell r="BU22">
            <v>67730000</v>
          </cell>
          <cell r="BV22">
            <v>-86587000</v>
          </cell>
          <cell r="BW22">
            <v>-0.11007391408835183</v>
          </cell>
          <cell r="BX22">
            <v>5.3161745456475354E-2</v>
          </cell>
          <cell r="BY22">
            <v>1684559000</v>
          </cell>
          <cell r="BZ22">
            <v>1683698000</v>
          </cell>
          <cell r="CA22">
            <v>1405866000</v>
          </cell>
          <cell r="CB22">
            <v>1410925000</v>
          </cell>
          <cell r="CC22" t="str">
            <v>NULL</v>
          </cell>
          <cell r="CD22" t="str">
            <v>NULL</v>
          </cell>
          <cell r="CE22" t="str">
            <v>NULL</v>
          </cell>
          <cell r="CF22" t="str">
            <v>NULL</v>
          </cell>
          <cell r="CG22" t="str">
            <v>NULL</v>
          </cell>
          <cell r="CH22" t="str">
            <v>NULL</v>
          </cell>
          <cell r="CI22" t="str">
            <v>NULL</v>
          </cell>
          <cell r="CJ22" t="str">
            <v>NULL</v>
          </cell>
          <cell r="CK22">
            <v>1684559000</v>
          </cell>
          <cell r="CL22">
            <v>1683698000</v>
          </cell>
          <cell r="CM22">
            <v>1405866000</v>
          </cell>
          <cell r="CN22">
            <v>1410925000</v>
          </cell>
          <cell r="CO22">
            <v>0.12761873472930202</v>
          </cell>
          <cell r="CP22">
            <v>3433000</v>
          </cell>
          <cell r="CQ22">
            <v>-42048000</v>
          </cell>
          <cell r="CR22">
            <v>151851000</v>
          </cell>
          <cell r="CS22">
            <v>359842000</v>
          </cell>
          <cell r="CT22">
            <v>259318000</v>
          </cell>
          <cell r="CU22">
            <v>104380000</v>
          </cell>
          <cell r="CV22">
            <v>912186000</v>
          </cell>
          <cell r="CW22">
            <v>-386774000</v>
          </cell>
          <cell r="CX22">
            <v>1.0816447869101979</v>
          </cell>
          <cell r="CY22">
            <v>0.75337628598722994</v>
          </cell>
          <cell r="CZ22">
            <v>-0.57800645839007125</v>
          </cell>
          <cell r="DA22">
            <v>0.38764759870120846</v>
          </cell>
          <cell r="DB22">
            <v>1.4843648208469054</v>
          </cell>
          <cell r="DC22">
            <v>-0.8855715829885572</v>
          </cell>
          <cell r="DD22">
            <v>3.3584470517666647</v>
          </cell>
          <cell r="DE22">
            <v>1.7257770376532429</v>
          </cell>
          <cell r="DG22">
            <v>199.569933284694</v>
          </cell>
          <cell r="DH22">
            <v>1465458150</v>
          </cell>
          <cell r="DI22">
            <v>3.2600000000000002</v>
          </cell>
          <cell r="DJ22">
            <v>5160910792.1999998</v>
          </cell>
          <cell r="DK22">
            <v>8289137178.9797897</v>
          </cell>
          <cell r="DM22">
            <v>1684559000</v>
          </cell>
          <cell r="DN22" t="str">
            <v>NULL</v>
          </cell>
          <cell r="DO22" t="str">
            <v>NULL</v>
          </cell>
          <cell r="DP22">
            <v>1265000</v>
          </cell>
          <cell r="DQ22" t="str">
            <v>NULL</v>
          </cell>
          <cell r="DR22">
            <v>1683294000</v>
          </cell>
          <cell r="DS22">
            <v>3.0659592395624293</v>
          </cell>
          <cell r="DT22">
            <v>2.1690000000000001E-2</v>
          </cell>
          <cell r="DU22">
            <v>0.97321999999999997</v>
          </cell>
          <cell r="DV22">
            <v>-3.8600000000000002E-2</v>
          </cell>
          <cell r="DW22">
            <v>0.10883</v>
          </cell>
          <cell r="DX22">
            <v>1.06514</v>
          </cell>
          <cell r="DY22">
            <v>3.0606305274424024</v>
          </cell>
          <cell r="DZ22">
            <v>1.9876199263786101</v>
          </cell>
          <cell r="EA22">
            <v>-285810000</v>
          </cell>
          <cell r="EB22">
            <v>-18.057138631258528</v>
          </cell>
          <cell r="EC22">
            <v>3.0794074018438899</v>
          </cell>
          <cell r="ED22">
            <v>0.88701802524818596</v>
          </cell>
          <cell r="EE22">
            <v>0.81220407709086395</v>
          </cell>
          <cell r="EG22">
            <v>0.51318168842857892</v>
          </cell>
          <cell r="EH22">
            <v>7.7772745429982582E-3</v>
          </cell>
          <cell r="EK22">
            <v>0</v>
          </cell>
          <cell r="EL22">
            <v>0</v>
          </cell>
        </row>
        <row r="23">
          <cell r="A23" t="str">
            <v>CRES</v>
          </cell>
          <cell r="B23" t="str">
            <v>CRE.BA</v>
          </cell>
          <cell r="C23" t="str">
            <v>CRESUD SACIF Y A</v>
          </cell>
          <cell r="D23">
            <v>42825</v>
          </cell>
          <cell r="E23">
            <v>58123000000</v>
          </cell>
          <cell r="F23">
            <v>43844000000</v>
          </cell>
          <cell r="G23">
            <v>1.32568</v>
          </cell>
          <cell r="H23">
            <v>1.22204</v>
          </cell>
          <cell r="I23">
            <v>1.40608</v>
          </cell>
          <cell r="J23">
            <v>1.30209</v>
          </cell>
          <cell r="K23">
            <v>31.85</v>
          </cell>
          <cell r="L23">
            <v>0</v>
          </cell>
          <cell r="M23">
            <v>0</v>
          </cell>
          <cell r="N23">
            <v>0</v>
          </cell>
          <cell r="O23">
            <v>0</v>
          </cell>
          <cell r="P23">
            <v>0</v>
          </cell>
          <cell r="Q23">
            <v>0</v>
          </cell>
          <cell r="R23">
            <v>0</v>
          </cell>
          <cell r="S23">
            <v>4147.5502291152998</v>
          </cell>
          <cell r="T23">
            <v>5121.3690215010001</v>
          </cell>
          <cell r="U23">
            <v>42825</v>
          </cell>
          <cell r="V23">
            <v>175621000000</v>
          </cell>
          <cell r="W23">
            <v>174553000000</v>
          </cell>
          <cell r="X23">
            <v>170466000000</v>
          </cell>
          <cell r="Y23">
            <v>166007000000</v>
          </cell>
          <cell r="Z23">
            <v>2837000000</v>
          </cell>
          <cell r="AA23">
            <v>61.903771589707439</v>
          </cell>
          <cell r="AC23">
            <v>19027000000</v>
          </cell>
          <cell r="AD23">
            <v>18946000000</v>
          </cell>
          <cell r="AE23">
            <v>19750000000</v>
          </cell>
          <cell r="AF23">
            <v>13827000000</v>
          </cell>
          <cell r="AG23">
            <v>0.52101003526957113</v>
          </cell>
          <cell r="AH23">
            <v>14418000000</v>
          </cell>
          <cell r="AI23">
            <v>16602000000</v>
          </cell>
          <cell r="AJ23">
            <v>14917000000</v>
          </cell>
          <cell r="AK23">
            <v>16598000000</v>
          </cell>
          <cell r="AL23">
            <v>14038000000</v>
          </cell>
          <cell r="AM23">
            <v>13928000000</v>
          </cell>
          <cell r="AN23">
            <v>14519000000</v>
          </cell>
          <cell r="AO23">
            <v>9272000000</v>
          </cell>
          <cell r="AP23">
            <v>110.25211565585332</v>
          </cell>
          <cell r="AQ23">
            <v>11212000000</v>
          </cell>
          <cell r="AR23">
            <v>12616000000</v>
          </cell>
          <cell r="AS23">
            <v>11646000000</v>
          </cell>
          <cell r="AT23">
            <v>11262000000</v>
          </cell>
          <cell r="AU23">
            <v>59.603913347309579</v>
          </cell>
          <cell r="AV23">
            <v>4544000000</v>
          </cell>
          <cell r="AW23">
            <v>4547000000</v>
          </cell>
          <cell r="AX23">
            <v>3759000000</v>
          </cell>
          <cell r="AY23">
            <v>4452000000</v>
          </cell>
          <cell r="AZ23">
            <v>30.504231311706629</v>
          </cell>
          <cell r="BA23">
            <v>-20.143970996837112</v>
          </cell>
          <cell r="BC23">
            <v>26.266110000000001</v>
          </cell>
          <cell r="BD23">
            <v>9.5890799999999992</v>
          </cell>
          <cell r="BE23">
            <v>-3.96224</v>
          </cell>
          <cell r="BF23">
            <v>556000000</v>
          </cell>
          <cell r="BG23">
            <v>-3227000000</v>
          </cell>
          <cell r="BH23">
            <v>-127000000</v>
          </cell>
          <cell r="BI23">
            <v>-466000000</v>
          </cell>
          <cell r="BJ23">
            <v>-4.561844863731656E-2</v>
          </cell>
          <cell r="BK23">
            <v>-3024000000</v>
          </cell>
          <cell r="BL23">
            <v>-1632000000</v>
          </cell>
          <cell r="BM23">
            <v>-799000000</v>
          </cell>
          <cell r="BN23">
            <v>-1282000000</v>
          </cell>
          <cell r="BO23">
            <v>-1328000000</v>
          </cell>
          <cell r="BP23">
            <v>-2495000000</v>
          </cell>
          <cell r="BQ23">
            <v>5890000000</v>
          </cell>
          <cell r="BR23">
            <v>4627000000</v>
          </cell>
          <cell r="BS23">
            <v>2412000000</v>
          </cell>
          <cell r="BT23">
            <v>4055000000</v>
          </cell>
          <cell r="BU23">
            <v>2801000000</v>
          </cell>
          <cell r="BV23">
            <v>5501000000</v>
          </cell>
          <cell r="BW23">
            <v>4.20125786163522E-2</v>
          </cell>
          <cell r="BX23">
            <v>-1.9014136812656283E-2</v>
          </cell>
          <cell r="BY23">
            <v>2837000000</v>
          </cell>
          <cell r="BZ23">
            <v>2279000000</v>
          </cell>
          <cell r="CA23">
            <v>697000000</v>
          </cell>
          <cell r="CB23">
            <v>1024000000</v>
          </cell>
          <cell r="CC23" t="str">
            <v>NULL</v>
          </cell>
          <cell r="CD23" t="str">
            <v>NULL</v>
          </cell>
          <cell r="CE23" t="str">
            <v>NULL</v>
          </cell>
          <cell r="CF23" t="str">
            <v>NULL</v>
          </cell>
          <cell r="CG23" t="str">
            <v>NULL</v>
          </cell>
          <cell r="CH23" t="str">
            <v>NULL</v>
          </cell>
          <cell r="CI23" t="str">
            <v>NULL</v>
          </cell>
          <cell r="CJ23" t="str">
            <v>NULL</v>
          </cell>
          <cell r="CK23">
            <v>2837000000</v>
          </cell>
          <cell r="CL23">
            <v>2279000000</v>
          </cell>
          <cell r="CM23">
            <v>697000000</v>
          </cell>
          <cell r="CN23">
            <v>1024000000</v>
          </cell>
          <cell r="CO23">
            <v>-1.9096094778411583</v>
          </cell>
          <cell r="CP23">
            <v>556000000</v>
          </cell>
          <cell r="CQ23">
            <v>4000000</v>
          </cell>
          <cell r="CR23">
            <v>-1402000000</v>
          </cell>
          <cell r="CS23">
            <v>114009000</v>
          </cell>
          <cell r="CT23">
            <v>-888382000</v>
          </cell>
          <cell r="CU23">
            <v>-26907000</v>
          </cell>
          <cell r="CV23">
            <v>-21329000</v>
          </cell>
          <cell r="CW23">
            <v>221933000</v>
          </cell>
          <cell r="CX23">
            <v>138</v>
          </cell>
          <cell r="CY23">
            <v>-9.1086660720145769</v>
          </cell>
          <cell r="CZ23">
            <v>-13.297274776552728</v>
          </cell>
          <cell r="DA23">
            <v>1.1283333070683557</v>
          </cell>
          <cell r="DB23">
            <v>-32.016761437544133</v>
          </cell>
          <cell r="DC23">
            <v>-0.26152187163017482</v>
          </cell>
          <cell r="DD23">
            <v>-1.0961055814142107</v>
          </cell>
          <cell r="DE23">
            <v>14.049862264104219</v>
          </cell>
          <cell r="DG23">
            <v>20.187712215193301</v>
          </cell>
          <cell r="DH23">
            <v>505476156</v>
          </cell>
          <cell r="DI23">
            <v>32</v>
          </cell>
          <cell r="DJ23">
            <v>16052569728</v>
          </cell>
          <cell r="DK23">
            <v>118522058415.39999</v>
          </cell>
          <cell r="DM23">
            <v>2837000000</v>
          </cell>
          <cell r="DN23" t="str">
            <v>NULL</v>
          </cell>
          <cell r="DO23" t="str">
            <v>NULL</v>
          </cell>
          <cell r="DP23">
            <v>8685000000</v>
          </cell>
          <cell r="DQ23">
            <v>2399000000</v>
          </cell>
          <cell r="DR23">
            <v>-8247000000</v>
          </cell>
          <cell r="DS23">
            <v>-1.9464738363041105</v>
          </cell>
          <cell r="DT23">
            <v>1.12079</v>
          </cell>
          <cell r="DU23">
            <v>-6.5050299999999996</v>
          </cell>
          <cell r="DV23">
            <v>-0.25464999999999999</v>
          </cell>
          <cell r="DW23">
            <v>-0.94277</v>
          </cell>
          <cell r="DX23">
            <v>-6.5816600000000003</v>
          </cell>
          <cell r="DY23">
            <v>-4.8392046991184596</v>
          </cell>
          <cell r="DZ23">
            <v>0.22435457341719078</v>
          </cell>
          <cell r="EA23">
            <v>3006000000</v>
          </cell>
          <cell r="EB23">
            <v>5.340176223552894</v>
          </cell>
          <cell r="EC23" t="str">
            <v>NULL</v>
          </cell>
          <cell r="ED23">
            <v>0.87380553727585397</v>
          </cell>
          <cell r="EE23">
            <v>1.02066967552191</v>
          </cell>
          <cell r="EG23">
            <v>0.44468973767891717</v>
          </cell>
          <cell r="EH23">
            <v>3.333983634341986E-2</v>
          </cell>
          <cell r="EK23">
            <v>0</v>
          </cell>
          <cell r="EL23">
            <v>0</v>
          </cell>
        </row>
        <row r="24">
          <cell r="A24" t="str">
            <v>CTIO</v>
          </cell>
          <cell r="B24" t="str">
            <v>CON.BA</v>
          </cell>
          <cell r="C24" t="str">
            <v>CONSULTATIO SA</v>
          </cell>
          <cell r="D24">
            <v>42825</v>
          </cell>
          <cell r="E24">
            <v>14289096000</v>
          </cell>
          <cell r="F24">
            <v>4813996000</v>
          </cell>
          <cell r="G24">
            <v>2.9682400000000002</v>
          </cell>
          <cell r="H24">
            <v>2.1561499999999998</v>
          </cell>
          <cell r="I24">
            <v>2.2242600000000001</v>
          </cell>
          <cell r="J24">
            <v>1.1793100000000001</v>
          </cell>
          <cell r="K24">
            <v>37.75</v>
          </cell>
          <cell r="L24">
            <v>0</v>
          </cell>
          <cell r="M24">
            <v>0</v>
          </cell>
          <cell r="N24">
            <v>0</v>
          </cell>
          <cell r="O24">
            <v>0.36593999999999999</v>
          </cell>
          <cell r="P24">
            <v>0.36593999999999999</v>
          </cell>
          <cell r="Q24">
            <v>9.6937748344370859E-3</v>
          </cell>
          <cell r="R24">
            <v>0</v>
          </cell>
          <cell r="S24">
            <v>3.7044160999999999E-2</v>
          </cell>
          <cell r="T24">
            <v>8.2187140000000002E-3</v>
          </cell>
          <cell r="U24">
            <v>42825</v>
          </cell>
          <cell r="V24">
            <v>19045423000</v>
          </cell>
          <cell r="W24">
            <v>20361950000</v>
          </cell>
          <cell r="X24">
            <v>23134363000</v>
          </cell>
          <cell r="Y24">
            <v>22793027000</v>
          </cell>
          <cell r="Z24">
            <v>7788002000</v>
          </cell>
          <cell r="AA24">
            <v>2.4454825512371468</v>
          </cell>
          <cell r="AC24">
            <v>7511289000</v>
          </cell>
          <cell r="AD24">
            <v>5742629000</v>
          </cell>
          <cell r="AE24">
            <v>48325000</v>
          </cell>
          <cell r="AF24">
            <v>164240000</v>
          </cell>
          <cell r="AG24">
            <v>0.78903812282741548</v>
          </cell>
          <cell r="AH24">
            <v>326553000</v>
          </cell>
          <cell r="AI24">
            <v>525039000</v>
          </cell>
          <cell r="AJ24">
            <v>186142000</v>
          </cell>
          <cell r="AK24">
            <v>231452000</v>
          </cell>
          <cell r="AL24">
            <v>3206752000</v>
          </cell>
          <cell r="AM24">
            <v>2720649000</v>
          </cell>
          <cell r="AN24">
            <v>34358000</v>
          </cell>
          <cell r="AO24">
            <v>76429000</v>
          </cell>
          <cell r="AP24">
            <v>19.180128624680119</v>
          </cell>
          <cell r="AQ24">
            <v>21433000</v>
          </cell>
          <cell r="AR24">
            <v>13987000</v>
          </cell>
          <cell r="AS24">
            <v>13937000</v>
          </cell>
          <cell r="AT24">
            <v>15158000</v>
          </cell>
          <cell r="AU24">
            <v>0.43715896347992272</v>
          </cell>
          <cell r="AV24">
            <v>3909405000</v>
          </cell>
          <cell r="AW24">
            <v>7213728000</v>
          </cell>
          <cell r="AX24">
            <v>9217566000</v>
          </cell>
          <cell r="AY24">
            <v>8702031000</v>
          </cell>
          <cell r="AZ24">
            <v>438.89807877793805</v>
          </cell>
          <cell r="BA24">
            <v>420.15510911673789</v>
          </cell>
          <cell r="BC24">
            <v>52.004130000000004</v>
          </cell>
          <cell r="BD24">
            <v>40.736669999999997</v>
          </cell>
          <cell r="BE24">
            <v>25.21434</v>
          </cell>
          <cell r="BF24">
            <v>860486000</v>
          </cell>
          <cell r="BG24">
            <v>653996000</v>
          </cell>
          <cell r="BH24">
            <v>138442000</v>
          </cell>
          <cell r="BI24">
            <v>397559000</v>
          </cell>
          <cell r="BJ24">
            <v>0.15226566580153111</v>
          </cell>
          <cell r="BK24">
            <v>-1416000</v>
          </cell>
          <cell r="BL24">
            <v>-1338577000</v>
          </cell>
          <cell r="BM24">
            <v>-1166768000</v>
          </cell>
          <cell r="BN24" t="str">
            <v>NULL</v>
          </cell>
          <cell r="BO24" t="str">
            <v>NULL</v>
          </cell>
          <cell r="BP24" t="e">
            <v>#VALUE!</v>
          </cell>
          <cell r="BQ24">
            <v>5530151000</v>
          </cell>
          <cell r="BR24">
            <v>4382329000</v>
          </cell>
          <cell r="BS24">
            <v>1545664000</v>
          </cell>
          <cell r="BT24">
            <v>154377000</v>
          </cell>
          <cell r="BU24">
            <v>-112946000</v>
          </cell>
          <cell r="BV24">
            <v>7188761000</v>
          </cell>
          <cell r="BW24" t="e">
            <v>#VALUE!</v>
          </cell>
          <cell r="BX24">
            <v>9.6114780326981161E-2</v>
          </cell>
          <cell r="BY24">
            <v>7788002000</v>
          </cell>
          <cell r="BZ24">
            <v>7032730000</v>
          </cell>
          <cell r="CA24">
            <v>6255885000</v>
          </cell>
          <cell r="CB24">
            <v>6067708000</v>
          </cell>
          <cell r="CC24" t="str">
            <v>NULL</v>
          </cell>
          <cell r="CD24" t="str">
            <v>NULL</v>
          </cell>
          <cell r="CE24" t="str">
            <v>NULL</v>
          </cell>
          <cell r="CF24" t="str">
            <v>NULL</v>
          </cell>
          <cell r="CG24" t="str">
            <v>NULL</v>
          </cell>
          <cell r="CH24" t="str">
            <v>NULL</v>
          </cell>
          <cell r="CI24" t="str">
            <v>NULL</v>
          </cell>
          <cell r="CJ24" t="str">
            <v>NULL</v>
          </cell>
          <cell r="CK24">
            <v>7788002000</v>
          </cell>
          <cell r="CL24">
            <v>7032730000</v>
          </cell>
          <cell r="CM24">
            <v>6255885000</v>
          </cell>
          <cell r="CN24">
            <v>6067708000</v>
          </cell>
          <cell r="CO24">
            <v>0.30216010160503165</v>
          </cell>
          <cell r="CP24">
            <v>860486000</v>
          </cell>
          <cell r="CQ24">
            <v>347219000</v>
          </cell>
          <cell r="CR24">
            <v>1537216000</v>
          </cell>
          <cell r="CS24">
            <v>1908698000</v>
          </cell>
          <cell r="CT24">
            <v>956937000</v>
          </cell>
          <cell r="CU24">
            <v>89123000</v>
          </cell>
          <cell r="CV24">
            <v>20389000</v>
          </cell>
          <cell r="CW24">
            <v>29916820</v>
          </cell>
          <cell r="CX24">
            <v>1.4782226779064511</v>
          </cell>
          <cell r="CY24">
            <v>2.71797633163425</v>
          </cell>
          <cell r="CZ24">
            <v>-0.19462586538048454</v>
          </cell>
          <cell r="DA24">
            <v>0.99459107548354808</v>
          </cell>
          <cell r="DB24">
            <v>9.7372619862437304</v>
          </cell>
          <cell r="DC24">
            <v>3.3711314924714308</v>
          </cell>
          <cell r="DD24">
            <v>-0.31847703064697386</v>
          </cell>
          <cell r="DE24">
            <v>4.1943515614936331</v>
          </cell>
          <cell r="DG24">
            <v>1.6271667753166601</v>
          </cell>
          <cell r="DH24">
            <v>409906729</v>
          </cell>
          <cell r="DI24">
            <v>36.700000000000003</v>
          </cell>
          <cell r="DJ24">
            <v>15043576954.299999</v>
          </cell>
          <cell r="DK24">
            <v>10522046290.75</v>
          </cell>
          <cell r="DM24">
            <v>7788002000</v>
          </cell>
          <cell r="DN24" t="str">
            <v>NULL</v>
          </cell>
          <cell r="DO24" t="str">
            <v>NULL</v>
          </cell>
          <cell r="DP24" t="str">
            <v>NULL</v>
          </cell>
          <cell r="DQ24" t="str">
            <v>NULL</v>
          </cell>
          <cell r="DR24">
            <v>7788002000</v>
          </cell>
          <cell r="DS24">
            <v>1.9316349628954896</v>
          </cell>
          <cell r="DT24">
            <v>2.0992199999999999</v>
          </cell>
          <cell r="DU24">
            <v>1.5954699999999999</v>
          </cell>
          <cell r="DV24">
            <v>0.33773999999999998</v>
          </cell>
          <cell r="DW24">
            <v>0.96987999999999996</v>
          </cell>
          <cell r="DX24">
            <v>5.0023099999999996</v>
          </cell>
          <cell r="DY24">
            <v>7.5465135107580306</v>
          </cell>
          <cell r="DZ24">
            <v>1.1171125344531307</v>
          </cell>
          <cell r="EA24" t="e">
            <v>#VALUE!</v>
          </cell>
          <cell r="EB24" t="e">
            <v>#VALUE!</v>
          </cell>
          <cell r="EC24">
            <v>7.3466058680889397</v>
          </cell>
          <cell r="ED24">
            <v>0.56917295569959003</v>
          </cell>
          <cell r="EE24">
            <v>0.75544238271235398</v>
          </cell>
          <cell r="EG24" t="str">
            <v>-</v>
          </cell>
          <cell r="EH24" t="str">
            <v>-</v>
          </cell>
          <cell r="EK24">
            <v>1.59319469088435</v>
          </cell>
          <cell r="EL24">
            <v>0</v>
          </cell>
        </row>
        <row r="25">
          <cell r="A25" t="str">
            <v>DGCU2</v>
          </cell>
          <cell r="B25" t="str">
            <v>ECO.BA</v>
          </cell>
          <cell r="C25" t="str">
            <v>DISTRIBUIDORA DE GAS CUYANA SA</v>
          </cell>
          <cell r="D25">
            <v>42825</v>
          </cell>
          <cell r="E25">
            <v>1358935000</v>
          </cell>
          <cell r="F25">
            <v>1608324000</v>
          </cell>
          <cell r="G25">
            <v>0.84494000000000002</v>
          </cell>
          <cell r="H25">
            <v>0.84192999999999996</v>
          </cell>
          <cell r="I25">
            <v>0.71089999999999998</v>
          </cell>
          <cell r="J25">
            <v>0.70769000000000004</v>
          </cell>
          <cell r="K25">
            <v>28.5</v>
          </cell>
          <cell r="L25">
            <v>0</v>
          </cell>
          <cell r="M25">
            <v>0</v>
          </cell>
          <cell r="N25">
            <v>0</v>
          </cell>
          <cell r="O25">
            <v>0</v>
          </cell>
          <cell r="P25">
            <v>0</v>
          </cell>
          <cell r="Q25">
            <v>0</v>
          </cell>
          <cell r="R25">
            <v>0</v>
          </cell>
          <cell r="S25">
            <v>0</v>
          </cell>
          <cell r="T25">
            <v>0</v>
          </cell>
          <cell r="U25">
            <v>42825</v>
          </cell>
          <cell r="V25">
            <v>2213527000</v>
          </cell>
          <cell r="W25">
            <v>2181904000</v>
          </cell>
          <cell r="X25">
            <v>1888717000</v>
          </cell>
          <cell r="Y25">
            <v>1636374000</v>
          </cell>
          <cell r="Z25">
            <v>582154000</v>
          </cell>
          <cell r="AA25">
            <v>3.8023048883972281</v>
          </cell>
          <cell r="AC25">
            <v>427851000</v>
          </cell>
          <cell r="AD25">
            <v>695670000</v>
          </cell>
          <cell r="AE25">
            <v>368397000</v>
          </cell>
          <cell r="AF25">
            <v>458473000</v>
          </cell>
          <cell r="AG25">
            <v>1.231219643480413</v>
          </cell>
          <cell r="AH25">
            <v>1292304000</v>
          </cell>
          <cell r="AI25">
            <v>1277542000</v>
          </cell>
          <cell r="AJ25">
            <v>1117625000</v>
          </cell>
          <cell r="AK25">
            <v>820547000</v>
          </cell>
          <cell r="AL25">
            <v>334161000</v>
          </cell>
          <cell r="AM25">
            <v>490441000</v>
          </cell>
          <cell r="AN25">
            <v>326040000</v>
          </cell>
          <cell r="AO25">
            <v>403522000</v>
          </cell>
          <cell r="AP25">
            <v>264.68033135499218</v>
          </cell>
          <cell r="AQ25">
            <v>259661000</v>
          </cell>
          <cell r="AR25">
            <v>300600000</v>
          </cell>
          <cell r="AS25">
            <v>55343000</v>
          </cell>
          <cell r="AT25">
            <v>235810000</v>
          </cell>
          <cell r="AU25">
            <v>39.833821782401579</v>
          </cell>
          <cell r="AV25">
            <v>4846000</v>
          </cell>
          <cell r="AW25">
            <v>4919000</v>
          </cell>
          <cell r="AX25">
            <v>4229000</v>
          </cell>
          <cell r="AY25">
            <v>3988000</v>
          </cell>
          <cell r="AZ25">
            <v>1.0557814361933491</v>
          </cell>
          <cell r="BA25">
            <v>-223.79072813639726</v>
          </cell>
          <cell r="BC25">
            <v>19.289159999999999</v>
          </cell>
          <cell r="BD25">
            <v>4.0447100000000002</v>
          </cell>
          <cell r="BE25">
            <v>8.4737899999999993</v>
          </cell>
          <cell r="BF25">
            <v>-22224000</v>
          </cell>
          <cell r="BG25">
            <v>116329000</v>
          </cell>
          <cell r="BH25">
            <v>-13834000</v>
          </cell>
          <cell r="BI25">
            <v>33818000</v>
          </cell>
          <cell r="BJ25">
            <v>5.8495450399432727E-2</v>
          </cell>
          <cell r="BK25">
            <v>-29467000</v>
          </cell>
          <cell r="BL25">
            <v>-127036000</v>
          </cell>
          <cell r="BM25">
            <v>-72098000</v>
          </cell>
          <cell r="BN25">
            <v>-50800000</v>
          </cell>
          <cell r="BO25">
            <v>-22565000</v>
          </cell>
          <cell r="BP25">
            <v>-79000000</v>
          </cell>
          <cell r="BQ25">
            <v>96329000</v>
          </cell>
          <cell r="BR25">
            <v>649565000</v>
          </cell>
          <cell r="BS25">
            <v>673510000</v>
          </cell>
          <cell r="BT25">
            <v>281399000</v>
          </cell>
          <cell r="BU25">
            <v>5007000</v>
          </cell>
          <cell r="BV25">
            <v>764832000</v>
          </cell>
          <cell r="BW25">
            <v>0.3516382099794349</v>
          </cell>
          <cell r="BX25">
            <v>5.761690959257483E-2</v>
          </cell>
          <cell r="BY25">
            <v>582154000</v>
          </cell>
          <cell r="BZ25">
            <v>604378000</v>
          </cell>
          <cell r="CA25">
            <v>488049000</v>
          </cell>
          <cell r="CB25">
            <v>501883000</v>
          </cell>
          <cell r="CC25" t="str">
            <v>NULL</v>
          </cell>
          <cell r="CD25" t="str">
            <v>NULL</v>
          </cell>
          <cell r="CE25" t="str">
            <v>NULL</v>
          </cell>
          <cell r="CF25" t="str">
            <v>NULL</v>
          </cell>
          <cell r="CG25" t="str">
            <v>NULL</v>
          </cell>
          <cell r="CH25" t="str">
            <v>NULL</v>
          </cell>
          <cell r="CI25" t="str">
            <v>NULL</v>
          </cell>
          <cell r="CJ25" t="str">
            <v>NULL</v>
          </cell>
          <cell r="CK25">
            <v>582154000</v>
          </cell>
          <cell r="CL25">
            <v>604378000</v>
          </cell>
          <cell r="CM25">
            <v>488049000</v>
          </cell>
          <cell r="CN25">
            <v>501883000</v>
          </cell>
          <cell r="CO25">
            <v>0.20967771578119371</v>
          </cell>
          <cell r="CP25">
            <v>-22224000</v>
          </cell>
          <cell r="CQ25">
            <v>306000</v>
          </cell>
          <cell r="CR25">
            <v>136619000</v>
          </cell>
          <cell r="CS25">
            <v>14552000</v>
          </cell>
          <cell r="CT25">
            <v>30672000</v>
          </cell>
          <cell r="CU25">
            <v>32090000</v>
          </cell>
          <cell r="CV25">
            <v>7985000</v>
          </cell>
          <cell r="CW25">
            <v>12280000</v>
          </cell>
          <cell r="CX25" t="str">
            <v>-</v>
          </cell>
          <cell r="CY25">
            <v>2.0975224060243134</v>
          </cell>
          <cell r="CZ25">
            <v>8.3883315008246289</v>
          </cell>
          <cell r="DA25">
            <v>-0.52556077203964535</v>
          </cell>
          <cell r="DB25">
            <v>-4.418822062947958E-2</v>
          </cell>
          <cell r="DC25">
            <v>3.0187852222917968</v>
          </cell>
          <cell r="DD25">
            <v>-0.34975570032573289</v>
          </cell>
          <cell r="DE25">
            <v>3.8039342837726449</v>
          </cell>
          <cell r="DG25">
            <v>6.8361799796254399</v>
          </cell>
          <cell r="DH25">
            <v>78917002</v>
          </cell>
          <cell r="DI25">
            <v>27.650000000000002</v>
          </cell>
          <cell r="DJ25">
            <v>5595013113.1999998</v>
          </cell>
          <cell r="DK25">
            <v>1154206955.4000001</v>
          </cell>
          <cell r="DM25">
            <v>582154000</v>
          </cell>
          <cell r="DN25" t="str">
            <v>NULL</v>
          </cell>
          <cell r="DO25" t="str">
            <v>NULL</v>
          </cell>
          <cell r="DP25">
            <v>28675000</v>
          </cell>
          <cell r="DQ25" t="str">
            <v>NULL</v>
          </cell>
          <cell r="DR25">
            <v>553479000</v>
          </cell>
          <cell r="DS25">
            <v>10.108808307451593</v>
          </cell>
          <cell r="DT25">
            <v>-0.10983</v>
          </cell>
          <cell r="DU25">
            <v>0.57489000000000001</v>
          </cell>
          <cell r="DV25">
            <v>-6.837E-2</v>
          </cell>
          <cell r="DW25">
            <v>0.16713</v>
          </cell>
          <cell r="DX25">
            <v>0.56381999999999999</v>
          </cell>
          <cell r="DY25">
            <v>50.548047249122064</v>
          </cell>
          <cell r="DZ25">
            <v>2.8686622903817747</v>
          </cell>
          <cell r="EA25">
            <v>685832000</v>
          </cell>
          <cell r="EB25">
            <v>8.1579936678370206</v>
          </cell>
          <cell r="EC25">
            <v>49.1291546947607</v>
          </cell>
          <cell r="ED25">
            <v>0.74126320015264202</v>
          </cell>
          <cell r="EE25">
            <v>0.82565128429866697</v>
          </cell>
          <cell r="EG25">
            <v>0.40560879039579673</v>
          </cell>
          <cell r="EH25">
            <v>0.10874141041767249</v>
          </cell>
          <cell r="EK25">
            <v>0</v>
          </cell>
          <cell r="EL25">
            <v>0</v>
          </cell>
        </row>
        <row r="26">
          <cell r="A26" t="str">
            <v>DYCA</v>
          </cell>
          <cell r="B26" t="str">
            <v>DYC.BA</v>
          </cell>
          <cell r="C26" t="str">
            <v>DYCASA SA</v>
          </cell>
          <cell r="D26">
            <v>42825</v>
          </cell>
          <cell r="E26">
            <v>1148397890</v>
          </cell>
          <cell r="F26">
            <v>812122940</v>
          </cell>
          <cell r="G26">
            <v>1.4140699999999999</v>
          </cell>
          <cell r="H26">
            <v>1.36165</v>
          </cell>
          <cell r="I26">
            <v>1.45642</v>
          </cell>
          <cell r="J26">
            <v>1.4207799999999999</v>
          </cell>
          <cell r="K26">
            <v>35.4</v>
          </cell>
          <cell r="L26">
            <v>0</v>
          </cell>
          <cell r="M26" t="str">
            <v>NULL</v>
          </cell>
          <cell r="N26">
            <v>0</v>
          </cell>
          <cell r="O26">
            <v>0</v>
          </cell>
          <cell r="P26">
            <v>0</v>
          </cell>
          <cell r="Q26">
            <v>0</v>
          </cell>
          <cell r="R26">
            <v>0</v>
          </cell>
          <cell r="S26">
            <v>29.325918234500001</v>
          </cell>
          <cell r="T26">
            <v>47.703839530000003</v>
          </cell>
          <cell r="U26">
            <v>42825</v>
          </cell>
          <cell r="V26">
            <v>1345913990</v>
          </cell>
          <cell r="W26">
            <v>1501326670</v>
          </cell>
          <cell r="X26">
            <v>1048256390</v>
          </cell>
          <cell r="Y26">
            <v>983312570</v>
          </cell>
          <cell r="Z26">
            <v>288210140</v>
          </cell>
          <cell r="AA26">
            <v>4.6699050560816495</v>
          </cell>
          <cell r="AC26">
            <v>386522890</v>
          </cell>
          <cell r="AD26">
            <v>538600650</v>
          </cell>
          <cell r="AE26">
            <v>317854510</v>
          </cell>
          <cell r="AF26">
            <v>208295360</v>
          </cell>
          <cell r="AG26">
            <v>1.4873102090711006</v>
          </cell>
          <cell r="AH26">
            <v>530539080</v>
          </cell>
          <cell r="AI26">
            <v>594453800</v>
          </cell>
          <cell r="AJ26">
            <v>388649650</v>
          </cell>
          <cell r="AK26">
            <v>357214780</v>
          </cell>
          <cell r="AL26">
            <v>332769880</v>
          </cell>
          <cell r="AM26">
            <v>439974580</v>
          </cell>
          <cell r="AN26">
            <v>274476110</v>
          </cell>
          <cell r="AO26">
            <v>188730530</v>
          </cell>
          <cell r="AP26">
            <v>138.12498693314001</v>
          </cell>
          <cell r="AQ26">
            <v>788581190</v>
          </cell>
          <cell r="AR26">
            <v>841710530</v>
          </cell>
          <cell r="AS26">
            <v>666560100</v>
          </cell>
          <cell r="AT26">
            <v>602389660</v>
          </cell>
          <cell r="AU26">
            <v>182.29217405009851</v>
          </cell>
          <cell r="AV26">
            <v>42568140</v>
          </cell>
          <cell r="AW26">
            <v>32316470</v>
          </cell>
          <cell r="AX26">
            <v>37684050</v>
          </cell>
          <cell r="AY26">
            <v>35295930</v>
          </cell>
          <cell r="AZ26">
            <v>10.916810412240419</v>
          </cell>
          <cell r="BA26">
            <v>55.083997529198911</v>
          </cell>
          <cell r="BC26">
            <v>12.70987</v>
          </cell>
          <cell r="BD26">
            <v>0.85580999999999996</v>
          </cell>
          <cell r="BE26">
            <v>2.9545499999999998</v>
          </cell>
          <cell r="BF26">
            <v>7435740</v>
          </cell>
          <cell r="BG26">
            <v>48117070</v>
          </cell>
          <cell r="BH26">
            <v>-12241290</v>
          </cell>
          <cell r="BI26">
            <v>12517850</v>
          </cell>
          <cell r="BJ26">
            <v>3.8469229585071776E-2</v>
          </cell>
          <cell r="BK26">
            <v>-7774460</v>
          </cell>
          <cell r="BL26">
            <v>-35899160</v>
          </cell>
          <cell r="BM26">
            <v>-3705460</v>
          </cell>
          <cell r="BN26">
            <v>-685220</v>
          </cell>
          <cell r="BO26">
            <v>-29270</v>
          </cell>
          <cell r="BP26">
            <v>-11450650</v>
          </cell>
          <cell r="BQ26">
            <v>-81230160</v>
          </cell>
          <cell r="BR26">
            <v>344396510</v>
          </cell>
          <cell r="BS26">
            <v>43423220</v>
          </cell>
          <cell r="BT26">
            <v>64473650</v>
          </cell>
          <cell r="BU26">
            <v>3286180</v>
          </cell>
          <cell r="BV26">
            <v>-41093120</v>
          </cell>
          <cell r="BW26">
            <v>-3.62052867763904E-2</v>
          </cell>
          <cell r="BX26">
            <v>4.5772944097785886E-2</v>
          </cell>
          <cell r="BY26">
            <v>288210140</v>
          </cell>
          <cell r="BZ26">
            <v>269155840</v>
          </cell>
          <cell r="CA26">
            <v>244387550</v>
          </cell>
          <cell r="CB26">
            <v>246634880</v>
          </cell>
          <cell r="CC26" t="str">
            <v>NULL</v>
          </cell>
          <cell r="CD26" t="str">
            <v>NULL</v>
          </cell>
          <cell r="CE26" t="str">
            <v>NULL</v>
          </cell>
          <cell r="CF26" t="str">
            <v>NULL</v>
          </cell>
          <cell r="CG26" t="str">
            <v>NULL</v>
          </cell>
          <cell r="CH26" t="str">
            <v>NULL</v>
          </cell>
          <cell r="CI26" t="str">
            <v>NULL</v>
          </cell>
          <cell r="CJ26" t="str">
            <v>NULL</v>
          </cell>
          <cell r="CK26">
            <v>288210140</v>
          </cell>
          <cell r="CL26">
            <v>269155840</v>
          </cell>
          <cell r="CM26">
            <v>244387550</v>
          </cell>
          <cell r="CN26">
            <v>246634880</v>
          </cell>
          <cell r="CO26">
            <v>0.21301025256469594</v>
          </cell>
          <cell r="CP26">
            <v>7435740</v>
          </cell>
          <cell r="CQ26">
            <v>-11842900</v>
          </cell>
          <cell r="CR26">
            <v>36550730</v>
          </cell>
          <cell r="CS26">
            <v>5578920</v>
          </cell>
          <cell r="CT26">
            <v>1942180</v>
          </cell>
          <cell r="CU26">
            <v>11950030</v>
          </cell>
          <cell r="CV26">
            <v>-9409140</v>
          </cell>
          <cell r="CW26">
            <v>19756250</v>
          </cell>
          <cell r="CX26">
            <v>1.6278647966292041</v>
          </cell>
          <cell r="CY26">
            <v>1.4760781453120972</v>
          </cell>
          <cell r="CZ26">
            <v>5.5515780832132382</v>
          </cell>
          <cell r="DA26">
            <v>1.8725040933384136</v>
          </cell>
          <cell r="DB26">
            <v>-0.83747488500028866</v>
          </cell>
          <cell r="DC26">
            <v>2.2700448712634733</v>
          </cell>
          <cell r="DD26">
            <v>-1.47626143625435</v>
          </cell>
          <cell r="DE26">
            <v>2.8047314072371656</v>
          </cell>
          <cell r="DG26">
            <v>17.779494375140199</v>
          </cell>
          <cell r="DH26">
            <v>30000000</v>
          </cell>
          <cell r="DI26">
            <v>34.25</v>
          </cell>
          <cell r="DJ26">
            <v>1027500000</v>
          </cell>
          <cell r="DK26">
            <v>943363970</v>
          </cell>
          <cell r="DM26">
            <v>288210140</v>
          </cell>
          <cell r="DN26" t="str">
            <v>NULL</v>
          </cell>
          <cell r="DO26" t="str">
            <v>NULL</v>
          </cell>
          <cell r="DP26" t="str">
            <v>NULL</v>
          </cell>
          <cell r="DQ26" t="str">
            <v>NULL</v>
          </cell>
          <cell r="DR26">
            <v>288210140</v>
          </cell>
          <cell r="DS26">
            <v>3.5651070430762775</v>
          </cell>
          <cell r="DT26">
            <v>0.24786</v>
          </cell>
          <cell r="DU26">
            <v>1.6039000000000001</v>
          </cell>
          <cell r="DV26">
            <v>-0.40804000000000001</v>
          </cell>
          <cell r="DW26">
            <v>0.41726000000000002</v>
          </cell>
          <cell r="DX26">
            <v>1.8609800000000001</v>
          </cell>
          <cell r="DY26">
            <v>19.022235596298724</v>
          </cell>
          <cell r="DZ26">
            <v>0.70799891524230429</v>
          </cell>
          <cell r="EA26">
            <v>-52543770</v>
          </cell>
          <cell r="EB26">
            <v>-19.555125184203568</v>
          </cell>
          <cell r="EC26">
            <v>18.404281615062999</v>
          </cell>
          <cell r="ED26">
            <v>0.48559199625535598</v>
          </cell>
          <cell r="EE26">
            <v>0.69690366471006404</v>
          </cell>
          <cell r="EG26">
            <v>0.41619922305969309</v>
          </cell>
          <cell r="EH26">
            <v>5.0339809906447819E-2</v>
          </cell>
          <cell r="EK26" t="str">
            <v>NULL</v>
          </cell>
          <cell r="EL26">
            <v>0</v>
          </cell>
        </row>
        <row r="27">
          <cell r="A27" t="str">
            <v>EDN</v>
          </cell>
          <cell r="B27" t="str">
            <v>EDN.BA</v>
          </cell>
          <cell r="C27" t="str">
            <v>EMPRESA DISTRIBUIDORA Y COMERCIALIZADORA NORTE SA</v>
          </cell>
          <cell r="D27">
            <v>42825</v>
          </cell>
          <cell r="E27">
            <v>6774135000</v>
          </cell>
          <cell r="F27">
            <v>9538283000</v>
          </cell>
          <cell r="G27">
            <v>0.71020000000000005</v>
          </cell>
          <cell r="H27">
            <v>0.68252999999999997</v>
          </cell>
          <cell r="I27">
            <v>0.69245000000000001</v>
          </cell>
          <cell r="J27">
            <v>0.66234999999999999</v>
          </cell>
          <cell r="K27">
            <v>26.8</v>
          </cell>
          <cell r="L27">
            <v>0</v>
          </cell>
          <cell r="M27" t="str">
            <v>NULL</v>
          </cell>
          <cell r="N27">
            <v>0</v>
          </cell>
          <cell r="O27">
            <v>0</v>
          </cell>
          <cell r="P27">
            <v>0</v>
          </cell>
          <cell r="Q27">
            <v>0</v>
          </cell>
          <cell r="R27">
            <v>0</v>
          </cell>
          <cell r="S27">
            <v>347.83069295619998</v>
          </cell>
          <cell r="T27">
            <v>780.27454730399995</v>
          </cell>
          <cell r="U27">
            <v>42825</v>
          </cell>
          <cell r="V27">
            <v>19770659000</v>
          </cell>
          <cell r="W27">
            <v>18933530000</v>
          </cell>
          <cell r="X27">
            <v>17738669000</v>
          </cell>
          <cell r="Y27">
            <v>15199063000</v>
          </cell>
          <cell r="Z27">
            <v>805188000</v>
          </cell>
          <cell r="AA27">
            <v>24.554090473280773</v>
          </cell>
          <cell r="AC27">
            <v>5366635000</v>
          </cell>
          <cell r="AD27">
            <v>3962261000</v>
          </cell>
          <cell r="AE27">
            <v>3410203000</v>
          </cell>
          <cell r="AF27">
            <v>2717025000</v>
          </cell>
          <cell r="AG27">
            <v>1.0787060526254355</v>
          </cell>
          <cell r="AH27">
            <v>7135200000</v>
          </cell>
          <cell r="AI27">
            <v>6821061000</v>
          </cell>
          <cell r="AJ27">
            <v>8142140000</v>
          </cell>
          <cell r="AK27">
            <v>5329877000</v>
          </cell>
          <cell r="AL27">
            <v>2533581000</v>
          </cell>
          <cell r="AM27">
            <v>1294321000</v>
          </cell>
          <cell r="AN27">
            <v>1996329000</v>
          </cell>
          <cell r="AO27">
            <v>1452368000</v>
          </cell>
          <cell r="AP27">
            <v>343.95606621994699</v>
          </cell>
          <cell r="AQ27">
            <v>4592609000</v>
          </cell>
          <cell r="AR27">
            <v>3901060000</v>
          </cell>
          <cell r="AS27">
            <v>3257798000</v>
          </cell>
          <cell r="AT27">
            <v>1574309000</v>
          </cell>
          <cell r="AU27">
            <v>78.672832852531471</v>
          </cell>
          <cell r="AV27">
            <v>263994000</v>
          </cell>
          <cell r="AW27">
            <v>287810000</v>
          </cell>
          <cell r="AX27">
            <v>234199000</v>
          </cell>
          <cell r="AY27">
            <v>124823000</v>
          </cell>
          <cell r="AZ27">
            <v>11.421939356559294</v>
          </cell>
          <cell r="BA27">
            <v>-253.86129401085623</v>
          </cell>
          <cell r="BC27" t="str">
            <v>NULL</v>
          </cell>
          <cell r="BD27">
            <v>-5.01633</v>
          </cell>
          <cell r="BE27">
            <v>-9.08779</v>
          </cell>
          <cell r="BF27">
            <v>421383000</v>
          </cell>
          <cell r="BG27">
            <v>653584000</v>
          </cell>
          <cell r="BH27">
            <v>-656767000</v>
          </cell>
          <cell r="BI27">
            <v>-1060428000</v>
          </cell>
          <cell r="BJ27">
            <v>-4.1551685273746509E-2</v>
          </cell>
          <cell r="BK27">
            <v>-742941000</v>
          </cell>
          <cell r="BL27">
            <v>-2474600000</v>
          </cell>
          <cell r="BM27">
            <v>-1525477000</v>
          </cell>
          <cell r="BN27">
            <v>-1063468000</v>
          </cell>
          <cell r="BO27">
            <v>-427961000</v>
          </cell>
          <cell r="BP27">
            <v>-1840457000</v>
          </cell>
          <cell r="BQ27">
            <v>139931000</v>
          </cell>
          <cell r="BR27">
            <v>2931315000</v>
          </cell>
          <cell r="BS27">
            <v>1877140000</v>
          </cell>
          <cell r="BT27">
            <v>1578620000</v>
          </cell>
          <cell r="BU27">
            <v>483755000</v>
          </cell>
          <cell r="BV27">
            <v>1533316000</v>
          </cell>
          <cell r="BW27">
            <v>-1.9871799682766519E-2</v>
          </cell>
          <cell r="BX27">
            <v>-3.5857664955689837E-2</v>
          </cell>
          <cell r="BY27">
            <v>805188000</v>
          </cell>
          <cell r="BZ27">
            <v>361832000</v>
          </cell>
          <cell r="CA27">
            <v>-317179000</v>
          </cell>
          <cell r="CB27">
            <v>339588000</v>
          </cell>
          <cell r="CC27" t="str">
            <v>NULL</v>
          </cell>
          <cell r="CD27" t="str">
            <v>NULL</v>
          </cell>
          <cell r="CE27" t="str">
            <v>NULL</v>
          </cell>
          <cell r="CF27" t="str">
            <v>NULL</v>
          </cell>
          <cell r="CG27" t="str">
            <v>NULL</v>
          </cell>
          <cell r="CH27" t="str">
            <v>NULL</v>
          </cell>
          <cell r="CI27" t="str">
            <v>NULL</v>
          </cell>
          <cell r="CJ27" t="str">
            <v>NULL</v>
          </cell>
          <cell r="CK27">
            <v>805188000</v>
          </cell>
          <cell r="CL27">
            <v>361832000</v>
          </cell>
          <cell r="CM27">
            <v>-317179000</v>
          </cell>
          <cell r="CN27">
            <v>339588000</v>
          </cell>
          <cell r="CO27">
            <v>-2.1597859140814628</v>
          </cell>
          <cell r="CP27">
            <v>421383000</v>
          </cell>
          <cell r="CQ27">
            <v>-125037000</v>
          </cell>
          <cell r="CR27">
            <v>-1188648000</v>
          </cell>
          <cell r="CS27">
            <v>1142443000</v>
          </cell>
          <cell r="CT27">
            <v>-779716000</v>
          </cell>
          <cell r="CU27">
            <v>866847000</v>
          </cell>
          <cell r="CV27">
            <v>-1033357000</v>
          </cell>
          <cell r="CW27">
            <v>-164526000</v>
          </cell>
          <cell r="CX27">
            <v>4.3700664603277435</v>
          </cell>
          <cell r="CY27">
            <v>-0.98333459147739188</v>
          </cell>
          <cell r="CZ27">
            <v>-2.0404440309056993</v>
          </cell>
          <cell r="DA27">
            <v>2.4652039973528823</v>
          </cell>
          <cell r="DB27">
            <v>-1.8994851455908597</v>
          </cell>
          <cell r="DC27">
            <v>1.8388649808343098</v>
          </cell>
          <cell r="DD27">
            <v>-5.2808127590775928</v>
          </cell>
          <cell r="DE27">
            <v>3.1734192769920537</v>
          </cell>
          <cell r="DG27" t="str">
            <v>NULL</v>
          </cell>
          <cell r="DH27">
            <v>442210385</v>
          </cell>
          <cell r="DI27">
            <v>26.6</v>
          </cell>
          <cell r="DJ27">
            <v>24111705660</v>
          </cell>
          <cell r="DK27">
            <v>12826899241</v>
          </cell>
          <cell r="DM27">
            <v>805188000</v>
          </cell>
          <cell r="DN27" t="str">
            <v>NULL</v>
          </cell>
          <cell r="DO27" t="str">
            <v>NULL</v>
          </cell>
          <cell r="DP27" t="str">
            <v>NULL</v>
          </cell>
          <cell r="DQ27" t="str">
            <v>NULL</v>
          </cell>
          <cell r="DR27">
            <v>805188000</v>
          </cell>
          <cell r="DS27">
            <v>29.945435923039092</v>
          </cell>
          <cell r="DT27">
            <v>0.46971000000000002</v>
          </cell>
          <cell r="DU27">
            <v>0.72860000000000003</v>
          </cell>
          <cell r="DV27">
            <v>-0.73214999999999997</v>
          </cell>
          <cell r="DW27">
            <v>-1.18214</v>
          </cell>
          <cell r="DX27">
            <v>-0.71597999999999995</v>
          </cell>
          <cell r="DY27">
            <v>-37.431213162378839</v>
          </cell>
          <cell r="DZ27">
            <v>1.5600098485234719</v>
          </cell>
          <cell r="EA27">
            <v>-307141000</v>
          </cell>
          <cell r="EB27">
            <v>-78.503702403781972</v>
          </cell>
          <cell r="EC27" t="str">
            <v>NULL</v>
          </cell>
          <cell r="ED27">
            <v>0.58308333689084901</v>
          </cell>
          <cell r="EE27">
            <v>0.75882759303762604</v>
          </cell>
          <cell r="EG27">
            <v>0.54504603754840797</v>
          </cell>
          <cell r="EH27">
            <v>3.7257111712369451E-2</v>
          </cell>
          <cell r="EK27" t="str">
            <v>NULL</v>
          </cell>
          <cell r="EL27">
            <v>0</v>
          </cell>
        </row>
        <row r="28">
          <cell r="A28" t="str">
            <v>ERAR</v>
          </cell>
          <cell r="B28" t="str">
            <v>SID.BA</v>
          </cell>
          <cell r="C28" t="str">
            <v>SIDERAR SA INDUSTRIAL Y COMERCIAL</v>
          </cell>
          <cell r="D28">
            <v>42916</v>
          </cell>
          <cell r="E28">
            <v>14819339000</v>
          </cell>
          <cell r="F28">
            <v>12791038000</v>
          </cell>
          <cell r="G28">
            <v>1.1585700000000001</v>
          </cell>
          <cell r="H28">
            <v>0.40205999999999997</v>
          </cell>
          <cell r="I28">
            <v>1.29356</v>
          </cell>
          <cell r="J28">
            <v>0.45406999999999997</v>
          </cell>
          <cell r="K28">
            <v>11.25</v>
          </cell>
          <cell r="L28">
            <v>0.26600000000000001</v>
          </cell>
          <cell r="M28">
            <v>0</v>
          </cell>
          <cell r="N28">
            <v>0</v>
          </cell>
          <cell r="O28">
            <v>0</v>
          </cell>
          <cell r="P28">
            <v>0.26600000000000001</v>
          </cell>
          <cell r="Q28">
            <v>2.3644444444444447E-2</v>
          </cell>
          <cell r="R28">
            <v>0</v>
          </cell>
          <cell r="S28">
            <v>29.579905913899999</v>
          </cell>
          <cell r="T28">
            <v>25.5093048938</v>
          </cell>
          <cell r="U28">
            <v>42916</v>
          </cell>
          <cell r="V28">
            <v>46083760000</v>
          </cell>
          <cell r="W28">
            <v>42347137000</v>
          </cell>
          <cell r="X28">
            <v>38366915000</v>
          </cell>
          <cell r="Y28">
            <v>37464705000</v>
          </cell>
          <cell r="Z28">
            <v>31613799000</v>
          </cell>
          <cell r="AA28">
            <v>1.457710286574543</v>
          </cell>
          <cell r="AC28">
            <v>8831257000</v>
          </cell>
          <cell r="AD28">
            <v>7981971000</v>
          </cell>
          <cell r="AE28">
            <v>7764094000</v>
          </cell>
          <cell r="AF28">
            <v>7034041000</v>
          </cell>
          <cell r="AG28">
            <v>0.96222057589280552</v>
          </cell>
          <cell r="AH28">
            <v>3507075000</v>
          </cell>
          <cell r="AI28">
            <v>3076277000</v>
          </cell>
          <cell r="AJ28">
            <v>2749764000</v>
          </cell>
          <cell r="AK28">
            <v>2390506000</v>
          </cell>
          <cell r="AL28">
            <v>6820858000</v>
          </cell>
          <cell r="AM28">
            <v>5937615000</v>
          </cell>
          <cell r="AN28">
            <v>5578831000</v>
          </cell>
          <cell r="AO28">
            <v>5385859000</v>
          </cell>
          <cell r="AP28">
            <v>45.094345450478087</v>
          </cell>
          <cell r="AQ28">
            <v>1526597000</v>
          </cell>
          <cell r="AR28">
            <v>1225385000</v>
          </cell>
          <cell r="AS28">
            <v>1138810000</v>
          </cell>
          <cell r="AT28">
            <v>1034525000</v>
          </cell>
          <cell r="AU28">
            <v>14.217519701697139</v>
          </cell>
          <cell r="AV28">
            <v>9676573000</v>
          </cell>
          <cell r="AW28">
            <v>8909335000</v>
          </cell>
          <cell r="AX28">
            <v>7318157000</v>
          </cell>
          <cell r="AY28">
            <v>7254408000</v>
          </cell>
          <cell r="AZ28">
            <v>127.54246393071615</v>
          </cell>
          <cell r="BA28">
            <v>96.665638181935194</v>
          </cell>
          <cell r="BC28">
            <v>27.736740000000001</v>
          </cell>
          <cell r="BD28">
            <v>15.26763</v>
          </cell>
          <cell r="BE28">
            <v>13.24295</v>
          </cell>
          <cell r="BF28">
            <v>1255111000</v>
          </cell>
          <cell r="BG28">
            <v>1857426000</v>
          </cell>
          <cell r="BH28">
            <v>943645000</v>
          </cell>
          <cell r="BI28">
            <v>1307441000</v>
          </cell>
          <cell r="BJ28">
            <v>0.16967389226462648</v>
          </cell>
          <cell r="BK28">
            <v>-798011000</v>
          </cell>
          <cell r="BL28">
            <v>-407525000</v>
          </cell>
          <cell r="BM28">
            <v>-2114262000</v>
          </cell>
          <cell r="BN28">
            <v>-1428665000</v>
          </cell>
          <cell r="BO28">
            <v>-1003318000</v>
          </cell>
          <cell r="BP28">
            <v>-1908955000</v>
          </cell>
          <cell r="BQ28">
            <v>-1010116000</v>
          </cell>
          <cell r="BR28">
            <v>-947333000</v>
          </cell>
          <cell r="BS28">
            <v>885571000</v>
          </cell>
          <cell r="BT28">
            <v>-772368000</v>
          </cell>
          <cell r="BU28">
            <v>-571949000</v>
          </cell>
          <cell r="BV28">
            <v>447404000</v>
          </cell>
          <cell r="BW28">
            <v>-4.623498834896806E-2</v>
          </cell>
          <cell r="BX28">
            <v>0.13061100238711185</v>
          </cell>
          <cell r="BY28">
            <v>31613799000</v>
          </cell>
          <cell r="BZ28">
            <v>30028231000</v>
          </cell>
          <cell r="CA28">
            <v>28718159000</v>
          </cell>
          <cell r="CB28">
            <v>27108201000</v>
          </cell>
          <cell r="CC28" t="str">
            <v>NULL</v>
          </cell>
          <cell r="CD28" t="str">
            <v>NULL</v>
          </cell>
          <cell r="CE28" t="str">
            <v>NULL</v>
          </cell>
          <cell r="CF28" t="str">
            <v>NULL</v>
          </cell>
          <cell r="CG28" t="str">
            <v>NULL</v>
          </cell>
          <cell r="CH28" t="str">
            <v>NULL</v>
          </cell>
          <cell r="CI28" t="str">
            <v>NULL</v>
          </cell>
          <cell r="CJ28" t="str">
            <v>NULL</v>
          </cell>
          <cell r="CK28">
            <v>31613799000</v>
          </cell>
          <cell r="CL28">
            <v>30028231000</v>
          </cell>
          <cell r="CM28">
            <v>28718159000</v>
          </cell>
          <cell r="CN28">
            <v>27108201000</v>
          </cell>
          <cell r="CO28">
            <v>0.18264055547198699</v>
          </cell>
          <cell r="CP28">
            <v>1255111000</v>
          </cell>
          <cell r="CQ28">
            <v>811994000</v>
          </cell>
          <cell r="CR28">
            <v>3703279000</v>
          </cell>
          <cell r="CS28">
            <v>1756930000</v>
          </cell>
          <cell r="CT28">
            <v>2371723000</v>
          </cell>
          <cell r="CU28">
            <v>2107381000</v>
          </cell>
          <cell r="CV28">
            <v>540499000</v>
          </cell>
          <cell r="CW28">
            <v>1432187000</v>
          </cell>
          <cell r="CX28">
            <v>0.54571462350707023</v>
          </cell>
          <cell r="CY28">
            <v>0.65007590330536202</v>
          </cell>
          <cell r="CZ28">
            <v>1.107812491106646</v>
          </cell>
          <cell r="DA28">
            <v>-0.25921787662387219</v>
          </cell>
          <cell r="DB28">
            <v>0.12543626425406695</v>
          </cell>
          <cell r="DC28">
            <v>2.8989544846521453</v>
          </cell>
          <cell r="DD28">
            <v>-0.62260584686217646</v>
          </cell>
          <cell r="DE28">
            <v>1.4132195887178733</v>
          </cell>
          <cell r="DG28">
            <v>11.529268161832601</v>
          </cell>
          <cell r="DH28">
            <v>4517094023</v>
          </cell>
          <cell r="DI28">
            <v>11.4</v>
          </cell>
          <cell r="DJ28">
            <v>51494871862.199997</v>
          </cell>
          <cell r="DK28">
            <v>57915998862.199997</v>
          </cell>
          <cell r="DM28">
            <v>31613799000</v>
          </cell>
          <cell r="DN28" t="str">
            <v>NULL</v>
          </cell>
          <cell r="DO28" t="str">
            <v>NULL</v>
          </cell>
          <cell r="DP28">
            <v>170996000</v>
          </cell>
          <cell r="DQ28" t="str">
            <v>NULL</v>
          </cell>
          <cell r="DR28">
            <v>31442803000</v>
          </cell>
          <cell r="DS28">
            <v>1.637731593528732</v>
          </cell>
          <cell r="DT28">
            <v>0.27786</v>
          </cell>
          <cell r="DU28">
            <v>0.41120000000000001</v>
          </cell>
          <cell r="DV28">
            <v>0.20891000000000001</v>
          </cell>
          <cell r="DW28">
            <v>0.28943999999999998</v>
          </cell>
          <cell r="DX28">
            <v>1.1874100000000001</v>
          </cell>
          <cell r="DY28">
            <v>9.4744022704878681</v>
          </cell>
          <cell r="DZ28">
            <v>1.6289987831970421</v>
          </cell>
          <cell r="EA28">
            <v>-1461551000</v>
          </cell>
          <cell r="EB28">
            <v>-35.233031117080415</v>
          </cell>
          <cell r="EC28">
            <v>9.6007276340943708</v>
          </cell>
          <cell r="ED28">
            <v>0.79652643519716504</v>
          </cell>
          <cell r="EE28">
            <v>0.99538000340328503</v>
          </cell>
          <cell r="EG28">
            <v>0.41998617516197029</v>
          </cell>
          <cell r="EH28">
            <v>6.439639246967932E-2</v>
          </cell>
          <cell r="EK28">
            <v>2.3333333070175399</v>
          </cell>
          <cell r="EL28">
            <v>0</v>
          </cell>
        </row>
        <row r="29">
          <cell r="A29" t="str">
            <v>ESME</v>
          </cell>
          <cell r="B29" t="str">
            <v>ESM.BA</v>
          </cell>
          <cell r="C29" t="str">
            <v>BODEGAS ESMERALDA SA</v>
          </cell>
          <cell r="D29">
            <v>42825</v>
          </cell>
          <cell r="E29">
            <v>2048653090</v>
          </cell>
          <cell r="F29">
            <v>751113920</v>
          </cell>
          <cell r="G29">
            <v>2.72749</v>
          </cell>
          <cell r="H29">
            <v>1.5957300000000001</v>
          </cell>
          <cell r="I29">
            <v>2.5377999999999998</v>
          </cell>
          <cell r="J29">
            <v>1.4919899999999999</v>
          </cell>
          <cell r="K29">
            <v>110.45</v>
          </cell>
          <cell r="L29">
            <v>0</v>
          </cell>
          <cell r="M29">
            <v>0</v>
          </cell>
          <cell r="N29">
            <v>0.62</v>
          </cell>
          <cell r="O29">
            <v>0</v>
          </cell>
          <cell r="P29">
            <v>0.62</v>
          </cell>
          <cell r="Q29">
            <v>5.6133997283838843E-3</v>
          </cell>
          <cell r="R29">
            <v>0</v>
          </cell>
          <cell r="S29">
            <v>2.1076691248000001</v>
          </cell>
          <cell r="T29">
            <v>1.6711081839999999</v>
          </cell>
          <cell r="U29">
            <v>42825</v>
          </cell>
          <cell r="V29">
            <v>2334410940</v>
          </cell>
          <cell r="W29">
            <v>2450389400</v>
          </cell>
          <cell r="X29">
            <v>2335721600</v>
          </cell>
          <cell r="Y29">
            <v>2331393260</v>
          </cell>
          <cell r="Z29">
            <v>1401021140</v>
          </cell>
          <cell r="AA29">
            <v>1.6662210678705391</v>
          </cell>
          <cell r="AC29">
            <v>499966230</v>
          </cell>
          <cell r="AD29">
            <v>752118440</v>
          </cell>
          <cell r="AE29">
            <v>723269590</v>
          </cell>
          <cell r="AF29">
            <v>516763460</v>
          </cell>
          <cell r="AG29">
            <v>1.3183076529796587</v>
          </cell>
          <cell r="AH29">
            <v>477343620</v>
          </cell>
          <cell r="AI29">
            <v>493064980</v>
          </cell>
          <cell r="AJ29">
            <v>632836640</v>
          </cell>
          <cell r="AK29">
            <v>679440770</v>
          </cell>
          <cell r="AL29">
            <v>404832750</v>
          </cell>
          <cell r="AM29">
            <v>409672740</v>
          </cell>
          <cell r="AN29">
            <v>346587420</v>
          </cell>
          <cell r="AO29">
            <v>292650420</v>
          </cell>
          <cell r="AP29">
            <v>143.28189448167581</v>
          </cell>
          <cell r="AQ29">
            <v>598839690</v>
          </cell>
          <cell r="AR29">
            <v>765530150</v>
          </cell>
          <cell r="AS29">
            <v>664991330</v>
          </cell>
          <cell r="AT29">
            <v>539089100</v>
          </cell>
          <cell r="AU29">
            <v>94.044950307363493</v>
          </cell>
          <cell r="AV29">
            <v>850080860</v>
          </cell>
          <cell r="AW29">
            <v>887318100</v>
          </cell>
          <cell r="AX29">
            <v>959585030</v>
          </cell>
          <cell r="AY29">
            <v>963158470</v>
          </cell>
          <cell r="AZ29">
            <v>229.74344410233684</v>
          </cell>
          <cell r="BA29">
            <v>180.50649992802454</v>
          </cell>
          <cell r="BC29">
            <v>41.666350000000001</v>
          </cell>
          <cell r="BD29">
            <v>16.901070000000001</v>
          </cell>
          <cell r="BE29">
            <v>11.87763</v>
          </cell>
          <cell r="BF29">
            <v>-21154290</v>
          </cell>
          <cell r="BG29">
            <v>108505990</v>
          </cell>
          <cell r="BH29">
            <v>144864730</v>
          </cell>
          <cell r="BI29">
            <v>63788000</v>
          </cell>
          <cell r="BJ29">
            <v>0.11877626310525972</v>
          </cell>
          <cell r="BK29">
            <v>-65296580</v>
          </cell>
          <cell r="BL29">
            <v>-44837550</v>
          </cell>
          <cell r="BM29">
            <v>-34713830</v>
          </cell>
          <cell r="BN29">
            <v>-24040660</v>
          </cell>
          <cell r="BO29">
            <v>-89569960</v>
          </cell>
          <cell r="BP29">
            <v>-10440450</v>
          </cell>
          <cell r="BQ29">
            <v>5957910</v>
          </cell>
          <cell r="BR29">
            <v>-50774180</v>
          </cell>
          <cell r="BS29">
            <v>-129155490</v>
          </cell>
          <cell r="BT29">
            <v>-113028670</v>
          </cell>
          <cell r="BU29">
            <v>61810800</v>
          </cell>
          <cell r="BV29">
            <v>-185008380</v>
          </cell>
          <cell r="BW29">
            <v>-7.8426804814019785E-2</v>
          </cell>
          <cell r="BX29">
            <v>0.12526749287805714</v>
          </cell>
          <cell r="BY29">
            <v>1401021140</v>
          </cell>
          <cell r="BZ29">
            <v>1422175430</v>
          </cell>
          <cell r="CA29">
            <v>1313669440</v>
          </cell>
          <cell r="CB29">
            <v>1205345590</v>
          </cell>
          <cell r="CC29" t="str">
            <v>NULL</v>
          </cell>
          <cell r="CD29" t="str">
            <v>NULL</v>
          </cell>
          <cell r="CE29" t="str">
            <v>NULL</v>
          </cell>
          <cell r="CF29" t="str">
            <v>NULL</v>
          </cell>
          <cell r="CG29" t="str">
            <v>NULL</v>
          </cell>
          <cell r="CH29" t="str">
            <v>NULL</v>
          </cell>
          <cell r="CI29" t="str">
            <v>NULL</v>
          </cell>
          <cell r="CJ29" t="str">
            <v>NULL</v>
          </cell>
          <cell r="CK29">
            <v>1401021140</v>
          </cell>
          <cell r="CL29">
            <v>1422175430</v>
          </cell>
          <cell r="CM29">
            <v>1313669440</v>
          </cell>
          <cell r="CN29">
            <v>1205345590</v>
          </cell>
          <cell r="CO29">
            <v>0.22163437329962743</v>
          </cell>
          <cell r="CP29">
            <v>-21154290</v>
          </cell>
          <cell r="CQ29">
            <v>66914580</v>
          </cell>
          <cell r="CR29">
            <v>296004430</v>
          </cell>
          <cell r="CS29">
            <v>367908430</v>
          </cell>
          <cell r="CT29">
            <v>207819320</v>
          </cell>
          <cell r="CU29">
            <v>145700550</v>
          </cell>
          <cell r="CV29">
            <v>84994270</v>
          </cell>
          <cell r="CW29">
            <v>51942710</v>
          </cell>
          <cell r="CX29">
            <v>-1.3161387249236265</v>
          </cell>
          <cell r="CY29">
            <v>0.47035630194950384</v>
          </cell>
          <cell r="CZ29">
            <v>-0.19543993596450071</v>
          </cell>
          <cell r="DA29">
            <v>0.770328331360145</v>
          </cell>
          <cell r="DB29">
            <v>0.42634547364440278</v>
          </cell>
          <cell r="DC29">
            <v>0.71423967756885265</v>
          </cell>
          <cell r="DD29">
            <v>0.63630796313861948</v>
          </cell>
          <cell r="DE29">
            <v>0.39440583686483288</v>
          </cell>
          <cell r="DG29">
            <v>14.006847888040999</v>
          </cell>
          <cell r="DH29">
            <v>5893670105</v>
          </cell>
          <cell r="DI29">
            <v>110.45</v>
          </cell>
          <cell r="DJ29">
            <v>6509581046.8000002</v>
          </cell>
          <cell r="DK29">
            <v>6237969876.8000097</v>
          </cell>
          <cell r="DM29">
            <v>1401021140</v>
          </cell>
          <cell r="DN29" t="str">
            <v>NULL</v>
          </cell>
          <cell r="DO29" t="str">
            <v>NULL</v>
          </cell>
          <cell r="DP29">
            <v>62260</v>
          </cell>
          <cell r="DQ29" t="str">
            <v>NULL</v>
          </cell>
          <cell r="DR29">
            <v>1400958880</v>
          </cell>
          <cell r="DS29">
            <v>4.6465182809648207</v>
          </cell>
          <cell r="DT29">
            <v>-3.5899999999999999E-3</v>
          </cell>
          <cell r="DU29">
            <v>1.8409999999999999E-2</v>
          </cell>
          <cell r="DV29">
            <v>2.4580000000000001E-2</v>
          </cell>
          <cell r="DW29">
            <v>1.082E-2</v>
          </cell>
          <cell r="DX29">
            <v>5.0220000000000001E-2</v>
          </cell>
          <cell r="DY29">
            <v>2199.3229788928716</v>
          </cell>
          <cell r="DZ29">
            <v>2.6120680393861972</v>
          </cell>
          <cell r="EA29">
            <v>-195448830</v>
          </cell>
          <cell r="EB29">
            <v>-33.305807186464101</v>
          </cell>
          <cell r="EC29">
            <v>21.993229788928701</v>
          </cell>
          <cell r="ED29" t="str">
            <v>NULL</v>
          </cell>
          <cell r="EE29" t="str">
            <v>NULL</v>
          </cell>
          <cell r="EG29">
            <v>0.35001592303660156</v>
          </cell>
          <cell r="EH29">
            <v>0.12654805303254935</v>
          </cell>
          <cell r="EK29">
            <v>0.515064634585785</v>
          </cell>
          <cell r="EL29">
            <v>0</v>
          </cell>
        </row>
        <row r="30">
          <cell r="A30" t="str">
            <v>ESTR</v>
          </cell>
          <cell r="B30" t="str">
            <v>EST.BA</v>
          </cell>
          <cell r="C30" t="str">
            <v>ANGEL ESTRADA Y COMPANIA SA</v>
          </cell>
          <cell r="D30">
            <v>42735</v>
          </cell>
          <cell r="E30">
            <v>782654390</v>
          </cell>
          <cell r="F30">
            <v>480365200</v>
          </cell>
          <cell r="G30">
            <v>1.6292899999999999</v>
          </cell>
          <cell r="H30">
            <v>0.94469999999999998</v>
          </cell>
          <cell r="I30">
            <v>1.4910399999999999</v>
          </cell>
          <cell r="J30">
            <v>0.83945999999999998</v>
          </cell>
          <cell r="K30">
            <v>3.3650000000000002</v>
          </cell>
          <cell r="L30">
            <v>0</v>
          </cell>
          <cell r="M30">
            <v>0</v>
          </cell>
          <cell r="N30">
            <v>0</v>
          </cell>
          <cell r="O30">
            <v>0</v>
          </cell>
          <cell r="P30">
            <v>0</v>
          </cell>
          <cell r="Q30">
            <v>0</v>
          </cell>
          <cell r="R30">
            <v>0</v>
          </cell>
          <cell r="S30">
            <v>130.263003234</v>
          </cell>
          <cell r="T30">
            <v>116.801517236</v>
          </cell>
          <cell r="U30">
            <v>42735</v>
          </cell>
          <cell r="V30">
            <v>840129370</v>
          </cell>
          <cell r="W30">
            <v>622575520</v>
          </cell>
          <cell r="X30">
            <v>585458970</v>
          </cell>
          <cell r="Y30">
            <v>608080000</v>
          </cell>
          <cell r="Z30">
            <v>260843180</v>
          </cell>
          <cell r="AA30">
            <v>3.2208216829744218</v>
          </cell>
          <cell r="AC30">
            <v>228539330</v>
          </cell>
          <cell r="AD30">
            <v>133240200</v>
          </cell>
          <cell r="AE30">
            <v>75942030</v>
          </cell>
          <cell r="AF30">
            <v>264428400</v>
          </cell>
          <cell r="AG30">
            <v>1.3216758337027259</v>
          </cell>
          <cell r="AH30">
            <v>108715380</v>
          </cell>
          <cell r="AI30">
            <v>62900330</v>
          </cell>
          <cell r="AJ30">
            <v>48540240</v>
          </cell>
          <cell r="AK30">
            <v>85514130</v>
          </cell>
          <cell r="AL30">
            <v>119987840</v>
          </cell>
          <cell r="AM30">
            <v>75538380</v>
          </cell>
          <cell r="AN30">
            <v>53726920</v>
          </cell>
          <cell r="AO30">
            <v>141968630</v>
          </cell>
          <cell r="AP30">
            <v>71.295610159935634</v>
          </cell>
          <cell r="AQ30">
            <v>258518690</v>
          </cell>
          <cell r="AR30">
            <v>146195060</v>
          </cell>
          <cell r="AS30">
            <v>65684790</v>
          </cell>
          <cell r="AT30">
            <v>244758750</v>
          </cell>
          <cell r="AU30">
            <v>92.940406508746364</v>
          </cell>
          <cell r="AV30">
            <v>328855730</v>
          </cell>
          <cell r="AW30">
            <v>256351810</v>
          </cell>
          <cell r="AX30">
            <v>184724750</v>
          </cell>
          <cell r="AY30">
            <v>149578090</v>
          </cell>
          <cell r="AZ30">
            <v>214.46997229985436</v>
          </cell>
          <cell r="BA30">
            <v>236.11476864866512</v>
          </cell>
          <cell r="BC30">
            <v>44.345660000000002</v>
          </cell>
          <cell r="BD30">
            <v>16.339739999999999</v>
          </cell>
          <cell r="BE30">
            <v>7.47682</v>
          </cell>
          <cell r="BF30">
            <v>51844940</v>
          </cell>
          <cell r="BG30">
            <v>1467800</v>
          </cell>
          <cell r="BH30">
            <v>6073850</v>
          </cell>
          <cell r="BI30">
            <v>88804390</v>
          </cell>
          <cell r="BJ30">
            <v>0.21105317730132747</v>
          </cell>
          <cell r="BK30">
            <v>-6566500</v>
          </cell>
          <cell r="BL30">
            <v>-2913670</v>
          </cell>
          <cell r="BM30">
            <v>-5580010</v>
          </cell>
          <cell r="BN30">
            <v>-3927770</v>
          </cell>
          <cell r="BO30">
            <v>-2895660</v>
          </cell>
          <cell r="BP30">
            <v>-9250850</v>
          </cell>
          <cell r="BQ30">
            <v>-148538110</v>
          </cell>
          <cell r="BR30">
            <v>-97367140</v>
          </cell>
          <cell r="BS30">
            <v>87024060</v>
          </cell>
          <cell r="BT30">
            <v>21136390</v>
          </cell>
          <cell r="BU30">
            <v>-66027420</v>
          </cell>
          <cell r="BV30">
            <v>4513370</v>
          </cell>
          <cell r="BW30">
            <v>-6.747105703744539E-3</v>
          </cell>
          <cell r="BX30">
            <v>0.22315869748495154</v>
          </cell>
          <cell r="BY30">
            <v>260843180</v>
          </cell>
          <cell r="BZ30">
            <v>208257680</v>
          </cell>
          <cell r="CA30">
            <v>200221770</v>
          </cell>
          <cell r="CB30">
            <v>190910130</v>
          </cell>
          <cell r="CC30" t="str">
            <v>NULL</v>
          </cell>
          <cell r="CD30" t="str">
            <v>NULL</v>
          </cell>
          <cell r="CE30" t="str">
            <v>NULL</v>
          </cell>
          <cell r="CF30" t="str">
            <v>NULL</v>
          </cell>
          <cell r="CG30" t="str">
            <v>NULL</v>
          </cell>
          <cell r="CH30" t="str">
            <v>NULL</v>
          </cell>
          <cell r="CI30" t="str">
            <v>NULL</v>
          </cell>
          <cell r="CJ30" t="str">
            <v>NULL</v>
          </cell>
          <cell r="CK30">
            <v>260843180</v>
          </cell>
          <cell r="CL30">
            <v>208257680</v>
          </cell>
          <cell r="CM30">
            <v>200221770</v>
          </cell>
          <cell r="CN30">
            <v>190910130</v>
          </cell>
          <cell r="CO30">
            <v>0.68907387344792592</v>
          </cell>
          <cell r="CP30">
            <v>51844940</v>
          </cell>
          <cell r="CQ30">
            <v>-57174220</v>
          </cell>
          <cell r="CR30">
            <v>46231550</v>
          </cell>
          <cell r="CS30">
            <v>20841160</v>
          </cell>
          <cell r="CT30">
            <v>13705740</v>
          </cell>
          <cell r="CU30">
            <v>15603300</v>
          </cell>
          <cell r="CV30">
            <v>13286670</v>
          </cell>
          <cell r="CW30">
            <v>20278710</v>
          </cell>
          <cell r="CX30">
            <v>1.9067887589896286</v>
          </cell>
          <cell r="CY30">
            <v>0.28936882556124466</v>
          </cell>
          <cell r="CZ30">
            <v>1.2182810361803278</v>
          </cell>
          <cell r="DA30">
            <v>0.5206154501690532</v>
          </cell>
          <cell r="DB30">
            <v>-0.12161273576743381</v>
          </cell>
          <cell r="DC30">
            <v>0.17435745751192733</v>
          </cell>
          <cell r="DD30">
            <v>-0.34479708028765144</v>
          </cell>
          <cell r="DE30">
            <v>0.61250566346435142</v>
          </cell>
          <cell r="DG30" t="str">
            <v>NULL</v>
          </cell>
          <cell r="DH30">
            <v>42607474</v>
          </cell>
          <cell r="DI30">
            <v>3.3650000000000002</v>
          </cell>
          <cell r="DJ30">
            <v>143374150.00999999</v>
          </cell>
          <cell r="DK30" t="str">
            <v>NULL</v>
          </cell>
          <cell r="DM30">
            <v>260843180</v>
          </cell>
          <cell r="DN30" t="str">
            <v>NULL</v>
          </cell>
          <cell r="DO30" t="str">
            <v>NULL</v>
          </cell>
          <cell r="DP30">
            <v>2923000</v>
          </cell>
          <cell r="DQ30">
            <v>13480</v>
          </cell>
          <cell r="DR30">
            <v>257906700</v>
          </cell>
          <cell r="DS30">
            <v>0.55591479403210542</v>
          </cell>
          <cell r="DT30">
            <v>1.2168000000000001</v>
          </cell>
          <cell r="DU30">
            <v>3.4450000000000001E-2</v>
          </cell>
          <cell r="DV30">
            <v>0.14255000000000001</v>
          </cell>
          <cell r="DW30">
            <v>2.0842399999999999</v>
          </cell>
          <cell r="DX30">
            <v>3.47804</v>
          </cell>
          <cell r="DY30">
            <v>0.96749893618244764</v>
          </cell>
          <cell r="DZ30">
            <v>0.20419306156479733</v>
          </cell>
          <cell r="EA30">
            <v>-4737480</v>
          </cell>
          <cell r="EB30">
            <v>-30.263800588076361</v>
          </cell>
          <cell r="EC30" t="str">
            <v>NULL</v>
          </cell>
          <cell r="ED30" t="str">
            <v>NULL</v>
          </cell>
          <cell r="EE30" t="str">
            <v>NULL</v>
          </cell>
          <cell r="EG30" t="str">
            <v>-</v>
          </cell>
          <cell r="EH30" t="str">
            <v>-</v>
          </cell>
          <cell r="EK30" t="str">
            <v>NULL</v>
          </cell>
          <cell r="EL30">
            <v>0</v>
          </cell>
        </row>
        <row r="31">
          <cell r="A31" t="str">
            <v>FERR</v>
          </cell>
          <cell r="B31" t="str">
            <v>FER.BA</v>
          </cell>
          <cell r="C31" t="str">
            <v>FERRUM SA DE CERAMICA Y METALURGIA</v>
          </cell>
          <cell r="D31">
            <v>42825</v>
          </cell>
          <cell r="E31">
            <v>1118775160</v>
          </cell>
          <cell r="F31">
            <v>548947910</v>
          </cell>
          <cell r="G31">
            <v>2.0380400000000001</v>
          </cell>
          <cell r="H31">
            <v>0.87548000000000004</v>
          </cell>
          <cell r="I31">
            <v>1.88429</v>
          </cell>
          <cell r="J31">
            <v>0.83653</v>
          </cell>
          <cell r="K31">
            <v>8.65</v>
          </cell>
          <cell r="L31">
            <v>0</v>
          </cell>
          <cell r="M31">
            <v>9.6500000000000006E-3</v>
          </cell>
          <cell r="N31">
            <v>0</v>
          </cell>
          <cell r="O31">
            <v>0</v>
          </cell>
          <cell r="P31">
            <v>9.6500000000000006E-3</v>
          </cell>
          <cell r="Q31">
            <v>1.1156069364161849E-3</v>
          </cell>
          <cell r="R31">
            <v>0</v>
          </cell>
          <cell r="S31">
            <v>22.0776548696</v>
          </cell>
          <cell r="T31">
            <v>21.312226256999999</v>
          </cell>
          <cell r="U31">
            <v>42825</v>
          </cell>
          <cell r="V31">
            <v>1473846570</v>
          </cell>
          <cell r="W31">
            <v>1552069490</v>
          </cell>
          <cell r="X31">
            <v>1480838520</v>
          </cell>
          <cell r="Y31">
            <v>1322664710</v>
          </cell>
          <cell r="Z31">
            <v>907021290</v>
          </cell>
          <cell r="AA31">
            <v>1.6249305129320615</v>
          </cell>
          <cell r="AC31">
            <v>485762930</v>
          </cell>
          <cell r="AD31">
            <v>493855740</v>
          </cell>
          <cell r="AE31">
            <v>488834540</v>
          </cell>
          <cell r="AF31">
            <v>470635870</v>
          </cell>
          <cell r="AG31">
            <v>1.6631801028524225</v>
          </cell>
          <cell r="AH31">
            <v>155085050</v>
          </cell>
          <cell r="AI31">
            <v>161567880</v>
          </cell>
          <cell r="AJ31">
            <v>165056900</v>
          </cell>
          <cell r="AK31">
            <v>146714230</v>
          </cell>
          <cell r="AL31">
            <v>329019040</v>
          </cell>
          <cell r="AM31">
            <v>300940410</v>
          </cell>
          <cell r="AN31">
            <v>295096580</v>
          </cell>
          <cell r="AO31">
            <v>299963690</v>
          </cell>
          <cell r="AP31">
            <v>46.810426427257838</v>
          </cell>
          <cell r="AQ31">
            <v>260389460</v>
          </cell>
          <cell r="AR31">
            <v>239341160</v>
          </cell>
          <cell r="AS31">
            <v>226730330</v>
          </cell>
          <cell r="AT31">
            <v>164828580</v>
          </cell>
          <cell r="AU31">
            <v>41.942461773081611</v>
          </cell>
          <cell r="AV31">
            <v>638184670</v>
          </cell>
          <cell r="AW31">
            <v>662229070</v>
          </cell>
          <cell r="AX31">
            <v>611717020</v>
          </cell>
          <cell r="AY31">
            <v>580384320</v>
          </cell>
          <cell r="AZ31">
            <v>185.66395082195083</v>
          </cell>
          <cell r="BA31">
            <v>180.79598616777463</v>
          </cell>
          <cell r="BC31">
            <v>40.24324</v>
          </cell>
          <cell r="BD31">
            <v>15.18145</v>
          </cell>
          <cell r="BE31">
            <v>12.489100000000001</v>
          </cell>
          <cell r="BF31">
            <v>7424760</v>
          </cell>
          <cell r="BG31">
            <v>33273370</v>
          </cell>
          <cell r="BH31">
            <v>46247870</v>
          </cell>
          <cell r="BI31">
            <v>14995080</v>
          </cell>
          <cell r="BJ31">
            <v>5.2571633274320746E-2</v>
          </cell>
          <cell r="BK31">
            <v>-31901330</v>
          </cell>
          <cell r="BL31">
            <v>-22816190</v>
          </cell>
          <cell r="BM31">
            <v>-16061460</v>
          </cell>
          <cell r="BN31">
            <v>-109483730</v>
          </cell>
          <cell r="BO31">
            <v>-75323630</v>
          </cell>
          <cell r="BP31">
            <v>27360840</v>
          </cell>
          <cell r="BQ31">
            <v>-42734530</v>
          </cell>
          <cell r="BR31">
            <v>470320</v>
          </cell>
          <cell r="BS31">
            <v>56754580</v>
          </cell>
          <cell r="BT31">
            <v>129517330</v>
          </cell>
          <cell r="BU31">
            <v>152923190</v>
          </cell>
          <cell r="BV31">
            <v>-138903140</v>
          </cell>
          <cell r="BW31">
            <v>-5.7523040664021481E-2</v>
          </cell>
          <cell r="BX31">
            <v>6.9949389418512725E-2</v>
          </cell>
          <cell r="BY31">
            <v>907021290</v>
          </cell>
          <cell r="BZ31">
            <v>899596540</v>
          </cell>
          <cell r="CA31">
            <v>896323170</v>
          </cell>
          <cell r="CB31">
            <v>850075300</v>
          </cell>
          <cell r="CC31" t="str">
            <v>NULL</v>
          </cell>
          <cell r="CD31" t="str">
            <v>NULL</v>
          </cell>
          <cell r="CE31" t="str">
            <v>NULL</v>
          </cell>
          <cell r="CF31" t="str">
            <v>NULL</v>
          </cell>
          <cell r="CG31" t="str">
            <v>NULL</v>
          </cell>
          <cell r="CH31" t="str">
            <v>NULL</v>
          </cell>
          <cell r="CI31" t="str">
            <v>NULL</v>
          </cell>
          <cell r="CJ31" t="str">
            <v>NULL</v>
          </cell>
          <cell r="CK31">
            <v>907021290</v>
          </cell>
          <cell r="CL31">
            <v>899596540</v>
          </cell>
          <cell r="CM31">
            <v>896323170</v>
          </cell>
          <cell r="CN31">
            <v>850075300</v>
          </cell>
          <cell r="CO31">
            <v>0.11476567670122988</v>
          </cell>
          <cell r="CP31">
            <v>7424760</v>
          </cell>
          <cell r="CQ31">
            <v>73918970</v>
          </cell>
          <cell r="CR31">
            <v>250310370</v>
          </cell>
          <cell r="CS31">
            <v>161682000</v>
          </cell>
          <cell r="CT31">
            <v>122066220</v>
          </cell>
          <cell r="CU31">
            <v>61407250</v>
          </cell>
          <cell r="CV31">
            <v>42584260</v>
          </cell>
          <cell r="CW31">
            <v>41009200</v>
          </cell>
          <cell r="CX31">
            <v>-0.89955541858876009</v>
          </cell>
          <cell r="CY31">
            <v>0.46818951442404011</v>
          </cell>
          <cell r="CZ31">
            <v>0.54816473076780348</v>
          </cell>
          <cell r="DA31">
            <v>0.32454335032247261</v>
          </cell>
          <cell r="DB31">
            <v>0.98781446816133278</v>
          </cell>
          <cell r="DC31">
            <v>0.44201754357126322</v>
          </cell>
          <cell r="DD31">
            <v>3.8407479297328351E-2</v>
          </cell>
          <cell r="DE31">
            <v>0.34728875522135266</v>
          </cell>
          <cell r="DG31">
            <v>115.728211441284</v>
          </cell>
          <cell r="DH31">
            <v>31099771625</v>
          </cell>
          <cell r="DI31">
            <v>8.5</v>
          </cell>
          <cell r="DJ31">
            <v>2643500000</v>
          </cell>
          <cell r="DK31">
            <v>26456587070.000099</v>
          </cell>
          <cell r="DM31">
            <v>907021290</v>
          </cell>
          <cell r="DN31" t="str">
            <v>NULL</v>
          </cell>
          <cell r="DO31" t="str">
            <v>NULL</v>
          </cell>
          <cell r="DP31">
            <v>7185200</v>
          </cell>
          <cell r="DQ31" t="str">
            <v>NULL</v>
          </cell>
          <cell r="DR31">
            <v>899836090</v>
          </cell>
          <cell r="DS31">
            <v>2.9377572531015064</v>
          </cell>
          <cell r="DT31">
            <v>2.3900000000000002E-3</v>
          </cell>
          <cell r="DU31">
            <v>1.0699999999999999E-2</v>
          </cell>
          <cell r="DV31">
            <v>1.487E-2</v>
          </cell>
          <cell r="DW31">
            <v>4.8199999999999996E-3</v>
          </cell>
          <cell r="DX31">
            <v>3.2779999999999997E-2</v>
          </cell>
          <cell r="DY31">
            <v>263.88041488712634</v>
          </cell>
          <cell r="DZ31">
            <v>1.3632689840118124</v>
          </cell>
          <cell r="EA31">
            <v>-111542300</v>
          </cell>
          <cell r="EB31">
            <v>-23.699529236890399</v>
          </cell>
          <cell r="EC31">
            <v>25.930445393532601</v>
          </cell>
          <cell r="ED31">
            <v>0.94909594049743295</v>
          </cell>
          <cell r="EE31">
            <v>0.80228593324911202</v>
          </cell>
          <cell r="EG31">
            <v>0.77771863431378818</v>
          </cell>
          <cell r="EH31">
            <v>0.21668995345504083</v>
          </cell>
          <cell r="EK31">
            <v>0.113485972941176</v>
          </cell>
          <cell r="EL31">
            <v>0</v>
          </cell>
        </row>
        <row r="32">
          <cell r="A32" t="str">
            <v>FIPL</v>
          </cell>
          <cell r="B32" t="str">
            <v>FIP.BA</v>
          </cell>
          <cell r="C32" t="str">
            <v>FIPLASTO SA</v>
          </cell>
          <cell r="D32">
            <v>42825</v>
          </cell>
          <cell r="E32">
            <v>249520390</v>
          </cell>
          <cell r="F32">
            <v>194446160</v>
          </cell>
          <cell r="G32">
            <v>1.2832399999999999</v>
          </cell>
          <cell r="H32">
            <v>0.95026999999999995</v>
          </cell>
          <cell r="I32">
            <v>1.3035300000000001</v>
          </cell>
          <cell r="J32">
            <v>0.87138000000000004</v>
          </cell>
          <cell r="K32">
            <v>5.95</v>
          </cell>
          <cell r="L32">
            <v>0</v>
          </cell>
          <cell r="M32">
            <v>2.9659999999999999E-2</v>
          </cell>
          <cell r="N32">
            <v>0</v>
          </cell>
          <cell r="O32">
            <v>0</v>
          </cell>
          <cell r="P32">
            <v>2.9659999999999999E-2</v>
          </cell>
          <cell r="Q32">
            <v>4.9848739495798313E-3</v>
          </cell>
          <cell r="R32">
            <v>0</v>
          </cell>
          <cell r="S32">
            <v>118.47786512019999</v>
          </cell>
          <cell r="T32">
            <v>105.540672546</v>
          </cell>
          <cell r="U32">
            <v>42825</v>
          </cell>
          <cell r="V32">
            <v>398000390</v>
          </cell>
          <cell r="W32">
            <v>359620090</v>
          </cell>
          <cell r="X32">
            <v>333169370</v>
          </cell>
          <cell r="Y32">
            <v>314191870</v>
          </cell>
          <cell r="Z32">
            <v>131945600</v>
          </cell>
          <cell r="AA32">
            <v>3.0163975911284653</v>
          </cell>
          <cell r="AC32">
            <v>129376350</v>
          </cell>
          <cell r="AD32">
            <v>142839530</v>
          </cell>
          <cell r="AE32">
            <v>105743290</v>
          </cell>
          <cell r="AF32">
            <v>115942860</v>
          </cell>
          <cell r="AG32">
            <v>1.7576277644316882</v>
          </cell>
          <cell r="AH32">
            <v>65294720</v>
          </cell>
          <cell r="AI32">
            <v>69526750</v>
          </cell>
          <cell r="AJ32">
            <v>66726500</v>
          </cell>
          <cell r="AK32">
            <v>52416050</v>
          </cell>
          <cell r="AL32">
            <v>108133570</v>
          </cell>
          <cell r="AM32">
            <v>109923200</v>
          </cell>
          <cell r="AN32">
            <v>82497660</v>
          </cell>
          <cell r="AO32">
            <v>91053390</v>
          </cell>
          <cell r="AP32">
            <v>59.177104341276952</v>
          </cell>
          <cell r="AQ32">
            <v>118620180</v>
          </cell>
          <cell r="AR32">
            <v>108695980</v>
          </cell>
          <cell r="AS32">
            <v>90821470</v>
          </cell>
          <cell r="AT32">
            <v>91687300</v>
          </cell>
          <cell r="AU32">
            <v>75.716483413724788</v>
          </cell>
          <cell r="AV32">
            <v>64743460</v>
          </cell>
          <cell r="AW32">
            <v>80140990</v>
          </cell>
          <cell r="AX32">
            <v>87050190</v>
          </cell>
          <cell r="AY32">
            <v>74879300</v>
          </cell>
          <cell r="AZ32">
            <v>71.49186148785283</v>
          </cell>
          <cell r="BA32">
            <v>88.03124056030066</v>
          </cell>
          <cell r="BC32">
            <v>22.559470000000001</v>
          </cell>
          <cell r="BD32">
            <v>7.8636499999999998</v>
          </cell>
          <cell r="BE32">
            <v>3.77041</v>
          </cell>
          <cell r="BF32">
            <v>9919800</v>
          </cell>
          <cell r="BG32">
            <v>2370910</v>
          </cell>
          <cell r="BH32">
            <v>-1188760</v>
          </cell>
          <cell r="BI32">
            <v>2293280</v>
          </cell>
          <cell r="BJ32">
            <v>2.7121228880148559E-2</v>
          </cell>
          <cell r="BK32">
            <v>-46769220</v>
          </cell>
          <cell r="BL32">
            <v>-12556190</v>
          </cell>
          <cell r="BM32">
            <v>-5075670</v>
          </cell>
          <cell r="BN32">
            <v>-25273580</v>
          </cell>
          <cell r="BO32">
            <v>-20155270</v>
          </cell>
          <cell r="BP32">
            <v>-31689620</v>
          </cell>
          <cell r="BQ32">
            <v>-5685250</v>
          </cell>
          <cell r="BR32">
            <v>-8550800</v>
          </cell>
          <cell r="BS32">
            <v>-3720580</v>
          </cell>
          <cell r="BT32">
            <v>23901160</v>
          </cell>
          <cell r="BU32">
            <v>25234500</v>
          </cell>
          <cell r="BV32">
            <v>-34640330</v>
          </cell>
          <cell r="BW32">
            <v>-0.13429778776167411</v>
          </cell>
          <cell r="BX32">
            <v>3.8136382301116344E-2</v>
          </cell>
          <cell r="BY32">
            <v>131945600</v>
          </cell>
          <cell r="BZ32">
            <v>122025800</v>
          </cell>
          <cell r="CA32">
            <v>121654890</v>
          </cell>
          <cell r="CB32">
            <v>122843650</v>
          </cell>
          <cell r="CC32" t="str">
            <v>NULL</v>
          </cell>
          <cell r="CD32" t="str">
            <v>NULL</v>
          </cell>
          <cell r="CE32" t="str">
            <v>NULL</v>
          </cell>
          <cell r="CF32" t="str">
            <v>NULL</v>
          </cell>
          <cell r="CG32" t="str">
            <v>NULL</v>
          </cell>
          <cell r="CH32" t="str">
            <v>NULL</v>
          </cell>
          <cell r="CI32" t="str">
            <v>NULL</v>
          </cell>
          <cell r="CJ32" t="str">
            <v>NULL</v>
          </cell>
          <cell r="CK32">
            <v>131945600</v>
          </cell>
          <cell r="CL32">
            <v>122025800</v>
          </cell>
          <cell r="CM32">
            <v>121654890</v>
          </cell>
          <cell r="CN32">
            <v>122843650</v>
          </cell>
          <cell r="CO32">
            <v>0.10749077466938127</v>
          </cell>
          <cell r="CP32">
            <v>9919800</v>
          </cell>
          <cell r="CQ32">
            <v>10087050</v>
          </cell>
          <cell r="CR32">
            <v>17379610</v>
          </cell>
          <cell r="CS32">
            <v>-166510</v>
          </cell>
          <cell r="CT32">
            <v>6553500</v>
          </cell>
          <cell r="CU32">
            <v>10180280</v>
          </cell>
          <cell r="CV32">
            <v>12903690</v>
          </cell>
          <cell r="CW32">
            <v>8680400</v>
          </cell>
          <cell r="CX32">
            <v>-1.6580665308489562E-2</v>
          </cell>
          <cell r="CY32">
            <v>20.853917009345306</v>
          </cell>
          <cell r="CZ32">
            <v>105.37577322683322</v>
          </cell>
          <cell r="DA32">
            <v>-1.0254077973601892</v>
          </cell>
          <cell r="DB32">
            <v>-0.35625542715917435</v>
          </cell>
          <cell r="DC32">
            <v>-0.21105668223585661</v>
          </cell>
          <cell r="DD32">
            <v>0.48653172664854161</v>
          </cell>
          <cell r="DE32">
            <v>47.252206157792486</v>
          </cell>
          <cell r="DG32">
            <v>9.1881106830531998</v>
          </cell>
          <cell r="DH32">
            <v>67430000</v>
          </cell>
          <cell r="DI32">
            <v>5.9</v>
          </cell>
          <cell r="DJ32">
            <v>397837000</v>
          </cell>
          <cell r="DK32">
            <v>515914620.00000101</v>
          </cell>
          <cell r="DM32">
            <v>131945600</v>
          </cell>
          <cell r="DN32" t="str">
            <v>NULL</v>
          </cell>
          <cell r="DO32" t="str">
            <v>NULL</v>
          </cell>
          <cell r="DP32" t="str">
            <v>NULL</v>
          </cell>
          <cell r="DQ32" t="str">
            <v>NULL</v>
          </cell>
          <cell r="DR32">
            <v>131945600</v>
          </cell>
          <cell r="DS32">
            <v>3.0151592777629568</v>
          </cell>
          <cell r="DT32">
            <v>0.14710999999999999</v>
          </cell>
          <cell r="DU32">
            <v>3.5159999999999997E-2</v>
          </cell>
          <cell r="DV32">
            <v>-1.763E-2</v>
          </cell>
          <cell r="DW32">
            <v>3.4009999999999999E-2</v>
          </cell>
          <cell r="DX32">
            <v>0.19864999999999999</v>
          </cell>
          <cell r="DY32">
            <v>29.952177196073499</v>
          </cell>
          <cell r="DZ32">
            <v>0.80549780287398287</v>
          </cell>
          <cell r="EA32">
            <v>-66329950</v>
          </cell>
          <cell r="EB32">
            <v>-5.9978486339881156</v>
          </cell>
          <cell r="EC32">
            <v>29.700478228039302</v>
          </cell>
          <cell r="ED32">
            <v>0.50080967837899304</v>
          </cell>
          <cell r="EE32">
            <v>0.49207621154349601</v>
          </cell>
          <cell r="EG32">
            <v>0.3881699727838796</v>
          </cell>
          <cell r="EH32">
            <v>-1.7722191862389103E-2</v>
          </cell>
          <cell r="EK32">
            <v>0.50271822542372901</v>
          </cell>
          <cell r="EL32">
            <v>0</v>
          </cell>
        </row>
        <row r="33">
          <cell r="A33" t="str">
            <v>FRAN</v>
          </cell>
          <cell r="B33" t="str">
            <v>FRA.BA</v>
          </cell>
          <cell r="C33" t="str">
            <v>BBVA BANCO FRANCES SA</v>
          </cell>
          <cell r="D33">
            <v>0</v>
          </cell>
          <cell r="E33" t="str">
            <v>NULL</v>
          </cell>
          <cell r="F33" t="str">
            <v>NULL</v>
          </cell>
          <cell r="G33" t="str">
            <v>NULL</v>
          </cell>
          <cell r="H33" t="str">
            <v>NULL</v>
          </cell>
          <cell r="I33" t="str">
            <v>NULL</v>
          </cell>
          <cell r="J33" t="str">
            <v>NULL</v>
          </cell>
          <cell r="K33">
            <v>93.4</v>
          </cell>
          <cell r="L33">
            <v>0</v>
          </cell>
          <cell r="M33">
            <v>0</v>
          </cell>
          <cell r="N33">
            <v>1.6763600000000001</v>
          </cell>
          <cell r="O33">
            <v>0</v>
          </cell>
          <cell r="P33">
            <v>1.6763600000000001</v>
          </cell>
          <cell r="Q33">
            <v>1.7948179871520344E-2</v>
          </cell>
          <cell r="R33">
            <v>0</v>
          </cell>
          <cell r="S33">
            <v>15.6424220503</v>
          </cell>
          <cell r="T33">
            <v>19.447953785999999</v>
          </cell>
          <cell r="U33">
            <v>42825</v>
          </cell>
          <cell r="V33">
            <v>184364247000</v>
          </cell>
          <cell r="W33">
            <v>151752711000</v>
          </cell>
          <cell r="X33">
            <v>130932897000</v>
          </cell>
          <cell r="Y33">
            <v>131589234000</v>
          </cell>
          <cell r="Z33">
            <v>17154805000</v>
          </cell>
          <cell r="AA33">
            <v>10.747090800507497</v>
          </cell>
          <cell r="AC33" t="str">
            <v>NULL</v>
          </cell>
          <cell r="AD33" t="str">
            <v>NULL</v>
          </cell>
          <cell r="AE33" t="str">
            <v>NULL</v>
          </cell>
          <cell r="AF33" t="str">
            <v>NULL</v>
          </cell>
          <cell r="AG33">
            <v>0</v>
          </cell>
          <cell r="AH33">
            <v>17308169000</v>
          </cell>
          <cell r="AI33">
            <v>10168390000</v>
          </cell>
          <cell r="AJ33">
            <v>10641159000</v>
          </cell>
          <cell r="AK33">
            <v>9162181000</v>
          </cell>
          <cell r="AL33" t="str">
            <v>NULL</v>
          </cell>
          <cell r="AM33" t="str">
            <v>NULL</v>
          </cell>
          <cell r="AN33" t="str">
            <v>NULL</v>
          </cell>
          <cell r="AO33" t="str">
            <v>NULL</v>
          </cell>
          <cell r="AP33" t="e">
            <v>#DIV/0!</v>
          </cell>
          <cell r="AQ33" t="str">
            <v>NULL</v>
          </cell>
          <cell r="AR33" t="str">
            <v>NULL</v>
          </cell>
          <cell r="AS33" t="str">
            <v>NULL</v>
          </cell>
          <cell r="AT33" t="str">
            <v>NULL</v>
          </cell>
          <cell r="AU33" t="e">
            <v>#DIV/0!</v>
          </cell>
          <cell r="AV33" t="str">
            <v>NULL</v>
          </cell>
          <cell r="AW33" t="str">
            <v>NULL</v>
          </cell>
          <cell r="AX33" t="str">
            <v>NULL</v>
          </cell>
          <cell r="AY33" t="str">
            <v>NULL</v>
          </cell>
          <cell r="AZ33" t="e">
            <v>#DIV/0!</v>
          </cell>
          <cell r="BA33" t="e">
            <v>#DIV/0!</v>
          </cell>
          <cell r="BC33" t="str">
            <v>NULL</v>
          </cell>
          <cell r="BD33" t="str">
            <v>NULL</v>
          </cell>
          <cell r="BE33">
            <v>16.065619999999999</v>
          </cell>
          <cell r="BF33">
            <v>1605770000</v>
          </cell>
          <cell r="BG33">
            <v>582405000</v>
          </cell>
          <cell r="BH33">
            <v>932925000</v>
          </cell>
          <cell r="BI33">
            <v>963258000</v>
          </cell>
          <cell r="BJ33" t="e">
            <v>#DIV/0!</v>
          </cell>
          <cell r="BK33">
            <v>-150057000</v>
          </cell>
          <cell r="BL33">
            <v>-419649000</v>
          </cell>
          <cell r="BM33">
            <v>-257317000</v>
          </cell>
          <cell r="BN33">
            <v>-125326000</v>
          </cell>
          <cell r="BO33">
            <v>-38995000</v>
          </cell>
          <cell r="BP33">
            <v>-368379000</v>
          </cell>
          <cell r="BQ33">
            <v>-3563295000</v>
          </cell>
          <cell r="BR33">
            <v>26125478000</v>
          </cell>
          <cell r="BS33">
            <v>6644503000</v>
          </cell>
          <cell r="BT33">
            <v>1894250000</v>
          </cell>
          <cell r="BU33">
            <v>-3424558000</v>
          </cell>
          <cell r="BV33">
            <v>6505766000</v>
          </cell>
          <cell r="BW33" t="e">
            <v>#DIV/0!</v>
          </cell>
          <cell r="BX33">
            <v>2.729095426643615E-2</v>
          </cell>
          <cell r="BY33">
            <v>17154805000</v>
          </cell>
          <cell r="BZ33">
            <v>16460035000</v>
          </cell>
          <cell r="CA33">
            <v>15877630000</v>
          </cell>
          <cell r="CB33">
            <v>14944705000</v>
          </cell>
          <cell r="CC33" t="str">
            <v>NULL</v>
          </cell>
          <cell r="CD33" t="str">
            <v>NULL</v>
          </cell>
          <cell r="CE33" t="str">
            <v>NULL</v>
          </cell>
          <cell r="CF33" t="str">
            <v>NULL</v>
          </cell>
          <cell r="CG33" t="str">
            <v>NULL</v>
          </cell>
          <cell r="CH33" t="str">
            <v>NULL</v>
          </cell>
          <cell r="CI33" t="str">
            <v>NULL</v>
          </cell>
          <cell r="CJ33" t="str">
            <v>NULL</v>
          </cell>
          <cell r="CK33">
            <v>17154805000</v>
          </cell>
          <cell r="CL33">
            <v>16460035000</v>
          </cell>
          <cell r="CM33">
            <v>15877630000</v>
          </cell>
          <cell r="CN33">
            <v>14944705000</v>
          </cell>
          <cell r="CO33">
            <v>0.25354047566486271</v>
          </cell>
          <cell r="CP33">
            <v>1605770000</v>
          </cell>
          <cell r="CQ33">
            <v>1165084000</v>
          </cell>
          <cell r="CR33">
            <v>3643672000</v>
          </cell>
          <cell r="CS33">
            <v>3784487000</v>
          </cell>
          <cell r="CT33">
            <v>3204496000</v>
          </cell>
          <cell r="CU33">
            <v>2024244000</v>
          </cell>
          <cell r="CV33">
            <v>1263679000</v>
          </cell>
          <cell r="CW33">
            <v>1005577000</v>
          </cell>
          <cell r="CX33">
            <v>0.37824397210844873</v>
          </cell>
          <cell r="CY33">
            <v>0.31707575914450759</v>
          </cell>
          <cell r="CZ33">
            <v>-3.7208477661569428E-2</v>
          </cell>
          <cell r="DA33">
            <v>0.1809928924860571</v>
          </cell>
          <cell r="DB33">
            <v>0.58305816887687456</v>
          </cell>
          <cell r="DC33">
            <v>0.60186566366933381</v>
          </cell>
          <cell r="DD33">
            <v>0.25667054835184189</v>
          </cell>
          <cell r="DE33">
            <v>0.27364967958342684</v>
          </cell>
          <cell r="DG33">
            <v>3.0202248524761899</v>
          </cell>
          <cell r="DH33">
            <v>631877850</v>
          </cell>
          <cell r="DI33">
            <v>92.75</v>
          </cell>
          <cell r="DJ33">
            <v>58606670587.5</v>
          </cell>
          <cell r="DK33">
            <v>26728259050</v>
          </cell>
          <cell r="DM33">
            <v>17154805000</v>
          </cell>
          <cell r="DN33" t="str">
            <v>NULL</v>
          </cell>
          <cell r="DO33" t="str">
            <v>NULL</v>
          </cell>
          <cell r="DP33">
            <v>328033000</v>
          </cell>
          <cell r="DQ33">
            <v>3386000</v>
          </cell>
          <cell r="DR33">
            <v>16823386000</v>
          </cell>
          <cell r="DS33">
            <v>3.4836429828989242</v>
          </cell>
          <cell r="DT33">
            <v>2.9909400000000002</v>
          </cell>
          <cell r="DU33">
            <v>1.0848</v>
          </cell>
          <cell r="DV33">
            <v>1.73769</v>
          </cell>
          <cell r="DW33">
            <v>1.7941800000000001</v>
          </cell>
          <cell r="DX33">
            <v>7.6076099999999993</v>
          </cell>
          <cell r="DY33">
            <v>12.277180349676181</v>
          </cell>
          <cell r="DZ33" t="e">
            <v>#DIV/0!</v>
          </cell>
          <cell r="EA33">
            <v>6137387000</v>
          </cell>
          <cell r="EB33">
            <v>9.5491241773575624</v>
          </cell>
          <cell r="EC33">
            <v>12.2246014188425</v>
          </cell>
          <cell r="ED33">
            <v>0.91643721009880297</v>
          </cell>
          <cell r="EE33">
            <v>0.84290659842290705</v>
          </cell>
          <cell r="EG33">
            <v>0.47982444493602772</v>
          </cell>
          <cell r="EH33">
            <v>9.3661454979952152E-2</v>
          </cell>
          <cell r="EK33">
            <v>1.59888106451613</v>
          </cell>
          <cell r="EL33">
            <v>0</v>
          </cell>
        </row>
        <row r="34">
          <cell r="A34" t="str">
            <v>GARO</v>
          </cell>
          <cell r="B34" t="str">
            <v>GAR.BA</v>
          </cell>
          <cell r="C34" t="str">
            <v>GAROVAGLIO Y ZORRAQUIN SA</v>
          </cell>
          <cell r="D34">
            <v>42825</v>
          </cell>
          <cell r="E34">
            <v>416349110</v>
          </cell>
          <cell r="F34">
            <v>337158640</v>
          </cell>
          <cell r="G34">
            <v>1.23488</v>
          </cell>
          <cell r="H34">
            <v>0.89532</v>
          </cell>
          <cell r="I34">
            <v>1.32673</v>
          </cell>
          <cell r="J34">
            <v>0.89703999999999995</v>
          </cell>
          <cell r="K34">
            <v>6.6000000000000005</v>
          </cell>
          <cell r="L34">
            <v>0</v>
          </cell>
          <cell r="M34">
            <v>0</v>
          </cell>
          <cell r="N34">
            <v>0.10227</v>
          </cell>
          <cell r="O34" t="str">
            <v>NULL</v>
          </cell>
          <cell r="P34">
            <v>0.10227</v>
          </cell>
          <cell r="Q34">
            <v>1.5495454545454545E-2</v>
          </cell>
          <cell r="R34">
            <v>0</v>
          </cell>
          <cell r="S34">
            <v>33.884915822799996</v>
          </cell>
          <cell r="T34">
            <v>36.826499282</v>
          </cell>
          <cell r="U34">
            <v>42825</v>
          </cell>
          <cell r="V34">
            <v>599183730</v>
          </cell>
          <cell r="W34">
            <v>551053080</v>
          </cell>
          <cell r="X34">
            <v>576195380</v>
          </cell>
          <cell r="Y34">
            <v>535417630</v>
          </cell>
          <cell r="Z34">
            <v>159394110</v>
          </cell>
          <cell r="AA34">
            <v>3.7591334460225663</v>
          </cell>
          <cell r="AC34">
            <v>280633950</v>
          </cell>
          <cell r="AD34">
            <v>204070290</v>
          </cell>
          <cell r="AE34">
            <v>254920700</v>
          </cell>
          <cell r="AF34">
            <v>303022990</v>
          </cell>
          <cell r="AG34">
            <v>2.3048130341305391</v>
          </cell>
          <cell r="AH34">
            <v>231478000</v>
          </cell>
          <cell r="AI34">
            <v>90917630</v>
          </cell>
          <cell r="AJ34">
            <v>119615710</v>
          </cell>
          <cell r="AK34">
            <v>112221390</v>
          </cell>
          <cell r="AL34">
            <v>172773720</v>
          </cell>
          <cell r="AM34">
            <v>147322070</v>
          </cell>
          <cell r="AN34">
            <v>163206620</v>
          </cell>
          <cell r="AO34">
            <v>195004120</v>
          </cell>
          <cell r="AP34">
            <v>74.558823151090706</v>
          </cell>
          <cell r="AQ34">
            <v>229333140</v>
          </cell>
          <cell r="AR34">
            <v>195745180</v>
          </cell>
          <cell r="AS34">
            <v>231376530</v>
          </cell>
          <cell r="AT34">
            <v>230000230</v>
          </cell>
          <cell r="AU34">
            <v>77.580383293908227</v>
          </cell>
          <cell r="AV34">
            <v>114484520</v>
          </cell>
          <cell r="AW34">
            <v>121715290</v>
          </cell>
          <cell r="AX34">
            <v>135465780</v>
          </cell>
          <cell r="AY34">
            <v>125980530</v>
          </cell>
          <cell r="AZ34">
            <v>66.946441529908313</v>
          </cell>
          <cell r="BA34">
            <v>69.968001672725819</v>
          </cell>
          <cell r="BC34">
            <v>38.094410000000003</v>
          </cell>
          <cell r="BD34">
            <v>16.24089</v>
          </cell>
          <cell r="BE34">
            <v>4.6590999999999996</v>
          </cell>
          <cell r="BF34">
            <v>-13201660</v>
          </cell>
          <cell r="BG34">
            <v>-19508960</v>
          </cell>
          <cell r="BH34">
            <v>1848010</v>
          </cell>
          <cell r="BI34">
            <v>465370</v>
          </cell>
          <cell r="BJ34">
            <v>-2.9153887065214813E-2</v>
          </cell>
          <cell r="BK34">
            <v>-54739970</v>
          </cell>
          <cell r="BL34">
            <v>-39235300</v>
          </cell>
          <cell r="BM34">
            <v>-18713920</v>
          </cell>
          <cell r="BN34">
            <v>-35916380</v>
          </cell>
          <cell r="BO34">
            <v>-20544550</v>
          </cell>
          <cell r="BP34">
            <v>-52909340</v>
          </cell>
          <cell r="BQ34">
            <v>18988960</v>
          </cell>
          <cell r="BR34">
            <v>-11491040</v>
          </cell>
          <cell r="BS34">
            <v>8758030</v>
          </cell>
          <cell r="BT34">
            <v>55468500</v>
          </cell>
          <cell r="BU34">
            <v>24677410</v>
          </cell>
          <cell r="BV34">
            <v>3069580</v>
          </cell>
          <cell r="BW34">
            <v>-4.7801140313969648E-2</v>
          </cell>
          <cell r="BX34">
            <v>-5.3756424907114304E-2</v>
          </cell>
          <cell r="BY34">
            <v>159394110</v>
          </cell>
          <cell r="BZ34">
            <v>172595770</v>
          </cell>
          <cell r="CA34">
            <v>192104730</v>
          </cell>
          <cell r="CB34">
            <v>190256720</v>
          </cell>
          <cell r="CC34" t="str">
            <v>NULL</v>
          </cell>
          <cell r="CD34" t="str">
            <v>NULL</v>
          </cell>
          <cell r="CE34" t="str">
            <v>NULL</v>
          </cell>
          <cell r="CF34" t="str">
            <v>NULL</v>
          </cell>
          <cell r="CG34" t="str">
            <v>NULL</v>
          </cell>
          <cell r="CH34" t="str">
            <v>NULL</v>
          </cell>
          <cell r="CI34" t="str">
            <v>NULL</v>
          </cell>
          <cell r="CJ34" t="str">
            <v>NULL</v>
          </cell>
          <cell r="CK34">
            <v>159394110</v>
          </cell>
          <cell r="CL34">
            <v>172595770</v>
          </cell>
          <cell r="CM34">
            <v>192104730</v>
          </cell>
          <cell r="CN34">
            <v>190256720</v>
          </cell>
          <cell r="CO34">
            <v>-0.17020890826926857</v>
          </cell>
          <cell r="CP34">
            <v>-13201660</v>
          </cell>
          <cell r="CQ34">
            <v>17508280</v>
          </cell>
          <cell r="CR34">
            <v>48345700</v>
          </cell>
          <cell r="CS34">
            <v>45810720</v>
          </cell>
          <cell r="CT34">
            <v>55026270</v>
          </cell>
          <cell r="CU34">
            <v>10307220</v>
          </cell>
          <cell r="CV34">
            <v>22175250</v>
          </cell>
          <cell r="CW34">
            <v>9301820</v>
          </cell>
          <cell r="CX34">
            <v>-1.7540238104485422</v>
          </cell>
          <cell r="CY34">
            <v>1.0150501844283544</v>
          </cell>
          <cell r="CZ34">
            <v>5.533595630018473E-2</v>
          </cell>
          <cell r="DA34">
            <v>-0.1674754621747031</v>
          </cell>
          <cell r="DB34">
            <v>4.338614097690745</v>
          </cell>
          <cell r="DC34">
            <v>-0.53519261338654589</v>
          </cell>
          <cell r="DD34">
            <v>1.3839689437120906</v>
          </cell>
          <cell r="DE34">
            <v>1.9940442054537095</v>
          </cell>
          <cell r="DG34">
            <v>3.2643669537846498</v>
          </cell>
          <cell r="DH34">
            <v>44000000</v>
          </cell>
          <cell r="DI34">
            <v>6.6000000000000005</v>
          </cell>
          <cell r="DJ34">
            <v>290400000</v>
          </cell>
          <cell r="DK34">
            <v>405539880</v>
          </cell>
          <cell r="DM34">
            <v>159394110</v>
          </cell>
          <cell r="DN34" t="str">
            <v>NULL</v>
          </cell>
          <cell r="DO34" t="str">
            <v>NULL</v>
          </cell>
          <cell r="DP34" t="str">
            <v>NULL</v>
          </cell>
          <cell r="DQ34" t="str">
            <v>NULL</v>
          </cell>
          <cell r="DR34">
            <v>159394110</v>
          </cell>
          <cell r="DS34">
            <v>1.8218991906288131</v>
          </cell>
          <cell r="DT34">
            <v>-0.30003999999999997</v>
          </cell>
          <cell r="DU34">
            <v>-0.44339000000000001</v>
          </cell>
          <cell r="DV34">
            <v>4.2000000000000003E-2</v>
          </cell>
          <cell r="DW34">
            <v>1.0580000000000001E-2</v>
          </cell>
          <cell r="DX34">
            <v>-0.69084999999999996</v>
          </cell>
          <cell r="DY34">
            <v>-9.5534486502135056</v>
          </cell>
          <cell r="DZ34">
            <v>0.27852162906034827</v>
          </cell>
          <cell r="EA34">
            <v>-49839760</v>
          </cell>
          <cell r="EB34">
            <v>-5.8266733226644751</v>
          </cell>
          <cell r="EC34" t="str">
            <v>NULL</v>
          </cell>
          <cell r="ED34">
            <v>0.659559748788631</v>
          </cell>
          <cell r="EE34">
            <v>0.85729085611838995</v>
          </cell>
          <cell r="EG34">
            <v>0.44847392259009866</v>
          </cell>
          <cell r="EH34">
            <v>0.1259583081608342</v>
          </cell>
          <cell r="EK34">
            <v>2.69742882878788</v>
          </cell>
          <cell r="EL34">
            <v>0</v>
          </cell>
        </row>
        <row r="35">
          <cell r="A35" t="str">
            <v>GBAN</v>
          </cell>
          <cell r="B35" t="str">
            <v>GBA.BA</v>
          </cell>
          <cell r="C35" t="str">
            <v>GAS NATURAL BAN SA</v>
          </cell>
          <cell r="D35">
            <v>42825</v>
          </cell>
          <cell r="E35">
            <v>2873162220</v>
          </cell>
          <cell r="F35">
            <v>3528524680</v>
          </cell>
          <cell r="G35">
            <v>0.81427000000000005</v>
          </cell>
          <cell r="H35">
            <v>0.80740999999999996</v>
          </cell>
          <cell r="I35">
            <v>0.87802000000000002</v>
          </cell>
          <cell r="J35">
            <v>0.87180000000000002</v>
          </cell>
          <cell r="K35">
            <v>50.5</v>
          </cell>
          <cell r="L35">
            <v>0</v>
          </cell>
          <cell r="M35" t="str">
            <v>NULL</v>
          </cell>
          <cell r="N35">
            <v>0</v>
          </cell>
          <cell r="O35">
            <v>0</v>
          </cell>
          <cell r="P35">
            <v>0</v>
          </cell>
          <cell r="Q35">
            <v>0</v>
          </cell>
          <cell r="R35">
            <v>0</v>
          </cell>
          <cell r="S35">
            <v>0</v>
          </cell>
          <cell r="T35">
            <v>0</v>
          </cell>
          <cell r="U35">
            <v>42825</v>
          </cell>
          <cell r="V35">
            <v>4718580320</v>
          </cell>
          <cell r="W35">
            <v>5154056770</v>
          </cell>
          <cell r="X35">
            <v>4358990370</v>
          </cell>
          <cell r="Y35">
            <v>3362817710</v>
          </cell>
          <cell r="Z35">
            <v>1075386210</v>
          </cell>
          <cell r="AA35">
            <v>4.3878006581468068</v>
          </cell>
          <cell r="AC35">
            <v>1326145190</v>
          </cell>
          <cell r="AD35">
            <v>1388337900</v>
          </cell>
          <cell r="AE35">
            <v>1713389670</v>
          </cell>
          <cell r="AF35">
            <v>1252327660</v>
          </cell>
          <cell r="AG35">
            <v>1.6141988393223488</v>
          </cell>
          <cell r="AH35">
            <v>3149409290</v>
          </cell>
          <cell r="AI35">
            <v>3431459240</v>
          </cell>
          <cell r="AJ35">
            <v>3200005120</v>
          </cell>
          <cell r="AK35">
            <v>2171533080</v>
          </cell>
          <cell r="AL35">
            <v>1085263480</v>
          </cell>
          <cell r="AM35">
            <v>1222892550</v>
          </cell>
          <cell r="AN35">
            <v>1456276990</v>
          </cell>
          <cell r="AO35">
            <v>1102239510</v>
          </cell>
          <cell r="AP35">
            <v>224.10735618418525</v>
          </cell>
          <cell r="AQ35">
            <v>1457232040</v>
          </cell>
          <cell r="AR35">
            <v>1681651740</v>
          </cell>
          <cell r="AS35">
            <v>1703353820</v>
          </cell>
          <cell r="AT35">
            <v>977150270</v>
          </cell>
          <cell r="AU35">
            <v>93.485987090839302</v>
          </cell>
          <cell r="AV35">
            <v>24205220</v>
          </cell>
          <cell r="AW35">
            <v>24419730</v>
          </cell>
          <cell r="AX35">
            <v>18569440</v>
          </cell>
          <cell r="AY35">
            <v>14083380</v>
          </cell>
          <cell r="AZ35">
            <v>1.5239563514457382</v>
          </cell>
          <cell r="BA35">
            <v>-129.0974127419002</v>
          </cell>
          <cell r="BC35" t="str">
            <v>NULL</v>
          </cell>
          <cell r="BD35">
            <v>9.2749500000000005</v>
          </cell>
          <cell r="BE35">
            <v>5.1569700000000003</v>
          </cell>
          <cell r="BF35">
            <v>-25926000</v>
          </cell>
          <cell r="BG35">
            <v>365658400</v>
          </cell>
          <cell r="BH35">
            <v>-29433950</v>
          </cell>
          <cell r="BI35">
            <v>-44531740</v>
          </cell>
          <cell r="BJ35">
            <v>4.6788262798656673E-2</v>
          </cell>
          <cell r="BK35">
            <v>-136290520</v>
          </cell>
          <cell r="BL35">
            <v>-375177430</v>
          </cell>
          <cell r="BM35">
            <v>-232094010</v>
          </cell>
          <cell r="BN35">
            <v>-119521240</v>
          </cell>
          <cell r="BO35">
            <v>-54421230</v>
          </cell>
          <cell r="BP35">
            <v>-313963300</v>
          </cell>
          <cell r="BQ35">
            <v>359690560</v>
          </cell>
          <cell r="BR35">
            <v>723548330</v>
          </cell>
          <cell r="BS35">
            <v>291699310</v>
          </cell>
          <cell r="BT35">
            <v>-30751260</v>
          </cell>
          <cell r="BU35">
            <v>-14758640</v>
          </cell>
          <cell r="BV35">
            <v>666148510</v>
          </cell>
          <cell r="BW35">
            <v>6.2002250617769573E-2</v>
          </cell>
          <cell r="BX35">
            <v>6.0420594666583623E-2</v>
          </cell>
          <cell r="BY35">
            <v>1075386210</v>
          </cell>
          <cell r="BZ35">
            <v>1101312210</v>
          </cell>
          <cell r="CA35">
            <v>735653810</v>
          </cell>
          <cell r="CB35">
            <v>765087750</v>
          </cell>
          <cell r="CC35" t="str">
            <v>NULL</v>
          </cell>
          <cell r="CD35" t="str">
            <v>NULL</v>
          </cell>
          <cell r="CE35" t="str">
            <v>NULL</v>
          </cell>
          <cell r="CF35" t="str">
            <v>NULL</v>
          </cell>
          <cell r="CG35" t="str">
            <v>NULL</v>
          </cell>
          <cell r="CH35" t="str">
            <v>NULL</v>
          </cell>
          <cell r="CI35" t="str">
            <v>NULL</v>
          </cell>
          <cell r="CJ35" t="str">
            <v>NULL</v>
          </cell>
          <cell r="CK35">
            <v>1075386210</v>
          </cell>
          <cell r="CL35">
            <v>1101312210</v>
          </cell>
          <cell r="CM35">
            <v>735653810</v>
          </cell>
          <cell r="CN35">
            <v>765087750</v>
          </cell>
          <cell r="CO35">
            <v>0.28907795797662483</v>
          </cell>
          <cell r="CP35">
            <v>-25926000</v>
          </cell>
          <cell r="CQ35">
            <v>-49951390</v>
          </cell>
          <cell r="CR35">
            <v>241741320</v>
          </cell>
          <cell r="CS35">
            <v>213896800</v>
          </cell>
          <cell r="CT35">
            <v>-56466890</v>
          </cell>
          <cell r="CU35">
            <v>34986400</v>
          </cell>
          <cell r="CV35">
            <v>-6343630</v>
          </cell>
          <cell r="CW35">
            <v>23398650</v>
          </cell>
          <cell r="CX35">
            <v>0.48097540428804886</v>
          </cell>
          <cell r="CY35">
            <v>1.5096610665502783</v>
          </cell>
          <cell r="CZ35">
            <v>0.13017735655699392</v>
          </cell>
          <cell r="DA35">
            <v>4.7880039081309418</v>
          </cell>
          <cell r="DB35">
            <v>-2.6139668556924978</v>
          </cell>
          <cell r="DC35">
            <v>6.5152018639170315</v>
          </cell>
          <cell r="DD35">
            <v>-1.2711109401610776</v>
          </cell>
          <cell r="DE35">
            <v>3.9510424561624484</v>
          </cell>
          <cell r="DG35">
            <v>9.2872381579286092</v>
          </cell>
          <cell r="DH35">
            <v>159514582</v>
          </cell>
          <cell r="DI35">
            <v>50.5</v>
          </cell>
          <cell r="DJ35">
            <v>16439768283</v>
          </cell>
          <cell r="DK35">
            <v>6834107721.00002</v>
          </cell>
          <cell r="DM35">
            <v>1075386210</v>
          </cell>
          <cell r="DN35" t="str">
            <v>NULL</v>
          </cell>
          <cell r="DO35" t="str">
            <v>NULL</v>
          </cell>
          <cell r="DP35">
            <v>48054960</v>
          </cell>
          <cell r="DQ35" t="str">
            <v>NULL</v>
          </cell>
          <cell r="DR35">
            <v>1027331250</v>
          </cell>
          <cell r="DS35">
            <v>16.002402616488109</v>
          </cell>
          <cell r="DT35">
            <v>-7.9640000000000002E-2</v>
          </cell>
          <cell r="DU35">
            <v>1.12324</v>
          </cell>
          <cell r="DV35">
            <v>-9.042E-2</v>
          </cell>
          <cell r="DW35">
            <v>-0.13678999999999999</v>
          </cell>
          <cell r="DX35">
            <v>0.81639000000000017</v>
          </cell>
          <cell r="DY35">
            <v>61.857690564558595</v>
          </cell>
          <cell r="DZ35">
            <v>2.8942232786567765</v>
          </cell>
          <cell r="EA35">
            <v>352185210</v>
          </cell>
          <cell r="EB35">
            <v>46.679326150578554</v>
          </cell>
          <cell r="EC35">
            <v>61.857690564558602</v>
          </cell>
          <cell r="ED35">
            <v>0.67116856711129602</v>
          </cell>
          <cell r="EE35">
            <v>0.33932221653997002</v>
          </cell>
          <cell r="EG35">
            <v>0.39976020211222069</v>
          </cell>
          <cell r="EH35">
            <v>0.1661231401846579</v>
          </cell>
          <cell r="EK35" t="str">
            <v>NULL</v>
          </cell>
          <cell r="EL35">
            <v>0</v>
          </cell>
        </row>
        <row r="36">
          <cell r="A36" t="str">
            <v>GCLA</v>
          </cell>
          <cell r="B36" t="str">
            <v>CLA.BA</v>
          </cell>
          <cell r="C36" t="str">
            <v>GRUPO CLARIN SA</v>
          </cell>
          <cell r="D36">
            <v>42825</v>
          </cell>
          <cell r="E36">
            <v>36567421270</v>
          </cell>
          <cell r="F36">
            <v>4418080520</v>
          </cell>
          <cell r="G36">
            <v>8.2767700000000008</v>
          </cell>
          <cell r="H36">
            <v>8.0503199999999993</v>
          </cell>
          <cell r="I36">
            <v>8.2109299999999994</v>
          </cell>
          <cell r="J36">
            <v>7.9921100000000003</v>
          </cell>
          <cell r="K36">
            <v>232.5</v>
          </cell>
          <cell r="L36">
            <v>0</v>
          </cell>
          <cell r="M36" t="str">
            <v>NULL</v>
          </cell>
          <cell r="N36">
            <v>0</v>
          </cell>
          <cell r="O36">
            <v>1.0437700000000001</v>
          </cell>
          <cell r="P36">
            <v>1.0437700000000001</v>
          </cell>
          <cell r="Q36">
            <v>4.4893333333333339E-3</v>
          </cell>
          <cell r="R36">
            <v>0</v>
          </cell>
          <cell r="S36">
            <v>6.6603389902999997</v>
          </cell>
          <cell r="T36">
            <v>8.5510812610000002</v>
          </cell>
          <cell r="U36">
            <v>42825</v>
          </cell>
          <cell r="V36">
            <v>39188631640</v>
          </cell>
          <cell r="W36">
            <v>36267787790</v>
          </cell>
          <cell r="X36">
            <v>33607588650</v>
          </cell>
          <cell r="Y36">
            <v>31833325490</v>
          </cell>
          <cell r="Z36">
            <v>10628082460</v>
          </cell>
          <cell r="AA36">
            <v>3.6872720725954924</v>
          </cell>
          <cell r="AC36">
            <v>2675819780</v>
          </cell>
          <cell r="AD36">
            <v>3461442990</v>
          </cell>
          <cell r="AE36">
            <v>3085325220</v>
          </cell>
          <cell r="AF36">
            <v>9738724890</v>
          </cell>
          <cell r="AG36">
            <v>0.67287671939478633</v>
          </cell>
          <cell r="AH36" t="str">
            <v>NULL</v>
          </cell>
          <cell r="AI36">
            <v>1928047160</v>
          </cell>
          <cell r="AJ36">
            <v>1964273530</v>
          </cell>
          <cell r="AK36">
            <v>3976830340</v>
          </cell>
          <cell r="AL36">
            <v>1903725980</v>
          </cell>
          <cell r="AM36">
            <v>2141096790</v>
          </cell>
          <cell r="AN36">
            <v>1865700700</v>
          </cell>
          <cell r="AO36">
            <v>4879730930</v>
          </cell>
          <cell r="AP36">
            <v>88.729453433152301</v>
          </cell>
          <cell r="AQ36">
            <v>3303983510</v>
          </cell>
          <cell r="AR36">
            <v>3582782740</v>
          </cell>
          <cell r="AS36">
            <v>3261161240</v>
          </cell>
          <cell r="AT36">
            <v>4791325660</v>
          </cell>
          <cell r="AU36">
            <v>71.894117172412805</v>
          </cell>
          <cell r="AV36">
            <v>1000464400</v>
          </cell>
          <cell r="AW36">
            <v>901013830</v>
          </cell>
          <cell r="AX36">
            <v>822909550</v>
          </cell>
          <cell r="AY36">
            <v>956228710</v>
          </cell>
          <cell r="AZ36">
            <v>31.125888441749805</v>
          </cell>
          <cell r="BA36">
            <v>14.290552181010312</v>
          </cell>
          <cell r="BC36">
            <v>38.529910000000001</v>
          </cell>
          <cell r="BD36">
            <v>6.8743299999999996</v>
          </cell>
          <cell r="BE36">
            <v>-12.5275</v>
          </cell>
          <cell r="BF36">
            <v>-855416850</v>
          </cell>
          <cell r="BG36">
            <v>-320028880</v>
          </cell>
          <cell r="BH36">
            <v>-355230430</v>
          </cell>
          <cell r="BI36">
            <v>595043470</v>
          </cell>
          <cell r="BJ36">
            <v>-4.9344298884856544E-2</v>
          </cell>
          <cell r="BK36">
            <v>-89600400</v>
          </cell>
          <cell r="BL36">
            <v>-456268200</v>
          </cell>
          <cell r="BM36">
            <v>-357742790</v>
          </cell>
          <cell r="BN36">
            <v>-3810711150</v>
          </cell>
          <cell r="BO36">
            <v>-77008990</v>
          </cell>
          <cell r="BP36">
            <v>-370334200</v>
          </cell>
          <cell r="BQ36">
            <v>2504508750</v>
          </cell>
          <cell r="BR36">
            <v>12552019730</v>
          </cell>
          <cell r="BS36">
            <v>9165920960</v>
          </cell>
          <cell r="BT36">
            <v>5832830480</v>
          </cell>
          <cell r="BU36">
            <v>3987337030</v>
          </cell>
          <cell r="BV36">
            <v>7683092680</v>
          </cell>
          <cell r="BW36">
            <v>0.38566730723131237</v>
          </cell>
          <cell r="BX36">
            <v>-2.6562112036993605E-2</v>
          </cell>
          <cell r="BY36">
            <v>10628082460</v>
          </cell>
          <cell r="BZ36">
            <v>9626387060</v>
          </cell>
          <cell r="CA36">
            <v>9076542440</v>
          </cell>
          <cell r="CB36">
            <v>8210152980</v>
          </cell>
          <cell r="CC36" t="str">
            <v>NULL</v>
          </cell>
          <cell r="CD36" t="str">
            <v>NULL</v>
          </cell>
          <cell r="CE36" t="str">
            <v>NULL</v>
          </cell>
          <cell r="CF36" t="str">
            <v>NULL</v>
          </cell>
          <cell r="CG36" t="str">
            <v>NULL</v>
          </cell>
          <cell r="CH36" t="str">
            <v>NULL</v>
          </cell>
          <cell r="CI36" t="str">
            <v>NULL</v>
          </cell>
          <cell r="CJ36" t="str">
            <v>NULL</v>
          </cell>
          <cell r="CK36">
            <v>10628082460</v>
          </cell>
          <cell r="CL36">
            <v>9626387060</v>
          </cell>
          <cell r="CM36">
            <v>9076542440</v>
          </cell>
          <cell r="CN36">
            <v>8210152980</v>
          </cell>
          <cell r="CO36">
            <v>-9.9691385868858437E-2</v>
          </cell>
          <cell r="CP36">
            <v>-855416850</v>
          </cell>
          <cell r="CQ36">
            <v>-509737300</v>
          </cell>
          <cell r="CR36">
            <v>-1425489650</v>
          </cell>
          <cell r="CS36">
            <v>-423102960</v>
          </cell>
          <cell r="CT36">
            <v>804101690</v>
          </cell>
          <cell r="CU36">
            <v>426066190</v>
          </cell>
          <cell r="CV36">
            <v>-16406490</v>
          </cell>
          <cell r="CW36">
            <v>467326720</v>
          </cell>
          <cell r="CX36">
            <v>-0.67815235416360542</v>
          </cell>
          <cell r="CY36">
            <v>4.585243679147851</v>
          </cell>
          <cell r="CZ36">
            <v>-2.3691318302287461</v>
          </cell>
          <cell r="DA36">
            <v>-1.5261809112725531</v>
          </cell>
          <cell r="DB36">
            <v>0.88726941698894257</v>
          </cell>
          <cell r="DC36">
            <v>26.969368829042654</v>
          </cell>
          <cell r="DD36">
            <v>-1.0351071087910402</v>
          </cell>
          <cell r="DE36">
            <v>12.570056330413165</v>
          </cell>
          <cell r="DG36">
            <v>57.183405867842801</v>
          </cell>
          <cell r="DH36">
            <v>186281411</v>
          </cell>
          <cell r="DI36">
            <v>228</v>
          </cell>
          <cell r="DJ36">
            <v>65531437152</v>
          </cell>
          <cell r="DK36">
            <v>46851265638.000099</v>
          </cell>
          <cell r="DM36">
            <v>10628082460</v>
          </cell>
          <cell r="DN36" t="str">
            <v>NULL</v>
          </cell>
          <cell r="DO36" t="str">
            <v>NULL</v>
          </cell>
          <cell r="DP36">
            <v>210629180</v>
          </cell>
          <cell r="DQ36">
            <v>270923530</v>
          </cell>
          <cell r="DR36">
            <v>10146529750</v>
          </cell>
          <cell r="DS36">
            <v>6.4585073681965008</v>
          </cell>
          <cell r="DT36">
            <v>-2.97621</v>
          </cell>
          <cell r="DU36">
            <v>-1.1134599999999999</v>
          </cell>
          <cell r="DV36">
            <v>-1.23593</v>
          </cell>
          <cell r="DW36">
            <v>2.0703</v>
          </cell>
          <cell r="DX36">
            <v>-3.2552999999999996</v>
          </cell>
          <cell r="DY36">
            <v>-71.421988756796623</v>
          </cell>
          <cell r="DZ36">
            <v>3.4560601139133778</v>
          </cell>
          <cell r="EA36">
            <v>7312758480</v>
          </cell>
          <cell r="EB36">
            <v>8.9612472955622628</v>
          </cell>
          <cell r="EC36" t="str">
            <v>NULL</v>
          </cell>
          <cell r="ED36">
            <v>0.40280133589158301</v>
          </cell>
          <cell r="EE36">
            <v>0.40204540684314699</v>
          </cell>
          <cell r="EG36" t="str">
            <v>-</v>
          </cell>
          <cell r="EH36" t="str">
            <v>-</v>
          </cell>
          <cell r="EK36">
            <v>0.73247287236842096</v>
          </cell>
          <cell r="EL36">
            <v>0</v>
          </cell>
        </row>
        <row r="37">
          <cell r="A37" t="str">
            <v>GGAL</v>
          </cell>
          <cell r="B37" t="str">
            <v>GFG.BA</v>
          </cell>
          <cell r="C37" t="str">
            <v>GRUPO FINANCIERO GALICIA SA</v>
          </cell>
          <cell r="E37" t="str">
            <v>NULL</v>
          </cell>
          <cell r="F37" t="str">
            <v>NULL</v>
          </cell>
          <cell r="G37" t="str">
            <v>NULL</v>
          </cell>
          <cell r="H37" t="str">
            <v>NULL</v>
          </cell>
          <cell r="I37" t="str">
            <v>NULL</v>
          </cell>
          <cell r="J37" t="str">
            <v>NULL</v>
          </cell>
          <cell r="K37">
            <v>65.2</v>
          </cell>
          <cell r="L37">
            <v>0</v>
          </cell>
          <cell r="M37">
            <v>0.18457999999999999</v>
          </cell>
          <cell r="N37">
            <v>0</v>
          </cell>
          <cell r="O37">
            <v>0</v>
          </cell>
          <cell r="P37">
            <v>0.18457999999999999</v>
          </cell>
          <cell r="Q37">
            <v>2.8309815950920245E-3</v>
          </cell>
          <cell r="R37">
            <v>0</v>
          </cell>
          <cell r="S37">
            <v>113.14418342960001</v>
          </cell>
          <cell r="T37">
            <v>112.53059360819999</v>
          </cell>
          <cell r="U37">
            <v>42825</v>
          </cell>
          <cell r="V37">
            <v>256028370000</v>
          </cell>
          <cell r="W37">
            <v>242250624000</v>
          </cell>
          <cell r="X37">
            <v>198001755000</v>
          </cell>
          <cell r="Y37">
            <v>199849678000</v>
          </cell>
          <cell r="Z37">
            <v>21953452000</v>
          </cell>
          <cell r="AA37">
            <v>11.662328548603655</v>
          </cell>
          <cell r="AB37">
            <v>0</v>
          </cell>
          <cell r="AC37" t="str">
            <v>NULL</v>
          </cell>
          <cell r="AD37" t="str">
            <v>NULL</v>
          </cell>
          <cell r="AE37" t="str">
            <v>NULL</v>
          </cell>
          <cell r="AF37" t="str">
            <v>NULL</v>
          </cell>
          <cell r="AG37">
            <v>0</v>
          </cell>
          <cell r="AH37">
            <v>3227561000</v>
          </cell>
          <cell r="AI37">
            <v>2664187000</v>
          </cell>
          <cell r="AJ37">
            <v>2919157000</v>
          </cell>
          <cell r="AK37">
            <v>2875415000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B37">
            <v>0</v>
          </cell>
          <cell r="BC37" t="str">
            <v>NULL</v>
          </cell>
          <cell r="BD37" t="str">
            <v>NULL</v>
          </cell>
          <cell r="BE37">
            <v>19.932729999999999</v>
          </cell>
          <cell r="BF37">
            <v>1600753000</v>
          </cell>
          <cell r="BG37">
            <v>1771996000</v>
          </cell>
          <cell r="BH37">
            <v>1522658000</v>
          </cell>
          <cell r="BI37">
            <v>1375000000</v>
          </cell>
          <cell r="BJ37" t="e">
            <v>#DIV/0!</v>
          </cell>
          <cell r="BK37">
            <v>-290164000</v>
          </cell>
          <cell r="BL37">
            <v>-900533000</v>
          </cell>
          <cell r="BM37">
            <v>-688040000</v>
          </cell>
          <cell r="BN37">
            <v>-443709000</v>
          </cell>
          <cell r="BO37">
            <v>-118508000</v>
          </cell>
          <cell r="BP37">
            <v>-859696000</v>
          </cell>
          <cell r="BQ37">
            <v>574223000</v>
          </cell>
          <cell r="BR37">
            <v>25013196000</v>
          </cell>
          <cell r="BS37">
            <v>962955000</v>
          </cell>
          <cell r="BT37">
            <v>7098820000</v>
          </cell>
          <cell r="BU37">
            <v>-96732000</v>
          </cell>
          <cell r="BV37">
            <v>1633910000</v>
          </cell>
          <cell r="BW37" t="e">
            <v>#DIV/0!</v>
          </cell>
          <cell r="BX37">
            <v>2.7988814177380899E-2</v>
          </cell>
          <cell r="BY37">
            <v>21953452000</v>
          </cell>
          <cell r="BZ37">
            <v>20352699000</v>
          </cell>
          <cell r="CA37">
            <v>18580702000</v>
          </cell>
          <cell r="CB37">
            <v>17058044000</v>
          </cell>
          <cell r="CC37" t="str">
            <v>NULL</v>
          </cell>
          <cell r="CD37" t="str">
            <v>NULL</v>
          </cell>
          <cell r="CE37" t="str">
            <v>NULL</v>
          </cell>
          <cell r="CF37" t="str">
            <v>NULL</v>
          </cell>
          <cell r="CG37" t="str">
            <v>NULL</v>
          </cell>
          <cell r="CH37" t="str">
            <v>NULL</v>
          </cell>
          <cell r="CI37" t="str">
            <v>NULL</v>
          </cell>
          <cell r="CJ37" t="str">
            <v>NULL</v>
          </cell>
          <cell r="CK37">
            <v>21953452000</v>
          </cell>
          <cell r="CL37">
            <v>20352699000</v>
          </cell>
          <cell r="CM37">
            <v>18580702000</v>
          </cell>
          <cell r="CN37">
            <v>17058044000</v>
          </cell>
          <cell r="CO37">
            <v>0.32178665910611187</v>
          </cell>
          <cell r="CP37">
            <v>1600753000</v>
          </cell>
          <cell r="CQ37">
            <v>1348223000</v>
          </cell>
          <cell r="CR37">
            <v>6017877000</v>
          </cell>
          <cell r="CS37">
            <v>4338397000</v>
          </cell>
          <cell r="CT37">
            <v>3337790000</v>
          </cell>
          <cell r="CU37">
            <v>1823653000</v>
          </cell>
          <cell r="CV37">
            <v>1336215000</v>
          </cell>
          <cell r="CW37">
            <v>1106943000</v>
          </cell>
          <cell r="CX37">
            <v>0.18730580920218687</v>
          </cell>
          <cell r="CY37">
            <v>0.41781800621622167</v>
          </cell>
          <cell r="CZ37">
            <v>0.38711994314950893</v>
          </cell>
          <cell r="DA37">
            <v>0.2997812924120451</v>
          </cell>
          <cell r="DB37">
            <v>0.83027692219956317</v>
          </cell>
          <cell r="DC37">
            <v>0.36479009740198998</v>
          </cell>
          <cell r="DD37">
            <v>0.20712177591800129</v>
          </cell>
          <cell r="DE37">
            <v>0.24093684589067174</v>
          </cell>
          <cell r="DF37">
            <v>0</v>
          </cell>
          <cell r="DG37">
            <v>2.5504997183653</v>
          </cell>
          <cell r="DH37">
            <v>1019042947</v>
          </cell>
          <cell r="DI37">
            <v>64.7</v>
          </cell>
          <cell r="DJ37">
            <v>84127119425.899994</v>
          </cell>
          <cell r="DK37">
            <v>39596701965.599899</v>
          </cell>
          <cell r="DL37">
            <v>0</v>
          </cell>
          <cell r="DM37">
            <v>21953452000</v>
          </cell>
          <cell r="DN37" t="str">
            <v>NULL</v>
          </cell>
          <cell r="DO37" t="str">
            <v>NULL</v>
          </cell>
          <cell r="DP37">
            <v>2674158000</v>
          </cell>
          <cell r="DQ37">
            <v>3223000</v>
          </cell>
          <cell r="DR37">
            <v>19276071000</v>
          </cell>
          <cell r="DS37">
            <v>4.3643291947772962</v>
          </cell>
          <cell r="DT37">
            <v>1.2311000000000001</v>
          </cell>
          <cell r="DU37">
            <v>1.3628</v>
          </cell>
          <cell r="DV37">
            <v>1.1710400000000001</v>
          </cell>
          <cell r="DW37">
            <v>1.05748</v>
          </cell>
          <cell r="DX37">
            <v>4.8224200000000002</v>
          </cell>
          <cell r="DY37">
            <v>13.520182812778646</v>
          </cell>
          <cell r="DZ37" t="e">
            <v>#DIV/0!</v>
          </cell>
          <cell r="EA37">
            <v>774214000</v>
          </cell>
          <cell r="EB37">
            <v>108.66132545510672</v>
          </cell>
          <cell r="EC37">
            <v>13.437236905951799</v>
          </cell>
          <cell r="ED37">
            <v>1.0737598164392099</v>
          </cell>
          <cell r="EE37">
            <v>0.98315716772400297</v>
          </cell>
          <cell r="EF37">
            <v>0</v>
          </cell>
          <cell r="EG37">
            <v>0.47148750012661245</v>
          </cell>
          <cell r="EH37">
            <v>0.1531813156918318</v>
          </cell>
          <cell r="EK37">
            <v>0.28484230864197502</v>
          </cell>
          <cell r="EL37">
            <v>0</v>
          </cell>
        </row>
        <row r="38">
          <cell r="A38" t="str">
            <v>GRIM</v>
          </cell>
          <cell r="B38" t="str">
            <v>GRM.BA</v>
          </cell>
          <cell r="C38" t="str">
            <v>GRIMOLDI SA</v>
          </cell>
          <cell r="D38">
            <v>42825</v>
          </cell>
          <cell r="E38">
            <v>1579921000</v>
          </cell>
          <cell r="F38">
            <v>1151178140</v>
          </cell>
          <cell r="G38">
            <v>1.3724400000000001</v>
          </cell>
          <cell r="H38">
            <v>0.81466000000000005</v>
          </cell>
          <cell r="I38">
            <v>1.39459</v>
          </cell>
          <cell r="J38">
            <v>0.83979000000000004</v>
          </cell>
          <cell r="K38">
            <v>45.7</v>
          </cell>
          <cell r="L38">
            <v>0</v>
          </cell>
          <cell r="M38">
            <v>5.6419999999999998E-2</v>
          </cell>
          <cell r="N38">
            <v>5.6419999999999998E-2</v>
          </cell>
          <cell r="O38">
            <v>0.11285000000000001</v>
          </cell>
          <cell r="P38">
            <v>0.22569</v>
          </cell>
          <cell r="Q38">
            <v>4.9385120350109403E-3</v>
          </cell>
          <cell r="R38">
            <v>0</v>
          </cell>
          <cell r="S38">
            <v>115.8416038199</v>
          </cell>
          <cell r="T38">
            <v>124.920648165</v>
          </cell>
          <cell r="U38">
            <v>42825</v>
          </cell>
          <cell r="V38">
            <v>1795703100</v>
          </cell>
          <cell r="W38">
            <v>1773932640</v>
          </cell>
          <cell r="X38">
            <v>1818884260</v>
          </cell>
          <cell r="Y38">
            <v>1572040030</v>
          </cell>
          <cell r="Z38">
            <v>541339570</v>
          </cell>
          <cell r="AA38">
            <v>3.3171473129148863</v>
          </cell>
          <cell r="AC38">
            <v>899360510</v>
          </cell>
          <cell r="AD38">
            <v>902938560</v>
          </cell>
          <cell r="AE38">
            <v>989099190</v>
          </cell>
          <cell r="AF38">
            <v>932301020</v>
          </cell>
          <cell r="AG38">
            <v>2.6748396349930812</v>
          </cell>
          <cell r="AH38">
            <v>342628740</v>
          </cell>
          <cell r="AI38">
            <v>327962600</v>
          </cell>
          <cell r="AJ38">
            <v>543193150</v>
          </cell>
          <cell r="AK38">
            <v>480431410</v>
          </cell>
          <cell r="AL38">
            <v>539523760</v>
          </cell>
          <cell r="AM38">
            <v>497979220</v>
          </cell>
          <cell r="AN38">
            <v>565965620</v>
          </cell>
          <cell r="AO38">
            <v>508525430</v>
          </cell>
          <cell r="AP38">
            <v>73.199639146233764</v>
          </cell>
          <cell r="AQ38">
            <v>567623270</v>
          </cell>
          <cell r="AR38">
            <v>551866420</v>
          </cell>
          <cell r="AS38">
            <v>664360440</v>
          </cell>
          <cell r="AT38">
            <v>593087480</v>
          </cell>
          <cell r="AU38">
            <v>58.247334331600484</v>
          </cell>
          <cell r="AV38">
            <v>642103830</v>
          </cell>
          <cell r="AW38">
            <v>625739090</v>
          </cell>
          <cell r="AX38">
            <v>699279480</v>
          </cell>
          <cell r="AY38">
            <v>624422880</v>
          </cell>
          <cell r="AZ38">
            <v>111.96930646626875</v>
          </cell>
          <cell r="BA38">
            <v>97.017001651635454</v>
          </cell>
          <cell r="BC38">
            <v>44.69426</v>
          </cell>
          <cell r="BD38">
            <v>16.982209999999998</v>
          </cell>
          <cell r="BE38">
            <v>4.5285700000000002</v>
          </cell>
          <cell r="BF38">
            <v>17712130</v>
          </cell>
          <cell r="BG38">
            <v>17778700</v>
          </cell>
          <cell r="BH38">
            <v>38018980</v>
          </cell>
          <cell r="BI38">
            <v>47596550</v>
          </cell>
          <cell r="BJ38">
            <v>3.2523131137485409E-2</v>
          </cell>
          <cell r="BK38">
            <v>-19951710</v>
          </cell>
          <cell r="BL38">
            <v>-99646170</v>
          </cell>
          <cell r="BM38">
            <v>-78120370</v>
          </cell>
          <cell r="BN38">
            <v>-54785730</v>
          </cell>
          <cell r="BO38">
            <v>-30007410</v>
          </cell>
          <cell r="BP38">
            <v>-68064670</v>
          </cell>
          <cell r="BQ38">
            <v>-87502080</v>
          </cell>
          <cell r="BR38">
            <v>-264533680</v>
          </cell>
          <cell r="BS38">
            <v>-295460670</v>
          </cell>
          <cell r="BT38">
            <v>-204334460</v>
          </cell>
          <cell r="BU38">
            <v>-71506710</v>
          </cell>
          <cell r="BV38">
            <v>-311456040</v>
          </cell>
          <cell r="BW38">
            <v>-0.10192034357833536</v>
          </cell>
          <cell r="BX38">
            <v>6.9595756363299399E-2</v>
          </cell>
          <cell r="BY38">
            <v>541339570</v>
          </cell>
          <cell r="BZ38">
            <v>524080510</v>
          </cell>
          <cell r="CA38">
            <v>505741760</v>
          </cell>
          <cell r="CB38">
            <v>466958130</v>
          </cell>
          <cell r="CC38" t="str">
            <v>NULL</v>
          </cell>
          <cell r="CD38" t="str">
            <v>NULL</v>
          </cell>
          <cell r="CE38" t="str">
            <v>NULL</v>
          </cell>
          <cell r="CF38" t="str">
            <v>NULL</v>
          </cell>
          <cell r="CG38" t="str">
            <v>NULL</v>
          </cell>
          <cell r="CH38" t="str">
            <v>NULL</v>
          </cell>
          <cell r="CI38" t="str">
            <v>NULL</v>
          </cell>
          <cell r="CJ38" t="str">
            <v>NULL</v>
          </cell>
          <cell r="CK38">
            <v>541339570</v>
          </cell>
          <cell r="CL38">
            <v>524080510</v>
          </cell>
          <cell r="CM38">
            <v>505741760</v>
          </cell>
          <cell r="CN38">
            <v>466958130</v>
          </cell>
          <cell r="CO38">
            <v>0.23768249520659965</v>
          </cell>
          <cell r="CP38">
            <v>17712130</v>
          </cell>
          <cell r="CQ38">
            <v>60259680</v>
          </cell>
          <cell r="CR38">
            <v>163653910</v>
          </cell>
          <cell r="CS38">
            <v>168397630</v>
          </cell>
          <cell r="CT38">
            <v>75305520</v>
          </cell>
          <cell r="CU38">
            <v>31964400</v>
          </cell>
          <cell r="CV38">
            <v>17063140</v>
          </cell>
          <cell r="CW38">
            <v>15948590</v>
          </cell>
          <cell r="CX38">
            <v>-0.70606996253547982</v>
          </cell>
          <cell r="CY38">
            <v>0.70142523352304575</v>
          </cell>
          <cell r="CZ38">
            <v>-2.8169755120662887E-2</v>
          </cell>
          <cell r="DA38">
            <v>1.2361923800539456</v>
          </cell>
          <cell r="DB38">
            <v>1.3559184592859554</v>
          </cell>
          <cell r="DC38">
            <v>0.87330116262305757</v>
          </cell>
          <cell r="DD38">
            <v>6.9883920772933594E-2</v>
          </cell>
          <cell r="DE38">
            <v>0.647115116448859</v>
          </cell>
          <cell r="DG38">
            <v>3.9707635342163599</v>
          </cell>
          <cell r="DH38">
            <v>44307514</v>
          </cell>
          <cell r="DI38">
            <v>45.5</v>
          </cell>
          <cell r="DJ38">
            <v>2015991887</v>
          </cell>
          <cell r="DK38">
            <v>2320586517</v>
          </cell>
          <cell r="DM38">
            <v>541339570</v>
          </cell>
          <cell r="DN38" t="str">
            <v>NULL</v>
          </cell>
          <cell r="DO38" t="str">
            <v>NULL</v>
          </cell>
          <cell r="DP38">
            <v>7452020</v>
          </cell>
          <cell r="DQ38">
            <v>1860090</v>
          </cell>
          <cell r="DR38">
            <v>532027460</v>
          </cell>
          <cell r="DS38">
            <v>3.7892628455681594</v>
          </cell>
          <cell r="DT38">
            <v>0.39974999999999999</v>
          </cell>
          <cell r="DU38">
            <v>0.40126000000000001</v>
          </cell>
          <cell r="DV38">
            <v>0.85807</v>
          </cell>
          <cell r="DW38">
            <v>1.07423</v>
          </cell>
          <cell r="DX38">
            <v>2.7333099999999999</v>
          </cell>
          <cell r="DY38">
            <v>16.7196549238835</v>
          </cell>
          <cell r="DZ38">
            <v>0.54139492354495389</v>
          </cell>
          <cell r="EA38">
            <v>-379520710</v>
          </cell>
          <cell r="EB38">
            <v>-5.3119417040508807</v>
          </cell>
          <cell r="EC38">
            <v>16.6464835675426</v>
          </cell>
          <cell r="ED38">
            <v>0.44552535078649802</v>
          </cell>
          <cell r="EE38">
            <v>0.641299014810507</v>
          </cell>
          <cell r="EG38">
            <v>0.47601771876600946</v>
          </cell>
          <cell r="EH38">
            <v>0.29294332181285565</v>
          </cell>
          <cell r="EK38">
            <v>0.57043880373626399</v>
          </cell>
          <cell r="EL38">
            <v>0</v>
          </cell>
        </row>
        <row r="39">
          <cell r="A39" t="str">
            <v>INDU</v>
          </cell>
          <cell r="B39" t="str">
            <v>INU.BA</v>
          </cell>
          <cell r="C39" t="str">
            <v>SOLVAY INDUPA SAIC</v>
          </cell>
          <cell r="D39">
            <v>42735</v>
          </cell>
          <cell r="E39">
            <v>3250171000</v>
          </cell>
          <cell r="F39">
            <v>3224473000</v>
          </cell>
          <cell r="G39">
            <v>1.00797</v>
          </cell>
          <cell r="H39">
            <v>0.77437999999999996</v>
          </cell>
          <cell r="I39">
            <v>0.49286999999999997</v>
          </cell>
          <cell r="J39">
            <v>0.33423000000000003</v>
          </cell>
          <cell r="K39">
            <v>3.25</v>
          </cell>
          <cell r="L39" t="str">
            <v>NULL</v>
          </cell>
          <cell r="M39">
            <v>0</v>
          </cell>
          <cell r="N39">
            <v>0</v>
          </cell>
          <cell r="O39">
            <v>0</v>
          </cell>
          <cell r="P39">
            <v>0</v>
          </cell>
          <cell r="Q39">
            <v>0</v>
          </cell>
          <cell r="R39">
            <v>0</v>
          </cell>
          <cell r="S39">
            <v>215.64927574999999</v>
          </cell>
          <cell r="T39">
            <v>519.24379005699996</v>
          </cell>
          <cell r="U39">
            <v>42735</v>
          </cell>
          <cell r="V39">
            <v>7104519000</v>
          </cell>
          <cell r="W39">
            <v>6237972000</v>
          </cell>
          <cell r="X39">
            <v>6267681000</v>
          </cell>
          <cell r="Y39">
            <v>6143306000</v>
          </cell>
          <cell r="Z39">
            <v>1294373000</v>
          </cell>
          <cell r="AA39">
            <v>5.4887725562878709</v>
          </cell>
          <cell r="AC39">
            <v>2490049000</v>
          </cell>
          <cell r="AD39">
            <v>2394956000</v>
          </cell>
          <cell r="AE39">
            <v>1952974000</v>
          </cell>
          <cell r="AF39">
            <v>1807347000</v>
          </cell>
          <cell r="AG39">
            <v>1.6784745839140118</v>
          </cell>
          <cell r="AH39">
            <v>1843142000</v>
          </cell>
          <cell r="AI39">
            <v>1677407000</v>
          </cell>
          <cell r="AJ39">
            <v>1667076000</v>
          </cell>
          <cell r="AK39">
            <v>1602115000</v>
          </cell>
          <cell r="AL39">
            <v>2121678000</v>
          </cell>
          <cell r="AM39">
            <v>1989522000</v>
          </cell>
          <cell r="AN39">
            <v>1752972000</v>
          </cell>
          <cell r="AO39">
            <v>1504860000</v>
          </cell>
          <cell r="AP39">
            <v>84.076684020370649</v>
          </cell>
          <cell r="AQ39">
            <v>1292826000</v>
          </cell>
          <cell r="AR39">
            <v>1109419000</v>
          </cell>
          <cell r="AS39">
            <v>971650000</v>
          </cell>
          <cell r="AT39">
            <v>1033414000</v>
          </cell>
          <cell r="AU39">
            <v>46.518424666692731</v>
          </cell>
          <cell r="AV39">
            <v>753210000</v>
          </cell>
          <cell r="AW39">
            <v>800914000</v>
          </cell>
          <cell r="AX39">
            <v>757458000</v>
          </cell>
          <cell r="AY39">
            <v>801245000</v>
          </cell>
          <cell r="AZ39">
            <v>38.545831223151154</v>
          </cell>
          <cell r="BA39">
            <v>0.9875718694732285</v>
          </cell>
          <cell r="BC39">
            <v>14.76282</v>
          </cell>
          <cell r="BD39">
            <v>1.0839399999999999</v>
          </cell>
          <cell r="BE39">
            <v>-8.9571299999999994</v>
          </cell>
          <cell r="BF39">
            <v>-401370000</v>
          </cell>
          <cell r="BG39">
            <v>-2054000</v>
          </cell>
          <cell r="BH39">
            <v>-182756000</v>
          </cell>
          <cell r="BI39">
            <v>-188193000</v>
          </cell>
          <cell r="BJ39">
            <v>-8.957128973505453E-2</v>
          </cell>
          <cell r="BK39">
            <v>-211644000</v>
          </cell>
          <cell r="BL39">
            <v>-159958000</v>
          </cell>
          <cell r="BM39">
            <v>-102137000</v>
          </cell>
          <cell r="BN39">
            <v>-34487000</v>
          </cell>
          <cell r="BO39">
            <v>-304234000</v>
          </cell>
          <cell r="BP39">
            <v>-9547000</v>
          </cell>
          <cell r="BQ39">
            <v>-1095969000</v>
          </cell>
          <cell r="BR39">
            <v>-948614000</v>
          </cell>
          <cell r="BS39">
            <v>-933343000</v>
          </cell>
          <cell r="BT39">
            <v>-746391000</v>
          </cell>
          <cell r="BU39">
            <v>106806000</v>
          </cell>
          <cell r="BV39">
            <v>-2136118000</v>
          </cell>
          <cell r="BW39">
            <v>-0.24818786474911414</v>
          </cell>
          <cell r="BX39">
            <v>-0.12027470619696493</v>
          </cell>
          <cell r="BY39">
            <v>1294373000</v>
          </cell>
          <cell r="BZ39">
            <v>597268000</v>
          </cell>
          <cell r="CA39">
            <v>596988000</v>
          </cell>
          <cell r="CB39">
            <v>777571000</v>
          </cell>
          <cell r="CC39" t="str">
            <v>NULL</v>
          </cell>
          <cell r="CD39" t="str">
            <v>NULL</v>
          </cell>
          <cell r="CE39" t="str">
            <v>NULL</v>
          </cell>
          <cell r="CF39" t="str">
            <v>NULL</v>
          </cell>
          <cell r="CG39" t="str">
            <v>NULL</v>
          </cell>
          <cell r="CH39" t="str">
            <v>NULL</v>
          </cell>
          <cell r="CI39" t="str">
            <v>NULL</v>
          </cell>
          <cell r="CJ39" t="str">
            <v>NULL</v>
          </cell>
          <cell r="CK39">
            <v>1294373000</v>
          </cell>
          <cell r="CL39">
            <v>597268000</v>
          </cell>
          <cell r="CM39">
            <v>596988000</v>
          </cell>
          <cell r="CN39">
            <v>777571000</v>
          </cell>
          <cell r="CO39">
            <v>-0.94834731492253999</v>
          </cell>
          <cell r="CP39">
            <v>-401370000</v>
          </cell>
          <cell r="CQ39">
            <v>-308288000</v>
          </cell>
          <cell r="CR39">
            <v>-774373000</v>
          </cell>
          <cell r="CS39">
            <v>-460321000</v>
          </cell>
          <cell r="CT39">
            <v>-211793000</v>
          </cell>
          <cell r="CU39">
            <v>-101443000</v>
          </cell>
          <cell r="CV39">
            <v>-421620000</v>
          </cell>
          <cell r="CW39">
            <v>-45939000</v>
          </cell>
          <cell r="CX39">
            <v>-0.30193195972597042</v>
          </cell>
          <cell r="CY39">
            <v>-2.0723843978669096</v>
          </cell>
          <cell r="CZ39">
            <v>-0.68224565031793039</v>
          </cell>
          <cell r="DA39">
            <v>-1.1734476587989215</v>
          </cell>
          <cell r="DB39">
            <v>-1.0878030026714511</v>
          </cell>
          <cell r="DC39">
            <v>0.75939708742469525</v>
          </cell>
          <cell r="DD39">
            <v>-8.177822764970939</v>
          </cell>
          <cell r="DE39">
            <v>3.5001906218445633</v>
          </cell>
          <cell r="DG39">
            <v>7.7061539539374504</v>
          </cell>
          <cell r="DH39">
            <v>414283186</v>
          </cell>
          <cell r="DI39">
            <v>3.2</v>
          </cell>
          <cell r="DJ39">
            <v>1325706195.2</v>
          </cell>
          <cell r="DK39">
            <v>3176646195.1999998</v>
          </cell>
          <cell r="DM39">
            <v>1294373000</v>
          </cell>
          <cell r="DN39" t="str">
            <v>NULL</v>
          </cell>
          <cell r="DO39" t="str">
            <v>NULL</v>
          </cell>
          <cell r="DP39">
            <v>1148000</v>
          </cell>
          <cell r="DQ39">
            <v>43489000</v>
          </cell>
          <cell r="DR39">
            <v>1249736000</v>
          </cell>
          <cell r="DS39">
            <v>1.060788994795701</v>
          </cell>
          <cell r="DT39">
            <v>-0.96882999999999997</v>
          </cell>
          <cell r="DU39">
            <v>-4.96E-3</v>
          </cell>
          <cell r="DV39">
            <v>-0.44113999999999998</v>
          </cell>
          <cell r="DW39">
            <v>-0.45426</v>
          </cell>
          <cell r="DX39">
            <v>-1.8691900000000001</v>
          </cell>
          <cell r="DY39">
            <v>-1.7387210502945125</v>
          </cell>
          <cell r="DZ39">
            <v>0.15334369059073077</v>
          </cell>
          <cell r="EA39">
            <v>-2145665000</v>
          </cell>
          <cell r="EB39">
            <v>-0.61785329732274141</v>
          </cell>
          <cell r="EC39" t="str">
            <v>NULL</v>
          </cell>
          <cell r="ED39">
            <v>0.27713795921698597</v>
          </cell>
          <cell r="EE39">
            <v>0.36478376477281799</v>
          </cell>
          <cell r="EG39">
            <v>0.50620800216520234</v>
          </cell>
          <cell r="EH39">
            <v>-0.16829106786003545</v>
          </cell>
          <cell r="EK39" t="str">
            <v>NULL</v>
          </cell>
          <cell r="EL39">
            <v>0</v>
          </cell>
        </row>
        <row r="40">
          <cell r="A40" t="str">
            <v>INTR</v>
          </cell>
          <cell r="B40" t="str">
            <v>INR.BA</v>
          </cell>
          <cell r="C40" t="str">
            <v>COMPANIA INTRODUCTORA DE BUENOS AIRES SA</v>
          </cell>
          <cell r="D40">
            <v>42825</v>
          </cell>
          <cell r="E40">
            <v>332993090</v>
          </cell>
          <cell r="F40">
            <v>173510520</v>
          </cell>
          <cell r="G40">
            <v>1.9191499999999999</v>
          </cell>
          <cell r="H40">
            <v>1.3757200000000001</v>
          </cell>
          <cell r="I40">
            <v>1.9982200000000001</v>
          </cell>
          <cell r="J40">
            <v>1.4866900000000001</v>
          </cell>
          <cell r="K40">
            <v>12.5</v>
          </cell>
          <cell r="L40">
            <v>0</v>
          </cell>
          <cell r="M40">
            <v>8.2979999999999998E-2</v>
          </cell>
          <cell r="N40">
            <v>0</v>
          </cell>
          <cell r="O40">
            <v>0</v>
          </cell>
          <cell r="P40">
            <v>8.2979999999999998E-2</v>
          </cell>
          <cell r="Q40">
            <v>6.6384E-3</v>
          </cell>
          <cell r="R40">
            <v>0</v>
          </cell>
          <cell r="S40">
            <v>9.7600746465999997</v>
          </cell>
          <cell r="T40">
            <v>11.335051309000001</v>
          </cell>
          <cell r="U40">
            <v>42825</v>
          </cell>
          <cell r="V40">
            <v>439940710</v>
          </cell>
          <cell r="W40">
            <v>411310750</v>
          </cell>
          <cell r="X40">
            <v>375340270</v>
          </cell>
          <cell r="Y40">
            <v>328856740</v>
          </cell>
          <cell r="Z40">
            <v>259891250</v>
          </cell>
          <cell r="AA40">
            <v>1.6927876948531357</v>
          </cell>
          <cell r="AC40">
            <v>222806060</v>
          </cell>
          <cell r="AD40">
            <v>208992670</v>
          </cell>
          <cell r="AE40">
            <v>197793620</v>
          </cell>
          <cell r="AF40">
            <v>185277830</v>
          </cell>
          <cell r="AG40">
            <v>2.6193337841855295</v>
          </cell>
          <cell r="AH40">
            <v>77229790</v>
          </cell>
          <cell r="AI40">
            <v>70160480</v>
          </cell>
          <cell r="AJ40">
            <v>68368730</v>
          </cell>
          <cell r="AK40">
            <v>62931430</v>
          </cell>
          <cell r="AL40">
            <v>105125670</v>
          </cell>
          <cell r="AM40">
            <v>96897850</v>
          </cell>
          <cell r="AN40">
            <v>87521470</v>
          </cell>
          <cell r="AO40">
            <v>84535280</v>
          </cell>
          <cell r="AP40">
            <v>67.9814033963887</v>
          </cell>
          <cell r="AQ40">
            <v>162540790</v>
          </cell>
          <cell r="AR40">
            <v>144724810</v>
          </cell>
          <cell r="AS40">
            <v>135667650</v>
          </cell>
          <cell r="AT40">
            <v>116086660</v>
          </cell>
          <cell r="AU40">
            <v>62.59962389039687</v>
          </cell>
          <cell r="AV40">
            <v>94291060</v>
          </cell>
          <cell r="AW40">
            <v>84978960</v>
          </cell>
          <cell r="AX40">
            <v>94500120</v>
          </cell>
          <cell r="AY40">
            <v>81395040</v>
          </cell>
          <cell r="AZ40">
            <v>86.636011770949594</v>
          </cell>
          <cell r="BA40">
            <v>81.254232264957764</v>
          </cell>
          <cell r="BC40">
            <v>51.170960000000001</v>
          </cell>
          <cell r="BD40">
            <v>10.364420000000001</v>
          </cell>
          <cell r="BE40">
            <v>7.9007300000000003</v>
          </cell>
          <cell r="BF40">
            <v>22670180</v>
          </cell>
          <cell r="BG40">
            <v>21422600</v>
          </cell>
          <cell r="BH40">
            <v>23128790</v>
          </cell>
          <cell r="BI40">
            <v>20674990</v>
          </cell>
          <cell r="BJ40">
            <v>0.10786572162942569</v>
          </cell>
          <cell r="BK40">
            <v>-21037740</v>
          </cell>
          <cell r="BL40">
            <v>-14025320</v>
          </cell>
          <cell r="BM40">
            <v>-3619310</v>
          </cell>
          <cell r="BN40">
            <v>-15252530</v>
          </cell>
          <cell r="BO40">
            <v>-11465240</v>
          </cell>
          <cell r="BP40">
            <v>-13191810</v>
          </cell>
          <cell r="BQ40">
            <v>17767010</v>
          </cell>
          <cell r="BR40">
            <v>26152310</v>
          </cell>
          <cell r="BS40">
            <v>8966740</v>
          </cell>
          <cell r="BT40">
            <v>29210020</v>
          </cell>
          <cell r="BU40">
            <v>9357690</v>
          </cell>
          <cell r="BV40">
            <v>17376060</v>
          </cell>
          <cell r="BW40">
            <v>5.1348670042140948E-3</v>
          </cell>
          <cell r="BX40">
            <v>0.2260352861448377</v>
          </cell>
          <cell r="BY40">
            <v>259891250</v>
          </cell>
          <cell r="BZ40">
            <v>237221070</v>
          </cell>
          <cell r="CA40">
            <v>220807930</v>
          </cell>
          <cell r="CB40">
            <v>197679140</v>
          </cell>
          <cell r="CC40" t="str">
            <v>NULL</v>
          </cell>
          <cell r="CD40" t="str">
            <v>NULL</v>
          </cell>
          <cell r="CE40" t="str">
            <v>NULL</v>
          </cell>
          <cell r="CF40" t="str">
            <v>NULL</v>
          </cell>
          <cell r="CG40" t="str">
            <v>NULL</v>
          </cell>
          <cell r="CH40" t="str">
            <v>NULL</v>
          </cell>
          <cell r="CI40" t="str">
            <v>NULL</v>
          </cell>
          <cell r="CJ40" t="str">
            <v>NULL</v>
          </cell>
          <cell r="CK40">
            <v>259891250</v>
          </cell>
          <cell r="CL40">
            <v>237221070</v>
          </cell>
          <cell r="CM40">
            <v>220807930</v>
          </cell>
          <cell r="CN40">
            <v>197679140</v>
          </cell>
          <cell r="CO40">
            <v>0.38399571236062097</v>
          </cell>
          <cell r="CP40">
            <v>22670180</v>
          </cell>
          <cell r="CQ40">
            <v>18364540</v>
          </cell>
          <cell r="CR40">
            <v>48559030</v>
          </cell>
          <cell r="CS40">
            <v>27076750</v>
          </cell>
          <cell r="CT40">
            <v>20876950</v>
          </cell>
          <cell r="CU40">
            <v>18008730</v>
          </cell>
          <cell r="CV40">
            <v>12811110</v>
          </cell>
          <cell r="CW40">
            <v>14631140</v>
          </cell>
          <cell r="CX40">
            <v>0.23445400756022194</v>
          </cell>
          <cell r="CY40">
            <v>0.30618787062100883</v>
          </cell>
          <cell r="CZ40">
            <v>0.79338473044216906</v>
          </cell>
          <cell r="DA40">
            <v>0.29696866640002484</v>
          </cell>
          <cell r="DB40">
            <v>0.15926831042499945</v>
          </cell>
          <cell r="DC40">
            <v>0.40571191723433797</v>
          </cell>
          <cell r="DD40">
            <v>-0.12439427139648718</v>
          </cell>
          <cell r="DE40">
            <v>0.33702268024308224</v>
          </cell>
          <cell r="DG40">
            <v>5.4589875901948597</v>
          </cell>
          <cell r="DH40">
            <v>60372486</v>
          </cell>
          <cell r="DI40">
            <v>12.5</v>
          </cell>
          <cell r="DJ40">
            <v>754656075</v>
          </cell>
          <cell r="DK40">
            <v>737678725.00000095</v>
          </cell>
          <cell r="DM40">
            <v>259891250</v>
          </cell>
          <cell r="DN40" t="str">
            <v>NULL</v>
          </cell>
          <cell r="DO40" t="str">
            <v>NULL</v>
          </cell>
          <cell r="DP40">
            <v>1193180</v>
          </cell>
          <cell r="DQ40" t="str">
            <v>NULL</v>
          </cell>
          <cell r="DR40">
            <v>258698070</v>
          </cell>
          <cell r="DS40">
            <v>2.9171306728341655</v>
          </cell>
          <cell r="DT40">
            <v>0.37551000000000001</v>
          </cell>
          <cell r="DU40">
            <v>0.35483999999999999</v>
          </cell>
          <cell r="DV40">
            <v>0.3831</v>
          </cell>
          <cell r="DW40">
            <v>0.34245999999999999</v>
          </cell>
          <cell r="DX40">
            <v>1.45591</v>
          </cell>
          <cell r="DY40">
            <v>8.5856955443674394</v>
          </cell>
          <cell r="DZ40">
            <v>0.92610589210664207</v>
          </cell>
          <cell r="EA40">
            <v>4184250</v>
          </cell>
          <cell r="EB40">
            <v>180.35635418533786</v>
          </cell>
          <cell r="EC40">
            <v>8.5856955443674394</v>
          </cell>
          <cell r="ED40">
            <v>0.45435451692968898</v>
          </cell>
          <cell r="EE40">
            <v>0.45936247149846998</v>
          </cell>
          <cell r="EG40">
            <v>0.40199684689822041</v>
          </cell>
          <cell r="EH40">
            <v>0.16597862602315172</v>
          </cell>
          <cell r="EK40">
            <v>0.66380640000000002</v>
          </cell>
          <cell r="EL40">
            <v>0</v>
          </cell>
        </row>
        <row r="41">
          <cell r="A41" t="str">
            <v>INVJ</v>
          </cell>
          <cell r="B41" t="str">
            <v>INVJ.BA</v>
          </cell>
          <cell r="C41" t="str">
            <v>INVERSORA JURAMENTO SA</v>
          </cell>
          <cell r="D41">
            <v>42825</v>
          </cell>
          <cell r="E41">
            <v>1244979670</v>
          </cell>
          <cell r="F41">
            <v>599595700</v>
          </cell>
          <cell r="G41">
            <v>2.0763699999999998</v>
          </cell>
          <cell r="H41">
            <v>0.82384999999999997</v>
          </cell>
          <cell r="I41">
            <v>1.28888</v>
          </cell>
          <cell r="J41">
            <v>0.38779000000000002</v>
          </cell>
          <cell r="K41">
            <v>10.700000000000001</v>
          </cell>
          <cell r="L41">
            <v>0</v>
          </cell>
          <cell r="M41">
            <v>0</v>
          </cell>
          <cell r="N41" t="str">
            <v>NULL</v>
          </cell>
          <cell r="O41">
            <v>0</v>
          </cell>
          <cell r="P41">
            <v>0</v>
          </cell>
          <cell r="Q41">
            <v>0</v>
          </cell>
          <cell r="R41">
            <v>0</v>
          </cell>
          <cell r="S41">
            <v>39.809295952600003</v>
          </cell>
          <cell r="T41">
            <v>38.366684712999998</v>
          </cell>
          <cell r="U41">
            <v>42825</v>
          </cell>
          <cell r="V41">
            <v>4360843410</v>
          </cell>
          <cell r="W41">
            <v>3400117240</v>
          </cell>
          <cell r="X41">
            <v>3287848380</v>
          </cell>
          <cell r="Y41">
            <v>3341309750</v>
          </cell>
          <cell r="Z41">
            <v>2370134280</v>
          </cell>
          <cell r="AA41">
            <v>1.8399140701850867</v>
          </cell>
          <cell r="AC41">
            <v>490034610</v>
          </cell>
          <cell r="AD41">
            <v>476615860</v>
          </cell>
          <cell r="AE41">
            <v>444863070</v>
          </cell>
          <cell r="AF41">
            <v>493011600</v>
          </cell>
          <cell r="AG41">
            <v>0.66174557043829674</v>
          </cell>
          <cell r="AH41">
            <v>96020250</v>
          </cell>
          <cell r="AI41">
            <v>98118990</v>
          </cell>
          <cell r="AJ41">
            <v>87977150</v>
          </cell>
          <cell r="AK41">
            <v>54957310</v>
          </cell>
          <cell r="AL41">
            <v>364267070</v>
          </cell>
          <cell r="AM41">
            <v>375017130</v>
          </cell>
          <cell r="AN41">
            <v>344696740</v>
          </cell>
          <cell r="AO41">
            <v>383701620</v>
          </cell>
          <cell r="AP41">
            <v>20.956830832002254</v>
          </cell>
          <cell r="AQ41">
            <v>144912150</v>
          </cell>
          <cell r="AR41">
            <v>122484850</v>
          </cell>
          <cell r="AS41">
            <v>139690250</v>
          </cell>
          <cell r="AT41">
            <v>150855340</v>
          </cell>
          <cell r="AU41">
            <v>26.732260062211623</v>
          </cell>
          <cell r="AV41">
            <v>751000330</v>
          </cell>
          <cell r="AW41">
            <v>744120640</v>
          </cell>
          <cell r="AX41">
            <v>623839840</v>
          </cell>
          <cell r="AY41">
            <v>552557680</v>
          </cell>
          <cell r="AZ41">
            <v>166.09590442534113</v>
          </cell>
          <cell r="BA41">
            <v>171.8713336555505</v>
          </cell>
          <cell r="BC41">
            <v>22.481310000000001</v>
          </cell>
          <cell r="BD41">
            <v>5.2515700000000001</v>
          </cell>
          <cell r="BE41">
            <v>3.26322</v>
          </cell>
          <cell r="BF41">
            <v>38456410</v>
          </cell>
          <cell r="BG41">
            <v>15458010</v>
          </cell>
          <cell r="BH41">
            <v>7579360</v>
          </cell>
          <cell r="BI41">
            <v>13278490</v>
          </cell>
          <cell r="BJ41">
            <v>3.926032186689854E-2</v>
          </cell>
          <cell r="BK41">
            <v>-70924750</v>
          </cell>
          <cell r="BL41">
            <v>-43610930</v>
          </cell>
          <cell r="BM41">
            <v>-48213490</v>
          </cell>
          <cell r="BN41">
            <v>-31338220</v>
          </cell>
          <cell r="BO41">
            <v>-15623710</v>
          </cell>
          <cell r="BP41">
            <v>-103514530</v>
          </cell>
          <cell r="BQ41">
            <v>-63924980</v>
          </cell>
          <cell r="BR41">
            <v>-53144860</v>
          </cell>
          <cell r="BS41">
            <v>-47287790</v>
          </cell>
          <cell r="BT41">
            <v>-31150810</v>
          </cell>
          <cell r="BU41">
            <v>-16497350</v>
          </cell>
          <cell r="BV41">
            <v>-94715420</v>
          </cell>
          <cell r="BW41">
            <v>-0.1040836615052506</v>
          </cell>
          <cell r="BX41">
            <v>2.0784337125534135E-2</v>
          </cell>
          <cell r="BY41">
            <v>2370134280</v>
          </cell>
          <cell r="BZ41">
            <v>1887968860</v>
          </cell>
          <cell r="CA41">
            <v>1872510840</v>
          </cell>
          <cell r="CB41">
            <v>1864931480</v>
          </cell>
          <cell r="CC41" t="str">
            <v>NULL</v>
          </cell>
          <cell r="CD41" t="str">
            <v>NULL</v>
          </cell>
          <cell r="CE41" t="str">
            <v>NULL</v>
          </cell>
          <cell r="CF41" t="str">
            <v>NULL</v>
          </cell>
          <cell r="CG41" t="str">
            <v>NULL</v>
          </cell>
          <cell r="CH41" t="str">
            <v>NULL</v>
          </cell>
          <cell r="CI41" t="str">
            <v>NULL</v>
          </cell>
          <cell r="CJ41" t="str">
            <v>NULL</v>
          </cell>
          <cell r="CK41">
            <v>2370134280</v>
          </cell>
          <cell r="CL41">
            <v>1887968860</v>
          </cell>
          <cell r="CM41">
            <v>1872510840</v>
          </cell>
          <cell r="CN41">
            <v>1864931480</v>
          </cell>
          <cell r="CO41">
            <v>3.7406963852094716E-2</v>
          </cell>
          <cell r="CP41">
            <v>38456410</v>
          </cell>
          <cell r="CQ41">
            <v>10626280</v>
          </cell>
          <cell r="CR41">
            <v>51980180</v>
          </cell>
          <cell r="CS41">
            <v>-7073450</v>
          </cell>
          <cell r="CT41">
            <v>-17003300</v>
          </cell>
          <cell r="CU41">
            <v>-66066270</v>
          </cell>
          <cell r="CV41">
            <v>1430650</v>
          </cell>
          <cell r="CW41">
            <v>28007000</v>
          </cell>
          <cell r="CX41">
            <v>2.6189908415739094</v>
          </cell>
          <cell r="CY41">
            <v>-7.6905712832116082</v>
          </cell>
          <cell r="CZ41">
            <v>8.3486318557422479</v>
          </cell>
          <cell r="DA41">
            <v>0.58399545970488087</v>
          </cell>
          <cell r="DB41">
            <v>0.74263266262799466</v>
          </cell>
          <cell r="DC41">
            <v>-47.179198266522214</v>
          </cell>
          <cell r="DD41">
            <v>-0.9489181276109544</v>
          </cell>
          <cell r="DE41">
            <v>22.369873542362718</v>
          </cell>
          <cell r="DG41">
            <v>15.3669176709232</v>
          </cell>
          <cell r="DH41">
            <v>380298368</v>
          </cell>
          <cell r="DI41">
            <v>10.5</v>
          </cell>
          <cell r="DJ41">
            <v>4986708762</v>
          </cell>
          <cell r="DK41">
            <v>4748399074</v>
          </cell>
          <cell r="DM41">
            <v>2370134280</v>
          </cell>
          <cell r="DN41" t="str">
            <v>NULL</v>
          </cell>
          <cell r="DO41" t="str">
            <v>NULL</v>
          </cell>
          <cell r="DP41">
            <v>16911530</v>
          </cell>
          <cell r="DQ41">
            <v>7555320</v>
          </cell>
          <cell r="DR41">
            <v>2345667430</v>
          </cell>
          <cell r="DS41">
            <v>2.1259231799965779</v>
          </cell>
          <cell r="DT41">
            <v>8.097E-2</v>
          </cell>
          <cell r="DU41">
            <v>3.2550000000000003E-2</v>
          </cell>
          <cell r="DV41">
            <v>1.5959999999999998E-2</v>
          </cell>
          <cell r="DW41">
            <v>2.7959999999999999E-2</v>
          </cell>
          <cell r="DX41">
            <v>0.15744000000000002</v>
          </cell>
          <cell r="DY41">
            <v>67.962398373983731</v>
          </cell>
          <cell r="DZ41">
            <v>2.6183475645797984</v>
          </cell>
          <cell r="EA41">
            <v>-198229950</v>
          </cell>
          <cell r="EB41">
            <v>-25.156182312511302</v>
          </cell>
          <cell r="EC41">
            <v>66.692073170731703</v>
          </cell>
          <cell r="ED41">
            <v>0.55079980043048404</v>
          </cell>
          <cell r="EE41">
            <v>0.75904332674226205</v>
          </cell>
          <cell r="EG41" t="str">
            <v>-</v>
          </cell>
          <cell r="EH41" t="str">
            <v>-</v>
          </cell>
          <cell r="EK41" t="str">
            <v>NULL</v>
          </cell>
          <cell r="EL41">
            <v>0</v>
          </cell>
        </row>
        <row r="42">
          <cell r="A42" t="str">
            <v>IRSA</v>
          </cell>
          <cell r="B42" t="str">
            <v>IRS.BA</v>
          </cell>
          <cell r="C42" t="str">
            <v>IRSA INVERSIONES Y REPRESENTACIONES SA</v>
          </cell>
          <cell r="D42">
            <v>42825</v>
          </cell>
          <cell r="E42">
            <v>55454000000</v>
          </cell>
          <cell r="F42">
            <v>40818000000</v>
          </cell>
          <cell r="G42">
            <v>1.3585700000000001</v>
          </cell>
          <cell r="H42">
            <v>1.2822499999999999</v>
          </cell>
          <cell r="I42">
            <v>1.42465</v>
          </cell>
          <cell r="J42">
            <v>1.3432500000000001</v>
          </cell>
          <cell r="K42">
            <v>39.4</v>
          </cell>
          <cell r="L42">
            <v>0</v>
          </cell>
          <cell r="M42">
            <v>0</v>
          </cell>
          <cell r="N42">
            <v>0</v>
          </cell>
          <cell r="O42">
            <v>0</v>
          </cell>
          <cell r="P42">
            <v>0</v>
          </cell>
          <cell r="Q42">
            <v>0</v>
          </cell>
          <cell r="R42">
            <v>0</v>
          </cell>
          <cell r="S42">
            <v>3099.0339497653999</v>
          </cell>
          <cell r="T42">
            <v>3718.3816183819999</v>
          </cell>
          <cell r="U42">
            <v>42825</v>
          </cell>
          <cell r="V42">
            <v>166529000000</v>
          </cell>
          <cell r="W42">
            <v>166113000000</v>
          </cell>
          <cell r="X42">
            <v>162744000000</v>
          </cell>
          <cell r="Y42">
            <v>159000000000</v>
          </cell>
          <cell r="Z42">
            <v>3623000000</v>
          </cell>
          <cell r="AA42">
            <v>45.964394148495721</v>
          </cell>
          <cell r="AC42">
            <v>18370000000</v>
          </cell>
          <cell r="AD42">
            <v>18144000000</v>
          </cell>
          <cell r="AE42">
            <v>18687000000</v>
          </cell>
          <cell r="AF42">
            <v>12944000000</v>
          </cell>
          <cell r="AG42">
            <v>0.52067889243034915</v>
          </cell>
          <cell r="AH42">
            <v>10972000000</v>
          </cell>
          <cell r="AI42">
            <v>11807000000</v>
          </cell>
          <cell r="AJ42">
            <v>10742000000</v>
          </cell>
          <cell r="AK42" t="str">
            <v>NULL</v>
          </cell>
          <cell r="AL42">
            <v>13203000000</v>
          </cell>
          <cell r="AM42">
            <v>12860000000</v>
          </cell>
          <cell r="AN42">
            <v>13446000000</v>
          </cell>
          <cell r="AO42">
            <v>8268000000</v>
          </cell>
          <cell r="AP42">
            <v>85.363005909398524</v>
          </cell>
          <cell r="AQ42">
            <v>11145000000</v>
          </cell>
          <cell r="AR42">
            <v>12110000000</v>
          </cell>
          <cell r="AS42">
            <v>11090000000</v>
          </cell>
          <cell r="AT42">
            <v>10902000000</v>
          </cell>
          <cell r="AU42">
            <v>60.588286007777526</v>
          </cell>
          <cell r="AV42">
            <v>3115000000</v>
          </cell>
          <cell r="AW42">
            <v>3351000000</v>
          </cell>
          <cell r="AX42">
            <v>2748000000</v>
          </cell>
          <cell r="AY42">
            <v>3246000000</v>
          </cell>
          <cell r="AZ42">
            <v>23.797538564581284</v>
          </cell>
          <cell r="BA42">
            <v>-0.97718133703970977</v>
          </cell>
          <cell r="BC42">
            <v>29.912780000000001</v>
          </cell>
          <cell r="BD42">
            <v>10.66259</v>
          </cell>
          <cell r="BE42">
            <v>-3.8378000000000001</v>
          </cell>
          <cell r="BF42">
            <v>512000000</v>
          </cell>
          <cell r="BG42">
            <v>-1987000000</v>
          </cell>
          <cell r="BH42">
            <v>-219000000</v>
          </cell>
          <cell r="BI42">
            <v>-578000000</v>
          </cell>
          <cell r="BJ42">
            <v>-3.3340670628806225E-2</v>
          </cell>
          <cell r="BK42">
            <v>-2151000000</v>
          </cell>
          <cell r="BL42">
            <v>-1504000000</v>
          </cell>
          <cell r="BM42">
            <v>-730000000</v>
          </cell>
          <cell r="BN42">
            <v>-1190000000</v>
          </cell>
          <cell r="BO42">
            <v>-1155000000</v>
          </cell>
          <cell r="BP42">
            <v>-1726000000</v>
          </cell>
          <cell r="BQ42">
            <v>6151000000</v>
          </cell>
          <cell r="BR42">
            <v>4862000000</v>
          </cell>
          <cell r="BS42">
            <v>2575000000</v>
          </cell>
          <cell r="BT42">
            <v>4139000000</v>
          </cell>
          <cell r="BU42">
            <v>2764000000</v>
          </cell>
          <cell r="BV42">
            <v>5962000000</v>
          </cell>
          <cell r="BW42">
            <v>6.2161567246313006E-2</v>
          </cell>
          <cell r="BX42">
            <v>-1.3887827673574923E-2</v>
          </cell>
          <cell r="BY42">
            <v>3623000000</v>
          </cell>
          <cell r="BZ42">
            <v>3003000000</v>
          </cell>
          <cell r="CA42">
            <v>465000000</v>
          </cell>
          <cell r="CB42">
            <v>1115000000</v>
          </cell>
          <cell r="CC42" t="str">
            <v>NULL</v>
          </cell>
          <cell r="CD42" t="str">
            <v>NULL</v>
          </cell>
          <cell r="CE42" t="str">
            <v>NULL</v>
          </cell>
          <cell r="CF42" t="str">
            <v>NULL</v>
          </cell>
          <cell r="CG42" t="str">
            <v>NULL</v>
          </cell>
          <cell r="CH42" t="str">
            <v>NULL</v>
          </cell>
          <cell r="CI42" t="str">
            <v>NULL</v>
          </cell>
          <cell r="CJ42" t="str">
            <v>NULL</v>
          </cell>
          <cell r="CK42">
            <v>3623000000</v>
          </cell>
          <cell r="CL42">
            <v>3003000000</v>
          </cell>
          <cell r="CM42">
            <v>465000000</v>
          </cell>
          <cell r="CN42">
            <v>1115000000</v>
          </cell>
          <cell r="CO42">
            <v>-1.1074823300024372</v>
          </cell>
          <cell r="CP42">
            <v>512000000</v>
          </cell>
          <cell r="CQ42">
            <v>-21000000</v>
          </cell>
          <cell r="CR42">
            <v>-1254000000</v>
          </cell>
          <cell r="CS42">
            <v>520161000</v>
          </cell>
          <cell r="CT42">
            <v>-514566000</v>
          </cell>
          <cell r="CU42">
            <v>238737000</v>
          </cell>
          <cell r="CV42">
            <v>203891000</v>
          </cell>
          <cell r="CW42">
            <v>294785000</v>
          </cell>
          <cell r="CX42">
            <v>25.38095238095238</v>
          </cell>
          <cell r="CY42">
            <v>-0.93854427175733512</v>
          </cell>
          <cell r="CZ42">
            <v>-3.4107920432327683</v>
          </cell>
          <cell r="DA42">
            <v>2.0108732407504579</v>
          </cell>
          <cell r="DB42">
            <v>-3.1553676221113611</v>
          </cell>
          <cell r="DC42">
            <v>0.17090504240010596</v>
          </cell>
          <cell r="DD42">
            <v>-0.30833997659311019</v>
          </cell>
          <cell r="DE42">
            <v>2.3104877032596174</v>
          </cell>
          <cell r="DG42">
            <v>14.564835409815499</v>
          </cell>
          <cell r="DH42">
            <v>578676460</v>
          </cell>
          <cell r="DI42">
            <v>38.5</v>
          </cell>
          <cell r="DJ42">
            <v>22279043710</v>
          </cell>
          <cell r="DK42">
            <v>116038043710</v>
          </cell>
          <cell r="DM42">
            <v>3623000000</v>
          </cell>
          <cell r="DN42" t="str">
            <v>NULL</v>
          </cell>
          <cell r="DO42" t="str">
            <v>NULL</v>
          </cell>
          <cell r="DP42">
            <v>8656000000</v>
          </cell>
          <cell r="DQ42">
            <v>2371000000</v>
          </cell>
          <cell r="DR42">
            <v>-7404000000</v>
          </cell>
          <cell r="DS42">
            <v>-3.0090550661804429</v>
          </cell>
          <cell r="DT42">
            <v>0.88478000000000001</v>
          </cell>
          <cell r="DU42">
            <v>-3.4337</v>
          </cell>
          <cell r="DV42">
            <v>-0.37845000000000001</v>
          </cell>
          <cell r="DW42">
            <v>-0.99883</v>
          </cell>
          <cell r="DX42">
            <v>-3.9261999999999997</v>
          </cell>
          <cell r="DY42">
            <v>-10.035148489633743</v>
          </cell>
          <cell r="DZ42">
            <v>0.32693585310734463</v>
          </cell>
          <cell r="EA42">
            <v>4236000000</v>
          </cell>
          <cell r="EB42">
            <v>5.2594531893295562</v>
          </cell>
          <cell r="EC42" t="str">
            <v>NULL</v>
          </cell>
          <cell r="ED42">
            <v>0.75281572759610205</v>
          </cell>
          <cell r="EE42">
            <v>0.73715822567283196</v>
          </cell>
          <cell r="EG42">
            <v>0.42042353294857748</v>
          </cell>
          <cell r="EH42">
            <v>5.1854570536970623E-2</v>
          </cell>
          <cell r="EK42">
            <v>0</v>
          </cell>
          <cell r="EL42">
            <v>0</v>
          </cell>
        </row>
        <row r="43">
          <cell r="A43" t="str">
            <v>JMIN</v>
          </cell>
          <cell r="B43" t="str">
            <v>JMI.BA</v>
          </cell>
          <cell r="C43" t="str">
            <v>HOLCIM ARGENTINA SA</v>
          </cell>
          <cell r="D43">
            <v>42825</v>
          </cell>
          <cell r="E43">
            <v>1184915910</v>
          </cell>
          <cell r="F43">
            <v>1226273650</v>
          </cell>
          <cell r="G43">
            <v>0.96626999999999996</v>
          </cell>
          <cell r="H43">
            <v>0.51990000000000003</v>
          </cell>
          <cell r="I43">
            <v>0.8034</v>
          </cell>
          <cell r="J43">
            <v>0.53715000000000002</v>
          </cell>
          <cell r="K43">
            <v>46.65</v>
          </cell>
          <cell r="L43">
            <v>0</v>
          </cell>
          <cell r="M43">
            <v>0</v>
          </cell>
          <cell r="N43">
            <v>0</v>
          </cell>
          <cell r="O43">
            <v>0.55000000000000004</v>
          </cell>
          <cell r="P43">
            <v>0.55000000000000004</v>
          </cell>
          <cell r="Q43">
            <v>1.1789924973204717E-2</v>
          </cell>
          <cell r="R43">
            <v>0</v>
          </cell>
          <cell r="S43">
            <v>3.4835984355999998</v>
          </cell>
          <cell r="T43">
            <v>1.447919199</v>
          </cell>
          <cell r="U43">
            <v>42825</v>
          </cell>
          <cell r="V43">
            <v>3274694360</v>
          </cell>
          <cell r="W43">
            <v>3478300090</v>
          </cell>
          <cell r="X43">
            <v>3189064340</v>
          </cell>
          <cell r="Y43">
            <v>3296706880</v>
          </cell>
          <cell r="Z43">
            <v>1725282380</v>
          </cell>
          <cell r="AA43">
            <v>1.8980628318942201</v>
          </cell>
          <cell r="AC43">
            <v>1476436570</v>
          </cell>
          <cell r="AD43">
            <v>1500450880</v>
          </cell>
          <cell r="AE43">
            <v>1472771390</v>
          </cell>
          <cell r="AF43">
            <v>1163841170</v>
          </cell>
          <cell r="AG43">
            <v>2.1200926095879749</v>
          </cell>
          <cell r="AH43">
            <v>603348970</v>
          </cell>
          <cell r="AI43">
            <v>557447080</v>
          </cell>
          <cell r="AJ43">
            <v>541837870</v>
          </cell>
          <cell r="AK43">
            <v>555902890</v>
          </cell>
          <cell r="AL43">
            <v>815215050</v>
          </cell>
          <cell r="AM43">
            <v>877581600</v>
          </cell>
          <cell r="AN43">
            <v>881510430</v>
          </cell>
          <cell r="AO43">
            <v>728082890</v>
          </cell>
          <cell r="AP43">
            <v>62.406767760531928</v>
          </cell>
          <cell r="AQ43">
            <v>396515160</v>
          </cell>
          <cell r="AR43">
            <v>364529150</v>
          </cell>
          <cell r="AS43">
            <v>367182590</v>
          </cell>
          <cell r="AT43">
            <v>312127140</v>
          </cell>
          <cell r="AU43">
            <v>23.413611101071329</v>
          </cell>
          <cell r="AV43">
            <v>547380480</v>
          </cell>
          <cell r="AW43">
            <v>436983550</v>
          </cell>
          <cell r="AX43">
            <v>518230990</v>
          </cell>
          <cell r="AY43">
            <v>609725790</v>
          </cell>
          <cell r="AZ43">
            <v>58.366599845414378</v>
          </cell>
          <cell r="BA43">
            <v>19.373443185953782</v>
          </cell>
          <cell r="BC43">
            <v>38.209650000000003</v>
          </cell>
          <cell r="BD43">
            <v>15.14987</v>
          </cell>
          <cell r="BE43">
            <v>7.4786400000000004</v>
          </cell>
          <cell r="BF43">
            <v>200702140</v>
          </cell>
          <cell r="BG43">
            <v>207676320</v>
          </cell>
          <cell r="BH43">
            <v>143618260</v>
          </cell>
          <cell r="BI43">
            <v>63983930</v>
          </cell>
          <cell r="BJ43">
            <v>0.1097320119181758</v>
          </cell>
          <cell r="BK43">
            <v>-5006320</v>
          </cell>
          <cell r="BL43">
            <v>-167022480</v>
          </cell>
          <cell r="BM43">
            <v>-95633150</v>
          </cell>
          <cell r="BN43">
            <v>-51355660</v>
          </cell>
          <cell r="BO43">
            <v>-9132370</v>
          </cell>
          <cell r="BP43">
            <v>-91507100</v>
          </cell>
          <cell r="BQ43">
            <v>-370295320</v>
          </cell>
          <cell r="BR43">
            <v>167697280</v>
          </cell>
          <cell r="BS43">
            <v>-215792510</v>
          </cell>
          <cell r="BT43">
            <v>-231693270</v>
          </cell>
          <cell r="BU43">
            <v>-425598500</v>
          </cell>
          <cell r="BV43">
            <v>-160489330</v>
          </cell>
          <cell r="BW43">
            <v>-4.4891142700826323E-2</v>
          </cell>
          <cell r="BX43">
            <v>0.1861142240460851</v>
          </cell>
          <cell r="BY43">
            <v>1725282380</v>
          </cell>
          <cell r="BZ43">
            <v>1524580240</v>
          </cell>
          <cell r="CA43">
            <v>1316467690</v>
          </cell>
          <cell r="CB43">
            <v>1172849430</v>
          </cell>
          <cell r="CC43" t="str">
            <v>NULL</v>
          </cell>
          <cell r="CD43" t="str">
            <v>NULL</v>
          </cell>
          <cell r="CE43" t="str">
            <v>NULL</v>
          </cell>
          <cell r="CF43" t="str">
            <v>NULL</v>
          </cell>
          <cell r="CG43" t="str">
            <v>NULL</v>
          </cell>
          <cell r="CH43" t="str">
            <v>NULL</v>
          </cell>
          <cell r="CI43" t="str">
            <v>NULL</v>
          </cell>
          <cell r="CJ43" t="str">
            <v>NULL</v>
          </cell>
          <cell r="CK43">
            <v>1725282380</v>
          </cell>
          <cell r="CL43">
            <v>1524580240</v>
          </cell>
          <cell r="CM43">
            <v>1316467690</v>
          </cell>
          <cell r="CN43">
            <v>1172849430</v>
          </cell>
          <cell r="CO43">
            <v>0.42931615868855849</v>
          </cell>
          <cell r="CP43">
            <v>200702140</v>
          </cell>
          <cell r="CQ43">
            <v>-24472540</v>
          </cell>
          <cell r="CR43">
            <v>390805970</v>
          </cell>
          <cell r="CS43">
            <v>64358260</v>
          </cell>
          <cell r="CT43">
            <v>58944470</v>
          </cell>
          <cell r="CU43">
            <v>29627350</v>
          </cell>
          <cell r="CV43">
            <v>24588790</v>
          </cell>
          <cell r="CW43">
            <v>197500580</v>
          </cell>
          <cell r="CX43">
            <v>9.2011160263707819</v>
          </cell>
          <cell r="CY43">
            <v>1.0966277302059437</v>
          </cell>
          <cell r="CZ43">
            <v>5.0723513966971758</v>
          </cell>
          <cell r="DA43">
            <v>9.1845596372314375E-2</v>
          </cell>
          <cell r="DB43">
            <v>0.98952893188219671</v>
          </cell>
          <cell r="DC43">
            <v>0.20491288916616068</v>
          </cell>
          <cell r="DD43">
            <v>-0.87550016308812861</v>
          </cell>
          <cell r="DE43">
            <v>2.3190450484311023</v>
          </cell>
          <cell r="DG43">
            <v>13.9714052104346</v>
          </cell>
          <cell r="DH43">
            <v>352056899</v>
          </cell>
          <cell r="DI43">
            <v>47.5</v>
          </cell>
          <cell r="DJ43">
            <v>16722702702.5</v>
          </cell>
          <cell r="DK43">
            <v>16688634092.5</v>
          </cell>
          <cell r="DM43">
            <v>1725282380</v>
          </cell>
          <cell r="DN43" t="str">
            <v>NULL</v>
          </cell>
          <cell r="DO43" t="str">
            <v>NULL</v>
          </cell>
          <cell r="DP43">
            <v>1438720</v>
          </cell>
          <cell r="DQ43" t="str">
            <v>NULL</v>
          </cell>
          <cell r="DR43">
            <v>1723843660</v>
          </cell>
          <cell r="DS43">
            <v>9.700823276804579</v>
          </cell>
          <cell r="DT43">
            <v>0.57008000000000003</v>
          </cell>
          <cell r="DU43">
            <v>0.58989000000000003</v>
          </cell>
          <cell r="DV43">
            <v>0.40794000000000002</v>
          </cell>
          <cell r="DW43">
            <v>0.18174000000000001</v>
          </cell>
          <cell r="DX43">
            <v>1.7496499999999999</v>
          </cell>
          <cell r="DY43">
            <v>26.662475352213299</v>
          </cell>
          <cell r="DZ43">
            <v>2.9790153509770816</v>
          </cell>
          <cell r="EA43">
            <v>-251996430</v>
          </cell>
          <cell r="EB43">
            <v>-66.360871471472834</v>
          </cell>
          <cell r="EC43">
            <v>27.1482868002172</v>
          </cell>
          <cell r="ED43">
            <v>1.12443857479625</v>
          </cell>
          <cell r="EE43">
            <v>0.96149024521225801</v>
          </cell>
          <cell r="EG43">
            <v>0.44893158617282575</v>
          </cell>
          <cell r="EH43">
            <v>0.16376341760825963</v>
          </cell>
          <cell r="EK43">
            <v>2.23157894736842</v>
          </cell>
          <cell r="EL43">
            <v>0</v>
          </cell>
        </row>
        <row r="44">
          <cell r="A44" t="str">
            <v>LEDE</v>
          </cell>
          <cell r="B44" t="str">
            <v>LED.BA</v>
          </cell>
          <cell r="C44" t="str">
            <v>LEDESMA S.A.A.I.</v>
          </cell>
          <cell r="D44">
            <v>42794</v>
          </cell>
          <cell r="E44">
            <v>5786818000</v>
          </cell>
          <cell r="F44">
            <v>4862058000</v>
          </cell>
          <cell r="G44">
            <v>1.1901999999999999</v>
          </cell>
          <cell r="H44">
            <v>0.45057999999999998</v>
          </cell>
          <cell r="I44">
            <v>1.32378</v>
          </cell>
          <cell r="J44">
            <v>0.48963000000000001</v>
          </cell>
          <cell r="K44">
            <v>14.3</v>
          </cell>
          <cell r="L44">
            <v>9.7610000000000002E-2</v>
          </cell>
          <cell r="M44">
            <v>0</v>
          </cell>
          <cell r="N44">
            <v>0</v>
          </cell>
          <cell r="O44">
            <v>0</v>
          </cell>
          <cell r="P44">
            <v>9.7610000000000002E-2</v>
          </cell>
          <cell r="Q44">
            <v>6.8258741258741254E-3</v>
          </cell>
          <cell r="R44">
            <v>0</v>
          </cell>
          <cell r="S44">
            <v>389.45674970499999</v>
          </cell>
          <cell r="T44">
            <v>370.89088310599999</v>
          </cell>
          <cell r="U44">
            <v>42794</v>
          </cell>
          <cell r="V44">
            <v>8219657000</v>
          </cell>
          <cell r="W44">
            <v>8497795000</v>
          </cell>
          <cell r="X44">
            <v>7618444000</v>
          </cell>
          <cell r="Y44">
            <v>6110102000</v>
          </cell>
          <cell r="Z44">
            <v>1242558000</v>
          </cell>
          <cell r="AA44">
            <v>6.6151093148166931</v>
          </cell>
          <cell r="AC44">
            <v>2641649000</v>
          </cell>
          <cell r="AD44">
            <v>3006619000</v>
          </cell>
          <cell r="AE44">
            <v>2115036000</v>
          </cell>
          <cell r="AF44">
            <v>2132041000</v>
          </cell>
          <cell r="AG44">
            <v>1.6250626915585811</v>
          </cell>
          <cell r="AH44">
            <v>927128000</v>
          </cell>
          <cell r="AI44">
            <v>1157103000</v>
          </cell>
          <cell r="AJ44">
            <v>1057304000</v>
          </cell>
          <cell r="AK44">
            <v>852790000</v>
          </cell>
          <cell r="AL44">
            <v>1746407000</v>
          </cell>
          <cell r="AM44">
            <v>1873861000</v>
          </cell>
          <cell r="AN44">
            <v>1223338000</v>
          </cell>
          <cell r="AO44">
            <v>1234114000</v>
          </cell>
          <cell r="AP44">
            <v>59.970211896895542</v>
          </cell>
          <cell r="AQ44">
            <v>1567621000</v>
          </cell>
          <cell r="AR44">
            <v>1490798000</v>
          </cell>
          <cell r="AS44">
            <v>1205831000</v>
          </cell>
          <cell r="AT44">
            <v>928328000</v>
          </cell>
          <cell r="AU44">
            <v>47.883397951258907</v>
          </cell>
          <cell r="AV44">
            <v>3596086000</v>
          </cell>
          <cell r="AW44">
            <v>3877690000</v>
          </cell>
          <cell r="AX44">
            <v>3491848000</v>
          </cell>
          <cell r="AY44">
            <v>2512774000</v>
          </cell>
          <cell r="AZ44">
            <v>202.3626981006035</v>
          </cell>
          <cell r="BA44">
            <v>190.27588415496686</v>
          </cell>
          <cell r="BC44">
            <v>44.346319999999999</v>
          </cell>
          <cell r="BD44">
            <v>7.8101900000000004</v>
          </cell>
          <cell r="BE44">
            <v>-0.68567999999999996</v>
          </cell>
          <cell r="BF44">
            <v>-25330000</v>
          </cell>
          <cell r="BG44">
            <v>-34239000</v>
          </cell>
          <cell r="BH44">
            <v>-46521000</v>
          </cell>
          <cell r="BI44">
            <v>-136171000</v>
          </cell>
          <cell r="BJ44">
            <v>-2.4482319716998244E-2</v>
          </cell>
          <cell r="BK44">
            <v>-208819000</v>
          </cell>
          <cell r="BL44">
            <v>-147915000</v>
          </cell>
          <cell r="BM44">
            <v>-86989000</v>
          </cell>
          <cell r="BN44">
            <v>-226899000</v>
          </cell>
          <cell r="BO44">
            <v>-149601000</v>
          </cell>
          <cell r="BP44">
            <v>-146207000</v>
          </cell>
          <cell r="BQ44">
            <v>-1273716000</v>
          </cell>
          <cell r="BR44">
            <v>-1255359000</v>
          </cell>
          <cell r="BS44">
            <v>-772006000</v>
          </cell>
          <cell r="BT44">
            <v>63570000</v>
          </cell>
          <cell r="BU44">
            <v>-352087000</v>
          </cell>
          <cell r="BV44">
            <v>-1693635000</v>
          </cell>
          <cell r="BW44">
            <v>-0.18593005094819837</v>
          </cell>
          <cell r="BX44">
            <v>-3.1828288236765964E-2</v>
          </cell>
          <cell r="BY44">
            <v>1242558000</v>
          </cell>
          <cell r="BZ44">
            <v>1267888000</v>
          </cell>
          <cell r="CA44">
            <v>1302127000</v>
          </cell>
          <cell r="CB44">
            <v>1348648000</v>
          </cell>
          <cell r="CC44" t="str">
            <v>NULL</v>
          </cell>
          <cell r="CD44" t="str">
            <v>NULL</v>
          </cell>
          <cell r="CE44" t="str">
            <v>NULL</v>
          </cell>
          <cell r="CF44" t="str">
            <v>NULL</v>
          </cell>
          <cell r="CG44" t="str">
            <v>NULL</v>
          </cell>
          <cell r="CH44" t="str">
            <v>NULL</v>
          </cell>
          <cell r="CI44" t="str">
            <v>NULL</v>
          </cell>
          <cell r="CJ44" t="str">
            <v>NULL</v>
          </cell>
          <cell r="CK44">
            <v>1242558000</v>
          </cell>
          <cell r="CL44">
            <v>1267888000</v>
          </cell>
          <cell r="CM44">
            <v>1302127000</v>
          </cell>
          <cell r="CN44">
            <v>1348648000</v>
          </cell>
          <cell r="CO44">
            <v>-0.18775479678161427</v>
          </cell>
          <cell r="CP44">
            <v>-25330000</v>
          </cell>
          <cell r="CQ44">
            <v>54515000</v>
          </cell>
          <cell r="CR44">
            <v>-51746000</v>
          </cell>
          <cell r="CS44">
            <v>65395000</v>
          </cell>
          <cell r="CT44">
            <v>173738000</v>
          </cell>
          <cell r="CU44">
            <v>140354000</v>
          </cell>
          <cell r="CV44">
            <v>219879000</v>
          </cell>
          <cell r="CW44">
            <v>210111000</v>
          </cell>
          <cell r="CX44">
            <v>-1.4646427588737045</v>
          </cell>
          <cell r="CY44">
            <v>-0.4984428829869566</v>
          </cell>
          <cell r="CZ44">
            <v>-1.7912837372887835</v>
          </cell>
          <cell r="DA44">
            <v>-0.62359990330267412</v>
          </cell>
          <cell r="DB44">
            <v>0.23785570771050346</v>
          </cell>
          <cell r="DC44">
            <v>-0.36167619463432166</v>
          </cell>
          <cell r="DD44">
            <v>4.6489712580493059E-2</v>
          </cell>
          <cell r="DE44">
            <v>0.79763619992200663</v>
          </cell>
          <cell r="DG44">
            <v>10.9718474637556</v>
          </cell>
          <cell r="DH44">
            <v>440000000</v>
          </cell>
          <cell r="DI44">
            <v>14.3</v>
          </cell>
          <cell r="DJ44">
            <v>6292000000</v>
          </cell>
          <cell r="DK44">
            <v>11075696000</v>
          </cell>
          <cell r="DM44">
            <v>1242558000</v>
          </cell>
          <cell r="DN44" t="str">
            <v>NULL</v>
          </cell>
          <cell r="DO44" t="str">
            <v>NULL</v>
          </cell>
          <cell r="DP44">
            <v>39733000</v>
          </cell>
          <cell r="DQ44" t="str">
            <v>NULL</v>
          </cell>
          <cell r="DR44">
            <v>1202825000</v>
          </cell>
          <cell r="DS44">
            <v>5.2310186436098354</v>
          </cell>
          <cell r="DT44">
            <v>-5.7570000000000003E-2</v>
          </cell>
          <cell r="DU44">
            <v>-7.782E-2</v>
          </cell>
          <cell r="DV44">
            <v>-0.10573</v>
          </cell>
          <cell r="DW44">
            <v>-0.30947999999999998</v>
          </cell>
          <cell r="DX44">
            <v>-0.55059999999999998</v>
          </cell>
          <cell r="DY44">
            <v>-25.971667272066838</v>
          </cell>
          <cell r="DZ44">
            <v>0.63585453564276939</v>
          </cell>
          <cell r="EA44">
            <v>-1839842000</v>
          </cell>
          <cell r="EB44">
            <v>-3.4198588791863651</v>
          </cell>
          <cell r="EC44" t="str">
            <v>NULL</v>
          </cell>
          <cell r="ED44">
            <v>0.82695437198835198</v>
          </cell>
          <cell r="EE44">
            <v>0.93066664860468196</v>
          </cell>
          <cell r="EG44">
            <v>0.41808619119903995</v>
          </cell>
          <cell r="EH44">
            <v>8.534820908116858E-3</v>
          </cell>
          <cell r="EK44">
            <v>0.68259244755244797</v>
          </cell>
          <cell r="EL44">
            <v>0</v>
          </cell>
        </row>
        <row r="45">
          <cell r="A45" t="str">
            <v>LONG</v>
          </cell>
          <cell r="B45" t="str">
            <v>LON.BA</v>
          </cell>
          <cell r="C45" t="str">
            <v>LONGVIE SA</v>
          </cell>
          <cell r="D45">
            <v>42825</v>
          </cell>
          <cell r="E45">
            <v>668310710</v>
          </cell>
          <cell r="F45">
            <v>410455720</v>
          </cell>
          <cell r="G45">
            <v>1.62822</v>
          </cell>
          <cell r="H45">
            <v>0.99317999999999995</v>
          </cell>
          <cell r="I45">
            <v>2.02948</v>
          </cell>
          <cell r="J45">
            <v>0.99841000000000002</v>
          </cell>
          <cell r="K45">
            <v>5.2</v>
          </cell>
          <cell r="L45">
            <v>0</v>
          </cell>
          <cell r="M45">
            <v>0</v>
          </cell>
          <cell r="N45">
            <v>4.897E-2</v>
          </cell>
          <cell r="O45">
            <v>3.918E-2</v>
          </cell>
          <cell r="P45">
            <v>8.8150000000000006E-2</v>
          </cell>
          <cell r="Q45">
            <v>1.6951923076923076E-2</v>
          </cell>
          <cell r="R45">
            <v>0</v>
          </cell>
          <cell r="S45">
            <v>72.330958729599999</v>
          </cell>
          <cell r="T45">
            <v>56.033038512799997</v>
          </cell>
          <cell r="U45">
            <v>42825</v>
          </cell>
          <cell r="V45">
            <v>768803770</v>
          </cell>
          <cell r="W45">
            <v>651145880</v>
          </cell>
          <cell r="X45">
            <v>653557070</v>
          </cell>
          <cell r="Y45">
            <v>716454820</v>
          </cell>
          <cell r="Z45">
            <v>305281810</v>
          </cell>
          <cell r="AA45">
            <v>2.5183412336293474</v>
          </cell>
          <cell r="AC45">
            <v>287751700</v>
          </cell>
          <cell r="AD45">
            <v>207357050</v>
          </cell>
          <cell r="AE45">
            <v>248801290</v>
          </cell>
          <cell r="AF45">
            <v>349406990</v>
          </cell>
          <cell r="AG45">
            <v>1.9593464506999079</v>
          </cell>
          <cell r="AH45">
            <v>169718090</v>
          </cell>
          <cell r="AI45">
            <v>125881430</v>
          </cell>
          <cell r="AJ45">
            <v>95017880</v>
          </cell>
          <cell r="AK45">
            <v>108800320</v>
          </cell>
          <cell r="AL45">
            <v>228073470</v>
          </cell>
          <cell r="AM45">
            <v>187106880</v>
          </cell>
          <cell r="AN45">
            <v>209080250</v>
          </cell>
          <cell r="AO45">
            <v>255718930</v>
          </cell>
          <cell r="AP45">
            <v>51.787417089122521</v>
          </cell>
          <cell r="AQ45">
            <v>342412940</v>
          </cell>
          <cell r="AR45">
            <v>224360590</v>
          </cell>
          <cell r="AS45">
            <v>218698410</v>
          </cell>
          <cell r="AT45">
            <v>264162280</v>
          </cell>
          <cell r="AU45">
            <v>87.604162330664508</v>
          </cell>
          <cell r="AV45">
            <v>260654140</v>
          </cell>
          <cell r="AW45">
            <v>279115010</v>
          </cell>
          <cell r="AX45">
            <v>277879820</v>
          </cell>
          <cell r="AY45">
            <v>318167380</v>
          </cell>
          <cell r="AZ45">
            <v>117.77915099627374</v>
          </cell>
          <cell r="BA45">
            <v>153.59589623781574</v>
          </cell>
          <cell r="BC45">
            <v>23.041029999999999</v>
          </cell>
          <cell r="BD45">
            <v>4.7027599999999996</v>
          </cell>
          <cell r="BE45">
            <v>3.5573999999999999</v>
          </cell>
          <cell r="BF45">
            <v>4688410</v>
          </cell>
          <cell r="BG45">
            <v>-16585320</v>
          </cell>
          <cell r="BH45">
            <v>-7347270</v>
          </cell>
          <cell r="BI45">
            <v>27226990</v>
          </cell>
          <cell r="BJ45">
            <v>7.3014594860925201E-3</v>
          </cell>
          <cell r="BK45">
            <v>-3092900</v>
          </cell>
          <cell r="BL45">
            <v>-30292890</v>
          </cell>
          <cell r="BM45">
            <v>-27455890</v>
          </cell>
          <cell r="BN45">
            <v>-8341040</v>
          </cell>
          <cell r="BO45">
            <v>-4153030</v>
          </cell>
          <cell r="BP45">
            <v>-26395760</v>
          </cell>
          <cell r="BQ45">
            <v>-29270010</v>
          </cell>
          <cell r="BR45">
            <v>-45200440</v>
          </cell>
          <cell r="BS45">
            <v>-73796160</v>
          </cell>
          <cell r="BT45">
            <v>-112526740</v>
          </cell>
          <cell r="BU45">
            <v>-28626890</v>
          </cell>
          <cell r="BV45">
            <v>-74439280</v>
          </cell>
          <cell r="BW45">
            <v>-9.2228546005544254E-2</v>
          </cell>
          <cell r="BX45">
            <v>1.1445046658241748E-2</v>
          </cell>
          <cell r="BY45">
            <v>305281810</v>
          </cell>
          <cell r="BZ45">
            <v>300604330</v>
          </cell>
          <cell r="CA45">
            <v>317189850</v>
          </cell>
          <cell r="CB45">
            <v>324547250</v>
          </cell>
          <cell r="CC45" t="str">
            <v>NULL</v>
          </cell>
          <cell r="CD45" t="str">
            <v>NULL</v>
          </cell>
          <cell r="CE45" t="str">
            <v>NULL</v>
          </cell>
          <cell r="CF45" t="str">
            <v>NULL</v>
          </cell>
          <cell r="CG45" t="str">
            <v>NULL</v>
          </cell>
          <cell r="CH45" t="str">
            <v>NULL</v>
          </cell>
          <cell r="CI45" t="str">
            <v>NULL</v>
          </cell>
          <cell r="CJ45" t="str">
            <v>NULL</v>
          </cell>
          <cell r="CK45">
            <v>305281810</v>
          </cell>
          <cell r="CL45">
            <v>300604330</v>
          </cell>
          <cell r="CM45">
            <v>317189850</v>
          </cell>
          <cell r="CN45">
            <v>324547250</v>
          </cell>
          <cell r="CO45">
            <v>2.5593655982233867E-2</v>
          </cell>
          <cell r="CP45">
            <v>4688410</v>
          </cell>
          <cell r="CQ45">
            <v>33319680</v>
          </cell>
          <cell r="CR45">
            <v>36614070</v>
          </cell>
          <cell r="CS45">
            <v>105332440</v>
          </cell>
          <cell r="CT45">
            <v>32501830</v>
          </cell>
          <cell r="CU45">
            <v>18155710</v>
          </cell>
          <cell r="CV45">
            <v>16629950</v>
          </cell>
          <cell r="CW45">
            <v>23621340</v>
          </cell>
          <cell r="CX45">
            <v>-0.85929006521071027</v>
          </cell>
          <cell r="CY45">
            <v>0.43487236222775189</v>
          </cell>
          <cell r="CZ45">
            <v>-0.65239512157887924</v>
          </cell>
          <cell r="DA45">
            <v>2.2408156709945257</v>
          </cell>
          <cell r="DB45">
            <v>0.79017124640127001</v>
          </cell>
          <cell r="DC45">
            <v>9.1747720227661533E-2</v>
          </cell>
          <cell r="DD45">
            <v>-0.29597770490581821</v>
          </cell>
          <cell r="DE45">
            <v>1.1425514707765321</v>
          </cell>
          <cell r="DG45">
            <v>24.6381754375616</v>
          </cell>
          <cell r="DH45">
            <v>153641513</v>
          </cell>
          <cell r="DI45">
            <v>5.05</v>
          </cell>
          <cell r="DJ45">
            <v>775889640.64999998</v>
          </cell>
          <cell r="DK45">
            <v>931459280.64999998</v>
          </cell>
          <cell r="DM45">
            <v>305281810</v>
          </cell>
          <cell r="DN45" t="str">
            <v>NULL</v>
          </cell>
          <cell r="DO45" t="str">
            <v>NULL</v>
          </cell>
          <cell r="DP45">
            <v>1681720</v>
          </cell>
          <cell r="DQ45" t="str">
            <v>NULL</v>
          </cell>
          <cell r="DR45">
            <v>303600090</v>
          </cell>
          <cell r="DS45">
            <v>2.5556304698394521</v>
          </cell>
          <cell r="DT45">
            <v>3.0519999999999999E-2</v>
          </cell>
          <cell r="DU45">
            <v>-0.10795</v>
          </cell>
          <cell r="DV45">
            <v>-4.7820000000000001E-2</v>
          </cell>
          <cell r="DW45">
            <v>0.17721000000000001</v>
          </cell>
          <cell r="DX45">
            <v>5.1960000000000006E-2</v>
          </cell>
          <cell r="DY45">
            <v>100.07698229407235</v>
          </cell>
          <cell r="DZ45">
            <v>0.70966574137238125</v>
          </cell>
          <cell r="EA45">
            <v>-100835040</v>
          </cell>
          <cell r="EB45">
            <v>-7.6946430590992971</v>
          </cell>
          <cell r="EC45">
            <v>97.190146266358795</v>
          </cell>
          <cell r="ED45">
            <v>0.54452781180737297</v>
          </cell>
          <cell r="EE45">
            <v>0.78170908129702898</v>
          </cell>
          <cell r="EG45">
            <v>0.43238002758724553</v>
          </cell>
          <cell r="EH45">
            <v>9.9205181275659582E-2</v>
          </cell>
          <cell r="EK45">
            <v>1.7455073168316799</v>
          </cell>
          <cell r="EL45">
            <v>0</v>
          </cell>
        </row>
        <row r="46">
          <cell r="A46" t="str">
            <v>METR</v>
          </cell>
          <cell r="B46" t="str">
            <v>MET.BA</v>
          </cell>
          <cell r="C46" t="str">
            <v>METROGAS SA</v>
          </cell>
          <cell r="D46">
            <v>42825</v>
          </cell>
          <cell r="E46">
            <v>3754952000</v>
          </cell>
          <cell r="F46">
            <v>4613060000</v>
          </cell>
          <cell r="G46">
            <v>0.81398000000000004</v>
          </cell>
          <cell r="H46">
            <v>0.81328999999999996</v>
          </cell>
          <cell r="I46">
            <v>0.84253</v>
          </cell>
          <cell r="J46">
            <v>0.84197</v>
          </cell>
          <cell r="K46">
            <v>20</v>
          </cell>
          <cell r="L46">
            <v>0</v>
          </cell>
          <cell r="M46" t="str">
            <v>NULL</v>
          </cell>
          <cell r="N46">
            <v>0</v>
          </cell>
          <cell r="O46">
            <v>0</v>
          </cell>
          <cell r="P46">
            <v>0</v>
          </cell>
          <cell r="Q46">
            <v>0</v>
          </cell>
          <cell r="R46">
            <v>0</v>
          </cell>
          <cell r="S46" t="str">
            <v>NULL</v>
          </cell>
          <cell r="T46" t="str">
            <v>NULL</v>
          </cell>
          <cell r="U46">
            <v>42825</v>
          </cell>
          <cell r="V46">
            <v>6796046000</v>
          </cell>
          <cell r="W46">
            <v>6607773000</v>
          </cell>
          <cell r="X46">
            <v>5758163000</v>
          </cell>
          <cell r="Y46">
            <v>4581415000</v>
          </cell>
          <cell r="Z46">
            <v>-857849000</v>
          </cell>
          <cell r="AA46">
            <v>-7.9221937660357478</v>
          </cell>
          <cell r="AC46">
            <v>1848573000</v>
          </cell>
          <cell r="AD46">
            <v>2053895000</v>
          </cell>
          <cell r="AE46">
            <v>2888353000</v>
          </cell>
          <cell r="AF46">
            <v>2088460000</v>
          </cell>
          <cell r="AG46">
            <v>1.869838798725955</v>
          </cell>
          <cell r="AH46">
            <v>3792642000</v>
          </cell>
          <cell r="AI46">
            <v>4120568000</v>
          </cell>
          <cell r="AJ46">
            <v>3668546000</v>
          </cell>
          <cell r="AK46">
            <v>2188601000</v>
          </cell>
          <cell r="AL46">
            <v>1285937000</v>
          </cell>
          <cell r="AM46">
            <v>1849181000</v>
          </cell>
          <cell r="AN46">
            <v>2538836000</v>
          </cell>
          <cell r="AO46">
            <v>1553156000</v>
          </cell>
          <cell r="AP46">
            <v>173.86549758478839</v>
          </cell>
          <cell r="AQ46">
            <v>2233417000</v>
          </cell>
          <cell r="AR46">
            <v>2629078000</v>
          </cell>
          <cell r="AS46">
            <v>2446761000</v>
          </cell>
          <cell r="AT46">
            <v>1416493000</v>
          </cell>
          <cell r="AU46">
            <v>89.672192630236609</v>
          </cell>
          <cell r="AV46">
            <v>3204000</v>
          </cell>
          <cell r="AW46">
            <v>2696000</v>
          </cell>
          <cell r="AX46">
            <v>1126000</v>
          </cell>
          <cell r="AY46" t="str">
            <v>NULL</v>
          </cell>
          <cell r="AZ46">
            <v>0.11828102796276796</v>
          </cell>
          <cell r="BA46">
            <v>-84.075023926589012</v>
          </cell>
          <cell r="BC46" t="str">
            <v>NULL</v>
          </cell>
          <cell r="BD46">
            <v>4.6944800000000004</v>
          </cell>
          <cell r="BE46">
            <v>-7.4603999999999999</v>
          </cell>
          <cell r="BF46">
            <v>516920000</v>
          </cell>
          <cell r="BG46">
            <v>282276000</v>
          </cell>
          <cell r="BH46">
            <v>-205205000</v>
          </cell>
          <cell r="BI46">
            <v>-90174000</v>
          </cell>
          <cell r="BJ46">
            <v>5.6740742859697761E-2</v>
          </cell>
          <cell r="BK46">
            <v>-158951000</v>
          </cell>
          <cell r="BL46">
            <v>-545829000</v>
          </cell>
          <cell r="BM46">
            <v>-347384000</v>
          </cell>
          <cell r="BN46">
            <v>-197281000</v>
          </cell>
          <cell r="BO46">
            <v>-95226000</v>
          </cell>
          <cell r="BP46">
            <v>-411109000</v>
          </cell>
          <cell r="BQ46">
            <v>1070625000</v>
          </cell>
          <cell r="BR46">
            <v>766108000</v>
          </cell>
          <cell r="BS46">
            <v>642703000</v>
          </cell>
          <cell r="BT46">
            <v>358198000</v>
          </cell>
          <cell r="BU46">
            <v>-24536000</v>
          </cell>
          <cell r="BV46">
            <v>1737864000</v>
          </cell>
          <cell r="BW46">
            <v>0.1494214452724269</v>
          </cell>
          <cell r="BX46">
            <v>8.4876987062971657E-2</v>
          </cell>
          <cell r="BY46">
            <v>-857849000</v>
          </cell>
          <cell r="BZ46">
            <v>-1374769000</v>
          </cell>
          <cell r="CA46">
            <v>-1657045000</v>
          </cell>
          <cell r="CB46">
            <v>-1451840000</v>
          </cell>
          <cell r="CC46" t="str">
            <v>NULL</v>
          </cell>
          <cell r="CD46" t="str">
            <v>NULL</v>
          </cell>
          <cell r="CE46" t="str">
            <v>NULL</v>
          </cell>
          <cell r="CF46" t="str">
            <v>NULL</v>
          </cell>
          <cell r="CG46" t="str">
            <v>NULL</v>
          </cell>
          <cell r="CH46" t="str">
            <v>NULL</v>
          </cell>
          <cell r="CI46" t="str">
            <v>NULL</v>
          </cell>
          <cell r="CJ46" t="str">
            <v>NULL</v>
          </cell>
          <cell r="CK46">
            <v>-857849000</v>
          </cell>
          <cell r="CL46">
            <v>-1374769000</v>
          </cell>
          <cell r="CM46">
            <v>-1657045000</v>
          </cell>
          <cell r="CN46">
            <v>-1451840000</v>
          </cell>
          <cell r="CO46" t="str">
            <v>-</v>
          </cell>
          <cell r="CP46">
            <v>516920000</v>
          </cell>
          <cell r="CQ46">
            <v>-586579000</v>
          </cell>
          <cell r="CR46">
            <v>-599682000</v>
          </cell>
          <cell r="CS46">
            <v>-564901000</v>
          </cell>
          <cell r="CT46">
            <v>-631420000</v>
          </cell>
          <cell r="CU46">
            <v>254936000</v>
          </cell>
          <cell r="CV46">
            <v>-178746000</v>
          </cell>
          <cell r="CW46">
            <v>-61054000</v>
          </cell>
          <cell r="CX46">
            <v>1.881245322454435</v>
          </cell>
          <cell r="CY46">
            <v>-0.5868847178821236</v>
          </cell>
          <cell r="CZ46">
            <v>-6.1570080421171181E-2</v>
          </cell>
          <cell r="DA46">
            <v>0.10534826264609931</v>
          </cell>
          <cell r="DB46">
            <v>-3.4767784855806947</v>
          </cell>
          <cell r="DC46">
            <v>2.4262473006388952</v>
          </cell>
          <cell r="DD46">
            <v>-1.9276705866937465</v>
          </cell>
          <cell r="DE46">
            <v>2.2351341829567106</v>
          </cell>
          <cell r="DG46">
            <v>7.0291290776996496</v>
          </cell>
          <cell r="DH46">
            <v>275026000</v>
          </cell>
          <cell r="DI46">
            <v>20</v>
          </cell>
          <cell r="DJ46">
            <v>10322427200</v>
          </cell>
          <cell r="DK46">
            <v>7100538000</v>
          </cell>
          <cell r="DM46">
            <v>-857849000</v>
          </cell>
          <cell r="DN46" t="str">
            <v>NULL</v>
          </cell>
          <cell r="DO46" t="str">
            <v>NULL</v>
          </cell>
          <cell r="DP46">
            <v>153051000</v>
          </cell>
          <cell r="DQ46" t="str">
            <v>NULL</v>
          </cell>
          <cell r="DR46">
            <v>-1010900000</v>
          </cell>
          <cell r="DS46">
            <v>-10.211125927391434</v>
          </cell>
          <cell r="DT46">
            <v>0.90820000000000001</v>
          </cell>
          <cell r="DU46">
            <v>0.49593999999999999</v>
          </cell>
          <cell r="DV46">
            <v>-0.36053000000000002</v>
          </cell>
          <cell r="DW46">
            <v>-0.15842999999999999</v>
          </cell>
          <cell r="DX46">
            <v>0.88517999999999997</v>
          </cell>
          <cell r="DY46">
            <v>22.594274610813621</v>
          </cell>
          <cell r="DZ46">
            <v>1.1625296237386789</v>
          </cell>
          <cell r="EA46">
            <v>1326755000</v>
          </cell>
          <cell r="EB46">
            <v>7.7802059913096242</v>
          </cell>
          <cell r="EC46">
            <v>22.594274610813599</v>
          </cell>
          <cell r="ED46">
            <v>1.0451782798042299</v>
          </cell>
          <cell r="EE46">
            <v>0.95218316684916005</v>
          </cell>
          <cell r="EG46">
            <v>0.57508400028950346</v>
          </cell>
          <cell r="EH46">
            <v>8.1787428268142337E-2</v>
          </cell>
          <cell r="EK46" t="str">
            <v>NULL</v>
          </cell>
          <cell r="EL46">
            <v>0</v>
          </cell>
        </row>
        <row r="47">
          <cell r="A47" t="str">
            <v>MIRG</v>
          </cell>
          <cell r="B47" t="str">
            <v>MIR.BA</v>
          </cell>
          <cell r="C47" t="str">
            <v>MIRGOR SACIFIA*</v>
          </cell>
          <cell r="D47">
            <v>42825</v>
          </cell>
          <cell r="E47">
            <v>6209302000</v>
          </cell>
          <cell r="F47">
            <v>5790643000</v>
          </cell>
          <cell r="G47">
            <v>1.0723</v>
          </cell>
          <cell r="H47">
            <v>0.58169000000000004</v>
          </cell>
          <cell r="I47">
            <v>1.0526500000000001</v>
          </cell>
          <cell r="J47">
            <v>0.59358</v>
          </cell>
          <cell r="K47">
            <v>338</v>
          </cell>
          <cell r="L47">
            <v>0</v>
          </cell>
          <cell r="M47">
            <v>0</v>
          </cell>
          <cell r="N47">
            <v>0</v>
          </cell>
          <cell r="O47">
            <v>0.22222</v>
          </cell>
          <cell r="P47">
            <v>0.22222</v>
          </cell>
          <cell r="Q47">
            <v>6.5745562130177515E-4</v>
          </cell>
          <cell r="R47">
            <v>0</v>
          </cell>
          <cell r="S47">
            <v>49.718155040200003</v>
          </cell>
          <cell r="T47">
            <v>55.277819929000003</v>
          </cell>
          <cell r="U47">
            <v>42825</v>
          </cell>
          <cell r="V47">
            <v>7581789000</v>
          </cell>
          <cell r="W47">
            <v>7299547000</v>
          </cell>
          <cell r="X47">
            <v>8564078000</v>
          </cell>
          <cell r="Y47">
            <v>8226114000</v>
          </cell>
          <cell r="Z47">
            <v>1789459000</v>
          </cell>
          <cell r="AA47">
            <v>4.2369168558765526</v>
          </cell>
          <cell r="AC47">
            <v>3517360000</v>
          </cell>
          <cell r="AD47">
            <v>3707131000</v>
          </cell>
          <cell r="AE47">
            <v>4052971000</v>
          </cell>
          <cell r="AF47">
            <v>3793554000</v>
          </cell>
          <cell r="AG47">
            <v>2.3792656327774675</v>
          </cell>
          <cell r="AH47">
            <v>4433904000</v>
          </cell>
          <cell r="AI47">
            <v>4325966000</v>
          </cell>
          <cell r="AJ47">
            <v>5633681000</v>
          </cell>
          <cell r="AK47">
            <v>5766414000</v>
          </cell>
          <cell r="AL47">
            <v>3095234000</v>
          </cell>
          <cell r="AM47">
            <v>3230223000</v>
          </cell>
          <cell r="AN47">
            <v>3434451000</v>
          </cell>
          <cell r="AO47">
            <v>3381885000</v>
          </cell>
          <cell r="AP47">
            <v>139.98065608323006</v>
          </cell>
          <cell r="AQ47">
            <v>3153746000</v>
          </cell>
          <cell r="AR47">
            <v>3058857000</v>
          </cell>
          <cell r="AS47">
            <v>3521869000</v>
          </cell>
          <cell r="AT47">
            <v>3163886000</v>
          </cell>
          <cell r="AU47">
            <v>78.095276887769202</v>
          </cell>
          <cell r="AV47">
            <v>2840960000</v>
          </cell>
          <cell r="AW47">
            <v>2581869000</v>
          </cell>
          <cell r="AX47">
            <v>3086020000</v>
          </cell>
          <cell r="AY47">
            <v>3415352000</v>
          </cell>
          <cell r="AZ47">
            <v>82.795653625802814</v>
          </cell>
          <cell r="BA47">
            <v>20.910274430341957</v>
          </cell>
          <cell r="BC47">
            <v>15.32413</v>
          </cell>
          <cell r="BD47">
            <v>4.1425299999999998</v>
          </cell>
          <cell r="BE47">
            <v>2.7795800000000002</v>
          </cell>
          <cell r="BF47">
            <v>115605000</v>
          </cell>
          <cell r="BG47">
            <v>75741000</v>
          </cell>
          <cell r="BH47">
            <v>151124000</v>
          </cell>
          <cell r="BI47">
            <v>118903000</v>
          </cell>
          <cell r="BJ47">
            <v>3.0613264560265877E-2</v>
          </cell>
          <cell r="BK47">
            <v>-33555000</v>
          </cell>
          <cell r="BL47">
            <v>-247989000</v>
          </cell>
          <cell r="BM47">
            <v>-219184000</v>
          </cell>
          <cell r="BN47">
            <v>-200150000</v>
          </cell>
          <cell r="BO47">
            <v>-64828000</v>
          </cell>
          <cell r="BP47">
            <v>-187911000</v>
          </cell>
          <cell r="BQ47">
            <v>-38033000</v>
          </cell>
          <cell r="BR47">
            <v>-1776147000</v>
          </cell>
          <cell r="BS47">
            <v>-2014743000</v>
          </cell>
          <cell r="BT47">
            <v>-2195641000</v>
          </cell>
          <cell r="BU47">
            <v>-1970637000</v>
          </cell>
          <cell r="BV47">
            <v>-82139000</v>
          </cell>
          <cell r="BW47">
            <v>-1.7918499986994903E-2</v>
          </cell>
          <cell r="BX47">
            <v>5.8269749410258954E-2</v>
          </cell>
          <cell r="BY47">
            <v>1789459000</v>
          </cell>
          <cell r="BZ47">
            <v>1673854000</v>
          </cell>
          <cell r="CA47">
            <v>1598113000</v>
          </cell>
          <cell r="CB47">
            <v>1446989000</v>
          </cell>
          <cell r="CC47" t="str">
            <v>NULL</v>
          </cell>
          <cell r="CD47" t="str">
            <v>NULL</v>
          </cell>
          <cell r="CE47" t="str">
            <v>NULL</v>
          </cell>
          <cell r="CF47" t="str">
            <v>NULL</v>
          </cell>
          <cell r="CG47" t="str">
            <v>NULL</v>
          </cell>
          <cell r="CH47" t="str">
            <v>NULL</v>
          </cell>
          <cell r="CI47" t="str">
            <v>NULL</v>
          </cell>
          <cell r="CJ47" t="str">
            <v>NULL</v>
          </cell>
          <cell r="CK47">
            <v>1789459000</v>
          </cell>
          <cell r="CL47">
            <v>1673854000</v>
          </cell>
          <cell r="CM47">
            <v>1598113000</v>
          </cell>
          <cell r="CN47">
            <v>1446989000</v>
          </cell>
          <cell r="CO47">
            <v>0.28355475180977241</v>
          </cell>
          <cell r="CP47">
            <v>115605000</v>
          </cell>
          <cell r="CQ47">
            <v>81716000</v>
          </cell>
          <cell r="CR47">
            <v>427484000</v>
          </cell>
          <cell r="CS47">
            <v>522273000</v>
          </cell>
          <cell r="CT47">
            <v>136920000</v>
          </cell>
          <cell r="CU47">
            <v>229179000</v>
          </cell>
          <cell r="CV47">
            <v>150317000</v>
          </cell>
          <cell r="CW47">
            <v>76445000</v>
          </cell>
          <cell r="CX47">
            <v>0.41471682412257094</v>
          </cell>
          <cell r="CY47">
            <v>0.74427251378519643</v>
          </cell>
          <cell r="CZ47">
            <v>-0.1814932037459337</v>
          </cell>
          <cell r="DA47">
            <v>2.8144390885188431</v>
          </cell>
          <cell r="DB47">
            <v>-0.40256306206066006</v>
          </cell>
          <cell r="DC47">
            <v>0.52463793183738372</v>
          </cell>
          <cell r="DD47">
            <v>0.96634181437634892</v>
          </cell>
          <cell r="DE47">
            <v>1.2801775045651382</v>
          </cell>
          <cell r="DG47">
            <v>29.675520728589099</v>
          </cell>
          <cell r="DH47">
            <v>1519200000</v>
          </cell>
          <cell r="DI47">
            <v>339.95</v>
          </cell>
          <cell r="DJ47">
            <v>6119100000</v>
          </cell>
          <cell r="DK47">
            <v>61974951000.000099</v>
          </cell>
          <cell r="DM47">
            <v>1789459000</v>
          </cell>
          <cell r="DN47" t="str">
            <v>NULL</v>
          </cell>
          <cell r="DO47" t="str">
            <v>NULL</v>
          </cell>
          <cell r="DP47">
            <v>35711000</v>
          </cell>
          <cell r="DQ47">
            <v>766000</v>
          </cell>
          <cell r="DR47">
            <v>1752982000</v>
          </cell>
          <cell r="DS47">
            <v>3.4906804519384682</v>
          </cell>
          <cell r="DT47">
            <v>0.64224999999999999</v>
          </cell>
          <cell r="DU47">
            <v>0.44553999999999999</v>
          </cell>
          <cell r="DV47">
            <v>1.16249</v>
          </cell>
          <cell r="DW47">
            <v>1.18903</v>
          </cell>
          <cell r="DX47">
            <v>3.4393099999999999</v>
          </cell>
          <cell r="DY47">
            <v>98.275526195661342</v>
          </cell>
          <cell r="DZ47">
            <v>0.40601774956645259</v>
          </cell>
          <cell r="EA47">
            <v>-270050000</v>
          </cell>
          <cell r="EB47">
            <v>-22.659137196815404</v>
          </cell>
          <cell r="EC47">
            <v>9.8827962585518598</v>
          </cell>
          <cell r="ED47">
            <v>0.86031261223543098</v>
          </cell>
          <cell r="EE47">
            <v>1.17247057563063</v>
          </cell>
          <cell r="EG47">
            <v>0.48640323128472562</v>
          </cell>
          <cell r="EH47">
            <v>0.16625289627083872</v>
          </cell>
          <cell r="EK47">
            <v>4.7399558693733003E-2</v>
          </cell>
          <cell r="EL47">
            <v>0</v>
          </cell>
        </row>
        <row r="48">
          <cell r="A48" t="str">
            <v>MOLI</v>
          </cell>
          <cell r="B48" t="str">
            <v>MOL.BA</v>
          </cell>
          <cell r="C48" t="str">
            <v>MOLINOS RIO DE LA PLATA SA</v>
          </cell>
          <cell r="D48">
            <v>42825</v>
          </cell>
          <cell r="E48">
            <v>5717783000</v>
          </cell>
          <cell r="F48">
            <v>3266858000</v>
          </cell>
          <cell r="G48">
            <v>1.75024</v>
          </cell>
          <cell r="H48">
            <v>0.88080999999999998</v>
          </cell>
          <cell r="I48">
            <v>1.9476899999999999</v>
          </cell>
          <cell r="J48">
            <v>1.0877600000000001</v>
          </cell>
          <cell r="K48">
            <v>60.5</v>
          </cell>
          <cell r="L48">
            <v>0</v>
          </cell>
          <cell r="M48" t="str">
            <v>NULL</v>
          </cell>
          <cell r="N48">
            <v>0</v>
          </cell>
          <cell r="O48">
            <v>0</v>
          </cell>
          <cell r="P48">
            <v>0</v>
          </cell>
          <cell r="Q48">
            <v>0</v>
          </cell>
          <cell r="R48">
            <v>0</v>
          </cell>
          <cell r="S48">
            <v>91.7075225687</v>
          </cell>
          <cell r="T48">
            <v>88.938271254499995</v>
          </cell>
          <cell r="U48">
            <v>42825</v>
          </cell>
          <cell r="V48">
            <v>8164441000</v>
          </cell>
          <cell r="W48">
            <v>7780600000</v>
          </cell>
          <cell r="X48">
            <v>13751258000</v>
          </cell>
          <cell r="Y48">
            <v>14607300000</v>
          </cell>
          <cell r="Z48">
            <v>2708503000</v>
          </cell>
          <cell r="AA48">
            <v>3.0143739918323886</v>
          </cell>
          <cell r="AC48">
            <v>2705964000</v>
          </cell>
          <cell r="AD48">
            <v>10795709000</v>
          </cell>
          <cell r="AE48">
            <v>10461762000</v>
          </cell>
          <cell r="AF48">
            <v>10087939000</v>
          </cell>
          <cell r="AG48">
            <v>3.8429542806552335</v>
          </cell>
          <cell r="AH48">
            <v>1632101000</v>
          </cell>
          <cell r="AI48">
            <v>1291032000</v>
          </cell>
          <cell r="AJ48">
            <v>4282351000</v>
          </cell>
          <cell r="AK48">
            <v>4473396000</v>
          </cell>
          <cell r="AL48">
            <v>1843269000</v>
          </cell>
          <cell r="AM48">
            <v>9269645000</v>
          </cell>
          <cell r="AN48">
            <v>9001222000</v>
          </cell>
          <cell r="AO48">
            <v>8342130000</v>
          </cell>
          <cell r="AP48">
            <v>37.450373847362826</v>
          </cell>
          <cell r="AQ48">
            <v>1943083000</v>
          </cell>
          <cell r="AR48">
            <v>1852375000</v>
          </cell>
          <cell r="AS48">
            <v>2870418000</v>
          </cell>
          <cell r="AT48">
            <v>3185712000</v>
          </cell>
          <cell r="AU48">
            <v>26.400033226265698</v>
          </cell>
          <cell r="AV48">
            <v>2840290000</v>
          </cell>
          <cell r="AW48">
            <v>2387247000</v>
          </cell>
          <cell r="AX48">
            <v>5199651000</v>
          </cell>
          <cell r="AY48">
            <v>5184422000</v>
          </cell>
          <cell r="AZ48">
            <v>50.06136126574021</v>
          </cell>
          <cell r="BA48">
            <v>39.011020644643082</v>
          </cell>
          <cell r="BC48">
            <v>15.309889999999999</v>
          </cell>
          <cell r="BD48">
            <v>4.6198699999999997</v>
          </cell>
          <cell r="BE48">
            <v>2.23915</v>
          </cell>
          <cell r="BF48">
            <v>39457000</v>
          </cell>
          <cell r="BG48">
            <v>108267000</v>
          </cell>
          <cell r="BH48">
            <v>224600000</v>
          </cell>
          <cell r="BI48">
            <v>265773000</v>
          </cell>
          <cell r="BJ48">
            <v>1.8739243826108164E-2</v>
          </cell>
          <cell r="BK48">
            <v>-100901000</v>
          </cell>
          <cell r="BL48">
            <v>-452341000</v>
          </cell>
          <cell r="BM48">
            <v>-351269000</v>
          </cell>
          <cell r="BN48">
            <v>-221145000</v>
          </cell>
          <cell r="BO48">
            <v>-100955000</v>
          </cell>
          <cell r="BP48">
            <v>-351215000</v>
          </cell>
          <cell r="BQ48">
            <v>135990000</v>
          </cell>
          <cell r="BR48">
            <v>394134000</v>
          </cell>
          <cell r="BS48">
            <v>-726132000</v>
          </cell>
          <cell r="BT48">
            <v>-1605923000</v>
          </cell>
          <cell r="BU48">
            <v>-458109000</v>
          </cell>
          <cell r="BV48">
            <v>-132033000</v>
          </cell>
          <cell r="BW48">
            <v>-1.4191732762384272E-2</v>
          </cell>
          <cell r="BX48">
            <v>5.7611301510741827E-2</v>
          </cell>
          <cell r="BY48">
            <v>2708503000</v>
          </cell>
          <cell r="BZ48">
            <v>2677294000</v>
          </cell>
          <cell r="CA48">
            <v>3673633000</v>
          </cell>
          <cell r="CB48">
            <v>3433568000</v>
          </cell>
          <cell r="CC48" t="str">
            <v>NULL</v>
          </cell>
          <cell r="CD48" t="str">
            <v>NULL</v>
          </cell>
          <cell r="CE48" t="str">
            <v>NULL</v>
          </cell>
          <cell r="CF48" t="str">
            <v>NULL</v>
          </cell>
          <cell r="CG48" t="str">
            <v>NULL</v>
          </cell>
          <cell r="CH48" t="str">
            <v>NULL</v>
          </cell>
          <cell r="CI48" t="str">
            <v>NULL</v>
          </cell>
          <cell r="CJ48" t="str">
            <v>NULL</v>
          </cell>
          <cell r="CK48">
            <v>2708503000</v>
          </cell>
          <cell r="CL48">
            <v>2677294000</v>
          </cell>
          <cell r="CM48">
            <v>3673633000</v>
          </cell>
          <cell r="CN48">
            <v>3433568000</v>
          </cell>
          <cell r="CO48">
            <v>0.20430548375978289</v>
          </cell>
          <cell r="CP48">
            <v>39457000</v>
          </cell>
          <cell r="CQ48">
            <v>23488000</v>
          </cell>
          <cell r="CR48">
            <v>879666000</v>
          </cell>
          <cell r="CS48">
            <v>1095099000</v>
          </cell>
          <cell r="CT48">
            <v>671134000</v>
          </cell>
          <cell r="CU48">
            <v>-189842000</v>
          </cell>
          <cell r="CV48">
            <v>29962000</v>
          </cell>
          <cell r="CW48">
            <v>197284000</v>
          </cell>
          <cell r="CX48">
            <v>0.67987908719346057</v>
          </cell>
          <cell r="CY48">
            <v>-0.64280124509537373</v>
          </cell>
          <cell r="CZ48">
            <v>-0.1967246796864941</v>
          </cell>
          <cell r="DA48">
            <v>0.63171438192670903</v>
          </cell>
          <cell r="DB48">
            <v>4.5352240284025669</v>
          </cell>
          <cell r="DC48">
            <v>-7.3360923836860019</v>
          </cell>
          <cell r="DD48">
            <v>-0.848127572433649</v>
          </cell>
          <cell r="DE48">
            <v>4.2859545402788619</v>
          </cell>
          <cell r="DG48">
            <v>8.4391693282735094</v>
          </cell>
          <cell r="DH48">
            <v>201415127</v>
          </cell>
          <cell r="DI48">
            <v>60.550000000000004</v>
          </cell>
          <cell r="DJ48">
            <v>12195685939.85</v>
          </cell>
          <cell r="DK48">
            <v>14378040642.1514</v>
          </cell>
          <cell r="DM48">
            <v>2708503000</v>
          </cell>
          <cell r="DN48" t="str">
            <v>NULL</v>
          </cell>
          <cell r="DO48" t="str">
            <v>NULL</v>
          </cell>
          <cell r="DP48">
            <v>83804000</v>
          </cell>
          <cell r="DQ48">
            <v>94820000</v>
          </cell>
          <cell r="DR48">
            <v>2529879000</v>
          </cell>
          <cell r="DS48">
            <v>4.82065977853091</v>
          </cell>
          <cell r="DT48">
            <v>0.30301</v>
          </cell>
          <cell r="DU48">
            <v>0.66852</v>
          </cell>
          <cell r="DV48">
            <v>1.3868499999999999</v>
          </cell>
          <cell r="DW48">
            <v>1.6410899999999999</v>
          </cell>
          <cell r="DX48">
            <v>3.9994699999999996</v>
          </cell>
          <cell r="DY48">
            <v>15.127004328073472</v>
          </cell>
          <cell r="DZ48">
            <v>0.35815547237095341</v>
          </cell>
          <cell r="EA48">
            <v>-483248000</v>
          </cell>
          <cell r="EB48">
            <v>-25.23690928850197</v>
          </cell>
          <cell r="EC48">
            <v>17.776564293620101</v>
          </cell>
          <cell r="ED48">
            <v>-0.105597207928096</v>
          </cell>
          <cell r="EE48">
            <v>0.41801021421560802</v>
          </cell>
          <cell r="EG48">
            <v>0.43943478197617264</v>
          </cell>
          <cell r="EH48">
            <v>8.281527839829228E-2</v>
          </cell>
          <cell r="EK48" t="str">
            <v>NULL</v>
          </cell>
          <cell r="EL48">
            <v>0</v>
          </cell>
        </row>
        <row r="49">
          <cell r="A49" t="str">
            <v>MORI</v>
          </cell>
          <cell r="B49" t="str">
            <v>MOR.BA</v>
          </cell>
          <cell r="C49" t="str">
            <v>MORIXE HERMANOS SACI SA</v>
          </cell>
          <cell r="D49">
            <v>42794</v>
          </cell>
          <cell r="E49">
            <v>59488290</v>
          </cell>
          <cell r="F49">
            <v>122409220</v>
          </cell>
          <cell r="G49">
            <v>0.48598000000000002</v>
          </cell>
          <cell r="H49">
            <v>0.40140999999999999</v>
          </cell>
          <cell r="I49">
            <v>0.56664000000000003</v>
          </cell>
          <cell r="J49">
            <v>0.47928999999999999</v>
          </cell>
          <cell r="K49">
            <v>3.0500000000000003</v>
          </cell>
          <cell r="L49">
            <v>0</v>
          </cell>
          <cell r="M49">
            <v>0</v>
          </cell>
          <cell r="N49">
            <v>0</v>
          </cell>
          <cell r="O49">
            <v>0</v>
          </cell>
          <cell r="P49">
            <v>0</v>
          </cell>
          <cell r="Q49">
            <v>0</v>
          </cell>
          <cell r="R49">
            <v>0</v>
          </cell>
          <cell r="S49" t="str">
            <v>NULL</v>
          </cell>
          <cell r="T49" t="str">
            <v>NULL</v>
          </cell>
          <cell r="U49">
            <v>42794</v>
          </cell>
          <cell r="V49">
            <v>199760100</v>
          </cell>
          <cell r="W49">
            <v>194931370</v>
          </cell>
          <cell r="X49">
            <v>188110950</v>
          </cell>
          <cell r="Y49">
            <v>169132550</v>
          </cell>
          <cell r="Z49">
            <v>-23858140</v>
          </cell>
          <cell r="AA49">
            <v>-8.3728278901875832</v>
          </cell>
          <cell r="AB49">
            <v>0</v>
          </cell>
          <cell r="AC49">
            <v>36544810</v>
          </cell>
          <cell r="AD49">
            <v>49564090</v>
          </cell>
          <cell r="AE49">
            <v>33875690</v>
          </cell>
          <cell r="AF49">
            <v>30817220</v>
          </cell>
          <cell r="AG49">
            <v>1.0027012580653913</v>
          </cell>
          <cell r="AH49">
            <v>21976780</v>
          </cell>
          <cell r="AI49">
            <v>22030520</v>
          </cell>
          <cell r="AJ49">
            <v>22359240</v>
          </cell>
          <cell r="AK49">
            <v>23500040</v>
          </cell>
          <cell r="AL49">
            <v>38385790</v>
          </cell>
          <cell r="AM49">
            <v>47391710</v>
          </cell>
          <cell r="AN49">
            <v>33440560</v>
          </cell>
          <cell r="AO49">
            <v>30686610</v>
          </cell>
          <cell r="AP49">
            <v>54.703602129273222</v>
          </cell>
          <cell r="AQ49">
            <v>14684120</v>
          </cell>
          <cell r="AR49">
            <v>19281310</v>
          </cell>
          <cell r="AS49">
            <v>13971700</v>
          </cell>
          <cell r="AT49">
            <v>7358450</v>
          </cell>
          <cell r="AU49">
            <v>33.4592912047939</v>
          </cell>
          <cell r="AV49">
            <v>10351700</v>
          </cell>
          <cell r="AW49">
            <v>9276750</v>
          </cell>
          <cell r="AX49">
            <v>10537780</v>
          </cell>
          <cell r="AY49">
            <v>6522900</v>
          </cell>
          <cell r="AZ49">
            <v>22.33341437928518</v>
          </cell>
          <cell r="BA49">
            <v>1.0891034548058585</v>
          </cell>
          <cell r="BB49">
            <v>0</v>
          </cell>
          <cell r="BC49">
            <v>0.38690000000000002</v>
          </cell>
          <cell r="BD49">
            <v>-39.67445</v>
          </cell>
          <cell r="BE49">
            <v>-47.859099999999998</v>
          </cell>
          <cell r="BF49">
            <v>-11842240</v>
          </cell>
          <cell r="BG49">
            <v>-7423370</v>
          </cell>
          <cell r="BH49">
            <v>-9523450</v>
          </cell>
          <cell r="BI49">
            <v>-18846420</v>
          </cell>
          <cell r="BJ49">
            <v>-0.31588135447445892</v>
          </cell>
          <cell r="BK49">
            <v>-19700</v>
          </cell>
          <cell r="BL49">
            <v>-3100</v>
          </cell>
          <cell r="BM49">
            <v>0</v>
          </cell>
          <cell r="BN49">
            <v>-222640</v>
          </cell>
          <cell r="BO49">
            <v>-194480</v>
          </cell>
          <cell r="BP49">
            <v>174780</v>
          </cell>
          <cell r="BQ49">
            <v>-32339550</v>
          </cell>
          <cell r="BR49">
            <v>-29075330</v>
          </cell>
          <cell r="BS49">
            <v>-21933730</v>
          </cell>
          <cell r="BT49">
            <v>-16353620</v>
          </cell>
          <cell r="BU49">
            <v>-15223510</v>
          </cell>
          <cell r="BV49">
            <v>-39049770</v>
          </cell>
          <cell r="BW49">
            <v>-0.25778861672814141</v>
          </cell>
          <cell r="BX49">
            <v>-0.25340212598437867</v>
          </cell>
          <cell r="BY49">
            <v>-23858140</v>
          </cell>
          <cell r="BZ49">
            <v>-12015910</v>
          </cell>
          <cell r="CA49">
            <v>-4592540</v>
          </cell>
          <cell r="CB49">
            <v>2698500</v>
          </cell>
          <cell r="CC49" t="str">
            <v>NULL</v>
          </cell>
          <cell r="CD49" t="str">
            <v>NULL</v>
          </cell>
          <cell r="CE49" t="str">
            <v>NULL</v>
          </cell>
          <cell r="CF49" t="str">
            <v>NULL</v>
          </cell>
          <cell r="CG49" t="str">
            <v>NULL</v>
          </cell>
          <cell r="CH49" t="str">
            <v>NULL</v>
          </cell>
          <cell r="CI49" t="str">
            <v>NULL</v>
          </cell>
          <cell r="CJ49" t="str">
            <v>NULL</v>
          </cell>
          <cell r="CK49">
            <v>-23858140</v>
          </cell>
          <cell r="CL49">
            <v>-12015910</v>
          </cell>
          <cell r="CM49">
            <v>-4592540</v>
          </cell>
          <cell r="CN49">
            <v>2698500</v>
          </cell>
          <cell r="CO49" t="str">
            <v>-</v>
          </cell>
          <cell r="CP49">
            <v>-11842240</v>
          </cell>
          <cell r="CQ49">
            <v>-17478060</v>
          </cell>
          <cell r="CR49">
            <v>-55623620</v>
          </cell>
          <cell r="CS49">
            <v>-29548010</v>
          </cell>
          <cell r="CT49">
            <v>-24774690</v>
          </cell>
          <cell r="CU49">
            <v>-28684740</v>
          </cell>
          <cell r="CV49">
            <v>-20624270</v>
          </cell>
          <cell r="CW49">
            <v>17503380</v>
          </cell>
          <cell r="CX49">
            <v>0.32245111871683696</v>
          </cell>
          <cell r="CY49">
            <v>-0.70159349425217654</v>
          </cell>
          <cell r="CZ49">
            <v>-0.88248277972019107</v>
          </cell>
          <cell r="DA49">
            <v>-0.1926692120062854</v>
          </cell>
          <cell r="DB49">
            <v>0.1363111535959538</v>
          </cell>
          <cell r="DC49">
            <v>-0.39082449948531517</v>
          </cell>
          <cell r="DD49">
            <v>-2.1783021336450448</v>
          </cell>
          <cell r="DE49">
            <v>0.9043028850042536</v>
          </cell>
          <cell r="DF49">
            <v>0</v>
          </cell>
          <cell r="DG49" t="str">
            <v>NULL</v>
          </cell>
          <cell r="DH49">
            <v>46902018</v>
          </cell>
          <cell r="DI49">
            <v>2.92</v>
          </cell>
          <cell r="DJ49">
            <v>136953892.56</v>
          </cell>
          <cell r="DK49">
            <v>281224672.56</v>
          </cell>
          <cell r="DL49">
            <v>0</v>
          </cell>
          <cell r="DM49">
            <v>-23858140</v>
          </cell>
          <cell r="DN49" t="str">
            <v>NULL</v>
          </cell>
          <cell r="DO49" t="str">
            <v>NULL</v>
          </cell>
          <cell r="DP49">
            <v>167490</v>
          </cell>
          <cell r="DQ49">
            <v>875270</v>
          </cell>
          <cell r="DR49">
            <v>-24900900</v>
          </cell>
          <cell r="DS49">
            <v>-5.4999575340650342</v>
          </cell>
          <cell r="DT49">
            <v>-0.25248999999999999</v>
          </cell>
          <cell r="DU49">
            <v>-0.15826999999999999</v>
          </cell>
          <cell r="DV49">
            <v>-0.20305000000000001</v>
          </cell>
          <cell r="DW49">
            <v>-0.40183000000000002</v>
          </cell>
          <cell r="DX49">
            <v>-1.0156399999999999</v>
          </cell>
          <cell r="DY49">
            <v>-3.0030325705958809</v>
          </cell>
          <cell r="DZ49">
            <v>0.90817141093996157</v>
          </cell>
          <cell r="EA49">
            <v>-38874990</v>
          </cell>
          <cell r="EB49">
            <v>-3.5229306183744358</v>
          </cell>
          <cell r="EC49" t="str">
            <v>NULL</v>
          </cell>
          <cell r="ED49">
            <v>0.75525629113246096</v>
          </cell>
          <cell r="EE49">
            <v>0.82658614325379698</v>
          </cell>
          <cell r="EF49">
            <v>0</v>
          </cell>
          <cell r="EG49">
            <v>0.5415157608198079</v>
          </cell>
          <cell r="EH49">
            <v>-5.8680067296018712E-2</v>
          </cell>
          <cell r="EK49" t="str">
            <v>NULL</v>
          </cell>
          <cell r="EL49">
            <v>0</v>
          </cell>
        </row>
        <row r="50">
          <cell r="A50" t="str">
            <v>OEST</v>
          </cell>
          <cell r="B50" t="str">
            <v>OEST.BA</v>
          </cell>
          <cell r="C50" t="str">
            <v>GRUPO CONCESIONARIO DEL OESTE S.A.</v>
          </cell>
          <cell r="D50">
            <v>42825</v>
          </cell>
          <cell r="E50">
            <v>611390590</v>
          </cell>
          <cell r="F50">
            <v>378370040</v>
          </cell>
          <cell r="G50">
            <v>1.61585</v>
          </cell>
          <cell r="H50">
            <v>1.57969</v>
          </cell>
          <cell r="I50">
            <v>1.40863</v>
          </cell>
          <cell r="J50">
            <v>1.3686499999999999</v>
          </cell>
          <cell r="K50">
            <v>34.800000000000004</v>
          </cell>
          <cell r="L50">
            <v>0</v>
          </cell>
          <cell r="M50">
            <v>0</v>
          </cell>
          <cell r="N50">
            <v>0.5</v>
          </cell>
          <cell r="O50">
            <v>0.39611000000000002</v>
          </cell>
          <cell r="P50">
            <v>0.89610999999999996</v>
          </cell>
          <cell r="Q50">
            <v>2.5750287356321833E-2</v>
          </cell>
          <cell r="R50">
            <v>0</v>
          </cell>
          <cell r="S50">
            <v>0</v>
          </cell>
          <cell r="T50">
            <v>0</v>
          </cell>
          <cell r="U50">
            <v>42825</v>
          </cell>
          <cell r="V50">
            <v>856352010</v>
          </cell>
          <cell r="W50">
            <v>761673040</v>
          </cell>
          <cell r="X50">
            <v>686874980</v>
          </cell>
          <cell r="Y50">
            <v>714959710</v>
          </cell>
          <cell r="Z50">
            <v>348453970</v>
          </cell>
          <cell r="AA50">
            <v>2.4575757021795446</v>
          </cell>
          <cell r="AB50">
            <v>0</v>
          </cell>
          <cell r="AC50">
            <v>379657290</v>
          </cell>
          <cell r="AD50">
            <v>326643820</v>
          </cell>
          <cell r="AE50">
            <v>315194380</v>
          </cell>
          <cell r="AF50">
            <v>300533180</v>
          </cell>
          <cell r="AG50">
            <v>2.1888598084620652</v>
          </cell>
          <cell r="AH50">
            <v>54049500</v>
          </cell>
          <cell r="AI50">
            <v>66092210</v>
          </cell>
          <cell r="AJ50">
            <v>56441710</v>
          </cell>
          <cell r="AK50">
            <v>63151270</v>
          </cell>
          <cell r="AL50">
            <v>224418750</v>
          </cell>
          <cell r="AM50">
            <v>244055400</v>
          </cell>
          <cell r="AN50">
            <v>226028190</v>
          </cell>
          <cell r="AO50">
            <v>208998100</v>
          </cell>
          <cell r="AP50">
            <v>24.212263208748407</v>
          </cell>
          <cell r="AQ50">
            <v>105439020</v>
          </cell>
          <cell r="AR50">
            <v>72610830</v>
          </cell>
          <cell r="AS50">
            <v>70605980</v>
          </cell>
          <cell r="AT50">
            <v>71226620</v>
          </cell>
          <cell r="AU50">
            <v>22.079153217229397</v>
          </cell>
          <cell r="AV50">
            <v>13683490</v>
          </cell>
          <cell r="AW50">
            <v>14094290</v>
          </cell>
          <cell r="AX50">
            <v>15898200</v>
          </cell>
          <cell r="AY50">
            <v>16348770</v>
          </cell>
          <cell r="AZ50">
            <v>6.0622642723892861</v>
          </cell>
          <cell r="BA50">
            <v>3.9291542808702751</v>
          </cell>
          <cell r="BB50">
            <v>0</v>
          </cell>
          <cell r="BC50">
            <v>29.60698</v>
          </cell>
          <cell r="BD50">
            <v>14.451560000000001</v>
          </cell>
          <cell r="BE50">
            <v>13.53623</v>
          </cell>
          <cell r="BF50">
            <v>74819190</v>
          </cell>
          <cell r="BG50">
            <v>33845870</v>
          </cell>
          <cell r="BH50">
            <v>40383520</v>
          </cell>
          <cell r="BI50">
            <v>38095220</v>
          </cell>
          <cell r="BJ50">
            <v>0.14155804956937884</v>
          </cell>
          <cell r="BK50">
            <v>-589160</v>
          </cell>
          <cell r="BL50">
            <v>-9752220</v>
          </cell>
          <cell r="BM50">
            <v>-7544670</v>
          </cell>
          <cell r="BN50">
            <v>-4190880</v>
          </cell>
          <cell r="BO50">
            <v>-883080</v>
          </cell>
          <cell r="BP50">
            <v>-7250750</v>
          </cell>
          <cell r="BQ50">
            <v>86150150</v>
          </cell>
          <cell r="BR50">
            <v>357325470</v>
          </cell>
          <cell r="BS50">
            <v>254461240</v>
          </cell>
          <cell r="BT50">
            <v>170987580</v>
          </cell>
          <cell r="BU50">
            <v>83129370</v>
          </cell>
          <cell r="BV50">
            <v>257482020</v>
          </cell>
          <cell r="BW50">
            <v>0.18927824764950069</v>
          </cell>
          <cell r="BX50">
            <v>0.24788409543815434</v>
          </cell>
          <cell r="BY50">
            <v>348453970</v>
          </cell>
          <cell r="BZ50">
            <v>273634780</v>
          </cell>
          <cell r="CA50">
            <v>239788910</v>
          </cell>
          <cell r="CB50">
            <v>279405390</v>
          </cell>
          <cell r="CC50" t="str">
            <v>NULL</v>
          </cell>
          <cell r="CD50" t="str">
            <v>NULL</v>
          </cell>
          <cell r="CE50" t="str">
            <v>NULL</v>
          </cell>
          <cell r="CF50" t="str">
            <v>NULL</v>
          </cell>
          <cell r="CG50" t="str">
            <v>NULL</v>
          </cell>
          <cell r="CH50" t="str">
            <v>NULL</v>
          </cell>
          <cell r="CI50" t="str">
            <v>NULL</v>
          </cell>
          <cell r="CJ50" t="str">
            <v>NULL</v>
          </cell>
          <cell r="CK50">
            <v>348453970</v>
          </cell>
          <cell r="CL50">
            <v>273634780</v>
          </cell>
          <cell r="CM50">
            <v>239788910</v>
          </cell>
          <cell r="CN50">
            <v>279405390</v>
          </cell>
          <cell r="CO50">
            <v>0.65590670079609081</v>
          </cell>
          <cell r="CP50">
            <v>74819190</v>
          </cell>
          <cell r="CQ50">
            <v>52090850</v>
          </cell>
          <cell r="CR50">
            <v>164415460</v>
          </cell>
          <cell r="CS50">
            <v>66712660</v>
          </cell>
          <cell r="CT50">
            <v>30222120</v>
          </cell>
          <cell r="CU50">
            <v>63788270</v>
          </cell>
          <cell r="CV50">
            <v>59125540</v>
          </cell>
          <cell r="CW50">
            <v>26100850</v>
          </cell>
          <cell r="CX50">
            <v>0.43632115813045869</v>
          </cell>
          <cell r="CY50">
            <v>0.69797308676844372</v>
          </cell>
          <cell r="CZ50">
            <v>1.4645316196356135</v>
          </cell>
          <cell r="DA50">
            <v>1.2074116574217824</v>
          </cell>
          <cell r="DB50">
            <v>-0.52621195088062422</v>
          </cell>
          <cell r="DC50">
            <v>7.8861520757357972E-2</v>
          </cell>
          <cell r="DD50">
            <v>1.2652725869080892</v>
          </cell>
          <cell r="DE50">
            <v>0.8733407842892752</v>
          </cell>
          <cell r="DF50">
            <v>0</v>
          </cell>
          <cell r="DG50">
            <v>15.1646370942119</v>
          </cell>
          <cell r="DH50">
            <v>160000000</v>
          </cell>
          <cell r="DI50">
            <v>34.6</v>
          </cell>
          <cell r="DJ50">
            <v>5536000000</v>
          </cell>
          <cell r="DK50">
            <v>5056753330.0000095</v>
          </cell>
          <cell r="DL50">
            <v>0</v>
          </cell>
          <cell r="DM50">
            <v>348453970</v>
          </cell>
          <cell r="DN50" t="str">
            <v>NULL</v>
          </cell>
          <cell r="DO50" t="str">
            <v>NULL</v>
          </cell>
          <cell r="DP50">
            <v>172615560</v>
          </cell>
          <cell r="DQ50" t="str">
            <v>NULL</v>
          </cell>
          <cell r="DR50">
            <v>175838410</v>
          </cell>
          <cell r="DS50">
            <v>31.48345119817678</v>
          </cell>
          <cell r="DT50">
            <v>0.46761999999999998</v>
          </cell>
          <cell r="DU50">
            <v>0.21154000000000001</v>
          </cell>
          <cell r="DV50">
            <v>0.25240000000000001</v>
          </cell>
          <cell r="DW50">
            <v>0.23810000000000001</v>
          </cell>
          <cell r="DX50">
            <v>1.1696599999999999</v>
          </cell>
          <cell r="DY50">
            <v>29.752235692423444</v>
          </cell>
          <cell r="DZ50">
            <v>4.1875037399907526</v>
          </cell>
          <cell r="EA50">
            <v>250231270</v>
          </cell>
          <cell r="EB50">
            <v>22.123533961203169</v>
          </cell>
          <cell r="EC50">
            <v>29.5812458321222</v>
          </cell>
          <cell r="ED50">
            <v>0.91583827902654202</v>
          </cell>
          <cell r="EE50">
            <v>0.90001228343369899</v>
          </cell>
          <cell r="EF50">
            <v>0</v>
          </cell>
          <cell r="EG50">
            <v>0.4010327052334528</v>
          </cell>
          <cell r="EH50">
            <v>0.23905351176738732</v>
          </cell>
          <cell r="EK50">
            <v>2.2082975315028901</v>
          </cell>
          <cell r="EL50">
            <v>0</v>
          </cell>
        </row>
        <row r="51">
          <cell r="A51" t="str">
            <v>PAMP</v>
          </cell>
          <cell r="B51" t="str">
            <v>PAM.BA</v>
          </cell>
          <cell r="C51" t="str">
            <v>PAMPA ENERGIA SA</v>
          </cell>
          <cell r="D51">
            <v>42825</v>
          </cell>
          <cell r="E51">
            <v>29788000000</v>
          </cell>
          <cell r="F51">
            <v>25256000000</v>
          </cell>
          <cell r="G51">
            <v>1.17944</v>
          </cell>
          <cell r="H51">
            <v>1.0378099999999999</v>
          </cell>
          <cell r="I51">
            <v>0.77005000000000001</v>
          </cell>
          <cell r="J51">
            <v>0.65827999999999998</v>
          </cell>
          <cell r="K51">
            <v>39.800000000000004</v>
          </cell>
          <cell r="L51">
            <v>0</v>
          </cell>
          <cell r="M51">
            <v>0</v>
          </cell>
          <cell r="N51">
            <v>0</v>
          </cell>
          <cell r="O51">
            <v>0</v>
          </cell>
          <cell r="P51">
            <v>0</v>
          </cell>
          <cell r="Q51">
            <v>0</v>
          </cell>
          <cell r="R51">
            <v>0</v>
          </cell>
          <cell r="S51">
            <v>258.75692980399998</v>
          </cell>
          <cell r="T51">
            <v>234.955672155</v>
          </cell>
          <cell r="U51">
            <v>42825</v>
          </cell>
          <cell r="V51">
            <v>85671000000</v>
          </cell>
          <cell r="W51">
            <v>77277000000</v>
          </cell>
          <cell r="X51">
            <v>78099009080</v>
          </cell>
          <cell r="Y51">
            <v>33984384230</v>
          </cell>
          <cell r="Z51">
            <v>12807000000</v>
          </cell>
          <cell r="AA51">
            <v>6.6893886156008433</v>
          </cell>
          <cell r="AB51">
            <v>0</v>
          </cell>
          <cell r="AC51">
            <v>15166000000</v>
          </cell>
          <cell r="AD51">
            <v>13014900490</v>
          </cell>
          <cell r="AE51">
            <v>9897573600</v>
          </cell>
          <cell r="AF51">
            <v>4170365430</v>
          </cell>
          <cell r="AG51">
            <v>0.76807291765843866</v>
          </cell>
          <cell r="AH51">
            <v>13353000000</v>
          </cell>
          <cell r="AI51">
            <v>12574000000</v>
          </cell>
          <cell r="AJ51">
            <v>12683883770</v>
          </cell>
          <cell r="AK51">
            <v>6723321420</v>
          </cell>
          <cell r="AL51">
            <v>10532000000</v>
          </cell>
          <cell r="AM51">
            <v>9085307270</v>
          </cell>
          <cell r="AN51">
            <v>4716983250</v>
          </cell>
          <cell r="AO51">
            <v>3147839270</v>
          </cell>
          <cell r="AP51">
            <v>150.52495040223374</v>
          </cell>
          <cell r="AQ51">
            <v>10096000000</v>
          </cell>
          <cell r="AR51">
            <v>8904000000</v>
          </cell>
          <cell r="AS51">
            <v>7954082290</v>
          </cell>
          <cell r="AT51">
            <v>2950778280</v>
          </cell>
          <cell r="AU51">
            <v>64.589194827960085</v>
          </cell>
          <cell r="AV51">
            <v>3577000000</v>
          </cell>
          <cell r="AW51">
            <v>3360000000</v>
          </cell>
          <cell r="AX51">
            <v>3370216380</v>
          </cell>
          <cell r="AY51">
            <v>256374590</v>
          </cell>
          <cell r="AZ51">
            <v>35.07470794214963</v>
          </cell>
          <cell r="BA51">
            <v>-50.861047632124027</v>
          </cell>
          <cell r="BB51">
            <v>0</v>
          </cell>
          <cell r="BC51">
            <v>37.092190000000002</v>
          </cell>
          <cell r="BD51">
            <v>7.0810000000000004</v>
          </cell>
          <cell r="BE51">
            <v>-3.5150000000000001E-2</v>
          </cell>
          <cell r="BF51">
            <v>1901000000</v>
          </cell>
          <cell r="BG51">
            <v>981921000</v>
          </cell>
          <cell r="BH51">
            <v>-932069230</v>
          </cell>
          <cell r="BI51">
            <v>-668448810</v>
          </cell>
          <cell r="BJ51">
            <v>3.0353566501937376E-2</v>
          </cell>
          <cell r="BK51">
            <v>-1861000000</v>
          </cell>
          <cell r="BL51">
            <v>-7188000000</v>
          </cell>
          <cell r="BM51">
            <v>-3957731250</v>
          </cell>
          <cell r="BN51">
            <v>-1820775320</v>
          </cell>
          <cell r="BO51">
            <v>-763972180</v>
          </cell>
          <cell r="BP51">
            <v>-5054759070</v>
          </cell>
          <cell r="BQ51">
            <v>-719000000</v>
          </cell>
          <cell r="BR51">
            <v>5979000000</v>
          </cell>
          <cell r="BS51">
            <v>2503733180</v>
          </cell>
          <cell r="BT51">
            <v>1473553000</v>
          </cell>
          <cell r="BU51">
            <v>173485450</v>
          </cell>
          <cell r="BV51">
            <v>1611247730</v>
          </cell>
          <cell r="BW51">
            <v>-8.1505465691427831E-2</v>
          </cell>
          <cell r="BX51">
            <v>1.8651004811724124E-2</v>
          </cell>
          <cell r="BY51">
            <v>12807000000</v>
          </cell>
          <cell r="BZ51">
            <v>11054000000</v>
          </cell>
          <cell r="CA51">
            <v>6012844050</v>
          </cell>
          <cell r="CB51">
            <v>6929005070</v>
          </cell>
          <cell r="CC51" t="str">
            <v>NULL</v>
          </cell>
          <cell r="CD51" t="str">
            <v>NULL</v>
          </cell>
          <cell r="CE51" t="str">
            <v>NULL</v>
          </cell>
          <cell r="CF51" t="str">
            <v>NULL</v>
          </cell>
          <cell r="CG51" t="str">
            <v>NULL</v>
          </cell>
          <cell r="CH51" t="str">
            <v>NULL</v>
          </cell>
          <cell r="CI51" t="str">
            <v>NULL</v>
          </cell>
          <cell r="CJ51" t="str">
            <v>NULL</v>
          </cell>
          <cell r="CK51">
            <v>12807000000</v>
          </cell>
          <cell r="CL51">
            <v>11054000000</v>
          </cell>
          <cell r="CM51">
            <v>6012844050</v>
          </cell>
          <cell r="CN51">
            <v>6929005070</v>
          </cell>
          <cell r="CO51">
            <v>0.1393808349803109</v>
          </cell>
          <cell r="CP51">
            <v>1901000000</v>
          </cell>
          <cell r="CQ51">
            <v>607598360</v>
          </cell>
          <cell r="CR51">
            <v>-11000000</v>
          </cell>
          <cell r="CS51">
            <v>3065089420</v>
          </cell>
          <cell r="CT51">
            <v>743159360</v>
          </cell>
          <cell r="CU51">
            <v>412942130</v>
          </cell>
          <cell r="CV51">
            <v>-680760780</v>
          </cell>
          <cell r="CW51">
            <v>-635420560</v>
          </cell>
          <cell r="CX51">
            <v>2.1287115389844042</v>
          </cell>
          <cell r="CY51">
            <v>0.89114384192973295</v>
          </cell>
          <cell r="CZ51">
            <v>-1.0035888023129844</v>
          </cell>
          <cell r="DA51">
            <v>3.1244039770958416</v>
          </cell>
          <cell r="DB51">
            <v>0.7996695081705516</v>
          </cell>
          <cell r="DC51">
            <v>1.6065891898178974</v>
          </cell>
          <cell r="DD51">
            <v>-7.135466312264116E-2</v>
          </cell>
          <cell r="DE51">
            <v>1.5830426081016189</v>
          </cell>
          <cell r="DF51">
            <v>0</v>
          </cell>
          <cell r="DG51">
            <v>7.1679555630467497</v>
          </cell>
          <cell r="DH51">
            <v>1836494690</v>
          </cell>
          <cell r="DI51">
            <v>39.25</v>
          </cell>
          <cell r="DJ51">
            <v>72082416582.5</v>
          </cell>
          <cell r="DK51">
            <v>97277890786.000198</v>
          </cell>
          <cell r="DL51">
            <v>0</v>
          </cell>
          <cell r="DM51">
            <v>12807000000</v>
          </cell>
          <cell r="DN51" t="str">
            <v>NULL</v>
          </cell>
          <cell r="DO51" t="str">
            <v>NULL</v>
          </cell>
          <cell r="DP51">
            <v>947000000</v>
          </cell>
          <cell r="DQ51">
            <v>999000000</v>
          </cell>
          <cell r="DR51">
            <v>10861000000</v>
          </cell>
          <cell r="DS51">
            <v>6.6368121335512384</v>
          </cell>
          <cell r="DT51">
            <v>1.03654</v>
          </cell>
          <cell r="DU51">
            <v>0.57901000000000002</v>
          </cell>
          <cell r="DV51">
            <v>-0.54961000000000004</v>
          </cell>
          <cell r="DW51">
            <v>-0.39417000000000002</v>
          </cell>
          <cell r="DX51">
            <v>0.67176999999999987</v>
          </cell>
          <cell r="DY51">
            <v>59.246468285276229</v>
          </cell>
          <cell r="DZ51">
            <v>1.7061395626825966</v>
          </cell>
          <cell r="EA51">
            <v>-3443511340</v>
          </cell>
          <cell r="EB51">
            <v>-20.932823930383805</v>
          </cell>
          <cell r="EC51">
            <v>58.651026392961903</v>
          </cell>
          <cell r="ED51">
            <v>1.22655392044829</v>
          </cell>
          <cell r="EE51">
            <v>1.1050570673582101</v>
          </cell>
          <cell r="EF51">
            <v>0</v>
          </cell>
          <cell r="EG51">
            <v>0.44468885650903051</v>
          </cell>
          <cell r="EH51">
            <v>0.10558668563933238</v>
          </cell>
          <cell r="EK51">
            <v>0</v>
          </cell>
          <cell r="EL51">
            <v>0</v>
          </cell>
        </row>
        <row r="52">
          <cell r="A52" t="str">
            <v>PATA</v>
          </cell>
          <cell r="B52" t="str">
            <v>PAT.BA</v>
          </cell>
          <cell r="C52" t="str">
            <v>IMPORTADORA Y EXPORTADORA DE LA PATAGONIA SA</v>
          </cell>
          <cell r="D52">
            <v>42825</v>
          </cell>
          <cell r="E52">
            <v>6004406000</v>
          </cell>
          <cell r="F52">
            <v>5257562000</v>
          </cell>
          <cell r="G52">
            <v>1.14205</v>
          </cell>
          <cell r="H52">
            <v>0.57089000000000001</v>
          </cell>
          <cell r="I52">
            <v>1.1286700000000001</v>
          </cell>
          <cell r="J52">
            <v>0.52998000000000001</v>
          </cell>
          <cell r="K52">
            <v>24.25</v>
          </cell>
          <cell r="L52">
            <v>0</v>
          </cell>
          <cell r="M52">
            <v>0.2</v>
          </cell>
          <cell r="N52">
            <v>0</v>
          </cell>
          <cell r="O52">
            <v>0</v>
          </cell>
          <cell r="P52">
            <v>0.2</v>
          </cell>
          <cell r="Q52">
            <v>8.2474226804123713E-3</v>
          </cell>
          <cell r="R52">
            <v>0</v>
          </cell>
          <cell r="S52">
            <v>87.646864149600006</v>
          </cell>
          <cell r="T52">
            <v>68.740475923000005</v>
          </cell>
          <cell r="U52">
            <v>42825</v>
          </cell>
          <cell r="V52">
            <v>8527594000</v>
          </cell>
          <cell r="W52">
            <v>8137059000</v>
          </cell>
          <cell r="X52">
            <v>7639819000</v>
          </cell>
          <cell r="Y52">
            <v>6802017000</v>
          </cell>
          <cell r="Z52">
            <v>2674155000</v>
          </cell>
          <cell r="AA52">
            <v>3.1888929400128263</v>
          </cell>
          <cell r="AB52">
            <v>0</v>
          </cell>
          <cell r="AC52">
            <v>7657779000</v>
          </cell>
          <cell r="AD52">
            <v>7927489000</v>
          </cell>
          <cell r="AE52">
            <v>7202860000</v>
          </cell>
          <cell r="AF52">
            <v>6601190000</v>
          </cell>
          <cell r="AG52">
            <v>4.7239785787337611</v>
          </cell>
          <cell r="AH52">
            <v>2614979000</v>
          </cell>
          <cell r="AI52">
            <v>2779897000</v>
          </cell>
          <cell r="AJ52">
            <v>2541311000</v>
          </cell>
          <cell r="AK52">
            <v>2157117000</v>
          </cell>
          <cell r="AL52">
            <v>5262488000</v>
          </cell>
          <cell r="AM52">
            <v>5449278000</v>
          </cell>
          <cell r="AN52">
            <v>4984592000</v>
          </cell>
          <cell r="AO52">
            <v>4483129000</v>
          </cell>
          <cell r="AP52">
            <v>45.641100291598093</v>
          </cell>
          <cell r="AQ52">
            <v>2246208000</v>
          </cell>
          <cell r="AR52">
            <v>1960645000</v>
          </cell>
          <cell r="AS52">
            <v>1686743000</v>
          </cell>
          <cell r="AT52">
            <v>1550639000</v>
          </cell>
          <cell r="AU52">
            <v>23.113378940947182</v>
          </cell>
          <cell r="AV52">
            <v>3002899000</v>
          </cell>
          <cell r="AW52">
            <v>2986652000</v>
          </cell>
          <cell r="AX52">
            <v>2757749000</v>
          </cell>
          <cell r="AY52">
            <v>2502187000</v>
          </cell>
          <cell r="AZ52">
            <v>50.869265841594483</v>
          </cell>
          <cell r="BA52">
            <v>28.341544490943576</v>
          </cell>
          <cell r="BB52">
            <v>0</v>
          </cell>
          <cell r="BC52">
            <v>32.415480000000002</v>
          </cell>
          <cell r="BD52">
            <v>4.0495400000000004</v>
          </cell>
          <cell r="BE52">
            <v>2.3548900000000001</v>
          </cell>
          <cell r="BF52">
            <v>129289000</v>
          </cell>
          <cell r="BG52">
            <v>123002000</v>
          </cell>
          <cell r="BH52">
            <v>81332000</v>
          </cell>
          <cell r="BI52">
            <v>28393000</v>
          </cell>
          <cell r="BJ52">
            <v>1.2317944907738246E-2</v>
          </cell>
          <cell r="BK52">
            <v>-441557000</v>
          </cell>
          <cell r="BL52">
            <v>-338643000</v>
          </cell>
          <cell r="BM52">
            <v>-159200000</v>
          </cell>
          <cell r="BN52">
            <v>-334950000</v>
          </cell>
          <cell r="BO52">
            <v>-220808000</v>
          </cell>
          <cell r="BP52">
            <v>-379949000</v>
          </cell>
          <cell r="BQ52">
            <v>257146000</v>
          </cell>
          <cell r="BR52">
            <v>247657000</v>
          </cell>
          <cell r="BS52">
            <v>71810000</v>
          </cell>
          <cell r="BT52">
            <v>119962000</v>
          </cell>
          <cell r="BU52">
            <v>195517000</v>
          </cell>
          <cell r="BV52">
            <v>133439000</v>
          </cell>
          <cell r="BW52">
            <v>-8.3877414236015954E-3</v>
          </cell>
          <cell r="BX52">
            <v>4.6551830391401615E-2</v>
          </cell>
          <cell r="BY52">
            <v>2674155000</v>
          </cell>
          <cell r="BZ52">
            <v>2544866000</v>
          </cell>
          <cell r="CA52">
            <v>2521864000</v>
          </cell>
          <cell r="CB52">
            <v>2440532000</v>
          </cell>
          <cell r="CC52" t="str">
            <v>NULL</v>
          </cell>
          <cell r="CD52" t="str">
            <v>NULL</v>
          </cell>
          <cell r="CE52" t="str">
            <v>NULL</v>
          </cell>
          <cell r="CF52" t="str">
            <v>NULL</v>
          </cell>
          <cell r="CG52" t="str">
            <v>NULL</v>
          </cell>
          <cell r="CH52" t="str">
            <v>NULL</v>
          </cell>
          <cell r="CI52" t="str">
            <v>NULL</v>
          </cell>
          <cell r="CJ52" t="str">
            <v>NULL</v>
          </cell>
          <cell r="CK52">
            <v>2674155000</v>
          </cell>
          <cell r="CL52">
            <v>2544866000</v>
          </cell>
          <cell r="CM52">
            <v>2521864000</v>
          </cell>
          <cell r="CN52">
            <v>2440532000</v>
          </cell>
          <cell r="CO52">
            <v>0.14222617539385726</v>
          </cell>
          <cell r="CP52">
            <v>129289000</v>
          </cell>
          <cell r="CQ52">
            <v>221039000</v>
          </cell>
          <cell r="CR52">
            <v>586144000</v>
          </cell>
          <cell r="CS52">
            <v>502796000</v>
          </cell>
          <cell r="CT52">
            <v>458824000</v>
          </cell>
          <cell r="CU52">
            <v>197071610</v>
          </cell>
          <cell r="CV52">
            <v>156953760</v>
          </cell>
          <cell r="CW52">
            <v>134205270</v>
          </cell>
          <cell r="CX52">
            <v>-0.4150851207253019</v>
          </cell>
          <cell r="CY52">
            <v>0.40298460768850858</v>
          </cell>
          <cell r="CZ52">
            <v>0.16576901964216106</v>
          </cell>
          <cell r="DA52">
            <v>9.5836311962756993E-2</v>
          </cell>
          <cell r="DB52">
            <v>1.3282095274910475</v>
          </cell>
          <cell r="DC52">
            <v>0.25560298778442769</v>
          </cell>
          <cell r="DD52">
            <v>0.16950519156214949</v>
          </cell>
          <cell r="DE52">
            <v>0.52030914912273041</v>
          </cell>
          <cell r="DF52">
            <v>0</v>
          </cell>
          <cell r="DG52">
            <v>15.0362668515018</v>
          </cell>
          <cell r="DH52">
            <v>500000000</v>
          </cell>
          <cell r="DI52">
            <v>24</v>
          </cell>
          <cell r="DJ52">
            <v>12000000000</v>
          </cell>
          <cell r="DK52">
            <v>14230759000</v>
          </cell>
          <cell r="DL52">
            <v>0</v>
          </cell>
          <cell r="DM52">
            <v>2674155000</v>
          </cell>
          <cell r="DN52" t="str">
            <v>NULL</v>
          </cell>
          <cell r="DO52" t="str">
            <v>NULL</v>
          </cell>
          <cell r="DP52">
            <v>8564000</v>
          </cell>
          <cell r="DQ52">
            <v>19873000</v>
          </cell>
          <cell r="DR52">
            <v>2645718000</v>
          </cell>
          <cell r="DS52">
            <v>4.5356307815118617</v>
          </cell>
          <cell r="DT52">
            <v>0.25857999999999998</v>
          </cell>
          <cell r="DU52">
            <v>0.246</v>
          </cell>
          <cell r="DV52">
            <v>0.16266</v>
          </cell>
          <cell r="DW52">
            <v>5.679E-2</v>
          </cell>
          <cell r="DX52">
            <v>0.72403000000000006</v>
          </cell>
          <cell r="DY52">
            <v>33.493087303012302</v>
          </cell>
          <cell r="DZ52">
            <v>0.40831161852752079</v>
          </cell>
          <cell r="EA52">
            <v>-246510000</v>
          </cell>
          <cell r="EB52">
            <v>-48.679566751855909</v>
          </cell>
          <cell r="EC52">
            <v>33.147797743187397</v>
          </cell>
          <cell r="ED52">
            <v>0.32447725250034598</v>
          </cell>
          <cell r="EE52">
            <v>0.442945552658838</v>
          </cell>
          <cell r="EF52">
            <v>0</v>
          </cell>
          <cell r="EG52">
            <v>0.31912790022884857</v>
          </cell>
          <cell r="EH52">
            <v>0.10236131320561137</v>
          </cell>
          <cell r="EK52">
            <v>0.83333333333333304</v>
          </cell>
          <cell r="EL52">
            <v>0</v>
          </cell>
        </row>
        <row r="53">
          <cell r="A53" t="str">
            <v>PATY</v>
          </cell>
          <cell r="B53" t="str">
            <v>QUI.BA</v>
          </cell>
          <cell r="C53" t="str">
            <v>QUICKFOOD SA</v>
          </cell>
          <cell r="D53">
            <v>42825</v>
          </cell>
          <cell r="E53">
            <v>1500119000</v>
          </cell>
          <cell r="F53">
            <v>2282066000</v>
          </cell>
          <cell r="G53">
            <v>0.65734999999999999</v>
          </cell>
          <cell r="H53">
            <v>0.39937</v>
          </cell>
          <cell r="I53">
            <v>0.67147999999999997</v>
          </cell>
          <cell r="J53">
            <v>0.38428000000000001</v>
          </cell>
          <cell r="K53">
            <v>12.700000000000001</v>
          </cell>
          <cell r="L53">
            <v>0</v>
          </cell>
          <cell r="M53" t="str">
            <v>NULL</v>
          </cell>
          <cell r="N53">
            <v>0</v>
          </cell>
          <cell r="O53">
            <v>0</v>
          </cell>
          <cell r="P53">
            <v>0</v>
          </cell>
          <cell r="Q53">
            <v>0</v>
          </cell>
          <cell r="R53">
            <v>0</v>
          </cell>
          <cell r="S53">
            <v>467.94807300790001</v>
          </cell>
          <cell r="T53">
            <v>321.85050839600001</v>
          </cell>
          <cell r="U53">
            <v>42825</v>
          </cell>
          <cell r="V53">
            <v>3164991000</v>
          </cell>
          <cell r="W53">
            <v>2957871000</v>
          </cell>
          <cell r="X53">
            <v>2327020000</v>
          </cell>
          <cell r="Y53">
            <v>1988747000</v>
          </cell>
          <cell r="Z53">
            <v>337936000</v>
          </cell>
          <cell r="AA53">
            <v>9.3656520761327595</v>
          </cell>
          <cell r="AB53">
            <v>0</v>
          </cell>
          <cell r="AC53">
            <v>1370932000</v>
          </cell>
          <cell r="AD53">
            <v>1305876000</v>
          </cell>
          <cell r="AE53">
            <v>1292912000</v>
          </cell>
          <cell r="AF53">
            <v>1243155000</v>
          </cell>
          <cell r="AG53">
            <v>2.4969052995398675</v>
          </cell>
          <cell r="AH53">
            <v>750501000</v>
          </cell>
          <cell r="AI53">
            <v>559319000</v>
          </cell>
          <cell r="AJ53">
            <v>800905000</v>
          </cell>
          <cell r="AK53">
            <v>667442000</v>
          </cell>
          <cell r="AL53">
            <v>1215268000</v>
          </cell>
          <cell r="AM53">
            <v>1156076000</v>
          </cell>
          <cell r="AN53">
            <v>1135639000</v>
          </cell>
          <cell r="AO53">
            <v>1118721000</v>
          </cell>
          <cell r="AP53">
            <v>54.804141974929649</v>
          </cell>
          <cell r="AQ53">
            <v>527092000</v>
          </cell>
          <cell r="AR53">
            <v>546718000</v>
          </cell>
          <cell r="AS53">
            <v>496627000</v>
          </cell>
          <cell r="AT53">
            <v>450254000</v>
          </cell>
          <cell r="AU53">
            <v>35.371662230534973</v>
          </cell>
          <cell r="AV53">
            <v>588732000</v>
          </cell>
          <cell r="AW53">
            <v>584344000</v>
          </cell>
          <cell r="AX53">
            <v>559051000</v>
          </cell>
          <cell r="AY53">
            <v>430528000</v>
          </cell>
          <cell r="AZ53">
            <v>42.66210478448253</v>
          </cell>
          <cell r="BA53">
            <v>23.229625040087853</v>
          </cell>
          <cell r="BB53">
            <v>0</v>
          </cell>
          <cell r="BC53">
            <v>11.621549999999999</v>
          </cell>
          <cell r="BD53">
            <v>-3.7842799999999999</v>
          </cell>
          <cell r="BE53">
            <v>-9.1504100000000008</v>
          </cell>
          <cell r="BF53">
            <v>-58345000</v>
          </cell>
          <cell r="BG53">
            <v>-132322000</v>
          </cell>
          <cell r="BH53">
            <v>-74523000</v>
          </cell>
          <cell r="BI53">
            <v>-178413000</v>
          </cell>
          <cell r="BJ53">
            <v>-8.5097570918159365E-2</v>
          </cell>
          <cell r="BK53">
            <v>-48049000</v>
          </cell>
          <cell r="BL53">
            <v>-288961000</v>
          </cell>
          <cell r="BM53">
            <v>-186304000</v>
          </cell>
          <cell r="BN53">
            <v>-94960000</v>
          </cell>
          <cell r="BO53">
            <v>-36734000</v>
          </cell>
          <cell r="BP53">
            <v>-197619000</v>
          </cell>
          <cell r="BQ53">
            <v>-52784000</v>
          </cell>
          <cell r="BR53">
            <v>-45943000</v>
          </cell>
          <cell r="BS53">
            <v>-131682000</v>
          </cell>
          <cell r="BT53">
            <v>-199337000</v>
          </cell>
          <cell r="BU53">
            <v>-42810000</v>
          </cell>
          <cell r="BV53">
            <v>-141656000</v>
          </cell>
          <cell r="BW53">
            <v>-6.5084046711267773E-2</v>
          </cell>
          <cell r="BX53">
            <v>-0.16998515801260874</v>
          </cell>
          <cell r="BY53">
            <v>337936000</v>
          </cell>
          <cell r="BZ53">
            <v>403327000</v>
          </cell>
          <cell r="CA53">
            <v>-289485000</v>
          </cell>
          <cell r="CB53">
            <v>-214962000</v>
          </cell>
          <cell r="CC53" t="str">
            <v>NULL</v>
          </cell>
          <cell r="CD53" t="str">
            <v>NULL</v>
          </cell>
          <cell r="CE53" t="str">
            <v>NULL</v>
          </cell>
          <cell r="CF53" t="str">
            <v>NULL</v>
          </cell>
          <cell r="CG53" t="str">
            <v>NULL</v>
          </cell>
          <cell r="CH53" t="str">
            <v>NULL</v>
          </cell>
          <cell r="CI53" t="str">
            <v>NULL</v>
          </cell>
          <cell r="CJ53" t="str">
            <v>NULL</v>
          </cell>
          <cell r="CK53">
            <v>337936000</v>
          </cell>
          <cell r="CL53">
            <v>403327000</v>
          </cell>
          <cell r="CM53">
            <v>-289485000</v>
          </cell>
          <cell r="CN53">
            <v>-214962000</v>
          </cell>
          <cell r="CO53">
            <v>-7.4927876494831427</v>
          </cell>
          <cell r="CP53">
            <v>-58345000</v>
          </cell>
          <cell r="CQ53">
            <v>-77817000</v>
          </cell>
          <cell r="CR53">
            <v>-463075000</v>
          </cell>
          <cell r="CS53">
            <v>-113723000</v>
          </cell>
          <cell r="CT53">
            <v>-77570000</v>
          </cell>
          <cell r="CU53">
            <v>-13909000</v>
          </cell>
          <cell r="CV53">
            <v>32884000</v>
          </cell>
          <cell r="CW53">
            <v>65264510</v>
          </cell>
          <cell r="CX53">
            <v>0.25022809925851675</v>
          </cell>
          <cell r="CY53">
            <v>-2.0068207615857356</v>
          </cell>
          <cell r="CZ53">
            <v>-3.0719555410954689</v>
          </cell>
          <cell r="DA53">
            <v>-0.46606935671006822</v>
          </cell>
          <cell r="DB53">
            <v>-4.5769645553238911</v>
          </cell>
          <cell r="DC53">
            <v>-1.4229716579491547</v>
          </cell>
          <cell r="DD53">
            <v>-0.49614269685009504</v>
          </cell>
          <cell r="DE53">
            <v>1.7844532847436079</v>
          </cell>
          <cell r="DF53">
            <v>0</v>
          </cell>
          <cell r="DG53" t="str">
            <v>NULL</v>
          </cell>
          <cell r="DH53">
            <v>145828553</v>
          </cell>
          <cell r="DI53">
            <v>12.4</v>
          </cell>
          <cell r="DJ53">
            <v>1808274057.2</v>
          </cell>
          <cell r="DK53">
            <v>3134468057.1999998</v>
          </cell>
          <cell r="DL53">
            <v>0</v>
          </cell>
          <cell r="DM53">
            <v>337936000</v>
          </cell>
          <cell r="DN53" t="str">
            <v>NULL</v>
          </cell>
          <cell r="DO53" t="str">
            <v>NULL</v>
          </cell>
          <cell r="DP53">
            <v>367969000</v>
          </cell>
          <cell r="DQ53" t="str">
            <v>NULL</v>
          </cell>
          <cell r="DR53">
            <v>-30033000</v>
          </cell>
          <cell r="DS53">
            <v>-60.209571378150706</v>
          </cell>
          <cell r="DT53">
            <v>-0.40009</v>
          </cell>
          <cell r="DU53">
            <v>-2.4060700000000002</v>
          </cell>
          <cell r="DV53">
            <v>-0.68147999999999997</v>
          </cell>
          <cell r="DW53">
            <v>-1.6315</v>
          </cell>
          <cell r="DX53">
            <v>-5.1191399999999998</v>
          </cell>
          <cell r="DY53">
            <v>-2.4808854612298163</v>
          </cell>
          <cell r="DZ53">
            <v>0.34688613427331366</v>
          </cell>
          <cell r="EA53">
            <v>-339275000</v>
          </cell>
          <cell r="EB53">
            <v>-5.3298181628472481</v>
          </cell>
          <cell r="EC53" t="str">
            <v>NULL</v>
          </cell>
          <cell r="ED53">
            <v>0.70518570101599898</v>
          </cell>
          <cell r="EE53">
            <v>0.40277356188250102</v>
          </cell>
          <cell r="EF53">
            <v>0</v>
          </cell>
          <cell r="EG53">
            <v>0.57556826066505096</v>
          </cell>
          <cell r="EH53">
            <v>-8.110129916828801E-3</v>
          </cell>
          <cell r="EK53" t="str">
            <v>NULL</v>
          </cell>
          <cell r="EL53">
            <v>0</v>
          </cell>
        </row>
        <row r="54">
          <cell r="A54" t="str">
            <v>PERK</v>
          </cell>
          <cell r="B54" t="str">
            <v>PEK.BA</v>
          </cell>
          <cell r="C54" t="str">
            <v>PERTRAK SA</v>
          </cell>
          <cell r="D54">
            <v>42094</v>
          </cell>
          <cell r="E54">
            <v>33718620</v>
          </cell>
          <cell r="F54">
            <v>24058850</v>
          </cell>
          <cell r="G54">
            <v>1.40151</v>
          </cell>
          <cell r="H54">
            <v>0.76168000000000002</v>
          </cell>
          <cell r="I54">
            <v>1.2167699999999999</v>
          </cell>
          <cell r="J54">
            <v>0.61661999999999995</v>
          </cell>
          <cell r="K54" t="str">
            <v>*The record could not be found</v>
          </cell>
          <cell r="L54">
            <v>0</v>
          </cell>
          <cell r="M54">
            <v>0</v>
          </cell>
          <cell r="N54">
            <v>0</v>
          </cell>
          <cell r="O54" t="str">
            <v>NULL</v>
          </cell>
          <cell r="P54">
            <v>0</v>
          </cell>
          <cell r="Q54" t="e">
            <v>#VALUE!</v>
          </cell>
          <cell r="R54">
            <v>0</v>
          </cell>
          <cell r="S54">
            <v>203.70210328100001</v>
          </cell>
          <cell r="T54">
            <v>175.44357459899999</v>
          </cell>
          <cell r="U54">
            <v>42094</v>
          </cell>
          <cell r="V54">
            <v>55809540</v>
          </cell>
          <cell r="W54">
            <v>52532250</v>
          </cell>
          <cell r="X54">
            <v>51823760</v>
          </cell>
          <cell r="Y54">
            <v>50687510</v>
          </cell>
          <cell r="Z54">
            <v>13283530</v>
          </cell>
          <cell r="AA54">
            <v>4.2014088122660169</v>
          </cell>
          <cell r="AB54">
            <v>0</v>
          </cell>
          <cell r="AC54">
            <v>16862830</v>
          </cell>
          <cell r="AD54">
            <v>18372190</v>
          </cell>
          <cell r="AE54">
            <v>16592280</v>
          </cell>
          <cell r="AF54">
            <v>13785080</v>
          </cell>
          <cell r="AG54">
            <v>1.555568697420141</v>
          </cell>
          <cell r="AH54">
            <v>8281810</v>
          </cell>
          <cell r="AI54">
            <v>8189630</v>
          </cell>
          <cell r="AJ54">
            <v>7863100</v>
          </cell>
          <cell r="AK54">
            <v>8255950</v>
          </cell>
          <cell r="AL54">
            <v>13657740</v>
          </cell>
          <cell r="AM54">
            <v>15305720</v>
          </cell>
          <cell r="AN54">
            <v>14756440</v>
          </cell>
          <cell r="AO54">
            <v>13249610</v>
          </cell>
          <cell r="AP54">
            <v>52.201295263027546</v>
          </cell>
          <cell r="AQ54">
            <v>10772970</v>
          </cell>
          <cell r="AR54">
            <v>9568280</v>
          </cell>
          <cell r="AS54">
            <v>9195620</v>
          </cell>
          <cell r="AT54">
            <v>8940770</v>
          </cell>
          <cell r="AU54">
            <v>53.51253300063189</v>
          </cell>
          <cell r="AV54">
            <v>15393470</v>
          </cell>
          <cell r="AW54">
            <v>16770300</v>
          </cell>
          <cell r="AX54">
            <v>15823770</v>
          </cell>
          <cell r="AY54">
            <v>15372260</v>
          </cell>
          <cell r="AZ54">
            <v>101.48554463606938</v>
          </cell>
          <cell r="BA54">
            <v>102.79678237367374</v>
          </cell>
          <cell r="BB54">
            <v>0</v>
          </cell>
          <cell r="BC54">
            <v>14.75062</v>
          </cell>
          <cell r="BD54">
            <v>-5.9367400000000004</v>
          </cell>
          <cell r="BE54">
            <v>3.08745</v>
          </cell>
          <cell r="BF54">
            <v>-284650</v>
          </cell>
          <cell r="BG54">
            <v>535160</v>
          </cell>
          <cell r="BH54">
            <v>-129920</v>
          </cell>
          <cell r="BI54">
            <v>1603720</v>
          </cell>
          <cell r="BJ54">
            <v>2.6280253817953257E-2</v>
          </cell>
          <cell r="BK54">
            <v>-4195910</v>
          </cell>
          <cell r="BL54">
            <v>-79750</v>
          </cell>
          <cell r="BM54">
            <v>-21310</v>
          </cell>
          <cell r="BN54">
            <v>-3572430</v>
          </cell>
          <cell r="BO54">
            <v>-3047300</v>
          </cell>
          <cell r="BP54">
            <v>-1169920</v>
          </cell>
          <cell r="BQ54">
            <v>2931590</v>
          </cell>
          <cell r="BR54">
            <v>2073750</v>
          </cell>
          <cell r="BS54">
            <v>1087590</v>
          </cell>
          <cell r="BT54">
            <v>4279190</v>
          </cell>
          <cell r="BU54">
            <v>3006050</v>
          </cell>
          <cell r="BV54">
            <v>1013130</v>
          </cell>
          <cell r="BW54">
            <v>-2.3896404916267325E-3</v>
          </cell>
          <cell r="BX54">
            <v>3.2711121195016096E-2</v>
          </cell>
          <cell r="BY54">
            <v>13283530</v>
          </cell>
          <cell r="BZ54">
            <v>13568180</v>
          </cell>
          <cell r="CA54">
            <v>13033020</v>
          </cell>
          <cell r="CB54">
            <v>13162940</v>
          </cell>
          <cell r="CC54" t="str">
            <v>NULL</v>
          </cell>
          <cell r="CD54" t="str">
            <v>NULL</v>
          </cell>
          <cell r="CE54" t="str">
            <v>NULL</v>
          </cell>
          <cell r="CF54" t="str">
            <v>NULL</v>
          </cell>
          <cell r="CG54" t="str">
            <v>NULL</v>
          </cell>
          <cell r="CH54" t="str">
            <v>NULL</v>
          </cell>
          <cell r="CI54" t="str">
            <v>NULL</v>
          </cell>
          <cell r="CJ54" t="str">
            <v>NULL</v>
          </cell>
          <cell r="CK54">
            <v>13283530</v>
          </cell>
          <cell r="CL54">
            <v>13568180</v>
          </cell>
          <cell r="CM54">
            <v>13033020</v>
          </cell>
          <cell r="CN54">
            <v>13162940</v>
          </cell>
          <cell r="CO54">
            <v>0.13001965967591037</v>
          </cell>
          <cell r="CP54">
            <v>-284650</v>
          </cell>
          <cell r="CQ54">
            <v>443030</v>
          </cell>
          <cell r="CR54">
            <v>1800720</v>
          </cell>
          <cell r="CS54">
            <v>-441650</v>
          </cell>
          <cell r="CT54">
            <v>-1748730</v>
          </cell>
          <cell r="CU54">
            <v>1296910</v>
          </cell>
          <cell r="CV54">
            <v>-1729350</v>
          </cell>
          <cell r="CW54">
            <v>-3681000</v>
          </cell>
          <cell r="CX54">
            <v>-1.6425072794167437</v>
          </cell>
          <cell r="CY54">
            <v>1.1512910878755325</v>
          </cell>
          <cell r="CZ54">
            <v>5.0772557454998299</v>
          </cell>
          <cell r="DA54">
            <v>0.74744528886677752</v>
          </cell>
          <cell r="DB54">
            <v>-2.3483819231866514</v>
          </cell>
          <cell r="DC54">
            <v>1.7499407291757019</v>
          </cell>
          <cell r="DD54">
            <v>0.53019559902200486</v>
          </cell>
          <cell r="DE54">
            <v>2.6724587043559795</v>
          </cell>
          <cell r="DF54">
            <v>0</v>
          </cell>
          <cell r="DG54" t="str">
            <v>NULL</v>
          </cell>
          <cell r="DH54">
            <v>2172589228</v>
          </cell>
          <cell r="DI54" t="str">
            <v>*The record could not be found</v>
          </cell>
          <cell r="DJ54" t="e">
            <v>#N/A</v>
          </cell>
          <cell r="DK54" t="str">
            <v>NULL</v>
          </cell>
          <cell r="DL54">
            <v>0</v>
          </cell>
          <cell r="DM54">
            <v>13283530</v>
          </cell>
          <cell r="DN54" t="str">
            <v>NULL</v>
          </cell>
          <cell r="DO54" t="str">
            <v>NULL</v>
          </cell>
          <cell r="DP54">
            <v>28280</v>
          </cell>
          <cell r="DQ54" t="str">
            <v>NULL</v>
          </cell>
          <cell r="DR54">
            <v>13255250</v>
          </cell>
          <cell r="DS54" t="e">
            <v>#N/A</v>
          </cell>
          <cell r="DT54">
            <v>-1.2999999999999999E-4</v>
          </cell>
          <cell r="DU54">
            <v>2.5000000000000001E-4</v>
          </cell>
          <cell r="DV54">
            <v>-6.0000000000000002E-5</v>
          </cell>
          <cell r="DW54">
            <v>7.3999999999999999E-4</v>
          </cell>
          <cell r="DX54">
            <v>8.0000000000000004E-4</v>
          </cell>
          <cell r="DY54" t="e">
            <v>#VALUE!</v>
          </cell>
          <cell r="DZ54" t="e">
            <v>#N/A</v>
          </cell>
          <cell r="EA54">
            <v>-156790</v>
          </cell>
          <cell r="EB54" t="e">
            <v>#N/A</v>
          </cell>
          <cell r="EC54" t="str">
            <v>NULL</v>
          </cell>
          <cell r="ED54" t="str">
            <v>NULL</v>
          </cell>
          <cell r="EE54" t="str">
            <v>NULL</v>
          </cell>
          <cell r="EF54">
            <v>0</v>
          </cell>
          <cell r="EG54" t="str">
            <v>-</v>
          </cell>
          <cell r="EH54" t="str">
            <v>-</v>
          </cell>
          <cell r="EK54" t="str">
            <v>NULL</v>
          </cell>
          <cell r="EL54">
            <v>0</v>
          </cell>
        </row>
        <row r="55">
          <cell r="A55" t="str">
            <v>PESA</v>
          </cell>
          <cell r="B55" t="str">
            <v>PER.BA</v>
          </cell>
          <cell r="C55" t="str">
            <v>PETROBRAS ARGENTINA SA</v>
          </cell>
          <cell r="D55">
            <v>42643</v>
          </cell>
          <cell r="E55">
            <v>16864000000</v>
          </cell>
          <cell r="F55">
            <v>8035000000</v>
          </cell>
          <cell r="G55">
            <v>2.0988199999999999</v>
          </cell>
          <cell r="H55">
            <v>1.7402599999999999</v>
          </cell>
          <cell r="I55">
            <v>1.00922</v>
          </cell>
          <cell r="J55">
            <v>0.78268000000000004</v>
          </cell>
          <cell r="K55">
            <v>19.900000000000002</v>
          </cell>
          <cell r="L55">
            <v>0</v>
          </cell>
          <cell r="M55">
            <v>0</v>
          </cell>
          <cell r="N55">
            <v>0</v>
          </cell>
          <cell r="O55">
            <v>6.8049999999999999E-2</v>
          </cell>
          <cell r="P55">
            <v>6.8049999999999999E-2</v>
          </cell>
          <cell r="Q55">
            <v>3.4195979899497484E-3</v>
          </cell>
          <cell r="R55">
            <v>0</v>
          </cell>
          <cell r="S55">
            <v>54.891967553999997</v>
          </cell>
          <cell r="T55">
            <v>32.893365752000001</v>
          </cell>
          <cell r="U55">
            <v>42643</v>
          </cell>
          <cell r="V55">
            <v>36195000000</v>
          </cell>
          <cell r="W55">
            <v>32282000000</v>
          </cell>
          <cell r="X55">
            <v>31348000000</v>
          </cell>
          <cell r="Y55">
            <v>29097000000</v>
          </cell>
          <cell r="Z55">
            <v>13931000000</v>
          </cell>
          <cell r="AA55">
            <v>2.598162371689039</v>
          </cell>
          <cell r="AB55">
            <v>0</v>
          </cell>
          <cell r="AC55">
            <v>7471000000</v>
          </cell>
          <cell r="AD55">
            <v>7639000000</v>
          </cell>
          <cell r="AE55">
            <v>6811000000</v>
          </cell>
          <cell r="AF55">
            <v>5916000000</v>
          </cell>
          <cell r="AG55">
            <v>1.0796059164639464</v>
          </cell>
          <cell r="AH55">
            <v>3637000000</v>
          </cell>
          <cell r="AI55">
            <v>3665000000</v>
          </cell>
          <cell r="AJ55">
            <v>3784000000</v>
          </cell>
          <cell r="AK55">
            <v>4097000000</v>
          </cell>
          <cell r="AL55">
            <v>5574000000</v>
          </cell>
          <cell r="AM55">
            <v>5007000000</v>
          </cell>
          <cell r="AN55">
            <v>4348000000</v>
          </cell>
          <cell r="AO55">
            <v>4481000000</v>
          </cell>
          <cell r="AP55">
            <v>71.378091190108194</v>
          </cell>
          <cell r="AQ55">
            <v>4605000000</v>
          </cell>
          <cell r="AR55">
            <v>4606000000</v>
          </cell>
          <cell r="AS55">
            <v>3976000000</v>
          </cell>
          <cell r="AT55">
            <v>3241000000</v>
          </cell>
          <cell r="AU55">
            <v>53.851169307037395</v>
          </cell>
          <cell r="AV55">
            <v>2881000000</v>
          </cell>
          <cell r="AW55">
            <v>2702000000</v>
          </cell>
          <cell r="AX55">
            <v>2593000000</v>
          </cell>
          <cell r="AY55">
            <v>2130000000</v>
          </cell>
          <cell r="AZ55">
            <v>48.450412158681097</v>
          </cell>
          <cell r="BA55">
            <v>30.923490275610305</v>
          </cell>
          <cell r="BB55">
            <v>0</v>
          </cell>
          <cell r="BC55">
            <v>29.155090000000001</v>
          </cell>
          <cell r="BD55">
            <v>8.7406100000000002</v>
          </cell>
          <cell r="BE55">
            <v>3.8852199999999999</v>
          </cell>
          <cell r="BF55">
            <v>-483000000</v>
          </cell>
          <cell r="BG55">
            <v>324000000</v>
          </cell>
          <cell r="BH55">
            <v>931000000</v>
          </cell>
          <cell r="BI55">
            <v>-932000000</v>
          </cell>
          <cell r="BJ55">
            <v>-5.747745805941732E-3</v>
          </cell>
          <cell r="BK55">
            <v>-4048000000</v>
          </cell>
          <cell r="BL55">
            <v>-2716000000</v>
          </cell>
          <cell r="BM55">
            <v>-1348000000</v>
          </cell>
          <cell r="BN55">
            <v>-5474000000</v>
          </cell>
          <cell r="BO55">
            <v>-4245000000</v>
          </cell>
          <cell r="BP55">
            <v>-1151000000</v>
          </cell>
          <cell r="BQ55">
            <v>2105000000</v>
          </cell>
          <cell r="BR55">
            <v>1508000000</v>
          </cell>
          <cell r="BS55">
            <v>776000000</v>
          </cell>
          <cell r="BT55">
            <v>4239000000</v>
          </cell>
          <cell r="BU55">
            <v>3421000000</v>
          </cell>
          <cell r="BV55">
            <v>-540000000</v>
          </cell>
          <cell r="BW55">
            <v>-6.0746488486546679E-2</v>
          </cell>
          <cell r="BX55">
            <v>-4.9642419447417816E-3</v>
          </cell>
          <cell r="BY55">
            <v>13931000000</v>
          </cell>
          <cell r="BZ55">
            <v>14395000000</v>
          </cell>
          <cell r="CA55">
            <v>14017000000</v>
          </cell>
          <cell r="CB55">
            <v>12936000000</v>
          </cell>
          <cell r="CC55" t="str">
            <v>NULL</v>
          </cell>
          <cell r="CD55" t="str">
            <v>NULL</v>
          </cell>
          <cell r="CE55" t="str">
            <v>NULL</v>
          </cell>
          <cell r="CF55" t="str">
            <v>NULL</v>
          </cell>
          <cell r="CG55" t="str">
            <v>NULL</v>
          </cell>
          <cell r="CH55" t="str">
            <v>NULL</v>
          </cell>
          <cell r="CI55" t="str">
            <v>NULL</v>
          </cell>
          <cell r="CJ55" t="str">
            <v>NULL</v>
          </cell>
          <cell r="CK55">
            <v>13931000000</v>
          </cell>
          <cell r="CL55">
            <v>14395000000</v>
          </cell>
          <cell r="CM55">
            <v>14017000000</v>
          </cell>
          <cell r="CN55">
            <v>12936000000</v>
          </cell>
          <cell r="CO55">
            <v>-1.1577633459360697E-2</v>
          </cell>
          <cell r="CP55">
            <v>-483000000</v>
          </cell>
          <cell r="CQ55">
            <v>439000000</v>
          </cell>
          <cell r="CR55">
            <v>853000000</v>
          </cell>
          <cell r="CS55">
            <v>458000000</v>
          </cell>
          <cell r="CT55">
            <v>779000000</v>
          </cell>
          <cell r="CU55">
            <v>618000000</v>
          </cell>
          <cell r="CV55">
            <v>-25000000</v>
          </cell>
          <cell r="CW55">
            <v>350000000</v>
          </cell>
          <cell r="CX55">
            <v>-2.1002277904328017</v>
          </cell>
          <cell r="CY55">
            <v>5.0718935781049739</v>
          </cell>
          <cell r="CZ55">
            <v>0.86244541484716164</v>
          </cell>
          <cell r="DA55">
            <v>-0.41206675224646983</v>
          </cell>
          <cell r="DB55">
            <v>0.26051779935275077</v>
          </cell>
          <cell r="DC55">
            <v>25.72</v>
          </cell>
          <cell r="DD55">
            <v>-1.0714285714285714</v>
          </cell>
          <cell r="DE55">
            <v>11.565328761769361</v>
          </cell>
          <cell r="DF55">
            <v>0</v>
          </cell>
          <cell r="DG55">
            <v>7.9329040629139298</v>
          </cell>
          <cell r="DH55">
            <v>2019236820</v>
          </cell>
          <cell r="DI55">
            <v>19.650000000000002</v>
          </cell>
          <cell r="DJ55">
            <v>39678003513</v>
          </cell>
          <cell r="DK55">
            <v>45519003513.000099</v>
          </cell>
          <cell r="DL55">
            <v>0</v>
          </cell>
          <cell r="DM55">
            <v>13931000000</v>
          </cell>
          <cell r="DN55" t="str">
            <v>NULL</v>
          </cell>
          <cell r="DO55" t="str">
            <v>NULL</v>
          </cell>
          <cell r="DP55" t="str">
            <v>NULL</v>
          </cell>
          <cell r="DQ55" t="str">
            <v>NULL</v>
          </cell>
          <cell r="DR55">
            <v>13931000000</v>
          </cell>
          <cell r="DS55">
            <v>2.8481805694494295</v>
          </cell>
          <cell r="DT55">
            <v>-0.2392</v>
          </cell>
          <cell r="DU55">
            <v>0.16045999999999999</v>
          </cell>
          <cell r="DV55">
            <v>0.46106999999999998</v>
          </cell>
          <cell r="DW55">
            <v>-0.46156000000000003</v>
          </cell>
          <cell r="DX55">
            <v>-7.9230000000000078E-2</v>
          </cell>
          <cell r="DY55">
            <v>-251.16748706298097</v>
          </cell>
          <cell r="DZ55">
            <v>1.4253692392499191</v>
          </cell>
          <cell r="EA55">
            <v>-1691000000</v>
          </cell>
          <cell r="EB55">
            <v>-23.464224431105855</v>
          </cell>
          <cell r="EC55" t="str">
            <v>NULL</v>
          </cell>
          <cell r="ED55">
            <v>1.0960900971860099</v>
          </cell>
          <cell r="EE55">
            <v>0.95196243796525104</v>
          </cell>
          <cell r="EF55">
            <v>0</v>
          </cell>
          <cell r="EG55">
            <v>0.41288073578232515</v>
          </cell>
          <cell r="EH55">
            <v>3.0608391144848479E-3</v>
          </cell>
          <cell r="EK55" t="str">
            <v>NULL</v>
          </cell>
          <cell r="EL55">
            <v>0</v>
          </cell>
        </row>
        <row r="56">
          <cell r="A56" t="str">
            <v>PETR</v>
          </cell>
          <cell r="B56" t="str">
            <v>PETR.BA</v>
          </cell>
          <cell r="C56" t="str">
            <v>PETROLERA PAMPA SA</v>
          </cell>
          <cell r="D56">
            <v>42825</v>
          </cell>
          <cell r="E56">
            <v>2832750720</v>
          </cell>
          <cell r="F56">
            <v>3684985150</v>
          </cell>
          <cell r="G56">
            <v>0.76873000000000002</v>
          </cell>
          <cell r="H56">
            <v>0.76870000000000005</v>
          </cell>
          <cell r="I56">
            <v>0.67032999999999998</v>
          </cell>
          <cell r="J56">
            <v>0.67032999999999998</v>
          </cell>
          <cell r="K56">
            <v>82</v>
          </cell>
          <cell r="L56">
            <v>0</v>
          </cell>
          <cell r="M56" t="str">
            <v>NULL</v>
          </cell>
          <cell r="N56">
            <v>0</v>
          </cell>
          <cell r="O56">
            <v>0</v>
          </cell>
          <cell r="P56">
            <v>0</v>
          </cell>
          <cell r="Q56">
            <v>0</v>
          </cell>
          <cell r="R56">
            <v>0</v>
          </cell>
          <cell r="S56">
            <v>197.82447353129999</v>
          </cell>
          <cell r="T56">
            <v>379.12980124299997</v>
          </cell>
          <cell r="U56">
            <v>42825</v>
          </cell>
          <cell r="V56">
            <v>6010124320</v>
          </cell>
          <cell r="W56">
            <v>7068425560</v>
          </cell>
          <cell r="X56">
            <v>6722518020</v>
          </cell>
          <cell r="Y56">
            <v>5206034910</v>
          </cell>
          <cell r="Z56">
            <v>1367479570</v>
          </cell>
          <cell r="AA56">
            <v>4.3950377408563401</v>
          </cell>
          <cell r="AB56">
            <v>0</v>
          </cell>
          <cell r="AC56">
            <v>871122220</v>
          </cell>
          <cell r="AD56">
            <v>871484150</v>
          </cell>
          <cell r="AE56">
            <v>837438070</v>
          </cell>
          <cell r="AF56">
            <v>652595930</v>
          </cell>
          <cell r="AG56">
            <v>0.6463433326584056</v>
          </cell>
          <cell r="AH56">
            <v>1073304660</v>
          </cell>
          <cell r="AI56">
            <v>1088433560</v>
          </cell>
          <cell r="AJ56">
            <v>877886190</v>
          </cell>
          <cell r="AK56">
            <v>768180210</v>
          </cell>
          <cell r="AL56">
            <v>516780200</v>
          </cell>
          <cell r="AM56">
            <v>527101130</v>
          </cell>
          <cell r="AN56">
            <v>526871390</v>
          </cell>
          <cell r="AO56">
            <v>390406750</v>
          </cell>
          <cell r="AP56">
            <v>177.17180927413312</v>
          </cell>
          <cell r="AQ56" t="str">
            <v>NULL</v>
          </cell>
          <cell r="AR56" t="str">
            <v>NULL</v>
          </cell>
          <cell r="AS56" t="str">
            <v>NULL</v>
          </cell>
          <cell r="AT56" t="str">
            <v>NULL</v>
          </cell>
          <cell r="AU56" t="e">
            <v>#DIV/0!</v>
          </cell>
          <cell r="AV56">
            <v>113210</v>
          </cell>
          <cell r="AW56" t="str">
            <v>NULL</v>
          </cell>
          <cell r="AX56" t="str">
            <v>NULL</v>
          </cell>
          <cell r="AY56" t="str">
            <v>NULL</v>
          </cell>
          <cell r="AZ56">
            <v>2.1070010181273021E-2</v>
          </cell>
          <cell r="BA56" t="e">
            <v>#DIV/0!</v>
          </cell>
          <cell r="BB56">
            <v>0</v>
          </cell>
          <cell r="BC56">
            <v>38.062069999999999</v>
          </cell>
          <cell r="BD56">
            <v>52.886029999999998</v>
          </cell>
          <cell r="BE56">
            <v>17.0548</v>
          </cell>
          <cell r="BF56">
            <v>274202440</v>
          </cell>
          <cell r="BG56">
            <v>42595110</v>
          </cell>
          <cell r="BH56">
            <v>143786910</v>
          </cell>
          <cell r="BI56">
            <v>114578760</v>
          </cell>
          <cell r="BJ56">
            <v>0.17792366430169898</v>
          </cell>
          <cell r="BK56">
            <v>-54148860</v>
          </cell>
          <cell r="BL56">
            <v>-1075877930</v>
          </cell>
          <cell r="BM56">
            <v>-816900530</v>
          </cell>
          <cell r="BN56">
            <v>-447395150</v>
          </cell>
          <cell r="BO56">
            <v>-264695570</v>
          </cell>
          <cell r="BP56">
            <v>-606353820</v>
          </cell>
          <cell r="BQ56">
            <v>-506634310</v>
          </cell>
          <cell r="BR56">
            <v>1658544000</v>
          </cell>
          <cell r="BS56">
            <v>458891940</v>
          </cell>
          <cell r="BT56">
            <v>-331912990</v>
          </cell>
          <cell r="BU56">
            <v>-130979580</v>
          </cell>
          <cell r="BV56">
            <v>83237210</v>
          </cell>
          <cell r="BW56">
            <v>-0.16182332400928348</v>
          </cell>
          <cell r="BX56">
            <v>9.1999976865772715E-2</v>
          </cell>
          <cell r="BY56">
            <v>1367479570</v>
          </cell>
          <cell r="BZ56">
            <v>1093277130</v>
          </cell>
          <cell r="CA56">
            <v>1050682020</v>
          </cell>
          <cell r="CB56">
            <v>906895120</v>
          </cell>
          <cell r="CC56" t="str">
            <v>NULL</v>
          </cell>
          <cell r="CD56" t="str">
            <v>NULL</v>
          </cell>
          <cell r="CE56" t="str">
            <v>NULL</v>
          </cell>
          <cell r="CF56" t="str">
            <v>NULL</v>
          </cell>
          <cell r="CG56" t="str">
            <v>NULL</v>
          </cell>
          <cell r="CH56" t="str">
            <v>NULL</v>
          </cell>
          <cell r="CI56" t="str">
            <v>NULL</v>
          </cell>
          <cell r="CJ56" t="str">
            <v>NULL</v>
          </cell>
          <cell r="CK56">
            <v>1367479570</v>
          </cell>
          <cell r="CL56">
            <v>1093277130</v>
          </cell>
          <cell r="CM56">
            <v>1050682020</v>
          </cell>
          <cell r="CN56">
            <v>906895120</v>
          </cell>
          <cell r="CO56">
            <v>0.52070598630908338</v>
          </cell>
          <cell r="CP56">
            <v>274202440</v>
          </cell>
          <cell r="CQ56">
            <v>183154410</v>
          </cell>
          <cell r="CR56">
            <v>484115190</v>
          </cell>
          <cell r="CS56">
            <v>351737430</v>
          </cell>
          <cell r="CT56">
            <v>83919230</v>
          </cell>
          <cell r="CU56">
            <v>33067310</v>
          </cell>
          <cell r="CV56">
            <v>-8970350</v>
          </cell>
          <cell r="CW56">
            <v>-5804460</v>
          </cell>
          <cell r="CX56">
            <v>0.49711077117935631</v>
          </cell>
          <cell r="CY56">
            <v>1.8492862386063826</v>
          </cell>
          <cell r="CZ56">
            <v>0.37635391831912801</v>
          </cell>
          <cell r="DA56">
            <v>3.1913805691496453</v>
          </cell>
          <cell r="DB56">
            <v>1.5378305643851888</v>
          </cell>
          <cell r="DC56">
            <v>4.6862898326152269</v>
          </cell>
          <cell r="DD56">
            <v>-0.54542369143727409</v>
          </cell>
          <cell r="DE56">
            <v>2.1125207981636858</v>
          </cell>
          <cell r="DF56">
            <v>0</v>
          </cell>
          <cell r="DG56">
            <v>4.8482354827146796</v>
          </cell>
          <cell r="DH56">
            <v>119400000</v>
          </cell>
          <cell r="DI56">
            <v>81.7</v>
          </cell>
          <cell r="DJ56">
            <v>9754980000</v>
          </cell>
          <cell r="DK56">
            <v>12160247370</v>
          </cell>
          <cell r="DL56">
            <v>0</v>
          </cell>
          <cell r="DM56">
            <v>1367479570</v>
          </cell>
          <cell r="DN56" t="str">
            <v>NULL</v>
          </cell>
          <cell r="DO56" t="str">
            <v>NULL</v>
          </cell>
          <cell r="DP56" t="str">
            <v>NULL</v>
          </cell>
          <cell r="DQ56" t="str">
            <v>NULL</v>
          </cell>
          <cell r="DR56">
            <v>1367479570</v>
          </cell>
          <cell r="DS56">
            <v>7.1335471578562597</v>
          </cell>
          <cell r="DT56">
            <v>2.2965</v>
          </cell>
          <cell r="DU56">
            <v>0.35674</v>
          </cell>
          <cell r="DV56">
            <v>1.20425</v>
          </cell>
          <cell r="DW56">
            <v>0.95962000000000003</v>
          </cell>
          <cell r="DX56">
            <v>4.8171099999999996</v>
          </cell>
          <cell r="DY56">
            <v>17.022654662235244</v>
          </cell>
          <cell r="DZ56">
            <v>3.0176508622887734</v>
          </cell>
          <cell r="EA56">
            <v>-523116610</v>
          </cell>
          <cell r="EB56">
            <v>-18.647811622727865</v>
          </cell>
          <cell r="EC56">
            <v>17.022654662235201</v>
          </cell>
          <cell r="ED56">
            <v>0.91168339616985095</v>
          </cell>
          <cell r="EE56">
            <v>0.94946576361374002</v>
          </cell>
          <cell r="EF56">
            <v>0</v>
          </cell>
          <cell r="EG56" t="str">
            <v>-</v>
          </cell>
          <cell r="EH56" t="str">
            <v>-</v>
          </cell>
          <cell r="EK56" t="str">
            <v>NULL</v>
          </cell>
          <cell r="EL56">
            <v>0</v>
          </cell>
        </row>
        <row r="57">
          <cell r="A57" t="str">
            <v>POLL</v>
          </cell>
          <cell r="B57" t="str">
            <v>POL.BA</v>
          </cell>
          <cell r="C57" t="str">
            <v>POLLEDO SAIC Y F</v>
          </cell>
          <cell r="D57">
            <v>42825</v>
          </cell>
          <cell r="E57">
            <v>1944080</v>
          </cell>
          <cell r="F57">
            <v>17028990</v>
          </cell>
          <cell r="G57">
            <v>0.11416</v>
          </cell>
          <cell r="H57">
            <v>0.11416</v>
          </cell>
          <cell r="I57">
            <v>0.15114</v>
          </cell>
          <cell r="J57">
            <v>0.15114</v>
          </cell>
          <cell r="K57">
            <v>8.3000000000000007</v>
          </cell>
          <cell r="L57">
            <v>0</v>
          </cell>
          <cell r="M57" t="str">
            <v>NULL</v>
          </cell>
          <cell r="N57">
            <v>0</v>
          </cell>
          <cell r="O57" t="str">
            <v>NULL</v>
          </cell>
          <cell r="P57">
            <v>0</v>
          </cell>
          <cell r="Q57">
            <v>0</v>
          </cell>
          <cell r="R57">
            <v>0</v>
          </cell>
          <cell r="S57" t="str">
            <v>NULL</v>
          </cell>
          <cell r="T57" t="str">
            <v>NULL</v>
          </cell>
          <cell r="U57">
            <v>42825</v>
          </cell>
          <cell r="V57">
            <v>5847250</v>
          </cell>
          <cell r="W57">
            <v>6507210</v>
          </cell>
          <cell r="X57">
            <v>6102670</v>
          </cell>
          <cell r="Y57">
            <v>5781440</v>
          </cell>
          <cell r="Z57">
            <v>-33511030</v>
          </cell>
          <cell r="AA57">
            <v>-0.17448732551640461</v>
          </cell>
          <cell r="AC57">
            <v>0</v>
          </cell>
          <cell r="AD57">
            <v>0</v>
          </cell>
          <cell r="AE57">
            <v>0</v>
          </cell>
          <cell r="AF57">
            <v>0</v>
          </cell>
          <cell r="AG57">
            <v>0</v>
          </cell>
          <cell r="AH57">
            <v>601750</v>
          </cell>
          <cell r="AI57">
            <v>489630</v>
          </cell>
          <cell r="AJ57">
            <v>715560</v>
          </cell>
          <cell r="AK57">
            <v>607910</v>
          </cell>
          <cell r="AL57" t="str">
            <v>NULL</v>
          </cell>
          <cell r="AM57" t="str">
            <v>NULL</v>
          </cell>
          <cell r="AN57" t="str">
            <v>NULL</v>
          </cell>
          <cell r="AO57" t="str">
            <v>NULL</v>
          </cell>
          <cell r="AP57" t="e">
            <v>#DIV/0!</v>
          </cell>
          <cell r="AQ57" t="str">
            <v>NULL</v>
          </cell>
          <cell r="AR57" t="str">
            <v>NULL</v>
          </cell>
          <cell r="AS57" t="str">
            <v>NULL</v>
          </cell>
          <cell r="AT57" t="str">
            <v>NULL</v>
          </cell>
          <cell r="AU57" t="e">
            <v>#DIV/0!</v>
          </cell>
          <cell r="AV57" t="str">
            <v>NULL</v>
          </cell>
          <cell r="AW57" t="str">
            <v>NULL</v>
          </cell>
          <cell r="AX57" t="str">
            <v>NULL</v>
          </cell>
          <cell r="AY57" t="str">
            <v>NULL</v>
          </cell>
          <cell r="AZ57" t="e">
            <v>#DIV/0!</v>
          </cell>
          <cell r="BA57" t="e">
            <v>#DIV/0!</v>
          </cell>
          <cell r="BC57" t="str">
            <v>NULL</v>
          </cell>
          <cell r="BD57" t="str">
            <v>NULL</v>
          </cell>
          <cell r="BE57" t="str">
            <v>NULL</v>
          </cell>
          <cell r="BF57">
            <v>-3524610</v>
          </cell>
          <cell r="BG57">
            <v>-3790460</v>
          </cell>
          <cell r="BH57">
            <v>-1545940</v>
          </cell>
          <cell r="BI57">
            <v>-729980</v>
          </cell>
          <cell r="BJ57" t="e">
            <v>#DIV/0!</v>
          </cell>
          <cell r="BK57" t="str">
            <v>NULL</v>
          </cell>
          <cell r="BL57" t="str">
            <v>NULL</v>
          </cell>
          <cell r="BM57" t="str">
            <v>NULL</v>
          </cell>
          <cell r="BN57" t="str">
            <v>NULL</v>
          </cell>
          <cell r="BO57" t="str">
            <v>NULL</v>
          </cell>
          <cell r="BP57" t="e">
            <v>#VALUE!</v>
          </cell>
          <cell r="BQ57">
            <v>-1316770</v>
          </cell>
          <cell r="BR57">
            <v>-3416090</v>
          </cell>
          <cell r="BS57">
            <v>-2393110</v>
          </cell>
          <cell r="BT57">
            <v>-2116970</v>
          </cell>
          <cell r="BU57">
            <v>-1333650</v>
          </cell>
          <cell r="BV57">
            <v>-2376230</v>
          </cell>
          <cell r="BW57" t="e">
            <v>#VALUE!</v>
          </cell>
          <cell r="BX57">
            <v>-1.5827649898488236</v>
          </cell>
          <cell r="BY57">
            <v>-33511030</v>
          </cell>
          <cell r="BZ57">
            <v>-30589360</v>
          </cell>
          <cell r="CA57">
            <v>-23676220</v>
          </cell>
          <cell r="CB57">
            <v>-20211640</v>
          </cell>
          <cell r="CC57" t="str">
            <v>NULL</v>
          </cell>
          <cell r="CD57" t="str">
            <v>NULL</v>
          </cell>
          <cell r="CE57" t="str">
            <v>NULL</v>
          </cell>
          <cell r="CF57" t="str">
            <v>NULL</v>
          </cell>
          <cell r="CG57" t="str">
            <v>NULL</v>
          </cell>
          <cell r="CH57" t="str">
            <v>NULL</v>
          </cell>
          <cell r="CI57" t="str">
            <v>NULL</v>
          </cell>
          <cell r="CJ57" t="str">
            <v>NULL</v>
          </cell>
          <cell r="CK57">
            <v>-33511030</v>
          </cell>
          <cell r="CL57">
            <v>-30589360</v>
          </cell>
          <cell r="CM57">
            <v>-23676220</v>
          </cell>
          <cell r="CN57">
            <v>-20211640</v>
          </cell>
          <cell r="CO57" t="str">
            <v>-</v>
          </cell>
          <cell r="CP57">
            <v>-3524610</v>
          </cell>
          <cell r="CQ57">
            <v>-1050390</v>
          </cell>
          <cell r="CR57">
            <v>-7116770</v>
          </cell>
          <cell r="CS57">
            <v>-24152810</v>
          </cell>
          <cell r="CT57">
            <v>-41420</v>
          </cell>
          <cell r="CU57">
            <v>2068270</v>
          </cell>
          <cell r="CV57">
            <v>-476520</v>
          </cell>
          <cell r="CW57">
            <v>-54588470</v>
          </cell>
          <cell r="CX57">
            <v>-2.3555250906806044</v>
          </cell>
          <cell r="CY57">
            <v>-115.22051114294906</v>
          </cell>
          <cell r="CZ57">
            <v>0.70534401587227324</v>
          </cell>
          <cell r="DA57">
            <v>-582.11950748430706</v>
          </cell>
          <cell r="DB57">
            <v>-1.0200263988744216</v>
          </cell>
          <cell r="DC57">
            <v>5.3403634684798122</v>
          </cell>
          <cell r="DD57">
            <v>0.99127068408401997</v>
          </cell>
          <cell r="DE57">
            <v>261.01500441408524</v>
          </cell>
          <cell r="DG57" t="str">
            <v>NULL</v>
          </cell>
          <cell r="DH57">
            <v>6420394</v>
          </cell>
          <cell r="DI57">
            <v>8.3000000000000007</v>
          </cell>
          <cell r="DJ57">
            <v>53289270.200000003</v>
          </cell>
          <cell r="DK57">
            <v>52965310.200000003</v>
          </cell>
          <cell r="DM57">
            <v>-33511030</v>
          </cell>
          <cell r="DN57" t="str">
            <v>NULL</v>
          </cell>
          <cell r="DO57" t="str">
            <v>NULL</v>
          </cell>
          <cell r="DP57" t="str">
            <v>NULL</v>
          </cell>
          <cell r="DQ57" t="str">
            <v>NULL</v>
          </cell>
          <cell r="DR57">
            <v>-33511030</v>
          </cell>
          <cell r="DS57">
            <v>-1.590200904000862</v>
          </cell>
          <cell r="DT57">
            <v>-0.54896999999999996</v>
          </cell>
          <cell r="DU57">
            <v>-0.59038000000000002</v>
          </cell>
          <cell r="DV57">
            <v>-0.24079</v>
          </cell>
          <cell r="DW57">
            <v>-0.1137</v>
          </cell>
          <cell r="DX57">
            <v>-1.4938399999999998</v>
          </cell>
          <cell r="DY57">
            <v>-5.5561505917635099</v>
          </cell>
          <cell r="DZ57" t="e">
            <v>#DIV/0!</v>
          </cell>
          <cell r="EA57" t="e">
            <v>#VALUE!</v>
          </cell>
          <cell r="EB57" t="e">
            <v>#VALUE!</v>
          </cell>
          <cell r="EC57" t="str">
            <v>NULL</v>
          </cell>
          <cell r="ED57">
            <v>0.61559533454829596</v>
          </cell>
          <cell r="EE57">
            <v>0.61265097976624205</v>
          </cell>
          <cell r="EG57">
            <v>0.61913120011002254</v>
          </cell>
          <cell r="EH57">
            <v>-0.17178135517650817</v>
          </cell>
          <cell r="EK57" t="str">
            <v>NULL</v>
          </cell>
          <cell r="EL57">
            <v>0</v>
          </cell>
        </row>
        <row r="58">
          <cell r="A58" t="str">
            <v>PSUR</v>
          </cell>
          <cell r="B58" t="str">
            <v>PSU.BA</v>
          </cell>
          <cell r="C58" t="str">
            <v>PETROLERA DEL CONOSUR SA</v>
          </cell>
          <cell r="D58">
            <v>42825</v>
          </cell>
          <cell r="E58">
            <v>105736650</v>
          </cell>
          <cell r="F58">
            <v>388252100</v>
          </cell>
          <cell r="G58">
            <v>0.27234000000000003</v>
          </cell>
          <cell r="H58">
            <v>0.22395000000000001</v>
          </cell>
          <cell r="I58">
            <v>0.26239000000000001</v>
          </cell>
          <cell r="J58">
            <v>0.23405999999999999</v>
          </cell>
          <cell r="K58">
            <v>4.88</v>
          </cell>
          <cell r="L58">
            <v>0</v>
          </cell>
          <cell r="M58" t="str">
            <v>NULL</v>
          </cell>
          <cell r="N58">
            <v>0</v>
          </cell>
          <cell r="O58" t="str">
            <v>NULL</v>
          </cell>
          <cell r="P58">
            <v>0</v>
          </cell>
          <cell r="Q58">
            <v>0</v>
          </cell>
          <cell r="R58">
            <v>0</v>
          </cell>
          <cell r="S58" t="str">
            <v>NULL</v>
          </cell>
          <cell r="T58" t="str">
            <v>NULL</v>
          </cell>
          <cell r="U58">
            <v>42825</v>
          </cell>
          <cell r="V58">
            <v>292545220</v>
          </cell>
          <cell r="W58">
            <v>298152870</v>
          </cell>
          <cell r="X58">
            <v>308887820</v>
          </cell>
          <cell r="Y58">
            <v>303581880</v>
          </cell>
          <cell r="Z58">
            <v>-136109550</v>
          </cell>
          <cell r="AA58">
            <v>-2.1493364719815764</v>
          </cell>
          <cell r="AC58">
            <v>182725260</v>
          </cell>
          <cell r="AD58">
            <v>197470190</v>
          </cell>
          <cell r="AE58">
            <v>161497720</v>
          </cell>
          <cell r="AF58">
            <v>167006930</v>
          </cell>
          <cell r="AG58">
            <v>2.9450375984257753</v>
          </cell>
          <cell r="AH58">
            <v>363093400</v>
          </cell>
          <cell r="AI58">
            <v>370123590</v>
          </cell>
          <cell r="AJ58">
            <v>364456940</v>
          </cell>
          <cell r="AK58">
            <v>350121850</v>
          </cell>
          <cell r="AL58">
            <v>158693730</v>
          </cell>
          <cell r="AM58">
            <v>163891630</v>
          </cell>
          <cell r="AN58">
            <v>138566350</v>
          </cell>
          <cell r="AO58">
            <v>142092510</v>
          </cell>
          <cell r="AP58">
            <v>219.00146001398903</v>
          </cell>
          <cell r="AQ58">
            <v>6926060</v>
          </cell>
          <cell r="AR58">
            <v>7409410</v>
          </cell>
          <cell r="AS58">
            <v>9896000</v>
          </cell>
          <cell r="AT58">
            <v>8595930</v>
          </cell>
          <cell r="AU58">
            <v>4.2267529664522412</v>
          </cell>
          <cell r="AV58">
            <v>18789500</v>
          </cell>
          <cell r="AW58">
            <v>11704820</v>
          </cell>
          <cell r="AX58">
            <v>18230900</v>
          </cell>
          <cell r="AY58">
            <v>24580740</v>
          </cell>
          <cell r="AZ58">
            <v>11.088658006536724</v>
          </cell>
          <cell r="BA58">
            <v>-203.68604904100008</v>
          </cell>
          <cell r="BC58">
            <v>15.04074</v>
          </cell>
          <cell r="BD58">
            <v>-8.5904199999999999</v>
          </cell>
          <cell r="BE58">
            <v>-20.026029999999999</v>
          </cell>
          <cell r="BF58">
            <v>-11037150</v>
          </cell>
          <cell r="BG58">
            <v>-36870090</v>
          </cell>
          <cell r="BH58">
            <v>-21786300</v>
          </cell>
          <cell r="BI58">
            <v>-24564730</v>
          </cell>
          <cell r="BJ58">
            <v>-0.13300163214313079</v>
          </cell>
          <cell r="BK58">
            <v>-35440</v>
          </cell>
          <cell r="BL58">
            <v>-570530</v>
          </cell>
          <cell r="BM58">
            <v>-485180</v>
          </cell>
          <cell r="BN58">
            <v>-438970</v>
          </cell>
          <cell r="BO58">
            <v>-260830</v>
          </cell>
          <cell r="BP58">
            <v>-259790</v>
          </cell>
          <cell r="BQ58">
            <v>-34302850</v>
          </cell>
          <cell r="BR58">
            <v>-65500750</v>
          </cell>
          <cell r="BS58">
            <v>-53591780</v>
          </cell>
          <cell r="BT58">
            <v>-52854480</v>
          </cell>
          <cell r="BU58">
            <v>-50046070</v>
          </cell>
          <cell r="BV58">
            <v>-37848560</v>
          </cell>
          <cell r="BW58">
            <v>-5.377218092674179E-2</v>
          </cell>
          <cell r="BX58">
            <v>-0.31336699929442091</v>
          </cell>
          <cell r="BY58">
            <v>-136109550</v>
          </cell>
          <cell r="BZ58">
            <v>-151072400</v>
          </cell>
          <cell r="CA58">
            <v>-114202310</v>
          </cell>
          <cell r="CB58">
            <v>-102416010</v>
          </cell>
          <cell r="CC58" t="str">
            <v>NULL</v>
          </cell>
          <cell r="CD58" t="str">
            <v>NULL</v>
          </cell>
          <cell r="CE58" t="str">
            <v>NULL</v>
          </cell>
          <cell r="CF58" t="str">
            <v>NULL</v>
          </cell>
          <cell r="CG58" t="str">
            <v>NULL</v>
          </cell>
          <cell r="CH58" t="str">
            <v>NULL</v>
          </cell>
          <cell r="CI58" t="str">
            <v>NULL</v>
          </cell>
          <cell r="CJ58" t="str">
            <v>NULL</v>
          </cell>
          <cell r="CK58">
            <v>-136109550</v>
          </cell>
          <cell r="CL58">
            <v>-151072400</v>
          </cell>
          <cell r="CM58">
            <v>-114202310</v>
          </cell>
          <cell r="CN58">
            <v>-102416010</v>
          </cell>
          <cell r="CO58" t="str">
            <v>-</v>
          </cell>
          <cell r="CP58">
            <v>-11037150</v>
          </cell>
          <cell r="CQ58">
            <v>-53903530</v>
          </cell>
          <cell r="CR58">
            <v>-137124650</v>
          </cell>
          <cell r="CS58">
            <v>-224724510</v>
          </cell>
          <cell r="CT58">
            <v>-290306760</v>
          </cell>
          <cell r="CU58">
            <v>-216702690</v>
          </cell>
          <cell r="CV58">
            <v>-58410700</v>
          </cell>
          <cell r="CW58">
            <v>-109800740</v>
          </cell>
          <cell r="CX58">
            <v>0.79524253791913069</v>
          </cell>
          <cell r="CY58">
            <v>-0.39317813247737443</v>
          </cell>
          <cell r="CZ58">
            <v>0.38980999446833819</v>
          </cell>
          <cell r="DA58">
            <v>0.22590672707724757</v>
          </cell>
          <cell r="DB58">
            <v>-0.33965462080789122</v>
          </cell>
          <cell r="DC58">
            <v>-2.7099827600080122</v>
          </cell>
          <cell r="DD58">
            <v>0.46802999688344538</v>
          </cell>
          <cell r="DE58">
            <v>1.3330851773980623</v>
          </cell>
          <cell r="DG58" t="str">
            <v>NULL</v>
          </cell>
          <cell r="DH58">
            <v>100368953</v>
          </cell>
          <cell r="DI58">
            <v>4.7300000000000004</v>
          </cell>
          <cell r="DJ58">
            <v>474745147.69</v>
          </cell>
          <cell r="DK58">
            <v>471558737.69000101</v>
          </cell>
          <cell r="DM58">
            <v>-136109550</v>
          </cell>
          <cell r="DN58" t="str">
            <v>NULL</v>
          </cell>
          <cell r="DO58" t="str">
            <v>NULL</v>
          </cell>
          <cell r="DP58" t="str">
            <v>NULL</v>
          </cell>
          <cell r="DQ58" t="str">
            <v>NULL</v>
          </cell>
          <cell r="DR58">
            <v>-136109550</v>
          </cell>
          <cell r="DS58">
            <v>-3.4879635388552823</v>
          </cell>
          <cell r="DT58">
            <v>-0.10997</v>
          </cell>
          <cell r="DU58">
            <v>-0.36735000000000001</v>
          </cell>
          <cell r="DV58">
            <v>-0.21706</v>
          </cell>
          <cell r="DW58">
            <v>-0.24474000000000001</v>
          </cell>
          <cell r="DX58">
            <v>-0.93911999999999995</v>
          </cell>
          <cell r="DY58">
            <v>-5.1963540335633356</v>
          </cell>
          <cell r="DZ58">
            <v>0.66988158699286204</v>
          </cell>
          <cell r="EA58">
            <v>-38108350</v>
          </cell>
          <cell r="EB58">
            <v>-12.457772317353021</v>
          </cell>
          <cell r="EC58" t="str">
            <v>NULL</v>
          </cell>
          <cell r="ED58">
            <v>0.15355834568899901</v>
          </cell>
          <cell r="EE58">
            <v>1.0518808473352901</v>
          </cell>
          <cell r="EG58">
            <v>0.83405378884320147</v>
          </cell>
          <cell r="EH58">
            <v>-1.7882198448692321E-2</v>
          </cell>
          <cell r="EK58" t="str">
            <v>NULL</v>
          </cell>
          <cell r="EL58">
            <v>0</v>
          </cell>
        </row>
        <row r="59">
          <cell r="A59" t="str">
            <v>RIGO</v>
          </cell>
          <cell r="B59" t="str">
            <v>RIG.BA</v>
          </cell>
          <cell r="C59" t="str">
            <v>RIGOLLEAU SA</v>
          </cell>
          <cell r="D59">
            <v>42886</v>
          </cell>
          <cell r="E59">
            <v>1079410860</v>
          </cell>
          <cell r="F59">
            <v>791327640</v>
          </cell>
          <cell r="G59">
            <v>1.36405</v>
          </cell>
          <cell r="H59">
            <v>0.74551000000000001</v>
          </cell>
          <cell r="I59">
            <v>1.71739</v>
          </cell>
          <cell r="J59">
            <v>0.96625000000000005</v>
          </cell>
          <cell r="K59">
            <v>46.9</v>
          </cell>
          <cell r="L59">
            <v>0.13750000000000001</v>
          </cell>
          <cell r="M59">
            <v>0</v>
          </cell>
          <cell r="N59">
            <v>0.20624999999999999</v>
          </cell>
          <cell r="O59">
            <v>0.20624999999999999</v>
          </cell>
          <cell r="P59">
            <v>0.55000000000000004</v>
          </cell>
          <cell r="Q59">
            <v>1.1727078891257996E-2</v>
          </cell>
          <cell r="R59">
            <v>0</v>
          </cell>
          <cell r="S59">
            <v>107.21501600889999</v>
          </cell>
          <cell r="T59">
            <v>103.92420562300001</v>
          </cell>
          <cell r="U59">
            <v>42886</v>
          </cell>
          <cell r="V59">
            <v>1756990250</v>
          </cell>
          <cell r="W59">
            <v>1673578790</v>
          </cell>
          <cell r="X59">
            <v>1640122160</v>
          </cell>
          <cell r="Y59">
            <v>1663696020</v>
          </cell>
          <cell r="Z59">
            <v>550035370</v>
          </cell>
          <cell r="AA59">
            <v>3.1943223033093306</v>
          </cell>
          <cell r="AC59">
            <v>490313430</v>
          </cell>
          <cell r="AD59">
            <v>457854650</v>
          </cell>
          <cell r="AE59">
            <v>531598380</v>
          </cell>
          <cell r="AF59">
            <v>506745790</v>
          </cell>
          <cell r="AG59">
            <v>1.4748926180332087</v>
          </cell>
          <cell r="AH59">
            <v>59946670</v>
          </cell>
          <cell r="AI59">
            <v>186590640</v>
          </cell>
          <cell r="AJ59">
            <v>192118750</v>
          </cell>
          <cell r="AK59">
            <v>273229680</v>
          </cell>
          <cell r="AL59">
            <v>366797270</v>
          </cell>
          <cell r="AM59">
            <v>347235540</v>
          </cell>
          <cell r="AN59">
            <v>430092150</v>
          </cell>
          <cell r="AO59">
            <v>367335470</v>
          </cell>
          <cell r="AP59">
            <v>42.978018137729215</v>
          </cell>
          <cell r="AQ59">
            <v>441260850</v>
          </cell>
          <cell r="AR59">
            <v>445052820</v>
          </cell>
          <cell r="AS59">
            <v>460191340</v>
          </cell>
          <cell r="AT59">
            <v>434215680</v>
          </cell>
          <cell r="AU59">
            <v>81.797010294046757</v>
          </cell>
          <cell r="AV59">
            <v>489470120</v>
          </cell>
          <cell r="AW59">
            <v>466721560</v>
          </cell>
          <cell r="AX59">
            <v>476178340</v>
          </cell>
          <cell r="AY59">
            <v>520247370</v>
          </cell>
          <cell r="AZ59">
            <v>117.88356036386608</v>
          </cell>
          <cell r="BA59">
            <v>156.70255252018362</v>
          </cell>
          <cell r="BC59">
            <v>24.057210000000001</v>
          </cell>
          <cell r="BD59">
            <v>15.25614</v>
          </cell>
          <cell r="BE59">
            <v>7.0650700000000004</v>
          </cell>
          <cell r="BF59">
            <v>11328570</v>
          </cell>
          <cell r="BG59">
            <v>9943210</v>
          </cell>
          <cell r="BH59">
            <v>14410090</v>
          </cell>
          <cell r="BI59">
            <v>39077860</v>
          </cell>
          <cell r="BJ59">
            <v>3.7633661710367E-2</v>
          </cell>
          <cell r="BK59">
            <v>-150429520</v>
          </cell>
          <cell r="BL59">
            <v>-46012020</v>
          </cell>
          <cell r="BM59">
            <v>-51663990</v>
          </cell>
          <cell r="BN59">
            <v>-27489030</v>
          </cell>
          <cell r="BO59">
            <v>-8878900</v>
          </cell>
          <cell r="BP59">
            <v>-193214610</v>
          </cell>
          <cell r="BQ59">
            <v>114426550</v>
          </cell>
          <cell r="BR59">
            <v>9465610</v>
          </cell>
          <cell r="BS59">
            <v>-80164910</v>
          </cell>
          <cell r="BT59">
            <v>-66274040</v>
          </cell>
          <cell r="BU59">
            <v>-33062790</v>
          </cell>
          <cell r="BV59">
            <v>67324430</v>
          </cell>
          <cell r="BW59">
            <v>-6.3372465989072049E-2</v>
          </cell>
          <cell r="BX59">
            <v>4.4404770654099694E-2</v>
          </cell>
          <cell r="BY59">
            <v>550035370</v>
          </cell>
          <cell r="BZ59">
            <v>578599650</v>
          </cell>
          <cell r="CA59">
            <v>568656440</v>
          </cell>
          <cell r="CB59">
            <v>554246350</v>
          </cell>
          <cell r="CC59" t="str">
            <v>NULL</v>
          </cell>
          <cell r="CD59" t="str">
            <v>NULL</v>
          </cell>
          <cell r="CE59" t="str">
            <v>NULL</v>
          </cell>
          <cell r="CF59" t="str">
            <v>NULL</v>
          </cell>
          <cell r="CG59" t="str">
            <v>NULL</v>
          </cell>
          <cell r="CH59" t="str">
            <v>NULL</v>
          </cell>
          <cell r="CI59" t="str">
            <v>NULL</v>
          </cell>
          <cell r="CJ59" t="str">
            <v>NULL</v>
          </cell>
          <cell r="CK59">
            <v>550035370</v>
          </cell>
          <cell r="CL59">
            <v>578599650</v>
          </cell>
          <cell r="CM59">
            <v>568656440</v>
          </cell>
          <cell r="CN59">
            <v>554246350</v>
          </cell>
          <cell r="CO59">
            <v>0.1328154111700216</v>
          </cell>
          <cell r="CP59">
            <v>11328570</v>
          </cell>
          <cell r="CQ59">
            <v>19996390</v>
          </cell>
          <cell r="CR59">
            <v>136706120</v>
          </cell>
          <cell r="CS59">
            <v>93706890</v>
          </cell>
          <cell r="CT59">
            <v>82418550</v>
          </cell>
          <cell r="CU59">
            <v>71100470</v>
          </cell>
          <cell r="CV59">
            <v>86797700</v>
          </cell>
          <cell r="CW59">
            <v>56446230</v>
          </cell>
          <cell r="CX59">
            <v>-0.4334692411980362</v>
          </cell>
          <cell r="CY59">
            <v>0.22237495853634046</v>
          </cell>
          <cell r="CZ59">
            <v>0.45886945986575811</v>
          </cell>
          <cell r="DA59">
            <v>0.13696358404752318</v>
          </cell>
          <cell r="DB59">
            <v>0.15918432044120112</v>
          </cell>
          <cell r="DC59">
            <v>-0.1808484556618436</v>
          </cell>
          <cell r="DD59">
            <v>0.5377058839890636</v>
          </cell>
          <cell r="DE59">
            <v>0.28689742204248758</v>
          </cell>
          <cell r="DG59">
            <v>11.1480837581432</v>
          </cell>
          <cell r="DH59">
            <v>72534732</v>
          </cell>
          <cell r="DI59">
            <v>47.9</v>
          </cell>
          <cell r="DJ59">
            <v>3474290511.9000001</v>
          </cell>
          <cell r="DK59">
            <v>3935001441.9000001</v>
          </cell>
          <cell r="DM59">
            <v>550035370</v>
          </cell>
          <cell r="DN59" t="str">
            <v>NULL</v>
          </cell>
          <cell r="DO59" t="str">
            <v>NULL</v>
          </cell>
          <cell r="DP59" t="str">
            <v>NULL</v>
          </cell>
          <cell r="DQ59" t="str">
            <v>NULL</v>
          </cell>
          <cell r="DR59">
            <v>550035370</v>
          </cell>
          <cell r="DS59">
            <v>6.3164856323694236</v>
          </cell>
          <cell r="DT59">
            <v>0.15619</v>
          </cell>
          <cell r="DU59">
            <v>0.13708999999999999</v>
          </cell>
          <cell r="DV59">
            <v>0.19867000000000001</v>
          </cell>
          <cell r="DW59">
            <v>0.53876999999999997</v>
          </cell>
          <cell r="DX59">
            <v>1.0307200000000001</v>
          </cell>
          <cell r="DY59">
            <v>45.502173238124804</v>
          </cell>
          <cell r="DZ59">
            <v>1.7489398879367595</v>
          </cell>
          <cell r="EA59">
            <v>-125890180</v>
          </cell>
          <cell r="EB59">
            <v>-27.597788103091123</v>
          </cell>
          <cell r="EC59">
            <v>46.472368829555997</v>
          </cell>
          <cell r="ED59">
            <v>0.26840305340091702</v>
          </cell>
          <cell r="EE59">
            <v>0.27995131406245</v>
          </cell>
          <cell r="EG59">
            <v>0.38069734981046222</v>
          </cell>
          <cell r="EH59">
            <v>0.11528007866515821</v>
          </cell>
          <cell r="EK59">
            <v>1.1482254697286001</v>
          </cell>
          <cell r="EL59">
            <v>0</v>
          </cell>
        </row>
        <row r="60">
          <cell r="A60" t="str">
            <v>ROSE</v>
          </cell>
          <cell r="B60" t="str">
            <v>ROS.BA</v>
          </cell>
          <cell r="C60" t="str">
            <v>INSTITUTO ROSENBUSCH SA DE BIOLOGIA EXPERIMENTAL AGROPECUARIA</v>
          </cell>
          <cell r="D60">
            <v>42825</v>
          </cell>
          <cell r="E60">
            <v>164346840</v>
          </cell>
          <cell r="F60">
            <v>93557880</v>
          </cell>
          <cell r="G60">
            <v>1.7566299999999999</v>
          </cell>
          <cell r="H60">
            <v>1.0586100000000001</v>
          </cell>
          <cell r="I60">
            <v>1.6794100000000001</v>
          </cell>
          <cell r="J60">
            <v>0.97790999999999995</v>
          </cell>
          <cell r="K60">
            <v>6.7</v>
          </cell>
          <cell r="L60">
            <v>0</v>
          </cell>
          <cell r="M60">
            <v>0</v>
          </cell>
          <cell r="N60">
            <v>0</v>
          </cell>
          <cell r="O60">
            <v>0</v>
          </cell>
          <cell r="P60">
            <v>0</v>
          </cell>
          <cell r="Q60">
            <v>0</v>
          </cell>
          <cell r="R60">
            <v>0</v>
          </cell>
          <cell r="S60">
            <v>33.004587729199997</v>
          </cell>
          <cell r="T60">
            <v>43.116791910000003</v>
          </cell>
          <cell r="U60">
            <v>42825</v>
          </cell>
          <cell r="V60">
            <v>195283710</v>
          </cell>
          <cell r="W60">
            <v>197856840</v>
          </cell>
          <cell r="X60">
            <v>188618030</v>
          </cell>
          <cell r="Y60">
            <v>192505200</v>
          </cell>
          <cell r="Z60">
            <v>78816770</v>
          </cell>
          <cell r="AA60">
            <v>2.477692374351296</v>
          </cell>
          <cell r="AC60">
            <v>45054080</v>
          </cell>
          <cell r="AD60">
            <v>38137750</v>
          </cell>
          <cell r="AE60">
            <v>43397280</v>
          </cell>
          <cell r="AF60">
            <v>44896680</v>
          </cell>
          <cell r="AG60">
            <v>1.1073506857144786</v>
          </cell>
          <cell r="AH60">
            <v>29875980</v>
          </cell>
          <cell r="AI60">
            <v>35641520</v>
          </cell>
          <cell r="AJ60">
            <v>36744800</v>
          </cell>
          <cell r="AK60">
            <v>38146380</v>
          </cell>
          <cell r="AL60">
            <v>33157480</v>
          </cell>
          <cell r="AM60">
            <v>30027060</v>
          </cell>
          <cell r="AN60">
            <v>25205380</v>
          </cell>
          <cell r="AO60">
            <v>27689340</v>
          </cell>
          <cell r="AP60">
            <v>110.37537670381428</v>
          </cell>
          <cell r="AQ60">
            <v>73194530</v>
          </cell>
          <cell r="AR60">
            <v>61420260</v>
          </cell>
          <cell r="AS60">
            <v>72910710</v>
          </cell>
          <cell r="AT60">
            <v>77705860</v>
          </cell>
          <cell r="AU60">
            <v>151.77561709340463</v>
          </cell>
          <cell r="AV60">
            <v>65305530</v>
          </cell>
          <cell r="AW60">
            <v>69170310</v>
          </cell>
          <cell r="AX60">
            <v>62608010</v>
          </cell>
          <cell r="AY60">
            <v>60278420</v>
          </cell>
          <cell r="AZ60">
            <v>202.3126882226851</v>
          </cell>
          <cell r="BA60">
            <v>243.71292861227548</v>
          </cell>
          <cell r="BC60">
            <v>36.294119999999999</v>
          </cell>
          <cell r="BD60">
            <v>9.2446800000000007</v>
          </cell>
          <cell r="BE60">
            <v>6.0743200000000002</v>
          </cell>
          <cell r="BF60">
            <v>2003790</v>
          </cell>
          <cell r="BG60">
            <v>7525790</v>
          </cell>
          <cell r="BH60">
            <v>-411770</v>
          </cell>
          <cell r="BI60">
            <v>1868550</v>
          </cell>
          <cell r="BJ60">
            <v>6.4065716465486727E-2</v>
          </cell>
          <cell r="BK60">
            <v>-29120</v>
          </cell>
          <cell r="BL60">
            <v>-15756560</v>
          </cell>
          <cell r="BM60">
            <v>-4021000</v>
          </cell>
          <cell r="BN60">
            <v>-3861650</v>
          </cell>
          <cell r="BO60">
            <v>-3488180</v>
          </cell>
          <cell r="BP60">
            <v>-561940</v>
          </cell>
          <cell r="BQ60">
            <v>-805500</v>
          </cell>
          <cell r="BR60">
            <v>15839800</v>
          </cell>
          <cell r="BS60">
            <v>-448410</v>
          </cell>
          <cell r="BT60">
            <v>3526410</v>
          </cell>
          <cell r="BU60">
            <v>1658880</v>
          </cell>
          <cell r="BV60">
            <v>-2912790</v>
          </cell>
          <cell r="BW60">
            <v>-2.0262495218991615E-2</v>
          </cell>
          <cell r="BX60">
            <v>5.6757711176932492E-2</v>
          </cell>
          <cell r="BY60">
            <v>78816770</v>
          </cell>
          <cell r="BZ60">
            <v>75752250</v>
          </cell>
          <cell r="CA60">
            <v>67549300</v>
          </cell>
          <cell r="CB60">
            <v>68765180</v>
          </cell>
          <cell r="CC60" t="str">
            <v>NULL</v>
          </cell>
          <cell r="CD60" t="str">
            <v>NULL</v>
          </cell>
          <cell r="CE60" t="str">
            <v>NULL</v>
          </cell>
          <cell r="CF60" t="str">
            <v>NULL</v>
          </cell>
          <cell r="CG60" t="str">
            <v>NULL</v>
          </cell>
          <cell r="CH60" t="str">
            <v>NULL</v>
          </cell>
          <cell r="CI60" t="str">
            <v>NULL</v>
          </cell>
          <cell r="CJ60" t="str">
            <v>NULL</v>
          </cell>
          <cell r="CK60">
            <v>78816770</v>
          </cell>
          <cell r="CL60">
            <v>75752250</v>
          </cell>
          <cell r="CM60">
            <v>67549300</v>
          </cell>
          <cell r="CN60">
            <v>68765180</v>
          </cell>
          <cell r="CO60">
            <v>0.1510757399439982</v>
          </cell>
          <cell r="CP60">
            <v>2003790</v>
          </cell>
          <cell r="CQ60">
            <v>1180130</v>
          </cell>
          <cell r="CR60">
            <v>10162700</v>
          </cell>
          <cell r="CS60">
            <v>-727460</v>
          </cell>
          <cell r="CT60">
            <v>8346230</v>
          </cell>
          <cell r="CU60">
            <v>-9120270</v>
          </cell>
          <cell r="CV60">
            <v>9284000</v>
          </cell>
          <cell r="CW60">
            <v>6956820</v>
          </cell>
          <cell r="CX60">
            <v>0.69794005745129772</v>
          </cell>
          <cell r="CY60">
            <v>2.8300476180274359</v>
          </cell>
          <cell r="CZ60">
            <v>14.9701151953372</v>
          </cell>
          <cell r="DA60">
            <v>-1.0871603107031558</v>
          </cell>
          <cell r="DB60">
            <v>1.9151297055898564</v>
          </cell>
          <cell r="DC60">
            <v>-1.9823642826367944</v>
          </cell>
          <cell r="DD60">
            <v>0.33451778255007314</v>
          </cell>
          <cell r="DE60">
            <v>6.9453187649392518</v>
          </cell>
          <cell r="DG60">
            <v>18.448232176526801</v>
          </cell>
          <cell r="DH60">
            <v>42589465</v>
          </cell>
          <cell r="DI60">
            <v>6.8500000000000005</v>
          </cell>
          <cell r="DJ60">
            <v>291737835.25</v>
          </cell>
          <cell r="DK60">
            <v>319456045.25000101</v>
          </cell>
          <cell r="DM60">
            <v>78816770</v>
          </cell>
          <cell r="DN60" t="str">
            <v>NULL</v>
          </cell>
          <cell r="DO60" t="str">
            <v>NULL</v>
          </cell>
          <cell r="DP60">
            <v>920</v>
          </cell>
          <cell r="DQ60" t="str">
            <v>NULL</v>
          </cell>
          <cell r="DR60">
            <v>78815850</v>
          </cell>
          <cell r="DS60">
            <v>3.7015122624446732</v>
          </cell>
          <cell r="DT60">
            <v>4.7050000000000002E-2</v>
          </cell>
          <cell r="DU60">
            <v>0.17671000000000001</v>
          </cell>
          <cell r="DV60">
            <v>-9.6699999999999998E-3</v>
          </cell>
          <cell r="DW60">
            <v>4.3869999999999999E-2</v>
          </cell>
          <cell r="DX60">
            <v>0.25796000000000002</v>
          </cell>
          <cell r="DY60">
            <v>25.973019072724451</v>
          </cell>
          <cell r="DZ60">
            <v>1.7012362088427269</v>
          </cell>
          <cell r="EA60">
            <v>-3474730</v>
          </cell>
          <cell r="EB60">
            <v>-83.959857384602543</v>
          </cell>
          <cell r="EC60">
            <v>26.554504574352599</v>
          </cell>
          <cell r="ED60">
            <v>0.91477358488697302</v>
          </cell>
          <cell r="EE60">
            <v>0.75983404919969699</v>
          </cell>
          <cell r="EG60">
            <v>0.4034145901157366</v>
          </cell>
          <cell r="EH60">
            <v>-5.8591099043878381E-2</v>
          </cell>
          <cell r="EK60" t="str">
            <v>NULL</v>
          </cell>
          <cell r="EL60">
            <v>0</v>
          </cell>
        </row>
        <row r="61">
          <cell r="A61" t="str">
            <v>SAMI</v>
          </cell>
          <cell r="B61" t="str">
            <v>SMI.BA</v>
          </cell>
          <cell r="C61" t="str">
            <v>S.A. SAN MIGUEL AGICI Y F-B</v>
          </cell>
          <cell r="D61">
            <v>42825</v>
          </cell>
          <cell r="E61">
            <v>2926612630</v>
          </cell>
          <cell r="F61">
            <v>1628890640</v>
          </cell>
          <cell r="G61">
            <v>1.7966899999999999</v>
          </cell>
          <cell r="H61">
            <v>1.13988</v>
          </cell>
          <cell r="I61">
            <v>1.6522399999999999</v>
          </cell>
          <cell r="J61">
            <v>0.90844000000000003</v>
          </cell>
          <cell r="K61">
            <v>118.95</v>
          </cell>
          <cell r="L61">
            <v>0</v>
          </cell>
          <cell r="M61">
            <v>0</v>
          </cell>
          <cell r="N61">
            <v>0</v>
          </cell>
          <cell r="O61">
            <v>7.4510000000000007E-2</v>
          </cell>
          <cell r="P61">
            <v>7.4510000000000007E-2</v>
          </cell>
          <cell r="Q61">
            <v>6.2639764606977721E-4</v>
          </cell>
          <cell r="R61">
            <v>0</v>
          </cell>
          <cell r="S61">
            <v>103.935945303</v>
          </cell>
          <cell r="T61">
            <v>119.850951158</v>
          </cell>
          <cell r="U61">
            <v>42825</v>
          </cell>
          <cell r="V61">
            <v>5209527950</v>
          </cell>
          <cell r="W61">
            <v>4091618430</v>
          </cell>
          <cell r="X61">
            <v>5469277860</v>
          </cell>
          <cell r="Y61">
            <v>4896698290</v>
          </cell>
          <cell r="Z61">
            <v>1964178210</v>
          </cell>
          <cell r="AA61">
            <v>2.6522684772070657</v>
          </cell>
          <cell r="AC61">
            <v>138761850</v>
          </cell>
          <cell r="AD61">
            <v>805539420</v>
          </cell>
          <cell r="AE61">
            <v>1937821140</v>
          </cell>
          <cell r="AF61">
            <v>1084231710</v>
          </cell>
          <cell r="AG61">
            <v>1.0083695459934776</v>
          </cell>
          <cell r="AH61">
            <v>662967750</v>
          </cell>
          <cell r="AI61">
            <v>543527850</v>
          </cell>
          <cell r="AJ61">
            <v>843930030</v>
          </cell>
          <cell r="AK61">
            <v>600068940</v>
          </cell>
          <cell r="AL61">
            <v>108167000</v>
          </cell>
          <cell r="AM61">
            <v>587144130</v>
          </cell>
          <cell r="AN61">
            <v>1253512710</v>
          </cell>
          <cell r="AO61">
            <v>609103770</v>
          </cell>
          <cell r="AP61">
            <v>94.552179102715101</v>
          </cell>
          <cell r="AQ61">
            <v>265598820</v>
          </cell>
          <cell r="AR61">
            <v>151056650</v>
          </cell>
          <cell r="AS61">
            <v>1266515370</v>
          </cell>
          <cell r="AT61">
            <v>922487320</v>
          </cell>
          <cell r="AU61">
            <v>59.945809150293421</v>
          </cell>
          <cell r="AV61">
            <v>1069878520</v>
          </cell>
          <cell r="AW61">
            <v>829302920</v>
          </cell>
          <cell r="AX61">
            <v>1162284690</v>
          </cell>
          <cell r="AY61">
            <v>1203190420</v>
          </cell>
          <cell r="AZ61">
            <v>152.13484098070313</v>
          </cell>
          <cell r="BA61">
            <v>117.52847102828146</v>
          </cell>
          <cell r="BC61">
            <v>35.559640000000002</v>
          </cell>
          <cell r="BD61">
            <v>17.499079999999999</v>
          </cell>
          <cell r="BE61">
            <v>5.7342700000000004</v>
          </cell>
          <cell r="BF61">
            <v>-84293570</v>
          </cell>
          <cell r="BG61">
            <v>11150350</v>
          </cell>
          <cell r="BH61">
            <v>171012190</v>
          </cell>
          <cell r="BI61">
            <v>142006020</v>
          </cell>
          <cell r="BJ61">
            <v>6.0477451771250322E-2</v>
          </cell>
          <cell r="BK61">
            <v>-78513670</v>
          </cell>
          <cell r="BL61">
            <v>-261439500</v>
          </cell>
          <cell r="BM61">
            <v>-181394030</v>
          </cell>
          <cell r="BN61">
            <v>-156299350</v>
          </cell>
          <cell r="BO61">
            <v>-45848900</v>
          </cell>
          <cell r="BP61">
            <v>-214058800</v>
          </cell>
          <cell r="BQ61">
            <v>-648798900</v>
          </cell>
          <cell r="BR61">
            <v>687511930</v>
          </cell>
          <cell r="BS61">
            <v>-389998780</v>
          </cell>
          <cell r="BT61">
            <v>-710695190</v>
          </cell>
          <cell r="BU61">
            <v>-244154030</v>
          </cell>
          <cell r="BV61">
            <v>-794643650</v>
          </cell>
          <cell r="BW61">
            <v>-0.25431477358859728</v>
          </cell>
          <cell r="BX61">
            <v>4.8787002701406366E-2</v>
          </cell>
          <cell r="BY61">
            <v>1964178210</v>
          </cell>
          <cell r="BZ61">
            <v>1369171320</v>
          </cell>
          <cell r="CA61">
            <v>1339812910</v>
          </cell>
          <cell r="CB61">
            <v>1132109360</v>
          </cell>
          <cell r="CC61" t="str">
            <v>NULL</v>
          </cell>
          <cell r="CD61" t="str">
            <v>NULL</v>
          </cell>
          <cell r="CE61" t="str">
            <v>NULL</v>
          </cell>
          <cell r="CF61" t="str">
            <v>NULL</v>
          </cell>
          <cell r="CG61" t="str">
            <v>NULL</v>
          </cell>
          <cell r="CH61" t="str">
            <v>NULL</v>
          </cell>
          <cell r="CI61" t="str">
            <v>NULL</v>
          </cell>
          <cell r="CJ61" t="str">
            <v>NULL</v>
          </cell>
          <cell r="CK61">
            <v>1964178210</v>
          </cell>
          <cell r="CL61">
            <v>1369171320</v>
          </cell>
          <cell r="CM61">
            <v>1339812910</v>
          </cell>
          <cell r="CN61">
            <v>1132109360</v>
          </cell>
          <cell r="CO61">
            <v>0.16528079873882909</v>
          </cell>
          <cell r="CP61">
            <v>-84293570</v>
          </cell>
          <cell r="CQ61">
            <v>-93426860</v>
          </cell>
          <cell r="CR61">
            <v>230741690</v>
          </cell>
          <cell r="CS61">
            <v>-65092850</v>
          </cell>
          <cell r="CT61">
            <v>298878460</v>
          </cell>
          <cell r="CU61">
            <v>93683650</v>
          </cell>
          <cell r="CV61">
            <v>20394660</v>
          </cell>
          <cell r="CW61">
            <v>105639260</v>
          </cell>
          <cell r="CX61">
            <v>9.7758717353874425E-2</v>
          </cell>
          <cell r="CY61">
            <v>1.6607821263818323</v>
          </cell>
          <cell r="CZ61">
            <v>4.544808531198127</v>
          </cell>
          <cell r="DA61">
            <v>-1.2177903687003742</v>
          </cell>
          <cell r="DB61">
            <v>2.1902947846289083</v>
          </cell>
          <cell r="DC61">
            <v>3.5935382104923548</v>
          </cell>
          <cell r="DD61">
            <v>-0.80694052570985453</v>
          </cell>
          <cell r="DE61">
            <v>2.5840555690947302</v>
          </cell>
          <cell r="DG61">
            <v>65.159156961986696</v>
          </cell>
          <cell r="DH61">
            <v>4071353020</v>
          </cell>
          <cell r="DI61">
            <v>118.3</v>
          </cell>
          <cell r="DJ61">
            <v>8417161880.3999996</v>
          </cell>
          <cell r="DK61">
            <v>49204059686</v>
          </cell>
          <cell r="DM61">
            <v>1964178210</v>
          </cell>
          <cell r="DN61" t="str">
            <v>NULL</v>
          </cell>
          <cell r="DO61" t="str">
            <v>NULL</v>
          </cell>
          <cell r="DP61" t="str">
            <v>NULL</v>
          </cell>
          <cell r="DQ61">
            <v>827760</v>
          </cell>
          <cell r="DR61">
            <v>1963350450</v>
          </cell>
          <cell r="DS61">
            <v>4.287141849994228</v>
          </cell>
          <cell r="DT61">
            <v>-0.11847000000000001</v>
          </cell>
          <cell r="DU61">
            <v>1.7309999999999999E-2</v>
          </cell>
          <cell r="DV61">
            <v>0.26545000000000002</v>
          </cell>
          <cell r="DW61">
            <v>0.22042999999999999</v>
          </cell>
          <cell r="DX61">
            <v>0.38472000000000001</v>
          </cell>
          <cell r="DY61">
            <v>309.18590143480975</v>
          </cell>
          <cell r="DZ61">
            <v>2.1221407937221701</v>
          </cell>
          <cell r="EA61">
            <v>-1008702450</v>
          </cell>
          <cell r="EB61">
            <v>-8.3445439043000231</v>
          </cell>
          <cell r="EC61">
            <v>30.671657309211898</v>
          </cell>
          <cell r="ED61">
            <v>0.53726784987274101</v>
          </cell>
          <cell r="EE61">
            <v>0.851865816018192</v>
          </cell>
          <cell r="EG61">
            <v>0.61689750403534105</v>
          </cell>
          <cell r="EH61">
            <v>0.44906268638506708</v>
          </cell>
          <cell r="EK61">
            <v>6.3141514406779994E-2</v>
          </cell>
          <cell r="EL61">
            <v>0</v>
          </cell>
        </row>
        <row r="62">
          <cell r="A62" t="str">
            <v>SEMI</v>
          </cell>
          <cell r="B62" t="str">
            <v>SEI.BA</v>
          </cell>
          <cell r="C62" t="str">
            <v>MOLINOS JUAN SEMINO SA</v>
          </cell>
          <cell r="D62">
            <v>42794</v>
          </cell>
          <cell r="E62">
            <v>223438600</v>
          </cell>
          <cell r="F62">
            <v>139028970</v>
          </cell>
          <cell r="G62">
            <v>1.60714</v>
          </cell>
          <cell r="H62">
            <v>0.89046000000000003</v>
          </cell>
          <cell r="I62">
            <v>1.50986</v>
          </cell>
          <cell r="J62">
            <v>0.85102999999999995</v>
          </cell>
          <cell r="K62">
            <v>3.95</v>
          </cell>
          <cell r="L62">
            <v>0</v>
          </cell>
          <cell r="M62">
            <v>5.4080000000000003E-2</v>
          </cell>
          <cell r="N62">
            <v>0</v>
          </cell>
          <cell r="O62">
            <v>0</v>
          </cell>
          <cell r="P62">
            <v>5.4080000000000003E-2</v>
          </cell>
          <cell r="Q62">
            <v>1.369113924050633E-2</v>
          </cell>
          <cell r="R62">
            <v>0</v>
          </cell>
          <cell r="S62">
            <v>37.217587483899997</v>
          </cell>
          <cell r="T62">
            <v>31.108273737000001</v>
          </cell>
          <cell r="U62">
            <v>42794</v>
          </cell>
          <cell r="V62">
            <v>335860320</v>
          </cell>
          <cell r="W62">
            <v>325073810</v>
          </cell>
          <cell r="X62">
            <v>292459210</v>
          </cell>
          <cell r="Y62">
            <v>261762080</v>
          </cell>
          <cell r="Z62">
            <v>175553480</v>
          </cell>
          <cell r="AA62">
            <v>1.9131510238361553</v>
          </cell>
          <cell r="AC62">
            <v>145218680</v>
          </cell>
          <cell r="AD62">
            <v>149373980</v>
          </cell>
          <cell r="AE62">
            <v>131743480</v>
          </cell>
          <cell r="AF62">
            <v>138942660</v>
          </cell>
          <cell r="AG62">
            <v>2.3258707653103907</v>
          </cell>
          <cell r="AH62">
            <v>64432330</v>
          </cell>
          <cell r="AI62">
            <v>70527050</v>
          </cell>
          <cell r="AJ62">
            <v>42131740</v>
          </cell>
          <cell r="AK62">
            <v>39192930</v>
          </cell>
          <cell r="AL62">
            <v>121936940</v>
          </cell>
          <cell r="AM62">
            <v>128875190</v>
          </cell>
          <cell r="AN62">
            <v>116761710</v>
          </cell>
          <cell r="AO62">
            <v>121791990</v>
          </cell>
          <cell r="AP62">
            <v>40.329582395444319</v>
          </cell>
          <cell r="AQ62">
            <v>97029220</v>
          </cell>
          <cell r="AR62">
            <v>86866330</v>
          </cell>
          <cell r="AS62">
            <v>87791020</v>
          </cell>
          <cell r="AT62">
            <v>77894150</v>
          </cell>
          <cell r="AU62">
            <v>56.430987151826677</v>
          </cell>
          <cell r="AV62">
            <v>99638620</v>
          </cell>
          <cell r="AW62">
            <v>93558090</v>
          </cell>
          <cell r="AX62">
            <v>60596540</v>
          </cell>
          <cell r="AY62">
            <v>47914480</v>
          </cell>
          <cell r="AZ62">
            <v>56.258178799488306</v>
          </cell>
          <cell r="BA62">
            <v>72.359583555870657</v>
          </cell>
          <cell r="BC62">
            <v>18.817810000000001</v>
          </cell>
          <cell r="BD62">
            <v>7.3083999999999998</v>
          </cell>
          <cell r="BE62">
            <v>6.6036200000000003</v>
          </cell>
          <cell r="BF62">
            <v>4605100</v>
          </cell>
          <cell r="BG62">
            <v>3080250</v>
          </cell>
          <cell r="BH62">
            <v>1109900</v>
          </cell>
          <cell r="BI62">
            <v>309850</v>
          </cell>
          <cell r="BJ62">
            <v>1.6107273083653589E-2</v>
          </cell>
          <cell r="BK62">
            <v>-14933560</v>
          </cell>
          <cell r="BL62">
            <v>-10685820</v>
          </cell>
          <cell r="BM62">
            <v>-3478190</v>
          </cell>
          <cell r="BN62">
            <v>-5592480</v>
          </cell>
          <cell r="BO62">
            <v>-4707190</v>
          </cell>
          <cell r="BP62">
            <v>-13704560</v>
          </cell>
          <cell r="BQ62">
            <v>-44688120</v>
          </cell>
          <cell r="BR62">
            <v>-25154170</v>
          </cell>
          <cell r="BS62">
            <v>-35067930</v>
          </cell>
          <cell r="BT62">
            <v>22687510</v>
          </cell>
          <cell r="BU62">
            <v>-1060220</v>
          </cell>
          <cell r="BV62">
            <v>-78695830</v>
          </cell>
          <cell r="BW62">
            <v>-0.16345985379250028</v>
          </cell>
          <cell r="BX62">
            <v>2.9971803935993635E-2</v>
          </cell>
          <cell r="BY62">
            <v>175553480</v>
          </cell>
          <cell r="BZ62">
            <v>170948380</v>
          </cell>
          <cell r="CA62">
            <v>176360070</v>
          </cell>
          <cell r="CB62">
            <v>175250170</v>
          </cell>
          <cell r="CC62" t="str">
            <v>NULL</v>
          </cell>
          <cell r="CD62" t="str">
            <v>NULL</v>
          </cell>
          <cell r="CE62" t="str">
            <v>NULL</v>
          </cell>
          <cell r="CF62" t="str">
            <v>NULL</v>
          </cell>
          <cell r="CG62" t="str">
            <v>NULL</v>
          </cell>
          <cell r="CH62" t="str">
            <v>NULL</v>
          </cell>
          <cell r="CI62" t="str">
            <v>NULL</v>
          </cell>
          <cell r="CJ62" t="str">
            <v>NULL</v>
          </cell>
          <cell r="CK62">
            <v>175553480</v>
          </cell>
          <cell r="CL62">
            <v>170948380</v>
          </cell>
          <cell r="CM62">
            <v>176360070</v>
          </cell>
          <cell r="CN62">
            <v>175250170</v>
          </cell>
          <cell r="CO62">
            <v>5.2169844928916145E-2</v>
          </cell>
          <cell r="CP62">
            <v>4605100</v>
          </cell>
          <cell r="CQ62">
            <v>14327390</v>
          </cell>
          <cell r="CR62">
            <v>29991510</v>
          </cell>
          <cell r="CS62">
            <v>12648910</v>
          </cell>
          <cell r="CT62">
            <v>19103400</v>
          </cell>
          <cell r="CU62">
            <v>-3874310</v>
          </cell>
          <cell r="CV62">
            <v>6785330</v>
          </cell>
          <cell r="CW62">
            <v>12343720</v>
          </cell>
          <cell r="CX62">
            <v>-0.67858067659217758</v>
          </cell>
          <cell r="CY62">
            <v>0.9885413483397123</v>
          </cell>
          <cell r="CZ62">
            <v>1.3710746617692751</v>
          </cell>
          <cell r="DA62">
            <v>-0.3378712689887664</v>
          </cell>
          <cell r="DB62">
            <v>5.9307876757409703</v>
          </cell>
          <cell r="DC62">
            <v>-1.5709832830532928</v>
          </cell>
          <cell r="DD62">
            <v>-0.45030104376962532</v>
          </cell>
          <cell r="DE62">
            <v>2.9560503503848352</v>
          </cell>
          <cell r="DG62">
            <v>19.3399496701497</v>
          </cell>
          <cell r="DH62">
            <v>157000000</v>
          </cell>
          <cell r="DI62">
            <v>3.87</v>
          </cell>
          <cell r="DJ62">
            <v>607590000</v>
          </cell>
          <cell r="DK62">
            <v>660319260.00000095</v>
          </cell>
          <cell r="DM62">
            <v>175553480</v>
          </cell>
          <cell r="DN62" t="str">
            <v>NULL</v>
          </cell>
          <cell r="DO62" t="str">
            <v>NULL</v>
          </cell>
          <cell r="DP62" t="str">
            <v>NULL</v>
          </cell>
          <cell r="DQ62" t="str">
            <v>NULL</v>
          </cell>
          <cell r="DR62">
            <v>175553480</v>
          </cell>
          <cell r="DS62">
            <v>3.4609966148207372</v>
          </cell>
          <cell r="DT62">
            <v>2.9329999999999998E-2</v>
          </cell>
          <cell r="DU62">
            <v>1.9619999999999999E-2</v>
          </cell>
          <cell r="DV62">
            <v>7.0699999999999999E-3</v>
          </cell>
          <cell r="DW62">
            <v>1.97E-3</v>
          </cell>
          <cell r="DX62">
            <v>5.7989999999999993E-2</v>
          </cell>
          <cell r="DY62">
            <v>68.115192274530102</v>
          </cell>
          <cell r="DZ62">
            <v>1.0748501447427359</v>
          </cell>
          <cell r="EA62">
            <v>-92400390</v>
          </cell>
          <cell r="EB62">
            <v>-6.5756215964023532</v>
          </cell>
          <cell r="EC62">
            <v>66.735644076564895</v>
          </cell>
          <cell r="ED62">
            <v>0.59140763301391397</v>
          </cell>
          <cell r="EE62">
            <v>0.63581890684824005</v>
          </cell>
          <cell r="EG62">
            <v>0.50609708153393362</v>
          </cell>
          <cell r="EH62">
            <v>4.1643977467504811E-2</v>
          </cell>
          <cell r="EK62">
            <v>1.3976415788113701</v>
          </cell>
          <cell r="EL62">
            <v>0</v>
          </cell>
        </row>
        <row r="63">
          <cell r="A63" t="str">
            <v>TECO2</v>
          </cell>
          <cell r="B63" t="str">
            <v>TEC2.BA</v>
          </cell>
          <cell r="C63" t="str">
            <v>TELECOM ARGENTINA SA</v>
          </cell>
          <cell r="D63">
            <v>42825</v>
          </cell>
          <cell r="E63">
            <v>16308000000</v>
          </cell>
          <cell r="F63">
            <v>15973000000</v>
          </cell>
          <cell r="G63">
            <v>1.0209699999999999</v>
          </cell>
          <cell r="H63">
            <v>0.94403000000000004</v>
          </cell>
          <cell r="I63">
            <v>0.94252000000000002</v>
          </cell>
          <cell r="J63">
            <v>0.86512</v>
          </cell>
          <cell r="K63">
            <v>97.25</v>
          </cell>
          <cell r="L63">
            <v>0</v>
          </cell>
          <cell r="M63">
            <v>0</v>
          </cell>
          <cell r="N63">
            <v>1.34137</v>
          </cell>
          <cell r="O63">
            <v>0.72228000000000003</v>
          </cell>
          <cell r="P63">
            <v>2.06365</v>
          </cell>
          <cell r="Q63">
            <v>2.1220051413881749E-2</v>
          </cell>
          <cell r="R63">
            <v>0</v>
          </cell>
          <cell r="S63">
            <v>42.9995298543</v>
          </cell>
          <cell r="T63">
            <v>60.819197352000003</v>
          </cell>
          <cell r="U63">
            <v>42825</v>
          </cell>
          <cell r="V63">
            <v>48870000000</v>
          </cell>
          <cell r="W63">
            <v>47914000000</v>
          </cell>
          <cell r="X63">
            <v>42995000000</v>
          </cell>
          <cell r="Y63">
            <v>41677000000</v>
          </cell>
          <cell r="Z63">
            <v>21270000000</v>
          </cell>
          <cell r="AA63">
            <v>2.2976022566995771</v>
          </cell>
          <cell r="AC63">
            <v>14742000000</v>
          </cell>
          <cell r="AD63">
            <v>14471000000</v>
          </cell>
          <cell r="AE63">
            <v>13426000000</v>
          </cell>
          <cell r="AF63">
            <v>12960000000</v>
          </cell>
          <cell r="AG63">
            <v>1.532023930821109</v>
          </cell>
          <cell r="AH63">
            <v>9015000000</v>
          </cell>
          <cell r="AI63">
            <v>8979000000</v>
          </cell>
          <cell r="AJ63">
            <v>9728000000</v>
          </cell>
          <cell r="AK63">
            <v>10030000000</v>
          </cell>
          <cell r="AL63">
            <v>2227000000</v>
          </cell>
          <cell r="AM63">
            <v>2506000000</v>
          </cell>
          <cell r="AN63">
            <v>2505000000</v>
          </cell>
          <cell r="AO63">
            <v>2597000000</v>
          </cell>
          <cell r="AP63">
            <v>350.26639552618201</v>
          </cell>
          <cell r="AQ63">
            <v>8042000000</v>
          </cell>
          <cell r="AR63">
            <v>7556000000</v>
          </cell>
          <cell r="AS63">
            <v>7958000000</v>
          </cell>
          <cell r="AT63">
            <v>7701000000</v>
          </cell>
          <cell r="AU63">
            <v>51.299506286084281</v>
          </cell>
          <cell r="AV63">
            <v>1229000000</v>
          </cell>
          <cell r="AW63">
            <v>1278000000</v>
          </cell>
          <cell r="AX63">
            <v>2243000000</v>
          </cell>
          <cell r="AY63">
            <v>2469000000</v>
          </cell>
          <cell r="AZ63">
            <v>66.97852058973055</v>
          </cell>
          <cell r="BA63">
            <v>-231.98836865036719</v>
          </cell>
          <cell r="BC63">
            <v>80.888170000000002</v>
          </cell>
          <cell r="BD63">
            <v>14.70847</v>
          </cell>
          <cell r="BE63">
            <v>7.4545700000000004</v>
          </cell>
          <cell r="BF63">
            <v>1955000000</v>
          </cell>
          <cell r="BG63">
            <v>1504000000</v>
          </cell>
          <cell r="BH63">
            <v>746000000</v>
          </cell>
          <cell r="BI63">
            <v>800000000</v>
          </cell>
          <cell r="BJ63">
            <v>9.0019604669148726E-2</v>
          </cell>
          <cell r="BK63">
            <v>-2626000000</v>
          </cell>
          <cell r="BL63">
            <v>-11339000000</v>
          </cell>
          <cell r="BM63">
            <v>-8125000000</v>
          </cell>
          <cell r="BN63">
            <v>-5054000000</v>
          </cell>
          <cell r="BO63">
            <v>-2211000000</v>
          </cell>
          <cell r="BP63">
            <v>-8540000000</v>
          </cell>
          <cell r="BQ63">
            <v>5568000000</v>
          </cell>
          <cell r="BR63">
            <v>11365000000</v>
          </cell>
          <cell r="BS63">
            <v>6359000000</v>
          </cell>
          <cell r="BT63">
            <v>3211000000</v>
          </cell>
          <cell r="BU63">
            <v>1435000000</v>
          </cell>
          <cell r="BV63">
            <v>10492000000</v>
          </cell>
          <cell r="BW63">
            <v>3.5108545117717944E-2</v>
          </cell>
          <cell r="BX63">
            <v>0.11032977691561591</v>
          </cell>
          <cell r="BY63">
            <v>21270000000</v>
          </cell>
          <cell r="BZ63">
            <v>19336000000</v>
          </cell>
          <cell r="CA63">
            <v>17843000000</v>
          </cell>
          <cell r="CB63">
            <v>17074000000</v>
          </cell>
          <cell r="CC63" t="str">
            <v>NULL</v>
          </cell>
          <cell r="CD63" t="str">
            <v>NULL</v>
          </cell>
          <cell r="CE63" t="str">
            <v>NULL</v>
          </cell>
          <cell r="CF63" t="str">
            <v>NULL</v>
          </cell>
          <cell r="CG63" t="str">
            <v>NULL</v>
          </cell>
          <cell r="CH63" t="str">
            <v>NULL</v>
          </cell>
          <cell r="CI63" t="str">
            <v>NULL</v>
          </cell>
          <cell r="CJ63" t="str">
            <v>NULL</v>
          </cell>
          <cell r="CK63">
            <v>21270000000</v>
          </cell>
          <cell r="CL63">
            <v>19336000000</v>
          </cell>
          <cell r="CM63">
            <v>17843000000</v>
          </cell>
          <cell r="CN63">
            <v>17074000000</v>
          </cell>
          <cell r="CO63">
            <v>0.26508480860135325</v>
          </cell>
          <cell r="CP63">
            <v>1955000000</v>
          </cell>
          <cell r="CQ63">
            <v>925000000</v>
          </cell>
          <cell r="CR63">
            <v>3975000000</v>
          </cell>
          <cell r="CS63">
            <v>3403000000</v>
          </cell>
          <cell r="CT63">
            <v>3673000000</v>
          </cell>
          <cell r="CU63">
            <v>3202000000</v>
          </cell>
          <cell r="CV63">
            <v>2685000000</v>
          </cell>
          <cell r="CW63">
            <v>2513000000</v>
          </cell>
          <cell r="CX63">
            <v>1.1135135135135137</v>
          </cell>
          <cell r="CY63">
            <v>0.10053369112719952</v>
          </cell>
          <cell r="CZ63">
            <v>0.16808698207464001</v>
          </cell>
          <cell r="DA63">
            <v>-7.3509392866866308E-2</v>
          </cell>
          <cell r="DB63">
            <v>0.1470955652717052</v>
          </cell>
          <cell r="DC63">
            <v>0.19255121042830536</v>
          </cell>
          <cell r="DD63">
            <v>6.8444090728213336E-2</v>
          </cell>
          <cell r="DE63">
            <v>0.1078418015427457</v>
          </cell>
          <cell r="DG63">
            <v>3.0690498570892801</v>
          </cell>
          <cell r="DH63">
            <v>482111931</v>
          </cell>
          <cell r="DI63">
            <v>93.350000000000009</v>
          </cell>
          <cell r="DJ63">
            <v>91891964296.300003</v>
          </cell>
          <cell r="DK63">
            <v>49092521514.000099</v>
          </cell>
          <cell r="DM63">
            <v>21270000000</v>
          </cell>
          <cell r="DN63" t="str">
            <v>NULL</v>
          </cell>
          <cell r="DO63" t="str">
            <v>NULL</v>
          </cell>
          <cell r="DP63">
            <v>7387000000</v>
          </cell>
          <cell r="DQ63" t="str">
            <v>NULL</v>
          </cell>
          <cell r="DR63">
            <v>13883000000</v>
          </cell>
          <cell r="DS63">
            <v>6.6190278971619971</v>
          </cell>
          <cell r="DT63">
            <v>2.0172099999999999</v>
          </cell>
          <cell r="DU63">
            <v>1.55186</v>
          </cell>
          <cell r="DV63">
            <v>0.76973999999999998</v>
          </cell>
          <cell r="DW63">
            <v>0.82545999999999997</v>
          </cell>
          <cell r="DX63">
            <v>5.1642699999999992</v>
          </cell>
          <cell r="DY63">
            <v>18.831315945912976</v>
          </cell>
          <cell r="DZ63">
            <v>1.6527628967481429</v>
          </cell>
          <cell r="EA63">
            <v>1952000000</v>
          </cell>
          <cell r="EB63">
            <v>47.075801381301233</v>
          </cell>
          <cell r="EC63">
            <v>18.201991762630499</v>
          </cell>
          <cell r="ED63">
            <v>0.92076062354339105</v>
          </cell>
          <cell r="EE63">
            <v>0.63088790321617105</v>
          </cell>
          <cell r="EG63">
            <v>0.43350639069840513</v>
          </cell>
          <cell r="EH63">
            <v>5.4814936892813693E-2</v>
          </cell>
          <cell r="EK63">
            <v>2.0032710314893598</v>
          </cell>
          <cell r="EL63">
            <v>0</v>
          </cell>
        </row>
        <row r="64">
          <cell r="A64" t="str">
            <v>TGLT</v>
          </cell>
          <cell r="B64" t="str">
            <v>TGLT.BA</v>
          </cell>
          <cell r="C64" t="str">
            <v>TGLT SA</v>
          </cell>
          <cell r="D64">
            <v>42825</v>
          </cell>
          <cell r="E64">
            <v>3788286620</v>
          </cell>
          <cell r="F64">
            <v>4184613410</v>
          </cell>
          <cell r="G64">
            <v>0.90529000000000004</v>
          </cell>
          <cell r="H64">
            <v>0.12250999999999999</v>
          </cell>
          <cell r="I64">
            <v>0.94203999999999999</v>
          </cell>
          <cell r="J64">
            <v>0.11119999999999999</v>
          </cell>
          <cell r="K64">
            <v>10.8</v>
          </cell>
          <cell r="L64">
            <v>0</v>
          </cell>
          <cell r="M64" t="str">
            <v>NULL</v>
          </cell>
          <cell r="N64">
            <v>0</v>
          </cell>
          <cell r="O64">
            <v>0</v>
          </cell>
          <cell r="P64">
            <v>0</v>
          </cell>
          <cell r="Q64">
            <v>0</v>
          </cell>
          <cell r="R64">
            <v>0</v>
          </cell>
          <cell r="S64">
            <v>738.54430804389995</v>
          </cell>
          <cell r="T64">
            <v>486.07409786900001</v>
          </cell>
          <cell r="U64">
            <v>42825</v>
          </cell>
          <cell r="V64">
            <v>4782729380</v>
          </cell>
          <cell r="W64">
            <v>4973889600</v>
          </cell>
          <cell r="X64">
            <v>4715129250</v>
          </cell>
          <cell r="Y64">
            <v>4732198170</v>
          </cell>
          <cell r="Z64">
            <v>102842500</v>
          </cell>
          <cell r="AA64">
            <v>46.505378418455408</v>
          </cell>
          <cell r="AC64">
            <v>313189600</v>
          </cell>
          <cell r="AD64">
            <v>272946100</v>
          </cell>
          <cell r="AE64">
            <v>115646280</v>
          </cell>
          <cell r="AF64">
            <v>148229540</v>
          </cell>
          <cell r="AG64">
            <v>0.22131118436929867</v>
          </cell>
          <cell r="AH64">
            <v>507560520</v>
          </cell>
          <cell r="AI64">
            <v>525504430</v>
          </cell>
          <cell r="AJ64">
            <v>477718850</v>
          </cell>
          <cell r="AK64">
            <v>511280020</v>
          </cell>
          <cell r="AL64">
            <v>276734060</v>
          </cell>
          <cell r="AM64">
            <v>244757770</v>
          </cell>
          <cell r="AN64">
            <v>133718940</v>
          </cell>
          <cell r="AO64">
            <v>132894550</v>
          </cell>
          <cell r="AP64">
            <v>234.12267230349363</v>
          </cell>
          <cell r="AQ64">
            <v>28384890</v>
          </cell>
          <cell r="AR64">
            <v>21390830</v>
          </cell>
          <cell r="AS64">
            <v>21850970</v>
          </cell>
          <cell r="AT64">
            <v>20240170</v>
          </cell>
          <cell r="AU64">
            <v>9.8620439579454171</v>
          </cell>
          <cell r="AV64">
            <v>3275616260</v>
          </cell>
          <cell r="AW64">
            <v>3466638000</v>
          </cell>
          <cell r="AX64">
            <v>3811050500</v>
          </cell>
          <cell r="AY64">
            <v>3625712040</v>
          </cell>
          <cell r="AZ64">
            <v>1641.7035263763983</v>
          </cell>
          <cell r="BA64">
            <v>1417.4428980308501</v>
          </cell>
          <cell r="BC64">
            <v>8.3731100000000005</v>
          </cell>
          <cell r="BD64">
            <v>-27.29074</v>
          </cell>
          <cell r="BE64">
            <v>0.66310999999999998</v>
          </cell>
          <cell r="BF64">
            <v>-40228330</v>
          </cell>
          <cell r="BG64">
            <v>117690770</v>
          </cell>
          <cell r="BH64">
            <v>-37810340</v>
          </cell>
          <cell r="BI64">
            <v>-44408710</v>
          </cell>
          <cell r="BJ64">
            <v>-5.5959359233154864E-3</v>
          </cell>
          <cell r="BK64">
            <v>-224840</v>
          </cell>
          <cell r="BL64">
            <v>-3795350</v>
          </cell>
          <cell r="BM64">
            <v>-2830360</v>
          </cell>
          <cell r="BN64">
            <v>-2349820</v>
          </cell>
          <cell r="BO64">
            <v>-1055660</v>
          </cell>
          <cell r="BP64">
            <v>-1999540</v>
          </cell>
          <cell r="BQ64">
            <v>-102143140</v>
          </cell>
          <cell r="BR64">
            <v>-311135670</v>
          </cell>
          <cell r="BS64">
            <v>-148834310</v>
          </cell>
          <cell r="BT64">
            <v>-98474960</v>
          </cell>
          <cell r="BU64">
            <v>126257510</v>
          </cell>
          <cell r="BV64">
            <v>-377234960</v>
          </cell>
          <cell r="BW64">
            <v>-0.44615218861974953</v>
          </cell>
          <cell r="BX64">
            <v>-9.9075677486789898E-4</v>
          </cell>
          <cell r="BY64">
            <v>102842500</v>
          </cell>
          <cell r="BZ64">
            <v>147742170</v>
          </cell>
          <cell r="CA64">
            <v>33796370</v>
          </cell>
          <cell r="CB64">
            <v>85804910</v>
          </cell>
          <cell r="CC64" t="str">
            <v>NULL</v>
          </cell>
          <cell r="CD64" t="str">
            <v>NULL</v>
          </cell>
          <cell r="CE64" t="str">
            <v>NULL</v>
          </cell>
          <cell r="CF64" t="str">
            <v>NULL</v>
          </cell>
          <cell r="CG64" t="str">
            <v>NULL</v>
          </cell>
          <cell r="CH64" t="str">
            <v>NULL</v>
          </cell>
          <cell r="CI64" t="str">
            <v>NULL</v>
          </cell>
          <cell r="CJ64" t="str">
            <v>NULL</v>
          </cell>
          <cell r="CK64">
            <v>102842500</v>
          </cell>
          <cell r="CL64">
            <v>147742170</v>
          </cell>
          <cell r="CM64">
            <v>33796370</v>
          </cell>
          <cell r="CN64">
            <v>85804910</v>
          </cell>
          <cell r="CO64">
            <v>-5.139698035541327E-2</v>
          </cell>
          <cell r="CP64">
            <v>-40228330</v>
          </cell>
          <cell r="CQ64">
            <v>-30695150</v>
          </cell>
          <cell r="CR64">
            <v>4776570</v>
          </cell>
          <cell r="CS64">
            <v>-45076830</v>
          </cell>
          <cell r="CT64">
            <v>-18712940</v>
          </cell>
          <cell r="CU64">
            <v>-55850760</v>
          </cell>
          <cell r="CV64">
            <v>-142481430</v>
          </cell>
          <cell r="CW64">
            <v>-45241820</v>
          </cell>
          <cell r="CX64">
            <v>-0.3105761007846517</v>
          </cell>
          <cell r="CY64">
            <v>-0.23585254091702593</v>
          </cell>
          <cell r="CZ64">
            <v>1.1059650822828491</v>
          </cell>
          <cell r="DA64">
            <v>-1.4088587896931215</v>
          </cell>
          <cell r="DB64">
            <v>0.66494744207598966</v>
          </cell>
          <cell r="DC64">
            <v>0.60801376010894892</v>
          </cell>
          <cell r="DD64">
            <v>-2.1493301993597957</v>
          </cell>
          <cell r="DE64">
            <v>1.4458013250724175</v>
          </cell>
          <cell r="DG64" t="str">
            <v>NULL</v>
          </cell>
          <cell r="DH64">
            <v>70349485</v>
          </cell>
          <cell r="DI64">
            <v>11</v>
          </cell>
          <cell r="DJ64">
            <v>773844335</v>
          </cell>
          <cell r="DK64">
            <v>1688555625</v>
          </cell>
          <cell r="DM64">
            <v>102842500</v>
          </cell>
          <cell r="DN64" t="str">
            <v>NULL</v>
          </cell>
          <cell r="DO64" t="str">
            <v>NULL</v>
          </cell>
          <cell r="DP64">
            <v>879740</v>
          </cell>
          <cell r="DQ64">
            <v>54811470</v>
          </cell>
          <cell r="DR64">
            <v>47151290</v>
          </cell>
          <cell r="DS64">
            <v>16.411944084668733</v>
          </cell>
          <cell r="DT64">
            <v>-0.57191999999999998</v>
          </cell>
          <cell r="DU64">
            <v>1.6738999999999999</v>
          </cell>
          <cell r="DV64">
            <v>-0.53746000000000005</v>
          </cell>
          <cell r="DW64">
            <v>-0.63126000000000004</v>
          </cell>
          <cell r="DX64">
            <v>-6.6740000000000133E-2</v>
          </cell>
          <cell r="DY64">
            <v>-161.8219958046146</v>
          </cell>
          <cell r="DZ64">
            <v>0.91039276150045589</v>
          </cell>
          <cell r="EA64">
            <v>-379234500</v>
          </cell>
          <cell r="EB64">
            <v>-2.0405430808642144</v>
          </cell>
          <cell r="EC64" t="str">
            <v>NULL</v>
          </cell>
          <cell r="ED64">
            <v>0.52859350030060603</v>
          </cell>
          <cell r="EE64">
            <v>0.25738051179750399</v>
          </cell>
          <cell r="EG64" t="str">
            <v>-</v>
          </cell>
          <cell r="EH64" t="str">
            <v>-</v>
          </cell>
          <cell r="EK64" t="str">
            <v>NULL</v>
          </cell>
          <cell r="EL64">
            <v>0</v>
          </cell>
        </row>
        <row r="65">
          <cell r="A65" t="str">
            <v>TGNO4</v>
          </cell>
          <cell r="B65" t="str">
            <v>TGNC.BA</v>
          </cell>
          <cell r="C65" t="str">
            <v>TRANSPORTADORA DE GAS DEL NORTE SA</v>
          </cell>
          <cell r="D65">
            <v>42825</v>
          </cell>
          <cell r="E65">
            <v>974853000</v>
          </cell>
          <cell r="F65">
            <v>1076792000</v>
          </cell>
          <cell r="G65">
            <v>0.90532999999999997</v>
          </cell>
          <cell r="H65">
            <v>0.87448999999999999</v>
          </cell>
          <cell r="I65">
            <v>0.79239000000000004</v>
          </cell>
          <cell r="J65">
            <v>0.77300999999999997</v>
          </cell>
          <cell r="K65">
            <v>38</v>
          </cell>
          <cell r="L65">
            <v>0</v>
          </cell>
          <cell r="M65" t="str">
            <v>NULL</v>
          </cell>
          <cell r="N65">
            <v>0</v>
          </cell>
          <cell r="O65">
            <v>0</v>
          </cell>
          <cell r="P65">
            <v>0</v>
          </cell>
          <cell r="Q65">
            <v>0</v>
          </cell>
          <cell r="R65">
            <v>0</v>
          </cell>
          <cell r="S65">
            <v>1281.146753448</v>
          </cell>
          <cell r="T65">
            <v>6135.8035298750001</v>
          </cell>
          <cell r="U65">
            <v>42825</v>
          </cell>
          <cell r="V65">
            <v>4641566000</v>
          </cell>
          <cell r="W65">
            <v>4584665000</v>
          </cell>
          <cell r="X65">
            <v>4587045000</v>
          </cell>
          <cell r="Y65">
            <v>4467156000</v>
          </cell>
          <cell r="Z65">
            <v>258120000</v>
          </cell>
          <cell r="AA65">
            <v>17.982202076553541</v>
          </cell>
          <cell r="AB65">
            <v>0</v>
          </cell>
          <cell r="AC65">
            <v>633792000</v>
          </cell>
          <cell r="AD65">
            <v>632417000</v>
          </cell>
          <cell r="AE65">
            <v>336744000</v>
          </cell>
          <cell r="AF65">
            <v>666958000</v>
          </cell>
          <cell r="AG65">
            <v>0.62085668499587232</v>
          </cell>
          <cell r="AH65">
            <v>227477000</v>
          </cell>
          <cell r="AI65">
            <v>166320000</v>
          </cell>
          <cell r="AJ65">
            <v>389989000</v>
          </cell>
          <cell r="AK65">
            <v>431972000</v>
          </cell>
          <cell r="AL65">
            <v>274695000</v>
          </cell>
          <cell r="AM65">
            <v>285566000</v>
          </cell>
          <cell r="AN65">
            <v>329677000</v>
          </cell>
          <cell r="AO65">
            <v>268794000</v>
          </cell>
          <cell r="AP65">
            <v>95.740790363949557</v>
          </cell>
          <cell r="AQ65">
            <v>431761000</v>
          </cell>
          <cell r="AR65">
            <v>437855000</v>
          </cell>
          <cell r="AS65">
            <v>406926000</v>
          </cell>
          <cell r="AT65">
            <v>388115000</v>
          </cell>
          <cell r="AU65">
            <v>66.918901776325157</v>
          </cell>
          <cell r="AV65">
            <v>33207000</v>
          </cell>
          <cell r="AW65">
            <v>21542000</v>
          </cell>
          <cell r="AX65">
            <v>21542000</v>
          </cell>
          <cell r="AY65">
            <v>17694000</v>
          </cell>
          <cell r="AZ65">
            <v>7.4013069890190302</v>
          </cell>
          <cell r="BA65">
            <v>-21.420581598605366</v>
          </cell>
          <cell r="BB65">
            <v>0</v>
          </cell>
          <cell r="BC65">
            <v>41.204999999999998</v>
          </cell>
          <cell r="BD65">
            <v>11.33586</v>
          </cell>
          <cell r="BE65">
            <v>-14.102919999999999</v>
          </cell>
          <cell r="BF65">
            <v>202371000</v>
          </cell>
          <cell r="BG65">
            <v>17691000</v>
          </cell>
          <cell r="BH65">
            <v>-117157000</v>
          </cell>
          <cell r="BI65">
            <v>129168000</v>
          </cell>
          <cell r="BJ65">
            <v>0.10223881024410209</v>
          </cell>
          <cell r="BK65">
            <v>-128179000</v>
          </cell>
          <cell r="BL65">
            <v>-328610000</v>
          </cell>
          <cell r="BM65">
            <v>-265191000</v>
          </cell>
          <cell r="BN65">
            <v>-172072000</v>
          </cell>
          <cell r="BO65">
            <v>-50629000</v>
          </cell>
          <cell r="BP65">
            <v>-342741000</v>
          </cell>
          <cell r="BQ65">
            <v>258103000</v>
          </cell>
          <cell r="BR65">
            <v>577164000</v>
          </cell>
          <cell r="BS65">
            <v>313531000</v>
          </cell>
          <cell r="BT65">
            <v>227312000</v>
          </cell>
          <cell r="BU65">
            <v>-22778000</v>
          </cell>
          <cell r="BV65">
            <v>594412000</v>
          </cell>
          <cell r="BW65">
            <v>0.11087262892686101</v>
          </cell>
          <cell r="BX65">
            <v>5.0780638006804213E-2</v>
          </cell>
          <cell r="BY65">
            <v>258120000</v>
          </cell>
          <cell r="BZ65">
            <v>55866000</v>
          </cell>
          <cell r="CA65">
            <v>36539000</v>
          </cell>
          <cell r="CB65">
            <v>159028000</v>
          </cell>
          <cell r="CC65" t="str">
            <v>NULL</v>
          </cell>
          <cell r="CD65" t="str">
            <v>NULL</v>
          </cell>
          <cell r="CE65" t="str">
            <v>NULL</v>
          </cell>
          <cell r="CF65" t="str">
            <v>NULL</v>
          </cell>
          <cell r="CG65" t="str">
            <v>NULL</v>
          </cell>
          <cell r="CH65" t="str">
            <v>NULL</v>
          </cell>
          <cell r="CI65" t="str">
            <v>NULL</v>
          </cell>
          <cell r="CJ65" t="str">
            <v>NULL</v>
          </cell>
          <cell r="CK65">
            <v>258120000</v>
          </cell>
          <cell r="CL65">
            <v>55866000</v>
          </cell>
          <cell r="CM65">
            <v>36539000</v>
          </cell>
          <cell r="CN65">
            <v>159028000</v>
          </cell>
          <cell r="CO65">
            <v>1.8217771262263198</v>
          </cell>
          <cell r="CP65">
            <v>202371000</v>
          </cell>
          <cell r="CQ65">
            <v>-288528000</v>
          </cell>
          <cell r="CR65">
            <v>-258826000</v>
          </cell>
          <cell r="CS65">
            <v>-517663000</v>
          </cell>
          <cell r="CT65">
            <v>-256625000</v>
          </cell>
          <cell r="CU65">
            <v>28876000</v>
          </cell>
          <cell r="CV65">
            <v>214613000</v>
          </cell>
          <cell r="CW65">
            <v>-135931000</v>
          </cell>
          <cell r="CX65">
            <v>1.7013911994676425</v>
          </cell>
          <cell r="CY65">
            <v>-1.738187364650684</v>
          </cell>
          <cell r="CZ65">
            <v>0.50001062467280843</v>
          </cell>
          <cell r="DA65">
            <v>-1.0171962981003411</v>
          </cell>
          <cell r="DB65">
            <v>-9.8871381077711593</v>
          </cell>
          <cell r="DC65">
            <v>-0.86545083475837903</v>
          </cell>
          <cell r="DD65">
            <v>2.5788377927036512</v>
          </cell>
          <cell r="DE65">
            <v>4.7784184577927968</v>
          </cell>
          <cell r="DF65">
            <v>0</v>
          </cell>
          <cell r="DG65">
            <v>7.2697020393734801</v>
          </cell>
          <cell r="DH65">
            <v>439373355</v>
          </cell>
          <cell r="DI65">
            <v>37.1</v>
          </cell>
          <cell r="DJ65">
            <v>16300773136.9</v>
          </cell>
          <cell r="DK65">
            <v>6128387898</v>
          </cell>
          <cell r="DL65">
            <v>0</v>
          </cell>
          <cell r="DM65">
            <v>258120000</v>
          </cell>
          <cell r="DN65" t="str">
            <v>NULL</v>
          </cell>
          <cell r="DO65" t="str">
            <v>NULL</v>
          </cell>
          <cell r="DP65" t="str">
            <v>NULL</v>
          </cell>
          <cell r="DQ65" t="str">
            <v>NULL</v>
          </cell>
          <cell r="DR65">
            <v>258120000</v>
          </cell>
          <cell r="DS65">
            <v>63.151918243065239</v>
          </cell>
          <cell r="DT65">
            <v>0.46059</v>
          </cell>
          <cell r="DU65">
            <v>4.0259999999999997E-2</v>
          </cell>
          <cell r="DV65">
            <v>-0.26665</v>
          </cell>
          <cell r="DW65">
            <v>0.29398000000000002</v>
          </cell>
          <cell r="DX65">
            <v>0.52818000000000009</v>
          </cell>
          <cell r="DY65">
            <v>71.945170207126353</v>
          </cell>
          <cell r="DZ65">
            <v>7.1812388842117594</v>
          </cell>
          <cell r="EA65">
            <v>251671000</v>
          </cell>
          <cell r="EB65">
            <v>64.770168739743553</v>
          </cell>
          <cell r="EC65" t="str">
            <v>NULL</v>
          </cell>
          <cell r="ED65">
            <v>1.1981799405437199</v>
          </cell>
          <cell r="EE65">
            <v>1.01857485802424</v>
          </cell>
          <cell r="EF65">
            <v>0</v>
          </cell>
          <cell r="EG65">
            <v>0.5095313638040011</v>
          </cell>
          <cell r="EH65">
            <v>0.14120922021018156</v>
          </cell>
          <cell r="EK65" t="str">
            <v>NULL</v>
          </cell>
          <cell r="EL65">
            <v>0</v>
          </cell>
        </row>
        <row r="66">
          <cell r="A66" t="str">
            <v>TGSU2</v>
          </cell>
          <cell r="B66" t="str">
            <v>TGS2.BA</v>
          </cell>
          <cell r="C66" t="str">
            <v>TRANSPORTADORA DE GAS DEL SUR SA</v>
          </cell>
          <cell r="D66">
            <v>42825</v>
          </cell>
          <cell r="E66">
            <v>4154170000</v>
          </cell>
          <cell r="F66">
            <v>2218026000</v>
          </cell>
          <cell r="G66">
            <v>1.8729100000000001</v>
          </cell>
          <cell r="H66">
            <v>1.8467499999999999</v>
          </cell>
          <cell r="I66">
            <v>1.7588900000000001</v>
          </cell>
          <cell r="J66">
            <v>1.6974800000000001</v>
          </cell>
          <cell r="K66">
            <v>54.2</v>
          </cell>
          <cell r="L66">
            <v>0</v>
          </cell>
          <cell r="M66">
            <v>0</v>
          </cell>
          <cell r="N66">
            <v>0</v>
          </cell>
          <cell r="O66">
            <v>0</v>
          </cell>
          <cell r="P66">
            <v>0</v>
          </cell>
          <cell r="Q66">
            <v>0</v>
          </cell>
          <cell r="R66">
            <v>0</v>
          </cell>
          <cell r="S66">
            <v>116.1892263185</v>
          </cell>
          <cell r="T66">
            <v>153.80694585800001</v>
          </cell>
          <cell r="U66">
            <v>42825</v>
          </cell>
          <cell r="V66">
            <v>9799678000</v>
          </cell>
          <cell r="W66">
            <v>8931332000</v>
          </cell>
          <cell r="X66">
            <v>8297181000</v>
          </cell>
          <cell r="Y66">
            <v>6974323000</v>
          </cell>
          <cell r="Z66">
            <v>3191184000</v>
          </cell>
          <cell r="AA66">
            <v>3.0708595931792089</v>
          </cell>
          <cell r="AC66">
            <v>2555238000</v>
          </cell>
          <cell r="AD66">
            <v>2533776000</v>
          </cell>
          <cell r="AE66">
            <v>1547351000</v>
          </cell>
          <cell r="AF66">
            <v>1895347000</v>
          </cell>
          <cell r="AG66">
            <v>1.2545691848865839</v>
          </cell>
          <cell r="AH66">
            <v>820354000</v>
          </cell>
          <cell r="AI66">
            <v>961248000</v>
          </cell>
          <cell r="AJ66">
            <v>635321000</v>
          </cell>
          <cell r="AK66">
            <v>510445000</v>
          </cell>
          <cell r="AL66">
            <v>1408962000</v>
          </cell>
          <cell r="AM66">
            <v>1439432000</v>
          </cell>
          <cell r="AN66">
            <v>1027570000</v>
          </cell>
          <cell r="AO66">
            <v>995729000</v>
          </cell>
          <cell r="AP66">
            <v>54.831519555932616</v>
          </cell>
          <cell r="AQ66">
            <v>1043642000</v>
          </cell>
          <cell r="AR66">
            <v>1226439000</v>
          </cell>
          <cell r="AS66">
            <v>974977000</v>
          </cell>
          <cell r="AT66">
            <v>799422000</v>
          </cell>
          <cell r="AU66">
            <v>43.257297011432172</v>
          </cell>
          <cell r="AV66">
            <v>58029000</v>
          </cell>
          <cell r="AW66">
            <v>116863000</v>
          </cell>
          <cell r="AX66">
            <v>93342000</v>
          </cell>
          <cell r="AY66">
            <v>66973000</v>
          </cell>
          <cell r="AZ66">
            <v>6.2786466121736328</v>
          </cell>
          <cell r="BA66">
            <v>-5.2955759323268126</v>
          </cell>
          <cell r="BC66">
            <v>40.069629999999997</v>
          </cell>
          <cell r="BD66">
            <v>30.15089</v>
          </cell>
          <cell r="BE66">
            <v>12.573</v>
          </cell>
          <cell r="BF66">
            <v>664815000</v>
          </cell>
          <cell r="BG66">
            <v>462007000</v>
          </cell>
          <cell r="BH66">
            <v>151234000</v>
          </cell>
          <cell r="BI66">
            <v>369528000</v>
          </cell>
          <cell r="BJ66">
            <v>0.1931129414588772</v>
          </cell>
          <cell r="BK66">
            <v>-193154000</v>
          </cell>
          <cell r="BL66">
            <v>-596109000</v>
          </cell>
          <cell r="BM66">
            <v>-394243000</v>
          </cell>
          <cell r="BN66">
            <v>-206313000</v>
          </cell>
          <cell r="BO66">
            <v>-81082000</v>
          </cell>
          <cell r="BP66">
            <v>-506315000</v>
          </cell>
          <cell r="BQ66">
            <v>1090954000</v>
          </cell>
          <cell r="BR66">
            <v>2137514000</v>
          </cell>
          <cell r="BS66">
            <v>1348375000</v>
          </cell>
          <cell r="BT66">
            <v>1008591000</v>
          </cell>
          <cell r="BU66">
            <v>553331000</v>
          </cell>
          <cell r="BV66">
            <v>1885998000</v>
          </cell>
          <cell r="BW66">
            <v>0.16171232690461187</v>
          </cell>
          <cell r="BX66">
            <v>0.19381908055386729</v>
          </cell>
          <cell r="BY66">
            <v>3191184000</v>
          </cell>
          <cell r="BZ66">
            <v>2526369000</v>
          </cell>
          <cell r="CA66">
            <v>2064362000</v>
          </cell>
          <cell r="CB66">
            <v>1913128000</v>
          </cell>
          <cell r="CC66" t="str">
            <v>NULL</v>
          </cell>
          <cell r="CD66" t="str">
            <v>NULL</v>
          </cell>
          <cell r="CE66" t="str">
            <v>NULL</v>
          </cell>
          <cell r="CF66" t="str">
            <v>NULL</v>
          </cell>
          <cell r="CG66" t="str">
            <v>NULL</v>
          </cell>
          <cell r="CH66" t="str">
            <v>NULL</v>
          </cell>
          <cell r="CI66" t="str">
            <v>NULL</v>
          </cell>
          <cell r="CJ66" t="str">
            <v>NULL</v>
          </cell>
          <cell r="CK66">
            <v>3191184000</v>
          </cell>
          <cell r="CL66">
            <v>2526369000</v>
          </cell>
          <cell r="CM66">
            <v>2064362000</v>
          </cell>
          <cell r="CN66">
            <v>1913128000</v>
          </cell>
          <cell r="CO66">
            <v>0.67976346262724152</v>
          </cell>
          <cell r="CP66">
            <v>664815000</v>
          </cell>
          <cell r="CQ66">
            <v>-52092000</v>
          </cell>
          <cell r="CR66">
            <v>930675000</v>
          </cell>
          <cell r="CS66">
            <v>-172109000</v>
          </cell>
          <cell r="CT66">
            <v>104983000</v>
          </cell>
          <cell r="CU66">
            <v>107504000</v>
          </cell>
          <cell r="CV66">
            <v>232747000</v>
          </cell>
          <cell r="CW66">
            <v>230679000</v>
          </cell>
          <cell r="CX66">
            <v>13.762324349228289</v>
          </cell>
          <cell r="CY66">
            <v>0.64309644382360698</v>
          </cell>
          <cell r="CZ66">
            <v>6.4074743331261006</v>
          </cell>
          <cell r="DA66">
            <v>-2.6393987597992057</v>
          </cell>
          <cell r="DB66">
            <v>-2.3450290221759151E-2</v>
          </cell>
          <cell r="DC66">
            <v>-0.538107902572321</v>
          </cell>
          <cell r="DD66">
            <v>8.9648385852201251E-3</v>
          </cell>
          <cell r="DE66">
            <v>3.400164641670298</v>
          </cell>
          <cell r="DG66">
            <v>6.6052599131487897</v>
          </cell>
          <cell r="DH66">
            <v>794495283</v>
          </cell>
          <cell r="DI66">
            <v>52.9</v>
          </cell>
          <cell r="DJ66">
            <v>42028800470.699997</v>
          </cell>
          <cell r="DK66">
            <v>21726701248.100101</v>
          </cell>
          <cell r="DM66">
            <v>3191184000</v>
          </cell>
          <cell r="DN66" t="str">
            <v>NULL</v>
          </cell>
          <cell r="DO66" t="str">
            <v>NULL</v>
          </cell>
          <cell r="DP66" t="str">
            <v>NULL</v>
          </cell>
          <cell r="DQ66" t="str">
            <v>NULL</v>
          </cell>
          <cell r="DR66">
            <v>3191184000</v>
          </cell>
          <cell r="DS66">
            <v>13.170284280285937</v>
          </cell>
          <cell r="DT66">
            <v>0.83677999999999997</v>
          </cell>
          <cell r="DU66">
            <v>0.58150999999999997</v>
          </cell>
          <cell r="DV66">
            <v>0.19034999999999999</v>
          </cell>
          <cell r="DW66">
            <v>0.46511000000000002</v>
          </cell>
          <cell r="DX66">
            <v>2.07375</v>
          </cell>
          <cell r="DY66">
            <v>26.136226642555759</v>
          </cell>
          <cell r="DZ66">
            <v>4.9261860305059519</v>
          </cell>
          <cell r="EA66">
            <v>1379683000</v>
          </cell>
          <cell r="EB66">
            <v>30.462650094768144</v>
          </cell>
          <cell r="EC66">
            <v>25.509342977697401</v>
          </cell>
          <cell r="ED66">
            <v>1.05988408570556</v>
          </cell>
          <cell r="EE66">
            <v>0.88550218518639601</v>
          </cell>
          <cell r="EG66">
            <v>0.48813871899358002</v>
          </cell>
          <cell r="EH66">
            <v>0.1557763205362046</v>
          </cell>
          <cell r="EK66">
            <v>0.23729865784499099</v>
          </cell>
          <cell r="EL66">
            <v>0</v>
          </cell>
        </row>
        <row r="67">
          <cell r="A67" t="str">
            <v>TRAN</v>
          </cell>
          <cell r="B67" t="str">
            <v>TRA.BA</v>
          </cell>
          <cell r="C67" t="str">
            <v>COMPANIA DE TRANSPORTE DE ENERGIA ELECTRICA EN ALTA TENSION TRANSENER SA</v>
          </cell>
          <cell r="D67">
            <v>42825</v>
          </cell>
          <cell r="E67">
            <v>1518088940</v>
          </cell>
          <cell r="F67">
            <v>738489420</v>
          </cell>
          <cell r="G67">
            <v>2.0556700000000001</v>
          </cell>
          <cell r="H67">
            <v>2.0556700000000001</v>
          </cell>
          <cell r="I67">
            <v>1.51579</v>
          </cell>
          <cell r="J67">
            <v>1.51579</v>
          </cell>
          <cell r="K67">
            <v>25.8</v>
          </cell>
          <cell r="L67">
            <v>0</v>
          </cell>
          <cell r="M67" t="str">
            <v>NULL</v>
          </cell>
          <cell r="N67">
            <v>0</v>
          </cell>
          <cell r="O67">
            <v>0</v>
          </cell>
          <cell r="P67">
            <v>0</v>
          </cell>
          <cell r="Q67">
            <v>0</v>
          </cell>
          <cell r="R67">
            <v>0</v>
          </cell>
          <cell r="S67">
            <v>145.37845484229999</v>
          </cell>
          <cell r="T67">
            <v>262.49479310599997</v>
          </cell>
          <cell r="U67">
            <v>42825</v>
          </cell>
          <cell r="V67">
            <v>3622320940</v>
          </cell>
          <cell r="W67">
            <v>3345621440</v>
          </cell>
          <cell r="X67">
            <v>3174709230</v>
          </cell>
          <cell r="Y67">
            <v>2837472700</v>
          </cell>
          <cell r="Z67">
            <v>1021916770</v>
          </cell>
          <cell r="AA67">
            <v>3.5446340116328652</v>
          </cell>
          <cell r="AC67">
            <v>1194664480</v>
          </cell>
          <cell r="AD67">
            <v>1392802910</v>
          </cell>
          <cell r="AE67">
            <v>179076390</v>
          </cell>
          <cell r="AF67">
            <v>323244220</v>
          </cell>
          <cell r="AG67">
            <v>1.1901957686155789</v>
          </cell>
          <cell r="AH67">
            <v>56916540</v>
          </cell>
          <cell r="AI67">
            <v>111175340</v>
          </cell>
          <cell r="AJ67">
            <v>128767970</v>
          </cell>
          <cell r="AK67">
            <v>84890220</v>
          </cell>
          <cell r="AL67">
            <v>435420490</v>
          </cell>
          <cell r="AM67">
            <v>534107570</v>
          </cell>
          <cell r="AN67">
            <v>452360160</v>
          </cell>
          <cell r="AO67">
            <v>438725090</v>
          </cell>
          <cell r="AP67">
            <v>18.722156667523784</v>
          </cell>
          <cell r="AQ67">
            <v>914689690</v>
          </cell>
          <cell r="AR67">
            <v>532444210</v>
          </cell>
          <cell r="AS67">
            <v>235000570</v>
          </cell>
          <cell r="AT67">
            <v>293605530</v>
          </cell>
          <cell r="AU67">
            <v>58.349076053114331</v>
          </cell>
          <cell r="AV67" t="str">
            <v>NULL</v>
          </cell>
          <cell r="AW67" t="str">
            <v>NULL</v>
          </cell>
          <cell r="AX67" t="str">
            <v>NULL</v>
          </cell>
          <cell r="AY67" t="str">
            <v>NULL</v>
          </cell>
          <cell r="AZ67" t="e">
            <v>#DIV/0!</v>
          </cell>
          <cell r="BA67" t="e">
            <v>#DIV/0!</v>
          </cell>
          <cell r="BC67">
            <v>22.146660000000001</v>
          </cell>
          <cell r="BD67">
            <v>4.9038899999999996</v>
          </cell>
          <cell r="BE67">
            <v>-2.50251</v>
          </cell>
          <cell r="BF67">
            <v>423215350</v>
          </cell>
          <cell r="BG67">
            <v>484465870</v>
          </cell>
          <cell r="BH67">
            <v>-269855570</v>
          </cell>
          <cell r="BI67">
            <v>-159191670</v>
          </cell>
          <cell r="BJ67">
            <v>0.15490835617200921</v>
          </cell>
          <cell r="BK67">
            <v>-116152140</v>
          </cell>
          <cell r="BL67">
            <v>-344923550</v>
          </cell>
          <cell r="BM67">
            <v>-269931150</v>
          </cell>
          <cell r="BN67">
            <v>-161082160</v>
          </cell>
          <cell r="BO67">
            <v>-78752030</v>
          </cell>
          <cell r="BP67">
            <v>-307331260</v>
          </cell>
          <cell r="BQ67">
            <v>-795639240</v>
          </cell>
          <cell r="BR67">
            <v>-1303111620</v>
          </cell>
          <cell r="BS67">
            <v>-958099050</v>
          </cell>
          <cell r="BT67">
            <v>-734458300</v>
          </cell>
          <cell r="BU67">
            <v>-459622880</v>
          </cell>
          <cell r="BV67">
            <v>-1294115410</v>
          </cell>
          <cell r="BW67">
            <v>-0.5183030906974847</v>
          </cell>
          <cell r="BX67">
            <v>0.147497502664518</v>
          </cell>
          <cell r="BY67">
            <v>1021916770</v>
          </cell>
          <cell r="BZ67">
            <v>598701430</v>
          </cell>
          <cell r="CA67">
            <v>133051510</v>
          </cell>
          <cell r="CB67">
            <v>402907080</v>
          </cell>
          <cell r="CC67" t="str">
            <v>NULL</v>
          </cell>
          <cell r="CD67" t="str">
            <v>NULL</v>
          </cell>
          <cell r="CE67" t="str">
            <v>NULL</v>
          </cell>
          <cell r="CF67" t="str">
            <v>NULL</v>
          </cell>
          <cell r="CG67" t="str">
            <v>NULL</v>
          </cell>
          <cell r="CH67" t="str">
            <v>NULL</v>
          </cell>
          <cell r="CI67" t="str">
            <v>NULL</v>
          </cell>
          <cell r="CJ67" t="str">
            <v>NULL</v>
          </cell>
          <cell r="CK67">
            <v>1021916770</v>
          </cell>
          <cell r="CL67">
            <v>598701430</v>
          </cell>
          <cell r="CM67">
            <v>133051510</v>
          </cell>
          <cell r="CN67">
            <v>402907080</v>
          </cell>
          <cell r="CO67">
            <v>0.88776617131263846</v>
          </cell>
          <cell r="CP67">
            <v>423215350</v>
          </cell>
          <cell r="CQ67">
            <v>-112231960</v>
          </cell>
          <cell r="CR67">
            <v>-56813330</v>
          </cell>
          <cell r="CS67">
            <v>52246180</v>
          </cell>
          <cell r="CT67">
            <v>145199340</v>
          </cell>
          <cell r="CU67">
            <v>-5613350</v>
          </cell>
          <cell r="CV67">
            <v>-98922560</v>
          </cell>
          <cell r="CW67">
            <v>-25866640</v>
          </cell>
          <cell r="CX67">
            <v>4.7708986816233097</v>
          </cell>
          <cell r="CY67">
            <v>4.4516244475265472</v>
          </cell>
          <cell r="CZ67">
            <v>-2.0874159603630353</v>
          </cell>
          <cell r="DA67">
            <v>-0.64017618812867882</v>
          </cell>
          <cell r="DB67">
            <v>26.866788994094435</v>
          </cell>
          <cell r="DC67">
            <v>0.94325510783384503</v>
          </cell>
          <cell r="DD67">
            <v>-2.8243297158038305</v>
          </cell>
          <cell r="DE67">
            <v>12.613219743879498</v>
          </cell>
          <cell r="DG67">
            <v>7.6342129324183299</v>
          </cell>
          <cell r="DH67">
            <v>217890147</v>
          </cell>
          <cell r="DI67">
            <v>25.7</v>
          </cell>
          <cell r="DJ67">
            <v>11428116531.5</v>
          </cell>
          <cell r="DK67">
            <v>6719120287.8999996</v>
          </cell>
          <cell r="DM67">
            <v>1021916770</v>
          </cell>
          <cell r="DN67" t="str">
            <v>NULL</v>
          </cell>
          <cell r="DO67" t="str">
            <v>NULL</v>
          </cell>
          <cell r="DP67" t="str">
            <v>NULL</v>
          </cell>
          <cell r="DQ67" t="str">
            <v>NULL</v>
          </cell>
          <cell r="DR67">
            <v>1021916770</v>
          </cell>
          <cell r="DS67">
            <v>11.183020835933634</v>
          </cell>
          <cell r="DT67">
            <v>0.95174000000000003</v>
          </cell>
          <cell r="DU67">
            <v>1.0894900000000001</v>
          </cell>
          <cell r="DV67">
            <v>-0.60685999999999996</v>
          </cell>
          <cell r="DW67">
            <v>-0.35799999999999998</v>
          </cell>
          <cell r="DX67">
            <v>1.0763700000000003</v>
          </cell>
          <cell r="DY67">
            <v>23.969452883302203</v>
          </cell>
          <cell r="DZ67">
            <v>3.6986733495955062</v>
          </cell>
          <cell r="EA67">
            <v>-1601446670</v>
          </cell>
          <cell r="EB67">
            <v>-7.1361205749673822</v>
          </cell>
          <cell r="EC67">
            <v>23.876548027165398</v>
          </cell>
          <cell r="ED67">
            <v>1.2899936240269601</v>
          </cell>
          <cell r="EE67">
            <v>1.0926182211828599</v>
          </cell>
          <cell r="EG67">
            <v>0.50470938923041375</v>
          </cell>
          <cell r="EH67">
            <v>8.7636963155852232E-2</v>
          </cell>
          <cell r="EK67" t="str">
            <v>NULL</v>
          </cell>
          <cell r="EL67">
            <v>0</v>
          </cell>
        </row>
        <row r="68">
          <cell r="A68" t="str">
            <v>YPFD</v>
          </cell>
          <cell r="B68" t="str">
            <v>YPFD.BA</v>
          </cell>
          <cell r="C68" t="str">
            <v>YPF SA</v>
          </cell>
          <cell r="D68">
            <v>42825</v>
          </cell>
          <cell r="E68">
            <v>82068000000</v>
          </cell>
          <cell r="F68">
            <v>72236000000</v>
          </cell>
          <cell r="G68">
            <v>1.13611</v>
          </cell>
          <cell r="H68">
            <v>0.84494999999999998</v>
          </cell>
          <cell r="I68">
            <v>1.05772</v>
          </cell>
          <cell r="J68">
            <v>0.79313</v>
          </cell>
          <cell r="K68">
            <v>353.5</v>
          </cell>
          <cell r="L68">
            <v>0</v>
          </cell>
          <cell r="M68" t="str">
            <v>NULL</v>
          </cell>
          <cell r="N68">
            <v>0</v>
          </cell>
          <cell r="O68">
            <v>0</v>
          </cell>
          <cell r="P68">
            <v>0</v>
          </cell>
          <cell r="Q68">
            <v>0</v>
          </cell>
          <cell r="R68">
            <v>0</v>
          </cell>
          <cell r="S68">
            <v>127.0269096845</v>
          </cell>
          <cell r="T68">
            <v>129.969264452</v>
          </cell>
          <cell r="U68">
            <v>42825</v>
          </cell>
          <cell r="V68">
            <v>403009000000</v>
          </cell>
          <cell r="W68">
            <v>421139000000</v>
          </cell>
          <cell r="X68">
            <v>403930000000</v>
          </cell>
          <cell r="Y68">
            <v>423678000000</v>
          </cell>
          <cell r="Z68">
            <v>115163000000</v>
          </cell>
          <cell r="AA68">
            <v>3.499465974314667</v>
          </cell>
          <cell r="AC68">
            <v>57003000000</v>
          </cell>
          <cell r="AD68">
            <v>54558000000</v>
          </cell>
          <cell r="AE68">
            <v>55849000000</v>
          </cell>
          <cell r="AF68">
            <v>52759000000</v>
          </cell>
          <cell r="AG68">
            <v>0.66646948547996454</v>
          </cell>
          <cell r="AH68">
            <v>37319000000</v>
          </cell>
          <cell r="AI68">
            <v>40667000000</v>
          </cell>
          <cell r="AJ68">
            <v>41233000000</v>
          </cell>
          <cell r="AK68">
            <v>39374000000</v>
          </cell>
          <cell r="AL68">
            <v>46009000000</v>
          </cell>
          <cell r="AM68">
            <v>46605000000</v>
          </cell>
          <cell r="AN68">
            <v>48320000000</v>
          </cell>
          <cell r="AO68">
            <v>43084000000</v>
          </cell>
          <cell r="AP68">
            <v>78.642367866187001</v>
          </cell>
          <cell r="AQ68">
            <v>31919000000</v>
          </cell>
          <cell r="AR68">
            <v>33645000000</v>
          </cell>
          <cell r="AS68">
            <v>31119000000</v>
          </cell>
          <cell r="AT68">
            <v>37883000000</v>
          </cell>
          <cell r="AU68">
            <v>55.771464193415063</v>
          </cell>
          <cell r="AV68">
            <v>21032000000</v>
          </cell>
          <cell r="AW68">
            <v>21820000000</v>
          </cell>
          <cell r="AX68">
            <v>22703000000</v>
          </cell>
          <cell r="AY68">
            <v>22225000000</v>
          </cell>
          <cell r="AZ68">
            <v>43.527942918627524</v>
          </cell>
          <cell r="BA68">
            <v>20.657039245855586</v>
          </cell>
          <cell r="BC68">
            <v>15.120419999999999</v>
          </cell>
          <cell r="BD68">
            <v>-11.54022</v>
          </cell>
          <cell r="BE68">
            <v>-13.43979</v>
          </cell>
          <cell r="BF68">
            <v>25000000</v>
          </cell>
          <cell r="BG68">
            <v>1721000000</v>
          </cell>
          <cell r="BH68">
            <v>-30211000000</v>
          </cell>
          <cell r="BI68">
            <v>-743000000</v>
          </cell>
          <cell r="BJ68">
            <v>-0.13266172803619039</v>
          </cell>
          <cell r="BK68">
            <v>-14574000000</v>
          </cell>
          <cell r="BL68">
            <v>-64160000000</v>
          </cell>
          <cell r="BM68">
            <v>-46970000000</v>
          </cell>
          <cell r="BN68">
            <v>-32602000000</v>
          </cell>
          <cell r="BO68">
            <v>-17303000000</v>
          </cell>
          <cell r="BP68">
            <v>-44241000000</v>
          </cell>
          <cell r="BQ68">
            <v>24650000000</v>
          </cell>
          <cell r="BR68">
            <v>49035000000</v>
          </cell>
          <cell r="BS68">
            <v>34012000000</v>
          </cell>
          <cell r="BT68">
            <v>17291000000</v>
          </cell>
          <cell r="BU68">
            <v>10825000000</v>
          </cell>
          <cell r="BV68">
            <v>47837000000</v>
          </cell>
          <cell r="BW68">
            <v>1.6332907902565755E-2</v>
          </cell>
          <cell r="BX68">
            <v>-7.0731996735595326E-2</v>
          </cell>
          <cell r="BY68">
            <v>115163000000</v>
          </cell>
          <cell r="BZ68">
            <v>118755000000</v>
          </cell>
          <cell r="CA68">
            <v>112140000000</v>
          </cell>
          <cell r="CB68">
            <v>139496000000</v>
          </cell>
          <cell r="CC68" t="str">
            <v>NULL</v>
          </cell>
          <cell r="CD68" t="str">
            <v>NULL</v>
          </cell>
          <cell r="CE68" t="str">
            <v>NULL</v>
          </cell>
          <cell r="CF68" t="str">
            <v>NULL</v>
          </cell>
          <cell r="CG68" t="str">
            <v>NULL</v>
          </cell>
          <cell r="CH68" t="str">
            <v>NULL</v>
          </cell>
          <cell r="CI68" t="str">
            <v>NULL</v>
          </cell>
          <cell r="CJ68" t="str">
            <v>NULL</v>
          </cell>
          <cell r="CK68">
            <v>115163000000</v>
          </cell>
          <cell r="CL68">
            <v>118755000000</v>
          </cell>
          <cell r="CM68">
            <v>112140000000</v>
          </cell>
          <cell r="CN68">
            <v>139496000000</v>
          </cell>
          <cell r="CO68">
            <v>-0.24061587382659808</v>
          </cell>
          <cell r="CP68">
            <v>25000000</v>
          </cell>
          <cell r="CQ68">
            <v>996000000</v>
          </cell>
          <cell r="CR68">
            <v>-28237000000</v>
          </cell>
          <cell r="CS68">
            <v>4579000000</v>
          </cell>
          <cell r="CT68">
            <v>9002000000</v>
          </cell>
          <cell r="CU68">
            <v>5125000000</v>
          </cell>
          <cell r="CV68">
            <v>3902000000</v>
          </cell>
          <cell r="CW68">
            <v>4445000000</v>
          </cell>
          <cell r="CX68">
            <v>-0.97489959839357432</v>
          </cell>
          <cell r="CY68">
            <v>-1.342041688368192</v>
          </cell>
          <cell r="CZ68">
            <v>-7.1666302686176024</v>
          </cell>
          <cell r="DA68">
            <v>-0.49133525883137086</v>
          </cell>
          <cell r="DB68">
            <v>0.75648780487804879</v>
          </cell>
          <cell r="DC68">
            <v>0.31342901076371099</v>
          </cell>
          <cell r="DD68">
            <v>-0.12215973003374581</v>
          </cell>
          <cell r="DE68">
            <v>3.2894549252271874</v>
          </cell>
          <cell r="DG68">
            <v>4.0582714161539304</v>
          </cell>
          <cell r="DH68">
            <v>393260983</v>
          </cell>
          <cell r="DI68">
            <v>359.05</v>
          </cell>
          <cell r="DJ68">
            <v>141218958326.64999</v>
          </cell>
          <cell r="DK68">
            <v>269765475846</v>
          </cell>
          <cell r="DM68">
            <v>115163000000</v>
          </cell>
          <cell r="DN68" t="str">
            <v>NULL</v>
          </cell>
          <cell r="DO68" t="str">
            <v>NULL</v>
          </cell>
          <cell r="DP68">
            <v>8045000000</v>
          </cell>
          <cell r="DQ68" t="str">
            <v>NULL</v>
          </cell>
          <cell r="DR68">
            <v>107118000000</v>
          </cell>
          <cell r="DS68">
            <v>1.3183494681253383</v>
          </cell>
          <cell r="DT68">
            <v>6.4009999999999997E-2</v>
          </cell>
          <cell r="DU68">
            <v>4.4020799999999998</v>
          </cell>
          <cell r="DV68">
            <v>-77.235860000000002</v>
          </cell>
          <cell r="DW68">
            <v>-1.89645</v>
          </cell>
          <cell r="DX68">
            <v>-74.66622000000001</v>
          </cell>
          <cell r="DY68">
            <v>-4.7344033218770143</v>
          </cell>
          <cell r="DZ68">
            <v>0.64141163527403944</v>
          </cell>
          <cell r="EA68">
            <v>3596000000</v>
          </cell>
          <cell r="EB68">
            <v>39.271123005186318</v>
          </cell>
          <cell r="EC68" t="str">
            <v>NULL</v>
          </cell>
          <cell r="ED68">
            <v>0.99994533364530302</v>
          </cell>
          <cell r="EE68">
            <v>1.09484897811129</v>
          </cell>
          <cell r="EG68">
            <v>0.45271996048857566</v>
          </cell>
          <cell r="EH68">
            <v>-3.0266244094227512E-2</v>
          </cell>
          <cell r="EK68">
            <v>0.50287292817679596</v>
          </cell>
          <cell r="EL68">
            <v>0</v>
          </cell>
        </row>
        <row r="69">
          <cell r="A69" t="str">
            <v>APBR</v>
          </cell>
          <cell r="B69" t="str">
            <v>APBR.BA</v>
          </cell>
          <cell r="C69" t="str">
            <v>PETROLEO BRASILEIRO PETROBRAS SA</v>
          </cell>
          <cell r="D69">
            <v>42825</v>
          </cell>
          <cell r="E69">
            <v>659644343900.09595</v>
          </cell>
          <cell r="F69">
            <v>386153076849.18298</v>
          </cell>
          <cell r="G69">
            <v>1.70825</v>
          </cell>
          <cell r="H69">
            <v>1.3747499999999999</v>
          </cell>
          <cell r="I69">
            <v>1.7976099999999999</v>
          </cell>
          <cell r="J69">
            <v>1.4573</v>
          </cell>
          <cell r="K69">
            <v>77.95</v>
          </cell>
          <cell r="L69">
            <v>0</v>
          </cell>
          <cell r="M69">
            <v>0</v>
          </cell>
          <cell r="N69">
            <v>0</v>
          </cell>
          <cell r="O69">
            <v>0</v>
          </cell>
          <cell r="P69">
            <v>0</v>
          </cell>
          <cell r="Q69">
            <v>0</v>
          </cell>
          <cell r="S69">
            <v>139.21883484599999</v>
          </cell>
          <cell r="T69">
            <v>152.06290213</v>
          </cell>
          <cell r="U69">
            <v>42825</v>
          </cell>
          <cell r="V69">
            <v>3877650618635.9302</v>
          </cell>
          <cell r="W69">
            <v>3922783115086.6802</v>
          </cell>
          <cell r="X69">
            <v>3782011129522.23</v>
          </cell>
          <cell r="Y69">
            <v>3827254653551.6401</v>
          </cell>
          <cell r="Z69">
            <v>1268626301633.05</v>
          </cell>
          <cell r="AA69">
            <v>3.0565743542005959</v>
          </cell>
          <cell r="AC69">
            <v>336396079090.61798</v>
          </cell>
          <cell r="AD69">
            <v>343517953399.729</v>
          </cell>
          <cell r="AE69">
            <v>331691010770.505</v>
          </cell>
          <cell r="AF69">
            <v>333556309531.22101</v>
          </cell>
          <cell r="AG69">
            <v>0.43646579467287006</v>
          </cell>
          <cell r="AH69">
            <v>73439793467.819397</v>
          </cell>
          <cell r="AI69">
            <v>91526488995.450607</v>
          </cell>
          <cell r="AJ69">
            <v>81619635459.817703</v>
          </cell>
          <cell r="AK69">
            <v>83435846354.977295</v>
          </cell>
          <cell r="AL69">
            <v>219354944924.75201</v>
          </cell>
          <cell r="AM69">
            <v>232346968523.29999</v>
          </cell>
          <cell r="AN69">
            <v>221805385252.69299</v>
          </cell>
          <cell r="AO69">
            <v>226824838137.33401</v>
          </cell>
          <cell r="AP69">
            <v>33.448196235818024</v>
          </cell>
          <cell r="AQ69">
            <v>69094913224.463699</v>
          </cell>
          <cell r="AR69">
            <v>75746563998.524506</v>
          </cell>
          <cell r="AS69">
            <v>79825642087.820999</v>
          </cell>
          <cell r="AT69">
            <v>79727066861.731903</v>
          </cell>
          <cell r="AU69">
            <v>20.648801298514424</v>
          </cell>
          <cell r="AV69">
            <v>128781659942.36301</v>
          </cell>
          <cell r="AW69">
            <v>134611824664.94501</v>
          </cell>
          <cell r="AX69">
            <v>130085708367.854</v>
          </cell>
          <cell r="AY69">
            <v>133328985868.144</v>
          </cell>
          <cell r="AZ69">
            <v>53.392791784902251</v>
          </cell>
          <cell r="BA69">
            <v>40.593396847598648</v>
          </cell>
          <cell r="BC69">
            <v>31.840589999999999</v>
          </cell>
          <cell r="BD69">
            <v>6.0550800000000002</v>
          </cell>
          <cell r="BE69">
            <v>-5.2457799999999999</v>
          </cell>
          <cell r="BF69">
            <v>21891701248.799198</v>
          </cell>
          <cell r="BG69">
            <v>12232122218.123699</v>
          </cell>
          <cell r="BH69">
            <v>-77494863297.431595</v>
          </cell>
          <cell r="BI69">
            <v>1730451970.3666799</v>
          </cell>
          <cell r="BJ69">
            <v>-3.0955831264190783E-2</v>
          </cell>
          <cell r="BK69">
            <v>-49323985910.983002</v>
          </cell>
          <cell r="BL69">
            <v>-240202817533.505</v>
          </cell>
          <cell r="BM69">
            <v>-172868447942.55701</v>
          </cell>
          <cell r="BN69">
            <v>-124026637303.119</v>
          </cell>
          <cell r="BO69">
            <v>-59994905219.206703</v>
          </cell>
          <cell r="BP69">
            <v>-162197528634.33331</v>
          </cell>
          <cell r="BQ69">
            <v>114280683637.528</v>
          </cell>
          <cell r="BR69">
            <v>437183845444.48499</v>
          </cell>
          <cell r="BS69">
            <v>310605702844.51801</v>
          </cell>
          <cell r="BT69">
            <v>183568215775.384</v>
          </cell>
          <cell r="BU69">
            <v>70764794154.488495</v>
          </cell>
          <cell r="BV69">
            <v>354121592327.5575</v>
          </cell>
          <cell r="BW69">
            <v>0.14267735487260216</v>
          </cell>
          <cell r="BX69">
            <v>-1.0808929224026473E-2</v>
          </cell>
          <cell r="BY69">
            <v>1268626301633.05</v>
          </cell>
          <cell r="BZ69">
            <v>1219459738104.02</v>
          </cell>
          <cell r="CA69">
            <v>1222057925987.3</v>
          </cell>
          <cell r="CB69">
            <v>1269286520263.96</v>
          </cell>
          <cell r="CC69" t="str">
            <v>NULL</v>
          </cell>
          <cell r="CD69" t="str">
            <v>NULL</v>
          </cell>
          <cell r="CE69" t="str">
            <v>NULL</v>
          </cell>
          <cell r="CF69" t="str">
            <v>NULL</v>
          </cell>
          <cell r="CG69" t="str">
            <v>NULL</v>
          </cell>
          <cell r="CH69" t="str">
            <v>NULL</v>
          </cell>
          <cell r="CI69" t="str">
            <v>NULL</v>
          </cell>
          <cell r="CJ69" t="str">
            <v>NULL</v>
          </cell>
          <cell r="CK69">
            <v>1268626301633.05</v>
          </cell>
          <cell r="CL69">
            <v>1219459738104.02</v>
          </cell>
          <cell r="CM69">
            <v>1222057925987.3</v>
          </cell>
          <cell r="CN69">
            <v>1269286520263.96</v>
          </cell>
          <cell r="CO69">
            <v>-3.3450080668714945E-2</v>
          </cell>
          <cell r="CP69">
            <v>21891701248.799198</v>
          </cell>
          <cell r="CQ69">
            <v>-5094639944.3284597</v>
          </cell>
          <cell r="CR69">
            <v>-72242621418.910599</v>
          </cell>
          <cell r="CS69">
            <v>-113816839441.315</v>
          </cell>
          <cell r="CT69">
            <v>-69385508995.1073</v>
          </cell>
          <cell r="CU69">
            <v>65037551867.219902</v>
          </cell>
          <cell r="CV69">
            <v>50847145299.145302</v>
          </cell>
          <cell r="CW69">
            <v>76938284905.781906</v>
          </cell>
          <cell r="CX69">
            <v>5.2970065574839778</v>
          </cell>
          <cell r="CY69">
            <v>-0.48039453948071287</v>
          </cell>
          <cell r="CZ69">
            <v>0.36527299674175584</v>
          </cell>
          <cell r="DA69">
            <v>-0.64035460847222092</v>
          </cell>
          <cell r="DB69">
            <v>-2.066853025722188</v>
          </cell>
          <cell r="DC69">
            <v>0.27907971007200527</v>
          </cell>
          <cell r="DD69">
            <v>-0.33911777002291688</v>
          </cell>
          <cell r="DE69">
            <v>0.98162513152705566</v>
          </cell>
          <cell r="DG69">
            <v>4.9904276745861598</v>
          </cell>
          <cell r="DH69">
            <v>13044496930</v>
          </cell>
          <cell r="DI69">
            <v>79.05</v>
          </cell>
          <cell r="DJ69">
            <v>1167746887467</v>
          </cell>
          <cell r="DK69">
            <v>2696566993050.9302</v>
          </cell>
          <cell r="DM69">
            <v>1268626301633.05</v>
          </cell>
          <cell r="DN69" t="str">
            <v>NULL</v>
          </cell>
          <cell r="DO69" t="str">
            <v>NULL</v>
          </cell>
          <cell r="DP69">
            <v>48630182837.015701</v>
          </cell>
          <cell r="DQ69">
            <v>3513300672.4303598</v>
          </cell>
          <cell r="DR69">
            <v>1216482818123.604</v>
          </cell>
          <cell r="DS69">
            <v>0.9599370168402559</v>
          </cell>
          <cell r="DT69">
            <v>1.67821614473263</v>
          </cell>
          <cell r="DU69">
            <v>0.93773105864994499</v>
          </cell>
          <cell r="DV69">
            <v>-5.9408019884009899</v>
          </cell>
          <cell r="DW69">
            <v>0.132636805079998</v>
          </cell>
          <cell r="DX69">
            <v>-3.1922179799384169</v>
          </cell>
          <cell r="DY69">
            <v>-24.763346518562308</v>
          </cell>
          <cell r="DZ69">
            <v>0.86810915660279409</v>
          </cell>
          <cell r="EA69">
            <v>191924063693.22418</v>
          </cell>
          <cell r="EB69">
            <v>6.0844214372907057</v>
          </cell>
          <cell r="EC69" t="str">
            <v>NULL</v>
          </cell>
          <cell r="ED69">
            <v>1.21045011770107</v>
          </cell>
          <cell r="EE69">
            <v>1.2171201736508199</v>
          </cell>
          <cell r="EG69">
            <v>0.55319057530365634</v>
          </cell>
          <cell r="EH69">
            <v>-0.10496297070884397</v>
          </cell>
          <cell r="EK69">
            <v>0</v>
          </cell>
        </row>
        <row r="70">
          <cell r="A70" t="str">
            <v>REP</v>
          </cell>
          <cell r="B70" t="str">
            <v>REP.BA</v>
          </cell>
          <cell r="C70" t="str">
            <v>REPSOL SA</v>
          </cell>
          <cell r="D70">
            <v>0</v>
          </cell>
          <cell r="E70" t="str">
            <v>NULL</v>
          </cell>
          <cell r="F70" t="str">
            <v>NULL</v>
          </cell>
          <cell r="G70" t="str">
            <v>NULL</v>
          </cell>
          <cell r="H70" t="str">
            <v>NULL</v>
          </cell>
          <cell r="I70">
            <v>1.0578700000000001</v>
          </cell>
          <cell r="J70">
            <v>0.78625999999999996</v>
          </cell>
          <cell r="K70">
            <v>298</v>
          </cell>
          <cell r="L70" t="str">
            <v>NULL</v>
          </cell>
          <cell r="M70">
            <v>0</v>
          </cell>
          <cell r="N70" t="str">
            <v>NULL</v>
          </cell>
          <cell r="O70">
            <v>0</v>
          </cell>
          <cell r="P70">
            <v>0</v>
          </cell>
          <cell r="Q70">
            <v>0</v>
          </cell>
          <cell r="R70">
            <v>0</v>
          </cell>
          <cell r="S70" t="str">
            <v>NULL</v>
          </cell>
          <cell r="T70">
            <v>50.065762037699997</v>
          </cell>
          <cell r="U70">
            <v>0</v>
          </cell>
          <cell r="V70" t="str">
            <v>NULL</v>
          </cell>
          <cell r="W70">
            <v>1032632420718.59</v>
          </cell>
          <cell r="X70" t="str">
            <v>NULL</v>
          </cell>
          <cell r="Y70">
            <v>1060116284950.1</v>
          </cell>
          <cell r="Z70" t="str">
            <v>NULL</v>
          </cell>
          <cell r="AA70" t="e">
            <v>#VALUE!</v>
          </cell>
          <cell r="AB70">
            <v>0</v>
          </cell>
          <cell r="AC70" t="str">
            <v>NULL</v>
          </cell>
          <cell r="AD70">
            <v>165622438395.84299</v>
          </cell>
          <cell r="AE70" t="str">
            <v>NULL</v>
          </cell>
          <cell r="AF70">
            <v>153839729614.31299</v>
          </cell>
          <cell r="AG70">
            <v>0.30530389735262475</v>
          </cell>
          <cell r="AH70" t="str">
            <v>NULL</v>
          </cell>
          <cell r="AI70">
            <v>30437480033.224701</v>
          </cell>
          <cell r="AJ70" t="str">
            <v>NULL</v>
          </cell>
          <cell r="AK70">
            <v>28764114897.0602</v>
          </cell>
          <cell r="AL70" t="str">
            <v>NULL</v>
          </cell>
          <cell r="AM70">
            <v>116038801567.52499</v>
          </cell>
          <cell r="AN70" t="str">
            <v>NULL</v>
          </cell>
          <cell r="AO70">
            <v>108727664523.959</v>
          </cell>
          <cell r="AP70">
            <v>48.068963589877555</v>
          </cell>
          <cell r="AQ70" t="str">
            <v>NULL</v>
          </cell>
          <cell r="AR70">
            <v>45656220049.837097</v>
          </cell>
          <cell r="AS70" t="str">
            <v>NULL</v>
          </cell>
          <cell r="AT70">
            <v>47250404567.113197</v>
          </cell>
          <cell r="AU70">
            <v>53.075013852827787</v>
          </cell>
          <cell r="AV70" t="str">
            <v>NULL</v>
          </cell>
          <cell r="AW70">
            <v>61447708346.644501</v>
          </cell>
          <cell r="AX70" t="str">
            <v>NULL</v>
          </cell>
          <cell r="AY70">
            <v>58580154859.300598</v>
          </cell>
          <cell r="AZ70">
            <v>97.457086975639925</v>
          </cell>
          <cell r="BA70">
            <v>102.46313723859016</v>
          </cell>
          <cell r="BB70">
            <v>0</v>
          </cell>
          <cell r="BC70">
            <v>32.295540000000003</v>
          </cell>
          <cell r="BD70">
            <v>5.6473199999999997</v>
          </cell>
          <cell r="BE70">
            <v>4.1425200000000002</v>
          </cell>
          <cell r="BF70" t="str">
            <v>NULL</v>
          </cell>
          <cell r="BG70">
            <v>11274959001.554701</v>
          </cell>
          <cell r="BH70" t="str">
            <v>NULL</v>
          </cell>
          <cell r="BI70">
            <v>8294687809.0443201</v>
          </cell>
          <cell r="BJ70">
            <v>6.1258104308541735E-2</v>
          </cell>
          <cell r="BK70" t="str">
            <v>NULL</v>
          </cell>
          <cell r="BL70">
            <v>-6627515813.6860304</v>
          </cell>
          <cell r="BM70" t="str">
            <v>NULL</v>
          </cell>
          <cell r="BN70">
            <v>-23780404342.353699</v>
          </cell>
          <cell r="BO70" t="str">
            <v>NULL</v>
          </cell>
          <cell r="BP70" t="e">
            <v>#VALUE!</v>
          </cell>
          <cell r="BQ70" t="str">
            <v>NULL</v>
          </cell>
          <cell r="BR70">
            <v>11111316635.7847</v>
          </cell>
          <cell r="BS70" t="str">
            <v>NULL</v>
          </cell>
          <cell r="BT70">
            <v>38662557313.6744</v>
          </cell>
          <cell r="BU70" t="str">
            <v>NULL</v>
          </cell>
          <cell r="BV70" t="e">
            <v>#VALUE!</v>
          </cell>
          <cell r="BW70" t="e">
            <v>#VALUE!</v>
          </cell>
          <cell r="BX70">
            <v>1.8702337989831407E-2</v>
          </cell>
          <cell r="BY70" t="str">
            <v>NULL</v>
          </cell>
          <cell r="BZ70">
            <v>510122346814.90002</v>
          </cell>
          <cell r="CA70" t="str">
            <v>NULL</v>
          </cell>
          <cell r="CB70">
            <v>499233289130.63</v>
          </cell>
          <cell r="CC70" t="str">
            <v>NULL</v>
          </cell>
          <cell r="CD70" t="str">
            <v>NULL</v>
          </cell>
          <cell r="CE70" t="str">
            <v>NULL</v>
          </cell>
          <cell r="CF70" t="str">
            <v>NULL</v>
          </cell>
          <cell r="CG70" t="str">
            <v>NULL</v>
          </cell>
          <cell r="CH70" t="str">
            <v>NULL</v>
          </cell>
          <cell r="CI70" t="str">
            <v>NULL</v>
          </cell>
          <cell r="CJ70" t="str">
            <v>NULL</v>
          </cell>
          <cell r="CK70">
            <v>0</v>
          </cell>
          <cell r="CL70">
            <v>510122346814.90002</v>
          </cell>
          <cell r="CM70">
            <v>0</v>
          </cell>
          <cell r="CN70">
            <v>499233289130.63</v>
          </cell>
          <cell r="CO70">
            <v>7.7553029333479045E-2</v>
          </cell>
          <cell r="CP70" t="str">
            <v>NULL</v>
          </cell>
          <cell r="CQ70" t="str">
            <v>NULL</v>
          </cell>
          <cell r="CR70">
            <v>23951007148.864601</v>
          </cell>
          <cell r="CS70">
            <v>-19639652262.681801</v>
          </cell>
          <cell r="CT70">
            <v>10486061815.7624</v>
          </cell>
          <cell r="CU70">
            <v>7873715534.5410604</v>
          </cell>
          <cell r="CV70">
            <v>8514612360.1435499</v>
          </cell>
          <cell r="CW70">
            <v>7891176699.02913</v>
          </cell>
          <cell r="CX70" t="str">
            <v>-</v>
          </cell>
          <cell r="CY70">
            <v>-6.3578353682955946E-2</v>
          </cell>
          <cell r="CZ70">
            <v>2.2195229746697196</v>
          </cell>
          <cell r="DA70">
            <v>-2.8729292853452324</v>
          </cell>
          <cell r="DB70">
            <v>0.33178062755268267</v>
          </cell>
          <cell r="DC70">
            <v>-7.527022940028294E-2</v>
          </cell>
          <cell r="DD70">
            <v>7.9004144108333341E-2</v>
          </cell>
          <cell r="DE70">
            <v>1.8222087919222736</v>
          </cell>
          <cell r="DF70">
            <v>0</v>
          </cell>
          <cell r="DG70">
            <v>6.6952191723858903</v>
          </cell>
          <cell r="DH70">
            <v>1518224561</v>
          </cell>
          <cell r="DI70">
            <v>285</v>
          </cell>
          <cell r="DJ70">
            <v>424508894505</v>
          </cell>
          <cell r="DK70">
            <v>659623913467.51294</v>
          </cell>
          <cell r="DL70">
            <v>0</v>
          </cell>
          <cell r="DM70" t="str">
            <v>NULL</v>
          </cell>
          <cell r="DN70" t="str">
            <v>NULL</v>
          </cell>
          <cell r="DO70" t="str">
            <v>NULL</v>
          </cell>
          <cell r="DP70" t="str">
            <v>NULL</v>
          </cell>
          <cell r="DQ70" t="str">
            <v>NULL</v>
          </cell>
          <cell r="DR70" t="e">
            <v>#VALUE!</v>
          </cell>
          <cell r="DS70" t="e">
            <v>#VALUE!</v>
          </cell>
          <cell r="DT70" t="str">
            <v>NULL</v>
          </cell>
          <cell r="DU70">
            <v>7.3508150703895403</v>
          </cell>
          <cell r="DV70" t="str">
            <v>NULL</v>
          </cell>
          <cell r="DW70">
            <v>5.4144824912343799</v>
          </cell>
          <cell r="DX70">
            <v>12.765297561623921</v>
          </cell>
          <cell r="DY70">
            <v>22.32615406136636</v>
          </cell>
          <cell r="DZ70">
            <v>1.3288236824696702</v>
          </cell>
          <cell r="EA70" t="e">
            <v>#VALUE!</v>
          </cell>
          <cell r="EB70" t="e">
            <v>#VALUE!</v>
          </cell>
          <cell r="EC70">
            <v>11.9288079470199</v>
          </cell>
          <cell r="ED70">
            <v>0.37994711239000001</v>
          </cell>
          <cell r="EE70">
            <v>0.21811384015103399</v>
          </cell>
          <cell r="EF70">
            <v>0</v>
          </cell>
          <cell r="EG70">
            <v>0.38132576320224637</v>
          </cell>
          <cell r="EH70">
            <v>-5.6950511663998005E-2</v>
          </cell>
          <cell r="EK70">
            <v>4.7137625198484203</v>
          </cell>
        </row>
        <row r="71">
          <cell r="A71" t="str">
            <v>STD</v>
          </cell>
          <cell r="B71" t="str">
            <v>STD.BA</v>
          </cell>
          <cell r="C71" t="str">
            <v>BANCO SANTANDER SA</v>
          </cell>
          <cell r="E71" t="str">
            <v>NULL</v>
          </cell>
          <cell r="F71" t="str">
            <v>NULL</v>
          </cell>
          <cell r="G71" t="str">
            <v>NULL</v>
          </cell>
          <cell r="H71" t="str">
            <v>NULL</v>
          </cell>
          <cell r="I71" t="str">
            <v>NULL</v>
          </cell>
          <cell r="J71" t="str">
            <v>NULL</v>
          </cell>
          <cell r="K71">
            <v>119</v>
          </cell>
          <cell r="L71" t="str">
            <v>NULL</v>
          </cell>
          <cell r="M71">
            <v>0.981854194620152</v>
          </cell>
          <cell r="N71" t="str">
            <v>NULL</v>
          </cell>
          <cell r="O71">
            <v>0.93293682010249002</v>
          </cell>
          <cell r="P71">
            <v>1.9147910147226419</v>
          </cell>
          <cell r="Q71">
            <v>1.6090680795988587E-2</v>
          </cell>
          <cell r="R71">
            <v>0</v>
          </cell>
          <cell r="S71" t="str">
            <v>NULL</v>
          </cell>
          <cell r="T71">
            <v>3.6431780868999999</v>
          </cell>
          <cell r="U71">
            <v>0</v>
          </cell>
          <cell r="V71" t="str">
            <v>NULL</v>
          </cell>
          <cell r="W71">
            <v>22123727825698</v>
          </cell>
          <cell r="X71" t="str">
            <v>NULL</v>
          </cell>
          <cell r="Y71">
            <v>22927448316551.301</v>
          </cell>
          <cell r="Z71" t="str">
            <v>NULL</v>
          </cell>
          <cell r="AA71" t="e">
            <v>#VALUE!</v>
          </cell>
          <cell r="AB71">
            <v>0</v>
          </cell>
          <cell r="AC71" t="str">
            <v>NULL</v>
          </cell>
          <cell r="AD71" t="str">
            <v>NULL</v>
          </cell>
          <cell r="AE71" t="str">
            <v>NULL</v>
          </cell>
          <cell r="AF71" t="str">
            <v>NULL</v>
          </cell>
          <cell r="AG71">
            <v>0</v>
          </cell>
          <cell r="AH71" t="str">
            <v>NULL</v>
          </cell>
          <cell r="AI71" t="str">
            <v>NULL</v>
          </cell>
          <cell r="AJ71" t="str">
            <v>NULL</v>
          </cell>
          <cell r="AK71" t="str">
            <v>NULL</v>
          </cell>
          <cell r="AL71" t="str">
            <v>NULL</v>
          </cell>
          <cell r="AM71" t="str">
            <v>NULL</v>
          </cell>
          <cell r="AN71" t="str">
            <v>NULL</v>
          </cell>
          <cell r="AO71" t="str">
            <v>NULL</v>
          </cell>
          <cell r="AP71" t="e">
            <v>#DIV/0!</v>
          </cell>
          <cell r="AQ71" t="str">
            <v>NULL</v>
          </cell>
          <cell r="AR71" t="str">
            <v>NULL</v>
          </cell>
          <cell r="AS71" t="str">
            <v>NULL</v>
          </cell>
          <cell r="AT71" t="str">
            <v>NULL</v>
          </cell>
          <cell r="AU71" t="e">
            <v>#DIV/0!</v>
          </cell>
          <cell r="AV71" t="str">
            <v>NULL</v>
          </cell>
          <cell r="AW71" t="str">
            <v>NULL</v>
          </cell>
          <cell r="AX71" t="str">
            <v>NULL</v>
          </cell>
          <cell r="AY71" t="str">
            <v>NULL</v>
          </cell>
          <cell r="AZ71" t="e">
            <v>#DIV/0!</v>
          </cell>
          <cell r="BA71" t="e">
            <v>#DIV/0!</v>
          </cell>
          <cell r="BB71">
            <v>0</v>
          </cell>
          <cell r="BC71" t="str">
            <v>NULL</v>
          </cell>
          <cell r="BD71" t="str">
            <v>NULL</v>
          </cell>
          <cell r="BE71">
            <v>11.248100000000001</v>
          </cell>
          <cell r="BF71" t="str">
            <v>NULL</v>
          </cell>
          <cell r="BG71">
            <v>30552029689.263699</v>
          </cell>
          <cell r="BH71" t="str">
            <v>NULL</v>
          </cell>
          <cell r="BI71">
            <v>29229721073.451401</v>
          </cell>
          <cell r="BJ71" t="e">
            <v>#DIV/0!</v>
          </cell>
          <cell r="BK71" t="str">
            <v>NULL</v>
          </cell>
          <cell r="BL71" t="str">
            <v>NULL</v>
          </cell>
          <cell r="BM71" t="str">
            <v>NULL</v>
          </cell>
          <cell r="BN71" t="str">
            <v>NULL</v>
          </cell>
          <cell r="BO71" t="str">
            <v>NULL</v>
          </cell>
          <cell r="BP71" t="e">
            <v>#VALUE!</v>
          </cell>
          <cell r="BQ71" t="str">
            <v>NULL</v>
          </cell>
          <cell r="BR71" t="str">
            <v>NULL</v>
          </cell>
          <cell r="BS71" t="str">
            <v>NULL</v>
          </cell>
          <cell r="BT71" t="str">
            <v>NULL</v>
          </cell>
          <cell r="BU71" t="str">
            <v>NULL</v>
          </cell>
          <cell r="BV71" t="e">
            <v>#VALUE!</v>
          </cell>
          <cell r="BW71" t="e">
            <v>#VALUE!</v>
          </cell>
          <cell r="BX71">
            <v>2.6539485039837338E-3</v>
          </cell>
          <cell r="BY71" t="str">
            <v>NULL</v>
          </cell>
          <cell r="BZ71">
            <v>1515066479245.2</v>
          </cell>
          <cell r="CA71" t="str">
            <v>NULL</v>
          </cell>
          <cell r="CB71">
            <v>1532965224085.23</v>
          </cell>
          <cell r="CC71" t="str">
            <v>NULL</v>
          </cell>
          <cell r="CD71" t="str">
            <v>NULL</v>
          </cell>
          <cell r="CE71" t="str">
            <v>NULL</v>
          </cell>
          <cell r="CF71" t="str">
            <v>NULL</v>
          </cell>
          <cell r="CG71" t="str">
            <v>NULL</v>
          </cell>
          <cell r="CH71" t="str">
            <v>NULL</v>
          </cell>
          <cell r="CI71" t="str">
            <v>NULL</v>
          </cell>
          <cell r="CJ71" t="str">
            <v>NULL</v>
          </cell>
          <cell r="CK71">
            <v>0</v>
          </cell>
          <cell r="CL71">
            <v>1515066479245.2</v>
          </cell>
          <cell r="CM71">
            <v>0</v>
          </cell>
          <cell r="CN71">
            <v>1532965224085.23</v>
          </cell>
          <cell r="CO71">
            <v>7.8452925141683547E-2</v>
          </cell>
          <cell r="CP71" t="str">
            <v>NULL</v>
          </cell>
          <cell r="CQ71" t="str">
            <v>NULL</v>
          </cell>
          <cell r="CR71">
            <v>103404348191.758</v>
          </cell>
          <cell r="CS71">
            <v>83812707724.720596</v>
          </cell>
          <cell r="CT71">
            <v>60354259239.097603</v>
          </cell>
          <cell r="CU71">
            <v>37532273139.621201</v>
          </cell>
          <cell r="CV71">
            <v>14350980314.545099</v>
          </cell>
          <cell r="CW71">
            <v>29598873786.407799</v>
          </cell>
          <cell r="CX71" t="str">
            <v>-</v>
          </cell>
          <cell r="CY71">
            <v>0.46613137392357518</v>
          </cell>
          <cell r="CZ71">
            <v>0.23375501160737278</v>
          </cell>
          <cell r="DA71">
            <v>0.38867925447797669</v>
          </cell>
          <cell r="DB71">
            <v>0.60806298660829627</v>
          </cell>
          <cell r="DC71">
            <v>1.6153107534808089</v>
          </cell>
          <cell r="DD71">
            <v>-0.51515113655657863</v>
          </cell>
          <cell r="DE71">
            <v>0.76871171433493102</v>
          </cell>
          <cell r="DF71">
            <v>0</v>
          </cell>
          <cell r="DG71">
            <v>1.37771610977992</v>
          </cell>
          <cell r="DH71">
            <v>16039096549</v>
          </cell>
          <cell r="DI71">
            <v>119</v>
          </cell>
          <cell r="DJ71">
            <v>1908828240074</v>
          </cell>
          <cell r="DK71">
            <v>434282639980.94202</v>
          </cell>
          <cell r="DL71">
            <v>0</v>
          </cell>
          <cell r="DM71" t="str">
            <v>NULL</v>
          </cell>
          <cell r="DN71" t="str">
            <v>NULL</v>
          </cell>
          <cell r="DO71" t="str">
            <v>NULL</v>
          </cell>
          <cell r="DP71" t="str">
            <v>NULL</v>
          </cell>
          <cell r="DQ71" t="str">
            <v>NULL</v>
          </cell>
          <cell r="DR71" t="e">
            <v>#VALUE!</v>
          </cell>
          <cell r="DS71" t="e">
            <v>#VALUE!</v>
          </cell>
          <cell r="DT71" t="str">
            <v>NULL</v>
          </cell>
          <cell r="DU71">
            <v>2.0607483121419299</v>
          </cell>
          <cell r="DV71" t="str">
            <v>NULL</v>
          </cell>
          <cell r="DW71">
            <v>1.9715834869190001</v>
          </cell>
          <cell r="DX71">
            <v>4.0323317990609304</v>
          </cell>
          <cell r="DY71">
            <v>29.511460348504386</v>
          </cell>
          <cell r="DZ71" t="e">
            <v>#DIV/0!</v>
          </cell>
          <cell r="EA71" t="e">
            <v>#VALUE!</v>
          </cell>
          <cell r="EB71" t="e">
            <v>#VALUE!</v>
          </cell>
          <cell r="EC71">
            <v>11.893254017433</v>
          </cell>
          <cell r="ED71">
            <v>0.12735585430131</v>
          </cell>
          <cell r="EE71">
            <v>0.32226111645761601</v>
          </cell>
          <cell r="EF71">
            <v>0</v>
          </cell>
          <cell r="EG71">
            <v>0.47223433571619555</v>
          </cell>
          <cell r="EH71">
            <v>-6.4074444888291393E-2</v>
          </cell>
          <cell r="EK71">
            <v>3.6539752956988201</v>
          </cell>
        </row>
        <row r="72">
          <cell r="A72" t="str">
            <v>TEF</v>
          </cell>
          <cell r="B72" t="str">
            <v>TEF.BA</v>
          </cell>
          <cell r="C72" t="str">
            <v>TELEFONICA SA</v>
          </cell>
          <cell r="D72">
            <v>42916</v>
          </cell>
          <cell r="E72">
            <v>433934016426.21301</v>
          </cell>
          <cell r="F72">
            <v>616225758769.97595</v>
          </cell>
          <cell r="G72">
            <v>0.70418000000000003</v>
          </cell>
          <cell r="H72">
            <v>0.67251000000000005</v>
          </cell>
          <cell r="I72">
            <v>0.71962999999999999</v>
          </cell>
          <cell r="J72">
            <v>0.68637000000000004</v>
          </cell>
          <cell r="K72">
            <v>199</v>
          </cell>
          <cell r="L72">
            <v>0</v>
          </cell>
          <cell r="M72">
            <v>0</v>
          </cell>
          <cell r="N72">
            <v>6.6669470142977296</v>
          </cell>
          <cell r="O72">
            <v>0</v>
          </cell>
          <cell r="P72">
            <v>6.6669470142977296</v>
          </cell>
          <cell r="Q72">
            <v>3.3502246303003663E-2</v>
          </cell>
          <cell r="S72">
            <v>370.29685370620001</v>
          </cell>
          <cell r="T72">
            <v>319.0912674946</v>
          </cell>
          <cell r="U72">
            <v>42916</v>
          </cell>
          <cell r="V72">
            <v>2282933765121.1401</v>
          </cell>
          <cell r="W72">
            <v>2096651447191.8701</v>
          </cell>
          <cell r="X72">
            <v>2060769989486.96</v>
          </cell>
          <cell r="Y72">
            <v>2080862980985.3501</v>
          </cell>
          <cell r="Z72">
            <v>320139202449.08197</v>
          </cell>
          <cell r="AA72">
            <v>7.1310659477395308</v>
          </cell>
          <cell r="AC72">
            <v>245818802188.63901</v>
          </cell>
          <cell r="AD72">
            <v>214895154729.19699</v>
          </cell>
          <cell r="AE72">
            <v>228692949957.948</v>
          </cell>
          <cell r="AF72">
            <v>225560325451.767</v>
          </cell>
          <cell r="AG72">
            <v>0.53687583634923663</v>
          </cell>
          <cell r="AH72">
            <v>272887513564.76199</v>
          </cell>
          <cell r="AI72">
            <v>237183244947.07501</v>
          </cell>
          <cell r="AJ72">
            <v>269177985702.271</v>
          </cell>
          <cell r="AK72">
            <v>257773374988.76199</v>
          </cell>
          <cell r="AL72">
            <v>68895276606.924606</v>
          </cell>
          <cell r="AM72">
            <v>57634841224.202904</v>
          </cell>
          <cell r="AN72">
            <v>65052735492.010101</v>
          </cell>
          <cell r="AO72">
            <v>59959728715.274696</v>
          </cell>
          <cell r="AP72">
            <v>376.19184636822843</v>
          </cell>
          <cell r="AQ72">
            <v>203726671464.30899</v>
          </cell>
          <cell r="AR72">
            <v>173477271952.80399</v>
          </cell>
          <cell r="AS72">
            <v>177924148444.07101</v>
          </cell>
          <cell r="AT72">
            <v>185362992223.32101</v>
          </cell>
          <cell r="AU72">
            <v>73.849433111197627</v>
          </cell>
          <cell r="AV72">
            <v>19519063774.373699</v>
          </cell>
          <cell r="AW72">
            <v>18409766149.127899</v>
          </cell>
          <cell r="AX72">
            <v>17584072750.2103</v>
          </cell>
          <cell r="AY72">
            <v>19883108199.226799</v>
          </cell>
          <cell r="AZ72">
            <v>27.350780676589576</v>
          </cell>
          <cell r="BA72">
            <v>-274.99163258044121</v>
          </cell>
          <cell r="BC72">
            <v>52.31955</v>
          </cell>
          <cell r="BD72">
            <v>10.51003</v>
          </cell>
          <cell r="BE72">
            <v>4.0606499999999999</v>
          </cell>
          <cell r="BF72">
            <v>15573519299.087299</v>
          </cell>
          <cell r="BG72">
            <v>12747740293.485001</v>
          </cell>
          <cell r="BH72">
            <v>2400100925.1471801</v>
          </cell>
          <cell r="BI72">
            <v>16951513755.2819</v>
          </cell>
          <cell r="BJ72">
            <v>5.2103367846002682E-2</v>
          </cell>
          <cell r="BK72">
            <v>-83558285642.484299</v>
          </cell>
          <cell r="BL72">
            <v>-37392280578.450798</v>
          </cell>
          <cell r="BM72">
            <v>-153123105550.883</v>
          </cell>
          <cell r="BN72">
            <v>-124678987233.66</v>
          </cell>
          <cell r="BO72">
            <v>-78062998289.990906</v>
          </cell>
          <cell r="BP72">
            <v>-158618392903.3764</v>
          </cell>
          <cell r="BQ72">
            <v>112941210605.07401</v>
          </cell>
          <cell r="BR72">
            <v>44887100930.718002</v>
          </cell>
          <cell r="BS72">
            <v>222309348191.758</v>
          </cell>
          <cell r="BT72">
            <v>160409950103.38901</v>
          </cell>
          <cell r="BU72">
            <v>89875052743.787292</v>
          </cell>
          <cell r="BV72">
            <v>245375506053.04474</v>
          </cell>
          <cell r="BW72">
            <v>9.4819912762307515E-2</v>
          </cell>
          <cell r="BX72">
            <v>2.237843146385373E-2</v>
          </cell>
          <cell r="BY72">
            <v>320139202449.08197</v>
          </cell>
          <cell r="BZ72">
            <v>332063088620.53497</v>
          </cell>
          <cell r="CA72">
            <v>302629392346.51001</v>
          </cell>
          <cell r="CB72">
            <v>296039304818.84399</v>
          </cell>
          <cell r="CC72" t="str">
            <v>NULL</v>
          </cell>
          <cell r="CD72" t="str">
            <v>NULL</v>
          </cell>
          <cell r="CE72" t="str">
            <v>NULL</v>
          </cell>
          <cell r="CF72" t="str">
            <v>NULL</v>
          </cell>
          <cell r="CG72" t="str">
            <v>NULL</v>
          </cell>
          <cell r="CH72" t="str">
            <v>NULL</v>
          </cell>
          <cell r="CI72" t="str">
            <v>NULL</v>
          </cell>
          <cell r="CJ72" t="str">
            <v>NULL</v>
          </cell>
          <cell r="CK72">
            <v>320139202449.08197</v>
          </cell>
          <cell r="CL72">
            <v>332063088620.53497</v>
          </cell>
          <cell r="CM72">
            <v>302629392346.51001</v>
          </cell>
          <cell r="CN72">
            <v>296039304818.84399</v>
          </cell>
          <cell r="CO72">
            <v>0.15244697405691601</v>
          </cell>
          <cell r="CP72">
            <v>15573519299.087299</v>
          </cell>
          <cell r="CQ72">
            <v>14047669279.797501</v>
          </cell>
          <cell r="CR72">
            <v>39484993692.178299</v>
          </cell>
          <cell r="CS72">
            <v>8653809580.6952591</v>
          </cell>
          <cell r="CT72">
            <v>26468266376.3382</v>
          </cell>
          <cell r="CU72">
            <v>41142179124.171898</v>
          </cell>
          <cell r="CV72">
            <v>25472503694.321301</v>
          </cell>
          <cell r="CW72">
            <v>30088939805.825199</v>
          </cell>
          <cell r="CX72">
            <v>0.10861944347481067</v>
          </cell>
          <cell r="CY72">
            <v>0.5989501215752584</v>
          </cell>
          <cell r="CZ72">
            <v>3.5627296653557776</v>
          </cell>
          <cell r="DA72">
            <v>-0.67304962638461685</v>
          </cell>
          <cell r="DB72">
            <v>-0.35666347918874486</v>
          </cell>
          <cell r="DC72">
            <v>0.61516039482777307</v>
          </cell>
          <cell r="DD72">
            <v>-0.15342634673389721</v>
          </cell>
          <cell r="DE72">
            <v>1.7234778080911917</v>
          </cell>
          <cell r="DG72">
            <v>7.0646054510565497</v>
          </cell>
          <cell r="DH72">
            <v>4968654707</v>
          </cell>
          <cell r="DI72">
            <v>198</v>
          </cell>
          <cell r="DJ72">
            <v>985089441006</v>
          </cell>
          <cell r="DK72">
            <v>2276173837070.8599</v>
          </cell>
          <cell r="DM72">
            <v>320139202449.08197</v>
          </cell>
          <cell r="DN72" t="str">
            <v>NULL</v>
          </cell>
          <cell r="DO72" t="str">
            <v>NULL</v>
          </cell>
          <cell r="DP72">
            <v>356863116411.36401</v>
          </cell>
          <cell r="DQ72">
            <v>519028788138.401</v>
          </cell>
          <cell r="DR72">
            <v>-555752702100.68311</v>
          </cell>
          <cell r="DS72">
            <v>-1.7725319864077529</v>
          </cell>
          <cell r="DT72">
            <v>2.6074737671772699</v>
          </cell>
          <cell r="DU72">
            <v>2.51829236683492</v>
          </cell>
          <cell r="DV72">
            <v>-0.368015475189235</v>
          </cell>
          <cell r="DW72">
            <v>3.729505472894</v>
          </cell>
          <cell r="DX72">
            <v>8.4872561317169541</v>
          </cell>
          <cell r="DY72">
            <v>23.329094459641929</v>
          </cell>
          <cell r="DZ72">
            <v>1.0766390382091255</v>
          </cell>
          <cell r="EA72">
            <v>86757113149.668335</v>
          </cell>
          <cell r="EB72">
            <v>11.354566850404311</v>
          </cell>
          <cell r="EC72">
            <v>19.545248589199701</v>
          </cell>
          <cell r="ED72">
            <v>0.224654033572316</v>
          </cell>
          <cell r="EE72">
            <v>0.28483461676872301</v>
          </cell>
          <cell r="EG72">
            <v>0.35688128385069623</v>
          </cell>
          <cell r="EH72">
            <v>-6.3489803589661942E-2</v>
          </cell>
          <cell r="EK72">
            <v>6.1106835537454502</v>
          </cell>
        </row>
        <row r="73">
          <cell r="A73" t="str">
            <v>TS</v>
          </cell>
          <cell r="B73" t="str">
            <v>TENA.BA</v>
          </cell>
          <cell r="C73" t="str">
            <v>TENARIS SA</v>
          </cell>
          <cell r="D73">
            <v>42916</v>
          </cell>
          <cell r="E73">
            <v>84424106912</v>
          </cell>
          <cell r="F73">
            <v>32340400878</v>
          </cell>
          <cell r="G73">
            <v>2.6104799999999999</v>
          </cell>
          <cell r="H73">
            <v>1.58927</v>
          </cell>
          <cell r="I73">
            <v>2.94998</v>
          </cell>
          <cell r="J73">
            <v>1.9726300000000001</v>
          </cell>
          <cell r="K73">
            <v>254</v>
          </cell>
          <cell r="L73">
            <v>0</v>
          </cell>
          <cell r="M73">
            <v>0</v>
          </cell>
          <cell r="N73">
            <v>4.43912</v>
          </cell>
          <cell r="O73">
            <v>1.99485</v>
          </cell>
          <cell r="P73">
            <v>6.4339700000000004</v>
          </cell>
          <cell r="Q73">
            <v>2.5330590551181104E-2</v>
          </cell>
          <cell r="S73">
            <v>7.5200901071999997</v>
          </cell>
          <cell r="T73">
            <v>6.1421788864</v>
          </cell>
          <cell r="U73">
            <v>42916</v>
          </cell>
          <cell r="V73">
            <v>236238350904</v>
          </cell>
          <cell r="W73">
            <v>218153743016</v>
          </cell>
          <cell r="X73">
            <v>222007921850</v>
          </cell>
          <cell r="Y73">
            <v>218324762370</v>
          </cell>
          <cell r="Z73">
            <v>188331203324</v>
          </cell>
          <cell r="AA73">
            <v>1.2543771118882612</v>
          </cell>
          <cell r="AC73">
            <v>20638003224</v>
          </cell>
          <cell r="AD73">
            <v>17731366620</v>
          </cell>
          <cell r="AE73">
            <v>13747605852</v>
          </cell>
          <cell r="AF73">
            <v>16089646815</v>
          </cell>
          <cell r="AG73">
            <v>0.3811597762007935</v>
          </cell>
          <cell r="AH73">
            <v>11786025470</v>
          </cell>
          <cell r="AI73">
            <v>9867043131</v>
          </cell>
          <cell r="AJ73">
            <v>8828046236</v>
          </cell>
          <cell r="AK73">
            <v>8453944125</v>
          </cell>
          <cell r="AL73">
            <v>14376295774</v>
          </cell>
          <cell r="AM73">
            <v>12660195152</v>
          </cell>
          <cell r="AN73">
            <v>10414016980</v>
          </cell>
          <cell r="AO73">
            <v>11763078030</v>
          </cell>
          <cell r="AP73">
            <v>72.191937708070768</v>
          </cell>
          <cell r="AQ73">
            <v>17012066518</v>
          </cell>
          <cell r="AR73">
            <v>15528783776</v>
          </cell>
          <cell r="AS73">
            <v>15135575990</v>
          </cell>
          <cell r="AT73">
            <v>14099200830</v>
          </cell>
          <cell r="AU73">
            <v>82.646314487180348</v>
          </cell>
          <cell r="AV73">
            <v>33026344920</v>
          </cell>
          <cell r="AW73">
            <v>25709513478</v>
          </cell>
          <cell r="AX73">
            <v>24793896206</v>
          </cell>
          <cell r="AY73">
            <v>22996385280</v>
          </cell>
          <cell r="AZ73">
            <v>197.51680515734162</v>
          </cell>
          <cell r="BA73">
            <v>207.97118193645122</v>
          </cell>
          <cell r="BC73">
            <v>26.269570000000002</v>
          </cell>
          <cell r="BD73">
            <v>-1.37547</v>
          </cell>
          <cell r="BE73">
            <v>0.32344000000000001</v>
          </cell>
          <cell r="BF73">
            <v>1237545544</v>
          </cell>
          <cell r="BG73">
            <v>1745460695</v>
          </cell>
          <cell r="BH73">
            <v>-120664794</v>
          </cell>
          <cell r="BI73">
            <v>254773035</v>
          </cell>
          <cell r="BJ73">
            <v>4.570105314183074E-2</v>
          </cell>
          <cell r="BK73">
            <v>-4878942436</v>
          </cell>
          <cell r="BL73">
            <v>-2130096705</v>
          </cell>
          <cell r="BM73">
            <v>-12475084542</v>
          </cell>
          <cell r="BN73">
            <v>-9648920655</v>
          </cell>
          <cell r="BO73">
            <v>-6632380575</v>
          </cell>
          <cell r="BP73">
            <v>-10721646403</v>
          </cell>
          <cell r="BQ73">
            <v>-111193776</v>
          </cell>
          <cell r="BR73">
            <v>401601178</v>
          </cell>
          <cell r="BS73">
            <v>13690959510</v>
          </cell>
          <cell r="BT73">
            <v>14460913170</v>
          </cell>
          <cell r="BU73">
            <v>10350346875</v>
          </cell>
          <cell r="BV73">
            <v>3229418859</v>
          </cell>
          <cell r="BW73">
            <v>-0.10984604233689615</v>
          </cell>
          <cell r="BX73">
            <v>1.3935523218570155E-2</v>
          </cell>
          <cell r="BY73">
            <v>188331203324</v>
          </cell>
          <cell r="BZ73">
            <v>177190960705</v>
          </cell>
          <cell r="CA73">
            <v>178950709118</v>
          </cell>
          <cell r="CB73">
            <v>176227335405</v>
          </cell>
          <cell r="CC73" t="str">
            <v>NULL</v>
          </cell>
          <cell r="CD73" t="str">
            <v>NULL</v>
          </cell>
          <cell r="CE73" t="str">
            <v>NULL</v>
          </cell>
          <cell r="CF73" t="str">
            <v>NULL</v>
          </cell>
          <cell r="CG73" t="str">
            <v>NULL</v>
          </cell>
          <cell r="CH73" t="str">
            <v>NULL</v>
          </cell>
          <cell r="CI73" t="str">
            <v>NULL</v>
          </cell>
          <cell r="CJ73" t="str">
            <v>NULL</v>
          </cell>
          <cell r="CK73">
            <v>188331203324</v>
          </cell>
          <cell r="CL73">
            <v>177190960705</v>
          </cell>
          <cell r="CM73">
            <v>178950709118</v>
          </cell>
          <cell r="CN73">
            <v>176227335405</v>
          </cell>
          <cell r="CO73">
            <v>1.73004777465669E-2</v>
          </cell>
          <cell r="CP73">
            <v>1237545544</v>
          </cell>
          <cell r="CQ73">
            <v>-405720075</v>
          </cell>
          <cell r="CR73">
            <v>220164498</v>
          </cell>
          <cell r="CS73">
            <v>-1284431382.8</v>
          </cell>
          <cell r="CT73">
            <v>9788982204.7999992</v>
          </cell>
          <cell r="CU73">
            <v>10110434698</v>
          </cell>
          <cell r="CV73">
            <v>8352428125</v>
          </cell>
          <cell r="CW73">
            <v>5728715280</v>
          </cell>
          <cell r="CX73">
            <v>4.0502447876161902</v>
          </cell>
          <cell r="CY73">
            <v>0.13537515051002974</v>
          </cell>
          <cell r="CZ73">
            <v>1.1714100892801698</v>
          </cell>
          <cell r="DA73">
            <v>-1.1312119437882093</v>
          </cell>
          <cell r="DB73">
            <v>-3.1794131785806257E-2</v>
          </cell>
          <cell r="DC73">
            <v>0.21047850357886189</v>
          </cell>
          <cell r="DD73">
            <v>0.45799323526513258</v>
          </cell>
          <cell r="DE73">
            <v>0.83893977331388958</v>
          </cell>
          <cell r="DG73">
            <v>25.6478926615343</v>
          </cell>
          <cell r="DH73">
            <v>1180536830</v>
          </cell>
          <cell r="DI73">
            <v>270</v>
          </cell>
          <cell r="DJ73">
            <v>318744944100</v>
          </cell>
          <cell r="DK73">
            <v>274397026814.25601</v>
          </cell>
          <cell r="DM73">
            <v>188331203324</v>
          </cell>
          <cell r="DN73" t="str">
            <v>NULL</v>
          </cell>
          <cell r="DO73" t="str">
            <v>NULL</v>
          </cell>
          <cell r="DP73">
            <v>29254557716</v>
          </cell>
          <cell r="DQ73" t="str">
            <v>NULL</v>
          </cell>
          <cell r="DR73">
            <v>159076645608</v>
          </cell>
          <cell r="DS73">
            <v>2.0037192944428686</v>
          </cell>
          <cell r="DT73">
            <v>1.0483367800000001</v>
          </cell>
          <cell r="DU73">
            <v>1.47845907</v>
          </cell>
          <cell r="DV73">
            <v>-0.1022583</v>
          </cell>
          <cell r="DW73">
            <v>0.21575069999999999</v>
          </cell>
          <cell r="DX73">
            <v>2.6402882500000002</v>
          </cell>
          <cell r="DY73">
            <v>102.26156178212737</v>
          </cell>
          <cell r="DZ73">
            <v>4.6732257420984968</v>
          </cell>
          <cell r="EA73">
            <v>-7492227544</v>
          </cell>
          <cell r="EB73">
            <v>-42.543414789271914</v>
          </cell>
          <cell r="EC73">
            <v>143.80017031482001</v>
          </cell>
          <cell r="ED73">
            <v>0.39833643302059601</v>
          </cell>
          <cell r="EE73">
            <v>0.34913015525657298</v>
          </cell>
          <cell r="EG73">
            <v>0.41941443309449111</v>
          </cell>
          <cell r="EH73">
            <v>-3.5309230150428084E-2</v>
          </cell>
          <cell r="EK73">
            <v>2.4521095484826101</v>
          </cell>
        </row>
        <row r="74">
          <cell r="A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row>
        <row r="75">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DY75">
            <v>51.130780891063687</v>
          </cell>
        </row>
        <row r="76">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row>
        <row r="77">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row>
        <row r="78">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P78">
            <v>0</v>
          </cell>
          <cell r="CQ78">
            <v>0</v>
          </cell>
          <cell r="CR78">
            <v>0</v>
          </cell>
          <cell r="CS78">
            <v>0</v>
          </cell>
          <cell r="CT78">
            <v>0</v>
          </cell>
          <cell r="CU78">
            <v>0</v>
          </cell>
          <cell r="CV78">
            <v>0</v>
          </cell>
          <cell r="CW78">
            <v>0</v>
          </cell>
        </row>
        <row r="79">
          <cell r="E79">
            <v>0</v>
          </cell>
          <cell r="DJ79">
            <v>0</v>
          </cell>
        </row>
        <row r="80">
          <cell r="DT80">
            <v>0</v>
          </cell>
        </row>
        <row r="84">
          <cell r="A84">
            <v>1</v>
          </cell>
          <cell r="B84">
            <v>2</v>
          </cell>
          <cell r="C84">
            <v>3</v>
          </cell>
          <cell r="E84">
            <v>4</v>
          </cell>
          <cell r="F84">
            <v>5</v>
          </cell>
          <cell r="G84">
            <v>6</v>
          </cell>
          <cell r="H84">
            <v>7</v>
          </cell>
          <cell r="I84">
            <v>0</v>
          </cell>
          <cell r="J84">
            <v>0</v>
          </cell>
          <cell r="K84">
            <v>8</v>
          </cell>
          <cell r="L84">
            <v>9</v>
          </cell>
          <cell r="M84">
            <v>0</v>
          </cell>
          <cell r="N84">
            <v>1</v>
          </cell>
          <cell r="O84">
            <v>2</v>
          </cell>
          <cell r="P84">
            <v>3</v>
          </cell>
          <cell r="Q84">
            <v>4</v>
          </cell>
          <cell r="R84">
            <v>5</v>
          </cell>
          <cell r="S84">
            <v>6</v>
          </cell>
          <cell r="U84">
            <v>7</v>
          </cell>
          <cell r="V84">
            <v>0</v>
          </cell>
          <cell r="W84">
            <v>8</v>
          </cell>
          <cell r="X84">
            <v>9</v>
          </cell>
          <cell r="Y84">
            <v>10</v>
          </cell>
          <cell r="Z84">
            <v>11</v>
          </cell>
          <cell r="AA84">
            <v>12</v>
          </cell>
          <cell r="AB84">
            <v>13</v>
          </cell>
          <cell r="AC84">
            <v>14</v>
          </cell>
          <cell r="AD84">
            <v>15</v>
          </cell>
          <cell r="AE84">
            <v>16</v>
          </cell>
          <cell r="AF84">
            <v>17</v>
          </cell>
          <cell r="AG84">
            <v>18</v>
          </cell>
          <cell r="AH84">
            <v>19</v>
          </cell>
          <cell r="AI84">
            <v>20</v>
          </cell>
          <cell r="AJ84">
            <v>21</v>
          </cell>
          <cell r="AK84">
            <v>22</v>
          </cell>
          <cell r="AL84">
            <v>23</v>
          </cell>
          <cell r="AM84">
            <v>24</v>
          </cell>
          <cell r="AN84">
            <v>25</v>
          </cell>
          <cell r="AO84">
            <v>26</v>
          </cell>
          <cell r="AP84">
            <v>27</v>
          </cell>
          <cell r="AQ84">
            <v>28</v>
          </cell>
          <cell r="AR84">
            <v>29</v>
          </cell>
          <cell r="AS84">
            <v>30</v>
          </cell>
          <cell r="AT84">
            <v>31</v>
          </cell>
          <cell r="AU84">
            <v>32</v>
          </cell>
          <cell r="AV84">
            <v>33</v>
          </cell>
          <cell r="AW84">
            <v>34</v>
          </cell>
          <cell r="AX84">
            <v>35</v>
          </cell>
          <cell r="AY84">
            <v>36</v>
          </cell>
          <cell r="AZ84">
            <v>37</v>
          </cell>
          <cell r="BA84">
            <v>38</v>
          </cell>
          <cell r="BB84">
            <v>39</v>
          </cell>
          <cell r="BC84">
            <v>40</v>
          </cell>
          <cell r="BD84">
            <v>41</v>
          </cell>
          <cell r="BE84">
            <v>42</v>
          </cell>
          <cell r="BF84">
            <v>43</v>
          </cell>
          <cell r="BG84">
            <v>44</v>
          </cell>
          <cell r="BH84">
            <v>45</v>
          </cell>
          <cell r="BI84">
            <v>46</v>
          </cell>
          <cell r="BJ84">
            <v>47</v>
          </cell>
          <cell r="BK84">
            <v>48</v>
          </cell>
          <cell r="BL84">
            <v>49</v>
          </cell>
          <cell r="BM84">
            <v>50</v>
          </cell>
          <cell r="BN84">
            <v>51</v>
          </cell>
          <cell r="BO84">
            <v>52</v>
          </cell>
          <cell r="BP84">
            <v>53</v>
          </cell>
          <cell r="BQ84">
            <v>54</v>
          </cell>
          <cell r="BR84">
            <v>55</v>
          </cell>
          <cell r="BS84">
            <v>56</v>
          </cell>
          <cell r="BT84">
            <v>57</v>
          </cell>
          <cell r="BU84">
            <v>58</v>
          </cell>
          <cell r="BV84">
            <v>59</v>
          </cell>
          <cell r="BW84">
            <v>60</v>
          </cell>
          <cell r="BX84">
            <v>61</v>
          </cell>
          <cell r="BY84">
            <v>62</v>
          </cell>
          <cell r="BZ84">
            <v>63</v>
          </cell>
          <cell r="CA84">
            <v>64</v>
          </cell>
          <cell r="CB84">
            <v>65</v>
          </cell>
          <cell r="CC84">
            <v>66</v>
          </cell>
          <cell r="CD84">
            <v>67</v>
          </cell>
          <cell r="CE84">
            <v>68</v>
          </cell>
          <cell r="CF84">
            <v>69</v>
          </cell>
          <cell r="CG84">
            <v>70</v>
          </cell>
          <cell r="CH84">
            <v>71</v>
          </cell>
          <cell r="CI84">
            <v>72</v>
          </cell>
          <cell r="CJ84">
            <v>73</v>
          </cell>
          <cell r="CK84">
            <v>74</v>
          </cell>
          <cell r="CL84">
            <v>75</v>
          </cell>
          <cell r="CM84">
            <v>76</v>
          </cell>
          <cell r="CN84">
            <v>77</v>
          </cell>
          <cell r="CO84">
            <v>78</v>
          </cell>
          <cell r="CP84">
            <v>79</v>
          </cell>
          <cell r="CQ84">
            <v>80</v>
          </cell>
          <cell r="CR84">
            <v>81</v>
          </cell>
          <cell r="CS84">
            <v>82</v>
          </cell>
          <cell r="CT84">
            <v>83</v>
          </cell>
          <cell r="CU84">
            <v>84</v>
          </cell>
          <cell r="CV84">
            <v>85</v>
          </cell>
          <cell r="CW84">
            <v>86</v>
          </cell>
          <cell r="CX84">
            <v>87</v>
          </cell>
          <cell r="CY84">
            <v>88</v>
          </cell>
          <cell r="CZ84">
            <v>89</v>
          </cell>
          <cell r="DA84">
            <v>90</v>
          </cell>
          <cell r="DB84">
            <v>91</v>
          </cell>
          <cell r="DC84">
            <v>92</v>
          </cell>
          <cell r="DD84">
            <v>93</v>
          </cell>
          <cell r="DE84">
            <v>94</v>
          </cell>
          <cell r="DF84">
            <v>95</v>
          </cell>
          <cell r="DG84">
            <v>96</v>
          </cell>
          <cell r="DH84">
            <v>97</v>
          </cell>
          <cell r="DI84">
            <v>98</v>
          </cell>
          <cell r="DK84" t="e">
            <v>#REF!</v>
          </cell>
          <cell r="DL84" t="e">
            <v>#REF!</v>
          </cell>
          <cell r="DM84" t="e">
            <v>#REF!</v>
          </cell>
          <cell r="DN84" t="e">
            <v>#REF!</v>
          </cell>
          <cell r="DO84" t="e">
            <v>#REF!</v>
          </cell>
          <cell r="DP84" t="e">
            <v>#REF!</v>
          </cell>
          <cell r="DQ84" t="e">
            <v>#REF!</v>
          </cell>
          <cell r="DR84" t="e">
            <v>#REF!</v>
          </cell>
          <cell r="DS84" t="e">
            <v>#REF!</v>
          </cell>
          <cell r="DT84" t="e">
            <v>#REF!</v>
          </cell>
          <cell r="DU84" t="e">
            <v>#REF!</v>
          </cell>
          <cell r="DV84" t="e">
            <v>#REF!</v>
          </cell>
          <cell r="DW84" t="e">
            <v>#REF!</v>
          </cell>
          <cell r="DX84" t="e">
            <v>#REF!</v>
          </cell>
          <cell r="DY84" t="e">
            <v>#REF!</v>
          </cell>
          <cell r="DZ84" t="e">
            <v>#REF!</v>
          </cell>
          <cell r="EA84" t="e">
            <v>#REF!</v>
          </cell>
          <cell r="EB84" t="e">
            <v>#REF!</v>
          </cell>
          <cell r="EC84" t="e">
            <v>#REF!</v>
          </cell>
          <cell r="ED84" t="str">
            <v>Unable to collect data for the field 'TR.BetaDaily90D' and some specific identifier(s).</v>
          </cell>
          <cell r="EE84" t="str">
            <v>Unable to collect data for the field 'TR.BetaDaily180D' and some specific identifier(s).</v>
          </cell>
          <cell r="EF84" t="e">
            <v>#VALUE!</v>
          </cell>
          <cell r="EH84" t="e">
            <v>#REF!</v>
          </cell>
          <cell r="EI84" t="e">
            <v>#REF!</v>
          </cell>
          <cell r="EJ84" t="e">
            <v>#REF!</v>
          </cell>
          <cell r="EK84" t="e">
            <v>#REF!</v>
          </cell>
        </row>
      </sheetData>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Tema d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scorderi@invertironline.com" TargetMode="Externa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3" tint="0.39997558519241921"/>
  </sheetPr>
  <dimension ref="A1:EJ422"/>
  <sheetViews>
    <sheetView tabSelected="1" view="pageBreakPreview" zoomScale="80" zoomScaleNormal="100" zoomScaleSheetLayoutView="80" workbookViewId="0">
      <pane ySplit="13" topLeftCell="A14" activePane="bottomLeft" state="frozen"/>
      <selection activeCell="BG116" sqref="BG116:BI116"/>
      <selection pane="bottomLeft" activeCell="Q102" sqref="Q102"/>
    </sheetView>
  </sheetViews>
  <sheetFormatPr baseColWidth="10" defaultRowHeight="12.75" x14ac:dyDescent="0.2"/>
  <cols>
    <col min="1" max="1" width="3.140625" style="153" customWidth="1"/>
    <col min="2" max="2" width="3.85546875" style="153" customWidth="1"/>
    <col min="3" max="3" width="3" style="153" customWidth="1"/>
    <col min="4" max="4" width="3.7109375" style="153" customWidth="1"/>
    <col min="5" max="5" width="4.7109375" style="153" customWidth="1"/>
    <col min="6" max="6" width="2.140625" style="153" customWidth="1"/>
    <col min="7" max="7" width="1.5703125" style="153" customWidth="1"/>
    <col min="8" max="8" width="2.28515625" style="153" customWidth="1"/>
    <col min="9" max="10" width="2.140625" style="153" customWidth="1"/>
    <col min="11" max="11" width="5.85546875" style="153" customWidth="1"/>
    <col min="12" max="12" width="2.140625" style="153" customWidth="1"/>
    <col min="13" max="13" width="1.85546875" style="153" customWidth="1"/>
    <col min="14" max="14" width="1.28515625" style="153" customWidth="1"/>
    <col min="15" max="16" width="2.140625" style="153" customWidth="1"/>
    <col min="17" max="17" width="1.5703125" style="153" customWidth="1"/>
    <col min="18" max="18" width="3" style="153" customWidth="1"/>
    <col min="19" max="19" width="1.5703125" style="156" customWidth="1"/>
    <col min="20" max="20" width="1" style="153" customWidth="1"/>
    <col min="21" max="21" width="2.140625" style="153" customWidth="1"/>
    <col min="22" max="22" width="0.5703125" style="153" customWidth="1"/>
    <col min="23" max="24" width="1.5703125" style="153" customWidth="1"/>
    <col min="25" max="25" width="1.85546875" style="153" customWidth="1"/>
    <col min="26" max="26" width="3.42578125" style="153" customWidth="1"/>
    <col min="27" max="27" width="2.140625" style="153" customWidth="1"/>
    <col min="28" max="28" width="1.7109375" style="153" customWidth="1"/>
    <col min="29" max="29" width="2.5703125" style="153" customWidth="1"/>
    <col min="30" max="30" width="2.140625" style="153" customWidth="1"/>
    <col min="31" max="31" width="1.5703125" style="153" customWidth="1"/>
    <col min="32" max="33" width="2.140625" style="153" customWidth="1"/>
    <col min="34" max="34" width="1.5703125" style="153" customWidth="1"/>
    <col min="35" max="35" width="3" style="153" customWidth="1"/>
    <col min="36" max="36" width="1.85546875" style="153" customWidth="1"/>
    <col min="37" max="37" width="2.85546875" style="153" customWidth="1"/>
    <col min="38" max="38" width="1.7109375" style="153" customWidth="1"/>
    <col min="39" max="40" width="1.42578125" style="153" customWidth="1"/>
    <col min="41" max="41" width="4.5703125" style="153" customWidth="1"/>
    <col min="42" max="42" width="1.85546875" style="153" customWidth="1"/>
    <col min="43" max="43" width="1.5703125" style="153" customWidth="1"/>
    <col min="44" max="44" width="3.42578125" style="153" customWidth="1"/>
    <col min="45" max="45" width="8.140625" style="153" customWidth="1"/>
    <col min="46" max="46" width="8.42578125" style="153" customWidth="1"/>
    <col min="47" max="47" width="6" style="156" bestFit="1" customWidth="1"/>
    <col min="48" max="48" width="9.85546875" style="156" customWidth="1"/>
    <col min="49" max="49" width="8.7109375" style="156" bestFit="1" customWidth="1"/>
    <col min="50" max="50" width="3.140625" style="153" customWidth="1"/>
    <col min="51" max="51" width="1.28515625" style="153" customWidth="1"/>
    <col min="52" max="52" width="3.140625" style="153" customWidth="1"/>
    <col min="53" max="54" width="2.140625" style="153" customWidth="1"/>
    <col min="55" max="55" width="2.42578125" style="153" customWidth="1"/>
    <col min="56" max="56" width="1.42578125" style="153" customWidth="1"/>
    <col min="57" max="57" width="2.140625" style="153" customWidth="1"/>
    <col min="58" max="58" width="2.7109375" style="153" customWidth="1"/>
    <col min="59" max="59" width="0.5703125" style="153" customWidth="1"/>
    <col min="60" max="60" width="1.28515625" style="153" customWidth="1"/>
    <col min="61" max="61" width="3.140625" style="153" customWidth="1"/>
    <col min="62" max="62" width="2.140625" style="153" customWidth="1"/>
    <col min="63" max="63" width="1.5703125" style="153" customWidth="1"/>
    <col min="64" max="64" width="2.42578125" style="153" customWidth="1"/>
    <col min="65" max="65" width="1.7109375" style="153" customWidth="1"/>
    <col min="66" max="66" width="1.28515625" style="153" customWidth="1"/>
    <col min="67" max="67" width="2.140625" style="153" customWidth="1"/>
    <col min="68" max="68" width="7.140625" style="153" customWidth="1"/>
    <col min="69" max="69" width="5.85546875" style="153" hidden="1" customWidth="1"/>
    <col min="70" max="70" width="4.5703125" style="153" hidden="1" customWidth="1"/>
    <col min="71" max="71" width="4.5703125" style="153" customWidth="1"/>
    <col min="72" max="72" width="6.42578125" style="153" customWidth="1"/>
    <col min="73" max="73" width="6.140625" style="153" customWidth="1"/>
    <col min="74" max="75" width="7.28515625" style="153" customWidth="1"/>
    <col min="76" max="76" width="17.42578125" style="152" customWidth="1"/>
    <col min="77" max="77" width="11.42578125" style="5" customWidth="1"/>
    <col min="78" max="80" width="9.42578125" style="5" customWidth="1"/>
    <col min="81" max="81" width="11.42578125" style="5"/>
    <col min="82" max="84" width="7" style="5" customWidth="1"/>
    <col min="85" max="85" width="9.28515625" style="5" customWidth="1"/>
    <col min="86" max="87" width="11.42578125" style="5"/>
    <col min="88" max="88" width="11.42578125" style="5" customWidth="1"/>
    <col min="89" max="306" width="11.42578125" style="5"/>
    <col min="307" max="307" width="14.5703125" style="5" customWidth="1"/>
    <col min="308" max="308" width="12.7109375" style="5" customWidth="1"/>
    <col min="309" max="309" width="1.5703125" style="5" customWidth="1"/>
    <col min="310" max="310" width="18.28515625" style="5" customWidth="1"/>
    <col min="311" max="311" width="11" style="5" customWidth="1"/>
    <col min="312" max="312" width="13.28515625" style="5" bestFit="1" customWidth="1"/>
    <col min="313" max="313" width="18" style="5" customWidth="1"/>
    <col min="314" max="314" width="11.42578125" style="5"/>
    <col min="315" max="315" width="11.140625" style="5" customWidth="1"/>
    <col min="316" max="316" width="11.42578125" style="5"/>
    <col min="317" max="317" width="17.42578125" style="5" customWidth="1"/>
    <col min="318" max="562" width="11.42578125" style="5"/>
    <col min="563" max="563" width="14.5703125" style="5" customWidth="1"/>
    <col min="564" max="564" width="12.7109375" style="5" customWidth="1"/>
    <col min="565" max="565" width="1.5703125" style="5" customWidth="1"/>
    <col min="566" max="566" width="18.28515625" style="5" customWidth="1"/>
    <col min="567" max="567" width="11" style="5" customWidth="1"/>
    <col min="568" max="568" width="13.28515625" style="5" bestFit="1" customWidth="1"/>
    <col min="569" max="569" width="18" style="5" customWidth="1"/>
    <col min="570" max="570" width="11.42578125" style="5"/>
    <col min="571" max="571" width="11.140625" style="5" customWidth="1"/>
    <col min="572" max="572" width="11.42578125" style="5"/>
    <col min="573" max="573" width="17.42578125" style="5" customWidth="1"/>
    <col min="574" max="818" width="11.42578125" style="5"/>
    <col min="819" max="819" width="14.5703125" style="5" customWidth="1"/>
    <col min="820" max="820" width="12.7109375" style="5" customWidth="1"/>
    <col min="821" max="821" width="1.5703125" style="5" customWidth="1"/>
    <col min="822" max="822" width="18.28515625" style="5" customWidth="1"/>
    <col min="823" max="823" width="11" style="5" customWidth="1"/>
    <col min="824" max="824" width="13.28515625" style="5" bestFit="1" customWidth="1"/>
    <col min="825" max="825" width="18" style="5" customWidth="1"/>
    <col min="826" max="826" width="11.42578125" style="5"/>
    <col min="827" max="827" width="11.140625" style="5" customWidth="1"/>
    <col min="828" max="828" width="11.42578125" style="5"/>
    <col min="829" max="829" width="17.42578125" style="5" customWidth="1"/>
    <col min="830" max="1074" width="11.42578125" style="5"/>
    <col min="1075" max="1075" width="14.5703125" style="5" customWidth="1"/>
    <col min="1076" max="1076" width="12.7109375" style="5" customWidth="1"/>
    <col min="1077" max="1077" width="1.5703125" style="5" customWidth="1"/>
    <col min="1078" max="1078" width="18.28515625" style="5" customWidth="1"/>
    <col min="1079" max="1079" width="11" style="5" customWidth="1"/>
    <col min="1080" max="1080" width="13.28515625" style="5" bestFit="1" customWidth="1"/>
    <col min="1081" max="1081" width="18" style="5" customWidth="1"/>
    <col min="1082" max="1082" width="11.42578125" style="5"/>
    <col min="1083" max="1083" width="11.140625" style="5" customWidth="1"/>
    <col min="1084" max="1084" width="11.42578125" style="5"/>
    <col min="1085" max="1085" width="17.42578125" style="5" customWidth="1"/>
    <col min="1086" max="1330" width="11.42578125" style="5"/>
    <col min="1331" max="1331" width="14.5703125" style="5" customWidth="1"/>
    <col min="1332" max="1332" width="12.7109375" style="5" customWidth="1"/>
    <col min="1333" max="1333" width="1.5703125" style="5" customWidth="1"/>
    <col min="1334" max="1334" width="18.28515625" style="5" customWidth="1"/>
    <col min="1335" max="1335" width="11" style="5" customWidth="1"/>
    <col min="1336" max="1336" width="13.28515625" style="5" bestFit="1" customWidth="1"/>
    <col min="1337" max="1337" width="18" style="5" customWidth="1"/>
    <col min="1338" max="1338" width="11.42578125" style="5"/>
    <col min="1339" max="1339" width="11.140625" style="5" customWidth="1"/>
    <col min="1340" max="1340" width="11.42578125" style="5"/>
    <col min="1341" max="1341" width="17.42578125" style="5" customWidth="1"/>
    <col min="1342" max="1586" width="11.42578125" style="5"/>
    <col min="1587" max="1587" width="14.5703125" style="5" customWidth="1"/>
    <col min="1588" max="1588" width="12.7109375" style="5" customWidth="1"/>
    <col min="1589" max="1589" width="1.5703125" style="5" customWidth="1"/>
    <col min="1590" max="1590" width="18.28515625" style="5" customWidth="1"/>
    <col min="1591" max="1591" width="11" style="5" customWidth="1"/>
    <col min="1592" max="1592" width="13.28515625" style="5" bestFit="1" customWidth="1"/>
    <col min="1593" max="1593" width="18" style="5" customWidth="1"/>
    <col min="1594" max="1594" width="11.42578125" style="5"/>
    <col min="1595" max="1595" width="11.140625" style="5" customWidth="1"/>
    <col min="1596" max="1596" width="11.42578125" style="5"/>
    <col min="1597" max="1597" width="17.42578125" style="5" customWidth="1"/>
    <col min="1598" max="1842" width="11.42578125" style="5"/>
    <col min="1843" max="1843" width="14.5703125" style="5" customWidth="1"/>
    <col min="1844" max="1844" width="12.7109375" style="5" customWidth="1"/>
    <col min="1845" max="1845" width="1.5703125" style="5" customWidth="1"/>
    <col min="1846" max="1846" width="18.28515625" style="5" customWidth="1"/>
    <col min="1847" max="1847" width="11" style="5" customWidth="1"/>
    <col min="1848" max="1848" width="13.28515625" style="5" bestFit="1" customWidth="1"/>
    <col min="1849" max="1849" width="18" style="5" customWidth="1"/>
    <col min="1850" max="1850" width="11.42578125" style="5"/>
    <col min="1851" max="1851" width="11.140625" style="5" customWidth="1"/>
    <col min="1852" max="1852" width="11.42578125" style="5"/>
    <col min="1853" max="1853" width="17.42578125" style="5" customWidth="1"/>
    <col min="1854" max="2098" width="11.42578125" style="5"/>
    <col min="2099" max="2099" width="14.5703125" style="5" customWidth="1"/>
    <col min="2100" max="2100" width="12.7109375" style="5" customWidth="1"/>
    <col min="2101" max="2101" width="1.5703125" style="5" customWidth="1"/>
    <col min="2102" max="2102" width="18.28515625" style="5" customWidth="1"/>
    <col min="2103" max="2103" width="11" style="5" customWidth="1"/>
    <col min="2104" max="2104" width="13.28515625" style="5" bestFit="1" customWidth="1"/>
    <col min="2105" max="2105" width="18" style="5" customWidth="1"/>
    <col min="2106" max="2106" width="11.42578125" style="5"/>
    <col min="2107" max="2107" width="11.140625" style="5" customWidth="1"/>
    <col min="2108" max="2108" width="11.42578125" style="5"/>
    <col min="2109" max="2109" width="17.42578125" style="5" customWidth="1"/>
    <col min="2110" max="2354" width="11.42578125" style="5"/>
    <col min="2355" max="2355" width="14.5703125" style="5" customWidth="1"/>
    <col min="2356" max="2356" width="12.7109375" style="5" customWidth="1"/>
    <col min="2357" max="2357" width="1.5703125" style="5" customWidth="1"/>
    <col min="2358" max="2358" width="18.28515625" style="5" customWidth="1"/>
    <col min="2359" max="2359" width="11" style="5" customWidth="1"/>
    <col min="2360" max="2360" width="13.28515625" style="5" bestFit="1" customWidth="1"/>
    <col min="2361" max="2361" width="18" style="5" customWidth="1"/>
    <col min="2362" max="2362" width="11.42578125" style="5"/>
    <col min="2363" max="2363" width="11.140625" style="5" customWidth="1"/>
    <col min="2364" max="2364" width="11.42578125" style="5"/>
    <col min="2365" max="2365" width="17.42578125" style="5" customWidth="1"/>
    <col min="2366" max="2610" width="11.42578125" style="5"/>
    <col min="2611" max="2611" width="14.5703125" style="5" customWidth="1"/>
    <col min="2612" max="2612" width="12.7109375" style="5" customWidth="1"/>
    <col min="2613" max="2613" width="1.5703125" style="5" customWidth="1"/>
    <col min="2614" max="2614" width="18.28515625" style="5" customWidth="1"/>
    <col min="2615" max="2615" width="11" style="5" customWidth="1"/>
    <col min="2616" max="2616" width="13.28515625" style="5" bestFit="1" customWidth="1"/>
    <col min="2617" max="2617" width="18" style="5" customWidth="1"/>
    <col min="2618" max="2618" width="11.42578125" style="5"/>
    <col min="2619" max="2619" width="11.140625" style="5" customWidth="1"/>
    <col min="2620" max="2620" width="11.42578125" style="5"/>
    <col min="2621" max="2621" width="17.42578125" style="5" customWidth="1"/>
    <col min="2622" max="2866" width="11.42578125" style="5"/>
    <col min="2867" max="2867" width="14.5703125" style="5" customWidth="1"/>
    <col min="2868" max="2868" width="12.7109375" style="5" customWidth="1"/>
    <col min="2869" max="2869" width="1.5703125" style="5" customWidth="1"/>
    <col min="2870" max="2870" width="18.28515625" style="5" customWidth="1"/>
    <col min="2871" max="2871" width="11" style="5" customWidth="1"/>
    <col min="2872" max="2872" width="13.28515625" style="5" bestFit="1" customWidth="1"/>
    <col min="2873" max="2873" width="18" style="5" customWidth="1"/>
    <col min="2874" max="2874" width="11.42578125" style="5"/>
    <col min="2875" max="2875" width="11.140625" style="5" customWidth="1"/>
    <col min="2876" max="2876" width="11.42578125" style="5"/>
    <col min="2877" max="2877" width="17.42578125" style="5" customWidth="1"/>
    <col min="2878" max="3122" width="11.42578125" style="5"/>
    <col min="3123" max="3123" width="14.5703125" style="5" customWidth="1"/>
    <col min="3124" max="3124" width="12.7109375" style="5" customWidth="1"/>
    <col min="3125" max="3125" width="1.5703125" style="5" customWidth="1"/>
    <col min="3126" max="3126" width="18.28515625" style="5" customWidth="1"/>
    <col min="3127" max="3127" width="11" style="5" customWidth="1"/>
    <col min="3128" max="3128" width="13.28515625" style="5" bestFit="1" customWidth="1"/>
    <col min="3129" max="3129" width="18" style="5" customWidth="1"/>
    <col min="3130" max="3130" width="11.42578125" style="5"/>
    <col min="3131" max="3131" width="11.140625" style="5" customWidth="1"/>
    <col min="3132" max="3132" width="11.42578125" style="5"/>
    <col min="3133" max="3133" width="17.42578125" style="5" customWidth="1"/>
    <col min="3134" max="3378" width="11.42578125" style="5"/>
    <col min="3379" max="3379" width="14.5703125" style="5" customWidth="1"/>
    <col min="3380" max="3380" width="12.7109375" style="5" customWidth="1"/>
    <col min="3381" max="3381" width="1.5703125" style="5" customWidth="1"/>
    <col min="3382" max="3382" width="18.28515625" style="5" customWidth="1"/>
    <col min="3383" max="3383" width="11" style="5" customWidth="1"/>
    <col min="3384" max="3384" width="13.28515625" style="5" bestFit="1" customWidth="1"/>
    <col min="3385" max="3385" width="18" style="5" customWidth="1"/>
    <col min="3386" max="3386" width="11.42578125" style="5"/>
    <col min="3387" max="3387" width="11.140625" style="5" customWidth="1"/>
    <col min="3388" max="3388" width="11.42578125" style="5"/>
    <col min="3389" max="3389" width="17.42578125" style="5" customWidth="1"/>
    <col min="3390" max="3634" width="11.42578125" style="5"/>
    <col min="3635" max="3635" width="14.5703125" style="5" customWidth="1"/>
    <col min="3636" max="3636" width="12.7109375" style="5" customWidth="1"/>
    <col min="3637" max="3637" width="1.5703125" style="5" customWidth="1"/>
    <col min="3638" max="3638" width="18.28515625" style="5" customWidth="1"/>
    <col min="3639" max="3639" width="11" style="5" customWidth="1"/>
    <col min="3640" max="3640" width="13.28515625" style="5" bestFit="1" customWidth="1"/>
    <col min="3641" max="3641" width="18" style="5" customWidth="1"/>
    <col min="3642" max="3642" width="11.42578125" style="5"/>
    <col min="3643" max="3643" width="11.140625" style="5" customWidth="1"/>
    <col min="3644" max="3644" width="11.42578125" style="5"/>
    <col min="3645" max="3645" width="17.42578125" style="5" customWidth="1"/>
    <col min="3646" max="3890" width="11.42578125" style="5"/>
    <col min="3891" max="3891" width="14.5703125" style="5" customWidth="1"/>
    <col min="3892" max="3892" width="12.7109375" style="5" customWidth="1"/>
    <col min="3893" max="3893" width="1.5703125" style="5" customWidth="1"/>
    <col min="3894" max="3894" width="18.28515625" style="5" customWidth="1"/>
    <col min="3895" max="3895" width="11" style="5" customWidth="1"/>
    <col min="3896" max="3896" width="13.28515625" style="5" bestFit="1" customWidth="1"/>
    <col min="3897" max="3897" width="18" style="5" customWidth="1"/>
    <col min="3898" max="3898" width="11.42578125" style="5"/>
    <col min="3899" max="3899" width="11.140625" style="5" customWidth="1"/>
    <col min="3900" max="3900" width="11.42578125" style="5"/>
    <col min="3901" max="3901" width="17.42578125" style="5" customWidth="1"/>
    <col min="3902" max="4146" width="11.42578125" style="5"/>
    <col min="4147" max="4147" width="14.5703125" style="5" customWidth="1"/>
    <col min="4148" max="4148" width="12.7109375" style="5" customWidth="1"/>
    <col min="4149" max="4149" width="1.5703125" style="5" customWidth="1"/>
    <col min="4150" max="4150" width="18.28515625" style="5" customWidth="1"/>
    <col min="4151" max="4151" width="11" style="5" customWidth="1"/>
    <col min="4152" max="4152" width="13.28515625" style="5" bestFit="1" customWidth="1"/>
    <col min="4153" max="4153" width="18" style="5" customWidth="1"/>
    <col min="4154" max="4154" width="11.42578125" style="5"/>
    <col min="4155" max="4155" width="11.140625" style="5" customWidth="1"/>
    <col min="4156" max="4156" width="11.42578125" style="5"/>
    <col min="4157" max="4157" width="17.42578125" style="5" customWidth="1"/>
    <col min="4158" max="4402" width="11.42578125" style="5"/>
    <col min="4403" max="4403" width="14.5703125" style="5" customWidth="1"/>
    <col min="4404" max="4404" width="12.7109375" style="5" customWidth="1"/>
    <col min="4405" max="4405" width="1.5703125" style="5" customWidth="1"/>
    <col min="4406" max="4406" width="18.28515625" style="5" customWidth="1"/>
    <col min="4407" max="4407" width="11" style="5" customWidth="1"/>
    <col min="4408" max="4408" width="13.28515625" style="5" bestFit="1" customWidth="1"/>
    <col min="4409" max="4409" width="18" style="5" customWidth="1"/>
    <col min="4410" max="4410" width="11.42578125" style="5"/>
    <col min="4411" max="4411" width="11.140625" style="5" customWidth="1"/>
    <col min="4412" max="4412" width="11.42578125" style="5"/>
    <col min="4413" max="4413" width="17.42578125" style="5" customWidth="1"/>
    <col min="4414" max="4658" width="11.42578125" style="5"/>
    <col min="4659" max="4659" width="14.5703125" style="5" customWidth="1"/>
    <col min="4660" max="4660" width="12.7109375" style="5" customWidth="1"/>
    <col min="4661" max="4661" width="1.5703125" style="5" customWidth="1"/>
    <col min="4662" max="4662" width="18.28515625" style="5" customWidth="1"/>
    <col min="4663" max="4663" width="11" style="5" customWidth="1"/>
    <col min="4664" max="4664" width="13.28515625" style="5" bestFit="1" customWidth="1"/>
    <col min="4665" max="4665" width="18" style="5" customWidth="1"/>
    <col min="4666" max="4666" width="11.42578125" style="5"/>
    <col min="4667" max="4667" width="11.140625" style="5" customWidth="1"/>
    <col min="4668" max="4668" width="11.42578125" style="5"/>
    <col min="4669" max="4669" width="17.42578125" style="5" customWidth="1"/>
    <col min="4670" max="4914" width="11.42578125" style="5"/>
    <col min="4915" max="4915" width="14.5703125" style="5" customWidth="1"/>
    <col min="4916" max="4916" width="12.7109375" style="5" customWidth="1"/>
    <col min="4917" max="4917" width="1.5703125" style="5" customWidth="1"/>
    <col min="4918" max="4918" width="18.28515625" style="5" customWidth="1"/>
    <col min="4919" max="4919" width="11" style="5" customWidth="1"/>
    <col min="4920" max="4920" width="13.28515625" style="5" bestFit="1" customWidth="1"/>
    <col min="4921" max="4921" width="18" style="5" customWidth="1"/>
    <col min="4922" max="4922" width="11.42578125" style="5"/>
    <col min="4923" max="4923" width="11.140625" style="5" customWidth="1"/>
    <col min="4924" max="4924" width="11.42578125" style="5"/>
    <col min="4925" max="4925" width="17.42578125" style="5" customWidth="1"/>
    <col min="4926" max="5170" width="11.42578125" style="5"/>
    <col min="5171" max="5171" width="14.5703125" style="5" customWidth="1"/>
    <col min="5172" max="5172" width="12.7109375" style="5" customWidth="1"/>
    <col min="5173" max="5173" width="1.5703125" style="5" customWidth="1"/>
    <col min="5174" max="5174" width="18.28515625" style="5" customWidth="1"/>
    <col min="5175" max="5175" width="11" style="5" customWidth="1"/>
    <col min="5176" max="5176" width="13.28515625" style="5" bestFit="1" customWidth="1"/>
    <col min="5177" max="5177" width="18" style="5" customWidth="1"/>
    <col min="5178" max="5178" width="11.42578125" style="5"/>
    <col min="5179" max="5179" width="11.140625" style="5" customWidth="1"/>
    <col min="5180" max="5180" width="11.42578125" style="5"/>
    <col min="5181" max="5181" width="17.42578125" style="5" customWidth="1"/>
    <col min="5182" max="5426" width="11.42578125" style="5"/>
    <col min="5427" max="5427" width="14.5703125" style="5" customWidth="1"/>
    <col min="5428" max="5428" width="12.7109375" style="5" customWidth="1"/>
    <col min="5429" max="5429" width="1.5703125" style="5" customWidth="1"/>
    <col min="5430" max="5430" width="18.28515625" style="5" customWidth="1"/>
    <col min="5431" max="5431" width="11" style="5" customWidth="1"/>
    <col min="5432" max="5432" width="13.28515625" style="5" bestFit="1" customWidth="1"/>
    <col min="5433" max="5433" width="18" style="5" customWidth="1"/>
    <col min="5434" max="5434" width="11.42578125" style="5"/>
    <col min="5435" max="5435" width="11.140625" style="5" customWidth="1"/>
    <col min="5436" max="5436" width="11.42578125" style="5"/>
    <col min="5437" max="5437" width="17.42578125" style="5" customWidth="1"/>
    <col min="5438" max="5682" width="11.42578125" style="5"/>
    <col min="5683" max="5683" width="14.5703125" style="5" customWidth="1"/>
    <col min="5684" max="5684" width="12.7109375" style="5" customWidth="1"/>
    <col min="5685" max="5685" width="1.5703125" style="5" customWidth="1"/>
    <col min="5686" max="5686" width="18.28515625" style="5" customWidth="1"/>
    <col min="5687" max="5687" width="11" style="5" customWidth="1"/>
    <col min="5688" max="5688" width="13.28515625" style="5" bestFit="1" customWidth="1"/>
    <col min="5689" max="5689" width="18" style="5" customWidth="1"/>
    <col min="5690" max="5690" width="11.42578125" style="5"/>
    <col min="5691" max="5691" width="11.140625" style="5" customWidth="1"/>
    <col min="5692" max="5692" width="11.42578125" style="5"/>
    <col min="5693" max="5693" width="17.42578125" style="5" customWidth="1"/>
    <col min="5694" max="5938" width="11.42578125" style="5"/>
    <col min="5939" max="5939" width="14.5703125" style="5" customWidth="1"/>
    <col min="5940" max="5940" width="12.7109375" style="5" customWidth="1"/>
    <col min="5941" max="5941" width="1.5703125" style="5" customWidth="1"/>
    <col min="5942" max="5942" width="18.28515625" style="5" customWidth="1"/>
    <col min="5943" max="5943" width="11" style="5" customWidth="1"/>
    <col min="5944" max="5944" width="13.28515625" style="5" bestFit="1" customWidth="1"/>
    <col min="5945" max="5945" width="18" style="5" customWidth="1"/>
    <col min="5946" max="5946" width="11.42578125" style="5"/>
    <col min="5947" max="5947" width="11.140625" style="5" customWidth="1"/>
    <col min="5948" max="5948" width="11.42578125" style="5"/>
    <col min="5949" max="5949" width="17.42578125" style="5" customWidth="1"/>
    <col min="5950" max="6194" width="11.42578125" style="5"/>
    <col min="6195" max="6195" width="14.5703125" style="5" customWidth="1"/>
    <col min="6196" max="6196" width="12.7109375" style="5" customWidth="1"/>
    <col min="6197" max="6197" width="1.5703125" style="5" customWidth="1"/>
    <col min="6198" max="6198" width="18.28515625" style="5" customWidth="1"/>
    <col min="6199" max="6199" width="11" style="5" customWidth="1"/>
    <col min="6200" max="6200" width="13.28515625" style="5" bestFit="1" customWidth="1"/>
    <col min="6201" max="6201" width="18" style="5" customWidth="1"/>
    <col min="6202" max="6202" width="11.42578125" style="5"/>
    <col min="6203" max="6203" width="11.140625" style="5" customWidth="1"/>
    <col min="6204" max="6204" width="11.42578125" style="5"/>
    <col min="6205" max="6205" width="17.42578125" style="5" customWidth="1"/>
    <col min="6206" max="6450" width="11.42578125" style="5"/>
    <col min="6451" max="6451" width="14.5703125" style="5" customWidth="1"/>
    <col min="6452" max="6452" width="12.7109375" style="5" customWidth="1"/>
    <col min="6453" max="6453" width="1.5703125" style="5" customWidth="1"/>
    <col min="6454" max="6454" width="18.28515625" style="5" customWidth="1"/>
    <col min="6455" max="6455" width="11" style="5" customWidth="1"/>
    <col min="6456" max="6456" width="13.28515625" style="5" bestFit="1" customWidth="1"/>
    <col min="6457" max="6457" width="18" style="5" customWidth="1"/>
    <col min="6458" max="6458" width="11.42578125" style="5"/>
    <col min="6459" max="6459" width="11.140625" style="5" customWidth="1"/>
    <col min="6460" max="6460" width="11.42578125" style="5"/>
    <col min="6461" max="6461" width="17.42578125" style="5" customWidth="1"/>
    <col min="6462" max="6706" width="11.42578125" style="5"/>
    <col min="6707" max="6707" width="14.5703125" style="5" customWidth="1"/>
    <col min="6708" max="6708" width="12.7109375" style="5" customWidth="1"/>
    <col min="6709" max="6709" width="1.5703125" style="5" customWidth="1"/>
    <col min="6710" max="6710" width="18.28515625" style="5" customWidth="1"/>
    <col min="6711" max="6711" width="11" style="5" customWidth="1"/>
    <col min="6712" max="6712" width="13.28515625" style="5" bestFit="1" customWidth="1"/>
    <col min="6713" max="6713" width="18" style="5" customWidth="1"/>
    <col min="6714" max="6714" width="11.42578125" style="5"/>
    <col min="6715" max="6715" width="11.140625" style="5" customWidth="1"/>
    <col min="6716" max="6716" width="11.42578125" style="5"/>
    <col min="6717" max="6717" width="17.42578125" style="5" customWidth="1"/>
    <col min="6718" max="6962" width="11.42578125" style="5"/>
    <col min="6963" max="6963" width="14.5703125" style="5" customWidth="1"/>
    <col min="6964" max="6964" width="12.7109375" style="5" customWidth="1"/>
    <col min="6965" max="6965" width="1.5703125" style="5" customWidth="1"/>
    <col min="6966" max="6966" width="18.28515625" style="5" customWidth="1"/>
    <col min="6967" max="6967" width="11" style="5" customWidth="1"/>
    <col min="6968" max="6968" width="13.28515625" style="5" bestFit="1" customWidth="1"/>
    <col min="6969" max="6969" width="18" style="5" customWidth="1"/>
    <col min="6970" max="6970" width="11.42578125" style="5"/>
    <col min="6971" max="6971" width="11.140625" style="5" customWidth="1"/>
    <col min="6972" max="6972" width="11.42578125" style="5"/>
    <col min="6973" max="6973" width="17.42578125" style="5" customWidth="1"/>
    <col min="6974" max="7218" width="11.42578125" style="5"/>
    <col min="7219" max="7219" width="14.5703125" style="5" customWidth="1"/>
    <col min="7220" max="7220" width="12.7109375" style="5" customWidth="1"/>
    <col min="7221" max="7221" width="1.5703125" style="5" customWidth="1"/>
    <col min="7222" max="7222" width="18.28515625" style="5" customWidth="1"/>
    <col min="7223" max="7223" width="11" style="5" customWidth="1"/>
    <col min="7224" max="7224" width="13.28515625" style="5" bestFit="1" customWidth="1"/>
    <col min="7225" max="7225" width="18" style="5" customWidth="1"/>
    <col min="7226" max="7226" width="11.42578125" style="5"/>
    <col min="7227" max="7227" width="11.140625" style="5" customWidth="1"/>
    <col min="7228" max="7228" width="11.42578125" style="5"/>
    <col min="7229" max="7229" width="17.42578125" style="5" customWidth="1"/>
    <col min="7230" max="7474" width="11.42578125" style="5"/>
    <col min="7475" max="7475" width="14.5703125" style="5" customWidth="1"/>
    <col min="7476" max="7476" width="12.7109375" style="5" customWidth="1"/>
    <col min="7477" max="7477" width="1.5703125" style="5" customWidth="1"/>
    <col min="7478" max="7478" width="18.28515625" style="5" customWidth="1"/>
    <col min="7479" max="7479" width="11" style="5" customWidth="1"/>
    <col min="7480" max="7480" width="13.28515625" style="5" bestFit="1" customWidth="1"/>
    <col min="7481" max="7481" width="18" style="5" customWidth="1"/>
    <col min="7482" max="7482" width="11.42578125" style="5"/>
    <col min="7483" max="7483" width="11.140625" style="5" customWidth="1"/>
    <col min="7484" max="7484" width="11.42578125" style="5"/>
    <col min="7485" max="7485" width="17.42578125" style="5" customWidth="1"/>
    <col min="7486" max="7730" width="11.42578125" style="5"/>
    <col min="7731" max="7731" width="14.5703125" style="5" customWidth="1"/>
    <col min="7732" max="7732" width="12.7109375" style="5" customWidth="1"/>
    <col min="7733" max="7733" width="1.5703125" style="5" customWidth="1"/>
    <col min="7734" max="7734" width="18.28515625" style="5" customWidth="1"/>
    <col min="7735" max="7735" width="11" style="5" customWidth="1"/>
    <col min="7736" max="7736" width="13.28515625" style="5" bestFit="1" customWidth="1"/>
    <col min="7737" max="7737" width="18" style="5" customWidth="1"/>
    <col min="7738" max="7738" width="11.42578125" style="5"/>
    <col min="7739" max="7739" width="11.140625" style="5" customWidth="1"/>
    <col min="7740" max="7740" width="11.42578125" style="5"/>
    <col min="7741" max="7741" width="17.42578125" style="5" customWidth="1"/>
    <col min="7742" max="7986" width="11.42578125" style="5"/>
    <col min="7987" max="7987" width="14.5703125" style="5" customWidth="1"/>
    <col min="7988" max="7988" width="12.7109375" style="5" customWidth="1"/>
    <col min="7989" max="7989" width="1.5703125" style="5" customWidth="1"/>
    <col min="7990" max="7990" width="18.28515625" style="5" customWidth="1"/>
    <col min="7991" max="7991" width="11" style="5" customWidth="1"/>
    <col min="7992" max="7992" width="13.28515625" style="5" bestFit="1" customWidth="1"/>
    <col min="7993" max="7993" width="18" style="5" customWidth="1"/>
    <col min="7994" max="7994" width="11.42578125" style="5"/>
    <col min="7995" max="7995" width="11.140625" style="5" customWidth="1"/>
    <col min="7996" max="7996" width="11.42578125" style="5"/>
    <col min="7997" max="7997" width="17.42578125" style="5" customWidth="1"/>
    <col min="7998" max="8242" width="11.42578125" style="5"/>
    <col min="8243" max="8243" width="14.5703125" style="5" customWidth="1"/>
    <col min="8244" max="8244" width="12.7109375" style="5" customWidth="1"/>
    <col min="8245" max="8245" width="1.5703125" style="5" customWidth="1"/>
    <col min="8246" max="8246" width="18.28515625" style="5" customWidth="1"/>
    <col min="8247" max="8247" width="11" style="5" customWidth="1"/>
    <col min="8248" max="8248" width="13.28515625" style="5" bestFit="1" customWidth="1"/>
    <col min="8249" max="8249" width="18" style="5" customWidth="1"/>
    <col min="8250" max="8250" width="11.42578125" style="5"/>
    <col min="8251" max="8251" width="11.140625" style="5" customWidth="1"/>
    <col min="8252" max="8252" width="11.42578125" style="5"/>
    <col min="8253" max="8253" width="17.42578125" style="5" customWidth="1"/>
    <col min="8254" max="8498" width="11.42578125" style="5"/>
    <col min="8499" max="8499" width="14.5703125" style="5" customWidth="1"/>
    <col min="8500" max="8500" width="12.7109375" style="5" customWidth="1"/>
    <col min="8501" max="8501" width="1.5703125" style="5" customWidth="1"/>
    <col min="8502" max="8502" width="18.28515625" style="5" customWidth="1"/>
    <col min="8503" max="8503" width="11" style="5" customWidth="1"/>
    <col min="8504" max="8504" width="13.28515625" style="5" bestFit="1" customWidth="1"/>
    <col min="8505" max="8505" width="18" style="5" customWidth="1"/>
    <col min="8506" max="8506" width="11.42578125" style="5"/>
    <col min="8507" max="8507" width="11.140625" style="5" customWidth="1"/>
    <col min="8508" max="8508" width="11.42578125" style="5"/>
    <col min="8509" max="8509" width="17.42578125" style="5" customWidth="1"/>
    <col min="8510" max="8754" width="11.42578125" style="5"/>
    <col min="8755" max="8755" width="14.5703125" style="5" customWidth="1"/>
    <col min="8756" max="8756" width="12.7109375" style="5" customWidth="1"/>
    <col min="8757" max="8757" width="1.5703125" style="5" customWidth="1"/>
    <col min="8758" max="8758" width="18.28515625" style="5" customWidth="1"/>
    <col min="8759" max="8759" width="11" style="5" customWidth="1"/>
    <col min="8760" max="8760" width="13.28515625" style="5" bestFit="1" customWidth="1"/>
    <col min="8761" max="8761" width="18" style="5" customWidth="1"/>
    <col min="8762" max="8762" width="11.42578125" style="5"/>
    <col min="8763" max="8763" width="11.140625" style="5" customWidth="1"/>
    <col min="8764" max="8764" width="11.42578125" style="5"/>
    <col min="8765" max="8765" width="17.42578125" style="5" customWidth="1"/>
    <col min="8766" max="9010" width="11.42578125" style="5"/>
    <col min="9011" max="9011" width="14.5703125" style="5" customWidth="1"/>
    <col min="9012" max="9012" width="12.7109375" style="5" customWidth="1"/>
    <col min="9013" max="9013" width="1.5703125" style="5" customWidth="1"/>
    <col min="9014" max="9014" width="18.28515625" style="5" customWidth="1"/>
    <col min="9015" max="9015" width="11" style="5" customWidth="1"/>
    <col min="9016" max="9016" width="13.28515625" style="5" bestFit="1" customWidth="1"/>
    <col min="9017" max="9017" width="18" style="5" customWidth="1"/>
    <col min="9018" max="9018" width="11.42578125" style="5"/>
    <col min="9019" max="9019" width="11.140625" style="5" customWidth="1"/>
    <col min="9020" max="9020" width="11.42578125" style="5"/>
    <col min="9021" max="9021" width="17.42578125" style="5" customWidth="1"/>
    <col min="9022" max="9266" width="11.42578125" style="5"/>
    <col min="9267" max="9267" width="14.5703125" style="5" customWidth="1"/>
    <col min="9268" max="9268" width="12.7109375" style="5" customWidth="1"/>
    <col min="9269" max="9269" width="1.5703125" style="5" customWidth="1"/>
    <col min="9270" max="9270" width="18.28515625" style="5" customWidth="1"/>
    <col min="9271" max="9271" width="11" style="5" customWidth="1"/>
    <col min="9272" max="9272" width="13.28515625" style="5" bestFit="1" customWidth="1"/>
    <col min="9273" max="9273" width="18" style="5" customWidth="1"/>
    <col min="9274" max="9274" width="11.42578125" style="5"/>
    <col min="9275" max="9275" width="11.140625" style="5" customWidth="1"/>
    <col min="9276" max="9276" width="11.42578125" style="5"/>
    <col min="9277" max="9277" width="17.42578125" style="5" customWidth="1"/>
    <col min="9278" max="9522" width="11.42578125" style="5"/>
    <col min="9523" max="9523" width="14.5703125" style="5" customWidth="1"/>
    <col min="9524" max="9524" width="12.7109375" style="5" customWidth="1"/>
    <col min="9525" max="9525" width="1.5703125" style="5" customWidth="1"/>
    <col min="9526" max="9526" width="18.28515625" style="5" customWidth="1"/>
    <col min="9527" max="9527" width="11" style="5" customWidth="1"/>
    <col min="9528" max="9528" width="13.28515625" style="5" bestFit="1" customWidth="1"/>
    <col min="9529" max="9529" width="18" style="5" customWidth="1"/>
    <col min="9530" max="9530" width="11.42578125" style="5"/>
    <col min="9531" max="9531" width="11.140625" style="5" customWidth="1"/>
    <col min="9532" max="9532" width="11.42578125" style="5"/>
    <col min="9533" max="9533" width="17.42578125" style="5" customWidth="1"/>
    <col min="9534" max="9778" width="11.42578125" style="5"/>
    <col min="9779" max="9779" width="14.5703125" style="5" customWidth="1"/>
    <col min="9780" max="9780" width="12.7109375" style="5" customWidth="1"/>
    <col min="9781" max="9781" width="1.5703125" style="5" customWidth="1"/>
    <col min="9782" max="9782" width="18.28515625" style="5" customWidth="1"/>
    <col min="9783" max="9783" width="11" style="5" customWidth="1"/>
    <col min="9784" max="9784" width="13.28515625" style="5" bestFit="1" customWidth="1"/>
    <col min="9785" max="9785" width="18" style="5" customWidth="1"/>
    <col min="9786" max="9786" width="11.42578125" style="5"/>
    <col min="9787" max="9787" width="11.140625" style="5" customWidth="1"/>
    <col min="9788" max="9788" width="11.42578125" style="5"/>
    <col min="9789" max="9789" width="17.42578125" style="5" customWidth="1"/>
    <col min="9790" max="10034" width="11.42578125" style="5"/>
    <col min="10035" max="10035" width="14.5703125" style="5" customWidth="1"/>
    <col min="10036" max="10036" width="12.7109375" style="5" customWidth="1"/>
    <col min="10037" max="10037" width="1.5703125" style="5" customWidth="1"/>
    <col min="10038" max="10038" width="18.28515625" style="5" customWidth="1"/>
    <col min="10039" max="10039" width="11" style="5" customWidth="1"/>
    <col min="10040" max="10040" width="13.28515625" style="5" bestFit="1" customWidth="1"/>
    <col min="10041" max="10041" width="18" style="5" customWidth="1"/>
    <col min="10042" max="10042" width="11.42578125" style="5"/>
    <col min="10043" max="10043" width="11.140625" style="5" customWidth="1"/>
    <col min="10044" max="10044" width="11.42578125" style="5"/>
    <col min="10045" max="10045" width="17.42578125" style="5" customWidth="1"/>
    <col min="10046" max="10290" width="11.42578125" style="5"/>
    <col min="10291" max="10291" width="14.5703125" style="5" customWidth="1"/>
    <col min="10292" max="10292" width="12.7109375" style="5" customWidth="1"/>
    <col min="10293" max="10293" width="1.5703125" style="5" customWidth="1"/>
    <col min="10294" max="10294" width="18.28515625" style="5" customWidth="1"/>
    <col min="10295" max="10295" width="11" style="5" customWidth="1"/>
    <col min="10296" max="10296" width="13.28515625" style="5" bestFit="1" customWidth="1"/>
    <col min="10297" max="10297" width="18" style="5" customWidth="1"/>
    <col min="10298" max="10298" width="11.42578125" style="5"/>
    <col min="10299" max="10299" width="11.140625" style="5" customWidth="1"/>
    <col min="10300" max="10300" width="11.42578125" style="5"/>
    <col min="10301" max="10301" width="17.42578125" style="5" customWidth="1"/>
    <col min="10302" max="10546" width="11.42578125" style="5"/>
    <col min="10547" max="10547" width="14.5703125" style="5" customWidth="1"/>
    <col min="10548" max="10548" width="12.7109375" style="5" customWidth="1"/>
    <col min="10549" max="10549" width="1.5703125" style="5" customWidth="1"/>
    <col min="10550" max="10550" width="18.28515625" style="5" customWidth="1"/>
    <col min="10551" max="10551" width="11" style="5" customWidth="1"/>
    <col min="10552" max="10552" width="13.28515625" style="5" bestFit="1" customWidth="1"/>
    <col min="10553" max="10553" width="18" style="5" customWidth="1"/>
    <col min="10554" max="10554" width="11.42578125" style="5"/>
    <col min="10555" max="10555" width="11.140625" style="5" customWidth="1"/>
    <col min="10556" max="10556" width="11.42578125" style="5"/>
    <col min="10557" max="10557" width="17.42578125" style="5" customWidth="1"/>
    <col min="10558" max="10802" width="11.42578125" style="5"/>
    <col min="10803" max="10803" width="14.5703125" style="5" customWidth="1"/>
    <col min="10804" max="10804" width="12.7109375" style="5" customWidth="1"/>
    <col min="10805" max="10805" width="1.5703125" style="5" customWidth="1"/>
    <col min="10806" max="10806" width="18.28515625" style="5" customWidth="1"/>
    <col min="10807" max="10807" width="11" style="5" customWidth="1"/>
    <col min="10808" max="10808" width="13.28515625" style="5" bestFit="1" customWidth="1"/>
    <col min="10809" max="10809" width="18" style="5" customWidth="1"/>
    <col min="10810" max="10810" width="11.42578125" style="5"/>
    <col min="10811" max="10811" width="11.140625" style="5" customWidth="1"/>
    <col min="10812" max="10812" width="11.42578125" style="5"/>
    <col min="10813" max="10813" width="17.42578125" style="5" customWidth="1"/>
    <col min="10814" max="11058" width="11.42578125" style="5"/>
    <col min="11059" max="11059" width="14.5703125" style="5" customWidth="1"/>
    <col min="11060" max="11060" width="12.7109375" style="5" customWidth="1"/>
    <col min="11061" max="11061" width="1.5703125" style="5" customWidth="1"/>
    <col min="11062" max="11062" width="18.28515625" style="5" customWidth="1"/>
    <col min="11063" max="11063" width="11" style="5" customWidth="1"/>
    <col min="11064" max="11064" width="13.28515625" style="5" bestFit="1" customWidth="1"/>
    <col min="11065" max="11065" width="18" style="5" customWidth="1"/>
    <col min="11066" max="11066" width="11.42578125" style="5"/>
    <col min="11067" max="11067" width="11.140625" style="5" customWidth="1"/>
    <col min="11068" max="11068" width="11.42578125" style="5"/>
    <col min="11069" max="11069" width="17.42578125" style="5" customWidth="1"/>
    <col min="11070" max="11314" width="11.42578125" style="5"/>
    <col min="11315" max="11315" width="14.5703125" style="5" customWidth="1"/>
    <col min="11316" max="11316" width="12.7109375" style="5" customWidth="1"/>
    <col min="11317" max="11317" width="1.5703125" style="5" customWidth="1"/>
    <col min="11318" max="11318" width="18.28515625" style="5" customWidth="1"/>
    <col min="11319" max="11319" width="11" style="5" customWidth="1"/>
    <col min="11320" max="11320" width="13.28515625" style="5" bestFit="1" customWidth="1"/>
    <col min="11321" max="11321" width="18" style="5" customWidth="1"/>
    <col min="11322" max="11322" width="11.42578125" style="5"/>
    <col min="11323" max="11323" width="11.140625" style="5" customWidth="1"/>
    <col min="11324" max="11324" width="11.42578125" style="5"/>
    <col min="11325" max="11325" width="17.42578125" style="5" customWidth="1"/>
    <col min="11326" max="11570" width="11.42578125" style="5"/>
    <col min="11571" max="11571" width="14.5703125" style="5" customWidth="1"/>
    <col min="11572" max="11572" width="12.7109375" style="5" customWidth="1"/>
    <col min="11573" max="11573" width="1.5703125" style="5" customWidth="1"/>
    <col min="11574" max="11574" width="18.28515625" style="5" customWidth="1"/>
    <col min="11575" max="11575" width="11" style="5" customWidth="1"/>
    <col min="11576" max="11576" width="13.28515625" style="5" bestFit="1" customWidth="1"/>
    <col min="11577" max="11577" width="18" style="5" customWidth="1"/>
    <col min="11578" max="11578" width="11.42578125" style="5"/>
    <col min="11579" max="11579" width="11.140625" style="5" customWidth="1"/>
    <col min="11580" max="11580" width="11.42578125" style="5"/>
    <col min="11581" max="11581" width="17.42578125" style="5" customWidth="1"/>
    <col min="11582" max="11826" width="11.42578125" style="5"/>
    <col min="11827" max="11827" width="14.5703125" style="5" customWidth="1"/>
    <col min="11828" max="11828" width="12.7109375" style="5" customWidth="1"/>
    <col min="11829" max="11829" width="1.5703125" style="5" customWidth="1"/>
    <col min="11830" max="11830" width="18.28515625" style="5" customWidth="1"/>
    <col min="11831" max="11831" width="11" style="5" customWidth="1"/>
    <col min="11832" max="11832" width="13.28515625" style="5" bestFit="1" customWidth="1"/>
    <col min="11833" max="11833" width="18" style="5" customWidth="1"/>
    <col min="11834" max="11834" width="11.42578125" style="5"/>
    <col min="11835" max="11835" width="11.140625" style="5" customWidth="1"/>
    <col min="11836" max="11836" width="11.42578125" style="5"/>
    <col min="11837" max="11837" width="17.42578125" style="5" customWidth="1"/>
    <col min="11838" max="12082" width="11.42578125" style="5"/>
    <col min="12083" max="12083" width="14.5703125" style="5" customWidth="1"/>
    <col min="12084" max="12084" width="12.7109375" style="5" customWidth="1"/>
    <col min="12085" max="12085" width="1.5703125" style="5" customWidth="1"/>
    <col min="12086" max="12086" width="18.28515625" style="5" customWidth="1"/>
    <col min="12087" max="12087" width="11" style="5" customWidth="1"/>
    <col min="12088" max="12088" width="13.28515625" style="5" bestFit="1" customWidth="1"/>
    <col min="12089" max="12089" width="18" style="5" customWidth="1"/>
    <col min="12090" max="12090" width="11.42578125" style="5"/>
    <col min="12091" max="12091" width="11.140625" style="5" customWidth="1"/>
    <col min="12092" max="12092" width="11.42578125" style="5"/>
    <col min="12093" max="12093" width="17.42578125" style="5" customWidth="1"/>
    <col min="12094" max="12338" width="11.42578125" style="5"/>
    <col min="12339" max="12339" width="14.5703125" style="5" customWidth="1"/>
    <col min="12340" max="12340" width="12.7109375" style="5" customWidth="1"/>
    <col min="12341" max="12341" width="1.5703125" style="5" customWidth="1"/>
    <col min="12342" max="12342" width="18.28515625" style="5" customWidth="1"/>
    <col min="12343" max="12343" width="11" style="5" customWidth="1"/>
    <col min="12344" max="12344" width="13.28515625" style="5" bestFit="1" customWidth="1"/>
    <col min="12345" max="12345" width="18" style="5" customWidth="1"/>
    <col min="12346" max="12346" width="11.42578125" style="5"/>
    <col min="12347" max="12347" width="11.140625" style="5" customWidth="1"/>
    <col min="12348" max="12348" width="11.42578125" style="5"/>
    <col min="12349" max="12349" width="17.42578125" style="5" customWidth="1"/>
    <col min="12350" max="12594" width="11.42578125" style="5"/>
    <col min="12595" max="12595" width="14.5703125" style="5" customWidth="1"/>
    <col min="12596" max="12596" width="12.7109375" style="5" customWidth="1"/>
    <col min="12597" max="12597" width="1.5703125" style="5" customWidth="1"/>
    <col min="12598" max="12598" width="18.28515625" style="5" customWidth="1"/>
    <col min="12599" max="12599" width="11" style="5" customWidth="1"/>
    <col min="12600" max="12600" width="13.28515625" style="5" bestFit="1" customWidth="1"/>
    <col min="12601" max="12601" width="18" style="5" customWidth="1"/>
    <col min="12602" max="12602" width="11.42578125" style="5"/>
    <col min="12603" max="12603" width="11.140625" style="5" customWidth="1"/>
    <col min="12604" max="12604" width="11.42578125" style="5"/>
    <col min="12605" max="12605" width="17.42578125" style="5" customWidth="1"/>
    <col min="12606" max="12850" width="11.42578125" style="5"/>
    <col min="12851" max="12851" width="14.5703125" style="5" customWidth="1"/>
    <col min="12852" max="12852" width="12.7109375" style="5" customWidth="1"/>
    <col min="12853" max="12853" width="1.5703125" style="5" customWidth="1"/>
    <col min="12854" max="12854" width="18.28515625" style="5" customWidth="1"/>
    <col min="12855" max="12855" width="11" style="5" customWidth="1"/>
    <col min="12856" max="12856" width="13.28515625" style="5" bestFit="1" customWidth="1"/>
    <col min="12857" max="12857" width="18" style="5" customWidth="1"/>
    <col min="12858" max="12858" width="11.42578125" style="5"/>
    <col min="12859" max="12859" width="11.140625" style="5" customWidth="1"/>
    <col min="12860" max="12860" width="11.42578125" style="5"/>
    <col min="12861" max="12861" width="17.42578125" style="5" customWidth="1"/>
    <col min="12862" max="13106" width="11.42578125" style="5"/>
    <col min="13107" max="13107" width="14.5703125" style="5" customWidth="1"/>
    <col min="13108" max="13108" width="12.7109375" style="5" customWidth="1"/>
    <col min="13109" max="13109" width="1.5703125" style="5" customWidth="1"/>
    <col min="13110" max="13110" width="18.28515625" style="5" customWidth="1"/>
    <col min="13111" max="13111" width="11" style="5" customWidth="1"/>
    <col min="13112" max="13112" width="13.28515625" style="5" bestFit="1" customWidth="1"/>
    <col min="13113" max="13113" width="18" style="5" customWidth="1"/>
    <col min="13114" max="13114" width="11.42578125" style="5"/>
    <col min="13115" max="13115" width="11.140625" style="5" customWidth="1"/>
    <col min="13116" max="13116" width="11.42578125" style="5"/>
    <col min="13117" max="13117" width="17.42578125" style="5" customWidth="1"/>
    <col min="13118" max="13362" width="11.42578125" style="5"/>
    <col min="13363" max="13363" width="14.5703125" style="5" customWidth="1"/>
    <col min="13364" max="13364" width="12.7109375" style="5" customWidth="1"/>
    <col min="13365" max="13365" width="1.5703125" style="5" customWidth="1"/>
    <col min="13366" max="13366" width="18.28515625" style="5" customWidth="1"/>
    <col min="13367" max="13367" width="11" style="5" customWidth="1"/>
    <col min="13368" max="13368" width="13.28515625" style="5" bestFit="1" customWidth="1"/>
    <col min="13369" max="13369" width="18" style="5" customWidth="1"/>
    <col min="13370" max="13370" width="11.42578125" style="5"/>
    <col min="13371" max="13371" width="11.140625" style="5" customWidth="1"/>
    <col min="13372" max="13372" width="11.42578125" style="5"/>
    <col min="13373" max="13373" width="17.42578125" style="5" customWidth="1"/>
    <col min="13374" max="13618" width="11.42578125" style="5"/>
    <col min="13619" max="13619" width="14.5703125" style="5" customWidth="1"/>
    <col min="13620" max="13620" width="12.7109375" style="5" customWidth="1"/>
    <col min="13621" max="13621" width="1.5703125" style="5" customWidth="1"/>
    <col min="13622" max="13622" width="18.28515625" style="5" customWidth="1"/>
    <col min="13623" max="13623" width="11" style="5" customWidth="1"/>
    <col min="13624" max="13624" width="13.28515625" style="5" bestFit="1" customWidth="1"/>
    <col min="13625" max="13625" width="18" style="5" customWidth="1"/>
    <col min="13626" max="13626" width="11.42578125" style="5"/>
    <col min="13627" max="13627" width="11.140625" style="5" customWidth="1"/>
    <col min="13628" max="13628" width="11.42578125" style="5"/>
    <col min="13629" max="13629" width="17.42578125" style="5" customWidth="1"/>
    <col min="13630" max="13874" width="11.42578125" style="5"/>
    <col min="13875" max="13875" width="14.5703125" style="5" customWidth="1"/>
    <col min="13876" max="13876" width="12.7109375" style="5" customWidth="1"/>
    <col min="13877" max="13877" width="1.5703125" style="5" customWidth="1"/>
    <col min="13878" max="13878" width="18.28515625" style="5" customWidth="1"/>
    <col min="13879" max="13879" width="11" style="5" customWidth="1"/>
    <col min="13880" max="13880" width="13.28515625" style="5" bestFit="1" customWidth="1"/>
    <col min="13881" max="13881" width="18" style="5" customWidth="1"/>
    <col min="13882" max="13882" width="11.42578125" style="5"/>
    <col min="13883" max="13883" width="11.140625" style="5" customWidth="1"/>
    <col min="13884" max="13884" width="11.42578125" style="5"/>
    <col min="13885" max="13885" width="17.42578125" style="5" customWidth="1"/>
    <col min="13886" max="14130" width="11.42578125" style="5"/>
    <col min="14131" max="14131" width="14.5703125" style="5" customWidth="1"/>
    <col min="14132" max="14132" width="12.7109375" style="5" customWidth="1"/>
    <col min="14133" max="14133" width="1.5703125" style="5" customWidth="1"/>
    <col min="14134" max="14134" width="18.28515625" style="5" customWidth="1"/>
    <col min="14135" max="14135" width="11" style="5" customWidth="1"/>
    <col min="14136" max="14136" width="13.28515625" style="5" bestFit="1" customWidth="1"/>
    <col min="14137" max="14137" width="18" style="5" customWidth="1"/>
    <col min="14138" max="14138" width="11.42578125" style="5"/>
    <col min="14139" max="14139" width="11.140625" style="5" customWidth="1"/>
    <col min="14140" max="14140" width="11.42578125" style="5"/>
    <col min="14141" max="14141" width="17.42578125" style="5" customWidth="1"/>
    <col min="14142" max="14386" width="11.42578125" style="5"/>
    <col min="14387" max="14387" width="14.5703125" style="5" customWidth="1"/>
    <col min="14388" max="14388" width="12.7109375" style="5" customWidth="1"/>
    <col min="14389" max="14389" width="1.5703125" style="5" customWidth="1"/>
    <col min="14390" max="14390" width="18.28515625" style="5" customWidth="1"/>
    <col min="14391" max="14391" width="11" style="5" customWidth="1"/>
    <col min="14392" max="14392" width="13.28515625" style="5" bestFit="1" customWidth="1"/>
    <col min="14393" max="14393" width="18" style="5" customWidth="1"/>
    <col min="14394" max="14394" width="11.42578125" style="5"/>
    <col min="14395" max="14395" width="11.140625" style="5" customWidth="1"/>
    <col min="14396" max="14396" width="11.42578125" style="5"/>
    <col min="14397" max="14397" width="17.42578125" style="5" customWidth="1"/>
    <col min="14398" max="14642" width="11.42578125" style="5"/>
    <col min="14643" max="14643" width="14.5703125" style="5" customWidth="1"/>
    <col min="14644" max="14644" width="12.7109375" style="5" customWidth="1"/>
    <col min="14645" max="14645" width="1.5703125" style="5" customWidth="1"/>
    <col min="14646" max="14646" width="18.28515625" style="5" customWidth="1"/>
    <col min="14647" max="14647" width="11" style="5" customWidth="1"/>
    <col min="14648" max="14648" width="13.28515625" style="5" bestFit="1" customWidth="1"/>
    <col min="14649" max="14649" width="18" style="5" customWidth="1"/>
    <col min="14650" max="14650" width="11.42578125" style="5"/>
    <col min="14651" max="14651" width="11.140625" style="5" customWidth="1"/>
    <col min="14652" max="14652" width="11.42578125" style="5"/>
    <col min="14653" max="14653" width="17.42578125" style="5" customWidth="1"/>
    <col min="14654" max="14898" width="11.42578125" style="5"/>
    <col min="14899" max="14899" width="14.5703125" style="5" customWidth="1"/>
    <col min="14900" max="14900" width="12.7109375" style="5" customWidth="1"/>
    <col min="14901" max="14901" width="1.5703125" style="5" customWidth="1"/>
    <col min="14902" max="14902" width="18.28515625" style="5" customWidth="1"/>
    <col min="14903" max="14903" width="11" style="5" customWidth="1"/>
    <col min="14904" max="14904" width="13.28515625" style="5" bestFit="1" customWidth="1"/>
    <col min="14905" max="14905" width="18" style="5" customWidth="1"/>
    <col min="14906" max="14906" width="11.42578125" style="5"/>
    <col min="14907" max="14907" width="11.140625" style="5" customWidth="1"/>
    <col min="14908" max="14908" width="11.42578125" style="5"/>
    <col min="14909" max="14909" width="17.42578125" style="5" customWidth="1"/>
    <col min="14910" max="15154" width="11.42578125" style="5"/>
    <col min="15155" max="15155" width="14.5703125" style="5" customWidth="1"/>
    <col min="15156" max="15156" width="12.7109375" style="5" customWidth="1"/>
    <col min="15157" max="15157" width="1.5703125" style="5" customWidth="1"/>
    <col min="15158" max="15158" width="18.28515625" style="5" customWidth="1"/>
    <col min="15159" max="15159" width="11" style="5" customWidth="1"/>
    <col min="15160" max="15160" width="13.28515625" style="5" bestFit="1" customWidth="1"/>
    <col min="15161" max="15161" width="18" style="5" customWidth="1"/>
    <col min="15162" max="15162" width="11.42578125" style="5"/>
    <col min="15163" max="15163" width="11.140625" style="5" customWidth="1"/>
    <col min="15164" max="15164" width="11.42578125" style="5"/>
    <col min="15165" max="15165" width="17.42578125" style="5" customWidth="1"/>
    <col min="15166" max="15410" width="11.42578125" style="5"/>
    <col min="15411" max="15411" width="14.5703125" style="5" customWidth="1"/>
    <col min="15412" max="15412" width="12.7109375" style="5" customWidth="1"/>
    <col min="15413" max="15413" width="1.5703125" style="5" customWidth="1"/>
    <col min="15414" max="15414" width="18.28515625" style="5" customWidth="1"/>
    <col min="15415" max="15415" width="11" style="5" customWidth="1"/>
    <col min="15416" max="15416" width="13.28515625" style="5" bestFit="1" customWidth="1"/>
    <col min="15417" max="15417" width="18" style="5" customWidth="1"/>
    <col min="15418" max="15418" width="11.42578125" style="5"/>
    <col min="15419" max="15419" width="11.140625" style="5" customWidth="1"/>
    <col min="15420" max="15420" width="11.42578125" style="5"/>
    <col min="15421" max="15421" width="17.42578125" style="5" customWidth="1"/>
    <col min="15422" max="15666" width="11.42578125" style="5"/>
    <col min="15667" max="15667" width="14.5703125" style="5" customWidth="1"/>
    <col min="15668" max="15668" width="12.7109375" style="5" customWidth="1"/>
    <col min="15669" max="15669" width="1.5703125" style="5" customWidth="1"/>
    <col min="15670" max="15670" width="18.28515625" style="5" customWidth="1"/>
    <col min="15671" max="15671" width="11" style="5" customWidth="1"/>
    <col min="15672" max="15672" width="13.28515625" style="5" bestFit="1" customWidth="1"/>
    <col min="15673" max="15673" width="18" style="5" customWidth="1"/>
    <col min="15674" max="15674" width="11.42578125" style="5"/>
    <col min="15675" max="15675" width="11.140625" style="5" customWidth="1"/>
    <col min="15676" max="15676" width="11.42578125" style="5"/>
    <col min="15677" max="15677" width="17.42578125" style="5" customWidth="1"/>
    <col min="15678" max="15922" width="11.42578125" style="5"/>
    <col min="15923" max="15923" width="14.5703125" style="5" customWidth="1"/>
    <col min="15924" max="15924" width="12.7109375" style="5" customWidth="1"/>
    <col min="15925" max="15925" width="1.5703125" style="5" customWidth="1"/>
    <col min="15926" max="15926" width="18.28515625" style="5" customWidth="1"/>
    <col min="15927" max="15927" width="11" style="5" customWidth="1"/>
    <col min="15928" max="15928" width="13.28515625" style="5" bestFit="1" customWidth="1"/>
    <col min="15929" max="15929" width="18" style="5" customWidth="1"/>
    <col min="15930" max="15930" width="11.42578125" style="5"/>
    <col min="15931" max="15931" width="11.140625" style="5" customWidth="1"/>
    <col min="15932" max="15932" width="11.42578125" style="5"/>
    <col min="15933" max="15933" width="17.42578125" style="5" customWidth="1"/>
    <col min="15934" max="16178" width="11.42578125" style="5"/>
    <col min="16179" max="16179" width="14.5703125" style="5" customWidth="1"/>
    <col min="16180" max="16180" width="12.7109375" style="5" customWidth="1"/>
    <col min="16181" max="16181" width="1.5703125" style="5" customWidth="1"/>
    <col min="16182" max="16182" width="18.28515625" style="5" customWidth="1"/>
    <col min="16183" max="16183" width="11" style="5" customWidth="1"/>
    <col min="16184" max="16184" width="13.28515625" style="5" bestFit="1" customWidth="1"/>
    <col min="16185" max="16185" width="18" style="5" customWidth="1"/>
    <col min="16186" max="16186" width="11.42578125" style="5"/>
    <col min="16187" max="16187" width="11.140625" style="5" customWidth="1"/>
    <col min="16188" max="16188" width="11.42578125" style="5"/>
    <col min="16189" max="16189" width="17.42578125" style="5" customWidth="1"/>
    <col min="16190" max="16384" width="11.42578125" style="5"/>
  </cols>
  <sheetData>
    <row r="1" spans="1:92" ht="12.75" customHeight="1" x14ac:dyDescent="0.2">
      <c r="A1" s="449" t="s">
        <v>0</v>
      </c>
      <c r="B1" s="449"/>
      <c r="C1" s="449"/>
      <c r="D1" s="449"/>
      <c r="E1" s="449"/>
      <c r="F1" s="449"/>
      <c r="G1" s="449"/>
      <c r="H1" s="449"/>
      <c r="I1" s="449"/>
      <c r="J1" s="449"/>
      <c r="K1" s="449"/>
      <c r="L1" s="449"/>
      <c r="M1" s="449"/>
      <c r="N1" s="449"/>
      <c r="O1" s="449"/>
      <c r="P1" s="449"/>
      <c r="Q1" s="449"/>
      <c r="R1" s="449"/>
      <c r="S1" s="449"/>
      <c r="T1" s="449"/>
      <c r="U1" s="449"/>
      <c r="V1" s="449"/>
      <c r="W1" s="449"/>
      <c r="X1" s="449"/>
      <c r="Y1" s="449"/>
      <c r="Z1" s="449"/>
      <c r="AA1" s="449"/>
      <c r="AB1" s="449"/>
      <c r="AC1" s="449"/>
      <c r="AD1" s="449"/>
      <c r="AE1" s="449"/>
      <c r="AF1" s="449"/>
      <c r="AG1" s="449"/>
      <c r="AH1" s="449"/>
      <c r="AI1" s="449"/>
      <c r="AJ1" s="449"/>
      <c r="AK1" s="449"/>
      <c r="AL1" s="449"/>
      <c r="AM1" s="449"/>
      <c r="AN1" s="449"/>
      <c r="AO1" s="449"/>
      <c r="AP1" s="449"/>
      <c r="AQ1" s="449"/>
      <c r="AR1" s="449"/>
      <c r="AS1" s="449"/>
      <c r="AT1" s="1"/>
      <c r="AU1" s="1"/>
      <c r="AV1" s="1"/>
      <c r="AW1" s="1"/>
      <c r="AX1" s="450" t="s">
        <v>1</v>
      </c>
      <c r="AY1" s="450"/>
      <c r="AZ1" s="450"/>
      <c r="BA1" s="450"/>
      <c r="BB1" s="450"/>
      <c r="BC1" s="450"/>
      <c r="BD1" s="450"/>
      <c r="BE1" s="450"/>
      <c r="BF1" s="450"/>
      <c r="BG1" s="450"/>
      <c r="BH1" s="450"/>
      <c r="BI1" s="2"/>
      <c r="BJ1" s="2"/>
      <c r="BK1" s="450" t="s">
        <v>2</v>
      </c>
      <c r="BL1" s="450"/>
      <c r="BM1" s="450"/>
      <c r="BN1" s="450"/>
      <c r="BO1" s="450"/>
      <c r="BP1" s="450"/>
      <c r="BQ1" s="450"/>
      <c r="BR1" s="450"/>
      <c r="BS1" s="450"/>
      <c r="BT1" s="450"/>
      <c r="BU1" s="2"/>
      <c r="BV1" s="3"/>
      <c r="BW1" s="3"/>
      <c r="BX1" s="4"/>
      <c r="CA1" s="5" t="str">
        <f ca="1">+CONCATENATE("Semana ",WEEKNUM(TODAY()),": ",IF(MONTH(TODAY()-WEEKDAY(TODAY(),2)+1)=1,"Enero",IF(MONTH(TODAY()-WEEKDAY(TODAY(),2)+1)=2,"Febrero",IF(MONTH(TODAY()-WEEKDAY(TODAY(),2)+1)=3,"Marzo",IF(MONTH(TODAY()-WEEKDAY(TODAY(),2)+1)=4,"Abril",IF(MONTH(TODAY()-WEEKDAY(TODAY(),2)+1)=5,"Mayo",IF(MONTH(TODAY()-WEEKDAY(TODAY(),2)+1)=6,"Junio",IF(MONTH(TODAY()-WEEKDAY(TODAY(),2)+1)=7,"Julio",IF(MONTH(TODAY()-WEEKDAY(TODAY(),2)+1)=8,"Agosto",IF(MONTH(TODAY()-WEEKDAY(TODAY(),2)+1)=9,"Septiembre",IF(MONTH(TODAY()-WEEKDAY(TODAY(),2)+1)=10,"Octubre",IF(MONTH(TODAY()-WEEKDAY(TODAY(),2)+1)=11,"Noviembre",IF(MONTH(TODAY()-WEEKDAY(TODAY(),2)+1)=12,"Diciembre","x"))))))))))))," ",DAY(TODAY()-WEEKDAY(TODAY(),2)+1)," a ",IF(MONTH((TODAY()-WEEKDAY(TODAY(),2)+1+4))=1,"Enero",IF(MONTH((TODAY()-WEEKDAY(TODAY(),2)+1+4))=2,"Febrero",IF(MONTH((TODAY()-WEEKDAY(TODAY(),2)+1+4))=3,"Marzo",IF(MONTH((TODAY()-WEEKDAY(TODAY(),2)+1+4))=4,"Abril",IF(MONTH((TODAY()-WEEKDAY(TODAY(),2)+1+4))=5,"Mayo",IF(MONTH((TODAY()-WEEKDAY(TODAY(),2)+1+4))=6,"Junio",IF(MONTH((TODAY()-WEEKDAY(TODAY(),2)+1+4))=7,"Julio",IF(MONTH((TODAY()-WEEKDAY(TODAY(),2)+1+4))=8,"Agosto",IF(MONTH((TODAY()-WEEKDAY(TODAY(),2)+1+4))=9,"Septiembre",IF(MONTH((TODAY()-WEEKDAY(TODAY(),2)+1+4))=10,"Octubre",IF(MONTH((TODAY()-WEEKDAY(TODAY(),2)+1+4))=11,"Noviembre",IF(MONTH((TODAY()-WEEKDAY(TODAY(),2)+1+4))=12,"Diciembre","x"))))))))))))," ",DAY(TODAY()-WEEKDAY(TODAY(),2)+1+4),", ",YEAR(TODAY()),".")</f>
        <v>Semana 8: Febrero 19 a Febrero 23, 2018.</v>
      </c>
      <c r="CE1" s="6"/>
      <c r="CN1" s="6"/>
    </row>
    <row r="2" spans="1:92" ht="12.75" customHeight="1" x14ac:dyDescent="0.2">
      <c r="A2" s="449"/>
      <c r="B2" s="449"/>
      <c r="C2" s="449"/>
      <c r="D2" s="449"/>
      <c r="E2" s="449"/>
      <c r="F2" s="449"/>
      <c r="G2" s="449"/>
      <c r="H2" s="449"/>
      <c r="I2" s="449"/>
      <c r="J2" s="449"/>
      <c r="K2" s="449"/>
      <c r="L2" s="449"/>
      <c r="M2" s="449"/>
      <c r="N2" s="449"/>
      <c r="O2" s="449"/>
      <c r="P2" s="449"/>
      <c r="Q2" s="449"/>
      <c r="R2" s="449"/>
      <c r="S2" s="449"/>
      <c r="T2" s="449"/>
      <c r="U2" s="449"/>
      <c r="V2" s="449"/>
      <c r="W2" s="449"/>
      <c r="X2" s="449"/>
      <c r="Y2" s="449"/>
      <c r="Z2" s="449"/>
      <c r="AA2" s="449"/>
      <c r="AB2" s="449"/>
      <c r="AC2" s="449"/>
      <c r="AD2" s="449"/>
      <c r="AE2" s="449"/>
      <c r="AF2" s="449"/>
      <c r="AG2" s="449"/>
      <c r="AH2" s="449"/>
      <c r="AI2" s="449"/>
      <c r="AJ2" s="449"/>
      <c r="AK2" s="449"/>
      <c r="AL2" s="449"/>
      <c r="AM2" s="449"/>
      <c r="AN2" s="449"/>
      <c r="AO2" s="449"/>
      <c r="AP2" s="449"/>
      <c r="AQ2" s="449"/>
      <c r="AR2" s="449"/>
      <c r="AS2" s="449"/>
      <c r="AT2" s="1"/>
      <c r="AU2" s="1"/>
      <c r="AV2" s="1"/>
      <c r="AW2" s="1"/>
      <c r="AX2" s="450"/>
      <c r="AY2" s="450"/>
      <c r="AZ2" s="450"/>
      <c r="BA2" s="450"/>
      <c r="BB2" s="450"/>
      <c r="BC2" s="450"/>
      <c r="BD2" s="450"/>
      <c r="BE2" s="450"/>
      <c r="BF2" s="450"/>
      <c r="BG2" s="450"/>
      <c r="BH2" s="450"/>
      <c r="BI2" s="2"/>
      <c r="BJ2" s="2"/>
      <c r="BK2" s="450"/>
      <c r="BL2" s="450"/>
      <c r="BM2" s="450"/>
      <c r="BN2" s="450"/>
      <c r="BO2" s="450"/>
      <c r="BP2" s="450"/>
      <c r="BQ2" s="450"/>
      <c r="BR2" s="450"/>
      <c r="BS2" s="450"/>
      <c r="BT2" s="450"/>
      <c r="BU2" s="2"/>
      <c r="BV2" s="3"/>
      <c r="BW2" s="3"/>
      <c r="BX2" s="4"/>
      <c r="CA2" s="7">
        <f ca="1">+TODAY()</f>
        <v>43153</v>
      </c>
      <c r="CE2" s="6"/>
      <c r="CN2" s="6"/>
    </row>
    <row r="3" spans="1:92" ht="12.75" customHeight="1" x14ac:dyDescent="0.2">
      <c r="A3" s="449"/>
      <c r="B3" s="449"/>
      <c r="C3" s="449"/>
      <c r="D3" s="449"/>
      <c r="E3" s="449"/>
      <c r="F3" s="449"/>
      <c r="G3" s="449"/>
      <c r="H3" s="449"/>
      <c r="I3" s="449"/>
      <c r="J3" s="449"/>
      <c r="K3" s="449"/>
      <c r="L3" s="449"/>
      <c r="M3" s="449"/>
      <c r="N3" s="449"/>
      <c r="O3" s="449"/>
      <c r="P3" s="449"/>
      <c r="Q3" s="449"/>
      <c r="R3" s="449"/>
      <c r="S3" s="449"/>
      <c r="T3" s="449"/>
      <c r="U3" s="449"/>
      <c r="V3" s="449"/>
      <c r="W3" s="449"/>
      <c r="X3" s="449"/>
      <c r="Y3" s="449"/>
      <c r="Z3" s="449"/>
      <c r="AA3" s="449"/>
      <c r="AB3" s="449"/>
      <c r="AC3" s="449"/>
      <c r="AD3" s="449"/>
      <c r="AE3" s="449"/>
      <c r="AF3" s="449"/>
      <c r="AG3" s="449"/>
      <c r="AH3" s="449"/>
      <c r="AI3" s="449"/>
      <c r="AJ3" s="449"/>
      <c r="AK3" s="449"/>
      <c r="AL3" s="449"/>
      <c r="AM3" s="449"/>
      <c r="AN3" s="449"/>
      <c r="AO3" s="449"/>
      <c r="AP3" s="449"/>
      <c r="AQ3" s="449"/>
      <c r="AR3" s="449"/>
      <c r="AS3" s="449"/>
      <c r="AT3" s="1"/>
      <c r="AU3" s="1"/>
      <c r="AV3" s="1"/>
      <c r="AW3" s="1"/>
      <c r="AX3" s="450"/>
      <c r="AY3" s="450"/>
      <c r="AZ3" s="450"/>
      <c r="BA3" s="450"/>
      <c r="BB3" s="450"/>
      <c r="BC3" s="450"/>
      <c r="BD3" s="450"/>
      <c r="BE3" s="450"/>
      <c r="BF3" s="450"/>
      <c r="BG3" s="450"/>
      <c r="BH3" s="450"/>
      <c r="BI3" s="2"/>
      <c r="BJ3" s="2"/>
      <c r="BK3" s="450"/>
      <c r="BL3" s="450"/>
      <c r="BM3" s="450"/>
      <c r="BN3" s="450"/>
      <c r="BO3" s="450"/>
      <c r="BP3" s="450"/>
      <c r="BQ3" s="450"/>
      <c r="BR3" s="450"/>
      <c r="BS3" s="450"/>
      <c r="BT3" s="450"/>
      <c r="BU3" s="2"/>
      <c r="BV3" s="3"/>
      <c r="BW3" s="3"/>
      <c r="BX3" s="4"/>
      <c r="CE3" s="6"/>
      <c r="CN3" s="6"/>
    </row>
    <row r="4" spans="1:92" ht="12.75" customHeight="1" x14ac:dyDescent="0.25">
      <c r="A4" s="8" t="str">
        <f ca="1">CONCATENATE("Semana ",WEEKNUM(TODAY()),": ",IF(MONTH(TODAY())=1,"Enero",IF(MONTH(TODAY())=2,"Febrero",IF(MONTH(TODAY())=3,"Marzo",IF(MONTH(TODAY())=4,"Abril",IF(MONTH(TODAY())=5,"Mayo",IF(MONTH(TODAY())=6,"Junio",IF(MONTH(TODAY())=7,"Julio",IF(MONTH(TODAY())=8,"Agosto",IF(MONTH(TODAY())=9,"Septiembre",IF(MONTH(TODAY())=10,"Octubre",IF(MONTH(TODAY())=11,"Noviembre",IF(MONTH(TODAY())=12,"Diciembre","x"))))))))))))," ",DAY(TODAY())," a ",IF(MONTH((TODAY()+6))=1,"Enero",IF(MONTH((TODAY()+6))=2,"Febrero",IF(MONTH((TODAY()+6))=3,"Marzo",IF(MONTH((TODAY()+6))=4,"Abril",IF(MONTH((TODAY()+6))=5,"Mayo",IF(MONTH((TODAY()+6))=6,"Junio",IF(MONTH((TODAY()+6))=7,"Julio",IF(MONTH((TODAY()+6))=8,"Agosto",IF(MONTH((TODAY()+6))=9,"Septiembre",IF(MONTH((TODAY()+6))=10,"Octubre",IF(MONTH((TODAY()+6))=11,"Noviembre",IF(MONTH((TODAY()+6))=12,"Diciembre","x"))))))))))))," ",DAY(TODAY()+6),", ",YEAR(TODAY()),".")</f>
        <v>Semana 8: Febrero 22 a Febrero 28, 2018.</v>
      </c>
      <c r="B4" s="9"/>
      <c r="C4" s="9"/>
      <c r="D4" s="9"/>
      <c r="E4" s="9"/>
      <c r="F4" s="9"/>
      <c r="G4" s="9"/>
      <c r="H4" s="9"/>
      <c r="I4" s="9"/>
      <c r="J4" s="9"/>
      <c r="K4" s="9"/>
      <c r="L4" s="9"/>
      <c r="M4" s="9"/>
      <c r="N4" s="9"/>
      <c r="O4" s="9"/>
      <c r="P4" s="9"/>
      <c r="Q4" s="9"/>
      <c r="R4" s="10"/>
      <c r="S4" s="10">
        <f>S5+S9</f>
        <v>0</v>
      </c>
      <c r="T4" s="10">
        <f>T5+T9</f>
        <v>0</v>
      </c>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2"/>
      <c r="AV4" s="12"/>
      <c r="AW4" s="12"/>
      <c r="AX4" s="451"/>
      <c r="AY4" s="451"/>
      <c r="AZ4" s="451"/>
      <c r="BA4" s="451"/>
      <c r="BB4" s="451"/>
      <c r="BC4" s="451"/>
      <c r="BD4" s="451"/>
      <c r="BE4" s="451"/>
      <c r="BF4" s="451"/>
      <c r="BG4" s="451"/>
      <c r="BH4" s="451"/>
      <c r="BI4" s="13"/>
      <c r="BJ4" s="13"/>
      <c r="BK4" s="451"/>
      <c r="BL4" s="451"/>
      <c r="BM4" s="451"/>
      <c r="BN4" s="451"/>
      <c r="BO4" s="451"/>
      <c r="BP4" s="451"/>
      <c r="BQ4" s="451"/>
      <c r="BR4" s="451"/>
      <c r="BS4" s="451"/>
      <c r="BT4" s="451"/>
      <c r="BU4" s="13"/>
      <c r="BV4" s="14"/>
      <c r="BW4" s="3"/>
      <c r="BX4" s="4"/>
      <c r="CE4" s="6"/>
      <c r="CN4" s="6"/>
    </row>
    <row r="5" spans="1:92" x14ac:dyDescent="0.2">
      <c r="A5" s="15">
        <f ca="1">WEEKNUM(TODAY())</f>
        <v>8</v>
      </c>
      <c r="B5" s="16">
        <f ca="1">YEAR(TODAY())</f>
        <v>2018</v>
      </c>
      <c r="C5" s="17"/>
      <c r="D5" s="17"/>
      <c r="E5" s="17"/>
      <c r="F5" s="17"/>
      <c r="G5" s="17"/>
      <c r="H5" s="17"/>
      <c r="I5" s="17"/>
      <c r="J5" s="17"/>
      <c r="K5" s="17"/>
      <c r="L5" s="17"/>
      <c r="M5" s="17"/>
      <c r="N5" s="17"/>
      <c r="O5" s="17"/>
      <c r="P5" s="17"/>
      <c r="Q5" s="17"/>
      <c r="R5" s="17"/>
      <c r="S5" s="18"/>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20"/>
      <c r="AV5" s="20"/>
      <c r="AW5" s="20"/>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4"/>
      <c r="CE5" s="6"/>
      <c r="CN5" s="6"/>
    </row>
    <row r="6" spans="1:92" ht="12.75" customHeight="1" x14ac:dyDescent="0.2">
      <c r="A6" s="452" t="s">
        <v>3</v>
      </c>
      <c r="B6" s="452"/>
      <c r="C6" s="452"/>
      <c r="D6" s="452"/>
      <c r="E6" s="452"/>
      <c r="F6" s="452"/>
      <c r="G6" s="452"/>
      <c r="H6" s="452"/>
      <c r="I6" s="452"/>
      <c r="J6" s="452"/>
      <c r="K6" s="452"/>
      <c r="L6" s="452"/>
      <c r="M6" s="452"/>
      <c r="N6" s="452"/>
      <c r="O6" s="452"/>
      <c r="P6" s="452"/>
      <c r="Q6" s="452"/>
      <c r="R6" s="452"/>
      <c r="S6" s="452"/>
      <c r="T6" s="452"/>
      <c r="U6" s="452"/>
      <c r="V6" s="452"/>
      <c r="W6" s="452"/>
      <c r="X6" s="452"/>
      <c r="Y6" s="452"/>
      <c r="Z6" s="452"/>
      <c r="AA6" s="452"/>
      <c r="AB6" s="452"/>
      <c r="AC6" s="452"/>
      <c r="AD6" s="452"/>
      <c r="AE6" s="452"/>
      <c r="AF6" s="452"/>
      <c r="AG6" s="452"/>
      <c r="AH6" s="452"/>
      <c r="AI6" s="452"/>
      <c r="AJ6" s="452"/>
      <c r="AK6" s="452"/>
      <c r="AL6" s="452"/>
      <c r="AM6" s="452"/>
      <c r="AN6" s="452"/>
      <c r="AO6" s="452"/>
      <c r="AP6" s="452"/>
      <c r="AQ6" s="452"/>
      <c r="AR6" s="452"/>
      <c r="AS6" s="452"/>
      <c r="AT6" s="452"/>
      <c r="AU6" s="452"/>
      <c r="AV6" s="452"/>
      <c r="AW6" s="452"/>
      <c r="AX6" s="452"/>
      <c r="AY6" s="452"/>
      <c r="AZ6" s="452"/>
      <c r="BA6" s="452"/>
      <c r="BB6" s="452"/>
      <c r="BC6" s="452"/>
      <c r="BD6" s="452"/>
      <c r="BE6" s="452"/>
      <c r="BF6" s="452"/>
      <c r="BG6" s="452"/>
      <c r="BH6" s="452"/>
      <c r="BI6" s="452"/>
      <c r="BJ6" s="452"/>
      <c r="BK6" s="452"/>
      <c r="BL6" s="452"/>
      <c r="BM6" s="452"/>
      <c r="BN6" s="452"/>
      <c r="BO6" s="452"/>
      <c r="BP6" s="452"/>
      <c r="BQ6" s="452"/>
      <c r="BR6" s="452"/>
      <c r="BS6" s="452"/>
      <c r="BT6" s="452"/>
      <c r="BU6" s="452"/>
      <c r="BV6" s="452"/>
      <c r="BW6" s="21"/>
      <c r="BX6" s="4"/>
      <c r="CE6" s="6"/>
      <c r="CN6" s="6"/>
    </row>
    <row r="7" spans="1:92" ht="27" customHeight="1" x14ac:dyDescent="0.2">
      <c r="A7" s="452"/>
      <c r="B7" s="452"/>
      <c r="C7" s="452"/>
      <c r="D7" s="452"/>
      <c r="E7" s="452"/>
      <c r="F7" s="452"/>
      <c r="G7" s="452"/>
      <c r="H7" s="452"/>
      <c r="I7" s="452"/>
      <c r="J7" s="452"/>
      <c r="K7" s="452"/>
      <c r="L7" s="452"/>
      <c r="M7" s="452"/>
      <c r="N7" s="452"/>
      <c r="O7" s="452"/>
      <c r="P7" s="452"/>
      <c r="Q7" s="452"/>
      <c r="R7" s="452"/>
      <c r="S7" s="452"/>
      <c r="T7" s="452"/>
      <c r="U7" s="452"/>
      <c r="V7" s="452"/>
      <c r="W7" s="452"/>
      <c r="X7" s="452"/>
      <c r="Y7" s="452"/>
      <c r="Z7" s="452"/>
      <c r="AA7" s="452"/>
      <c r="AB7" s="452"/>
      <c r="AC7" s="452"/>
      <c r="AD7" s="452"/>
      <c r="AE7" s="452"/>
      <c r="AF7" s="452"/>
      <c r="AG7" s="452"/>
      <c r="AH7" s="452"/>
      <c r="AI7" s="452"/>
      <c r="AJ7" s="452"/>
      <c r="AK7" s="452"/>
      <c r="AL7" s="452"/>
      <c r="AM7" s="452"/>
      <c r="AN7" s="452"/>
      <c r="AO7" s="452"/>
      <c r="AP7" s="452"/>
      <c r="AQ7" s="452"/>
      <c r="AR7" s="452"/>
      <c r="AS7" s="452"/>
      <c r="AT7" s="452"/>
      <c r="AU7" s="452"/>
      <c r="AV7" s="452"/>
      <c r="AW7" s="452"/>
      <c r="AX7" s="452"/>
      <c r="AY7" s="452"/>
      <c r="AZ7" s="452"/>
      <c r="BA7" s="452"/>
      <c r="BB7" s="452"/>
      <c r="BC7" s="452"/>
      <c r="BD7" s="452"/>
      <c r="BE7" s="452"/>
      <c r="BF7" s="452"/>
      <c r="BG7" s="452"/>
      <c r="BH7" s="452"/>
      <c r="BI7" s="452"/>
      <c r="BJ7" s="452"/>
      <c r="BK7" s="452"/>
      <c r="BL7" s="452"/>
      <c r="BM7" s="452"/>
      <c r="BN7" s="452"/>
      <c r="BO7" s="452"/>
      <c r="BP7" s="452"/>
      <c r="BQ7" s="452"/>
      <c r="BR7" s="452"/>
      <c r="BS7" s="452"/>
      <c r="BT7" s="452"/>
      <c r="BU7" s="452"/>
      <c r="BV7" s="452"/>
      <c r="BW7" s="21"/>
      <c r="BX7" s="4"/>
      <c r="CE7" s="6"/>
      <c r="CN7" s="6"/>
    </row>
    <row r="8" spans="1:92" ht="9.75" customHeight="1" x14ac:dyDescent="0.2">
      <c r="A8" s="22"/>
      <c r="B8" s="22"/>
      <c r="C8" s="22"/>
      <c r="D8" s="22"/>
      <c r="E8" s="22"/>
      <c r="F8" s="22"/>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3"/>
      <c r="AV8" s="23"/>
      <c r="AW8" s="23"/>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4"/>
      <c r="CD8" s="5" t="s">
        <v>4</v>
      </c>
      <c r="CE8" s="6"/>
      <c r="CN8" s="6"/>
    </row>
    <row r="9" spans="1:92" ht="15" x14ac:dyDescent="0.2">
      <c r="A9" s="24" t="s">
        <v>5</v>
      </c>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3"/>
      <c r="AV9" s="23"/>
      <c r="AW9" s="23"/>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4"/>
      <c r="CD9" s="5" t="s">
        <v>6</v>
      </c>
      <c r="CE9" s="6"/>
      <c r="CN9" s="6"/>
    </row>
    <row r="10" spans="1:92" ht="15" x14ac:dyDescent="0.2">
      <c r="A10" s="24" t="s">
        <v>7</v>
      </c>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3"/>
      <c r="AV10" s="23"/>
      <c r="AW10" s="23"/>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4"/>
      <c r="CD10" s="5" t="s">
        <v>8</v>
      </c>
      <c r="CE10" s="6"/>
      <c r="CN10" s="6"/>
    </row>
    <row r="11" spans="1:92" ht="8.25" customHeight="1" x14ac:dyDescent="0.2">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6"/>
      <c r="AV11" s="26"/>
      <c r="AW11" s="26"/>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c r="BX11" s="4"/>
      <c r="CE11" s="6"/>
      <c r="CN11" s="6"/>
    </row>
    <row r="12" spans="1:92" ht="13.5" customHeight="1" x14ac:dyDescent="0.2">
      <c r="A12" s="436" t="s">
        <v>9</v>
      </c>
      <c r="B12" s="442"/>
      <c r="C12" s="436" t="s">
        <v>10</v>
      </c>
      <c r="D12" s="442"/>
      <c r="E12" s="454" t="s">
        <v>11</v>
      </c>
      <c r="F12" s="445" t="s">
        <v>12</v>
      </c>
      <c r="G12" s="443"/>
      <c r="H12" s="443"/>
      <c r="I12" s="443"/>
      <c r="J12" s="443"/>
      <c r="K12" s="444"/>
      <c r="L12" s="445" t="s">
        <v>13</v>
      </c>
      <c r="M12" s="443"/>
      <c r="N12" s="443"/>
      <c r="O12" s="443"/>
      <c r="P12" s="443"/>
      <c r="Q12" s="443"/>
      <c r="R12" s="443"/>
      <c r="S12" s="443"/>
      <c r="T12" s="444"/>
      <c r="U12" s="445" t="s">
        <v>14</v>
      </c>
      <c r="V12" s="443"/>
      <c r="W12" s="443"/>
      <c r="X12" s="443"/>
      <c r="Y12" s="443"/>
      <c r="Z12" s="444"/>
      <c r="AA12" s="436" t="s">
        <v>15</v>
      </c>
      <c r="AB12" s="441"/>
      <c r="AC12" s="441"/>
      <c r="AD12" s="441"/>
      <c r="AE12" s="441"/>
      <c r="AF12" s="441"/>
      <c r="AG12" s="441"/>
      <c r="AH12" s="441"/>
      <c r="AI12" s="441"/>
      <c r="AJ12" s="441"/>
      <c r="AK12" s="441"/>
      <c r="AL12" s="441"/>
      <c r="AM12" s="441"/>
      <c r="AN12" s="441"/>
      <c r="AO12" s="441"/>
      <c r="AP12" s="441"/>
      <c r="AQ12" s="441"/>
      <c r="AR12" s="441"/>
      <c r="AS12" s="441"/>
      <c r="AT12" s="441"/>
      <c r="AU12" s="441"/>
      <c r="AV12" s="441"/>
      <c r="AW12" s="442"/>
      <c r="AX12" s="443" t="s">
        <v>16</v>
      </c>
      <c r="AY12" s="443"/>
      <c r="AZ12" s="443"/>
      <c r="BA12" s="443"/>
      <c r="BB12" s="443"/>
      <c r="BC12" s="443"/>
      <c r="BD12" s="443"/>
      <c r="BE12" s="443"/>
      <c r="BF12" s="444"/>
      <c r="BG12" s="445" t="s">
        <v>17</v>
      </c>
      <c r="BH12" s="443"/>
      <c r="BI12" s="443"/>
      <c r="BJ12" s="443"/>
      <c r="BK12" s="443"/>
      <c r="BL12" s="443"/>
      <c r="BM12" s="443"/>
      <c r="BN12" s="443"/>
      <c r="BO12" s="443"/>
      <c r="BP12" s="443"/>
      <c r="BQ12" s="443"/>
      <c r="BR12" s="443"/>
      <c r="BS12" s="444"/>
      <c r="BT12" s="446" t="s">
        <v>18</v>
      </c>
      <c r="BU12" s="446" t="s">
        <v>19</v>
      </c>
      <c r="BV12" s="448" t="s">
        <v>20</v>
      </c>
      <c r="BW12" s="436" t="s">
        <v>9</v>
      </c>
      <c r="BX12" s="4"/>
      <c r="BY12" s="27"/>
      <c r="CE12" s="6"/>
      <c r="CN12" s="6"/>
    </row>
    <row r="13" spans="1:92" ht="60" customHeight="1" x14ac:dyDescent="0.2">
      <c r="A13" s="437"/>
      <c r="B13" s="453"/>
      <c r="C13" s="437"/>
      <c r="D13" s="453"/>
      <c r="E13" s="455"/>
      <c r="F13" s="438" t="s">
        <v>21</v>
      </c>
      <c r="G13" s="439"/>
      <c r="H13" s="440"/>
      <c r="I13" s="430" t="s">
        <v>22</v>
      </c>
      <c r="J13" s="431"/>
      <c r="K13" s="432"/>
      <c r="L13" s="430" t="s">
        <v>23</v>
      </c>
      <c r="M13" s="431"/>
      <c r="N13" s="432"/>
      <c r="O13" s="430" t="s">
        <v>24</v>
      </c>
      <c r="P13" s="431"/>
      <c r="Q13" s="432"/>
      <c r="R13" s="430" t="s">
        <v>25</v>
      </c>
      <c r="S13" s="431"/>
      <c r="T13" s="432"/>
      <c r="U13" s="430" t="s">
        <v>26</v>
      </c>
      <c r="V13" s="431"/>
      <c r="W13" s="432"/>
      <c r="X13" s="430" t="s">
        <v>27</v>
      </c>
      <c r="Y13" s="431"/>
      <c r="Z13" s="432"/>
      <c r="AA13" s="430" t="s">
        <v>28</v>
      </c>
      <c r="AB13" s="431"/>
      <c r="AC13" s="432"/>
      <c r="AD13" s="430" t="s">
        <v>29</v>
      </c>
      <c r="AE13" s="431"/>
      <c r="AF13" s="432"/>
      <c r="AG13" s="430" t="s">
        <v>30</v>
      </c>
      <c r="AH13" s="431"/>
      <c r="AI13" s="432"/>
      <c r="AJ13" s="430" t="s">
        <v>31</v>
      </c>
      <c r="AK13" s="431"/>
      <c r="AL13" s="432"/>
      <c r="AM13" s="430" t="s">
        <v>32</v>
      </c>
      <c r="AN13" s="431"/>
      <c r="AO13" s="432"/>
      <c r="AP13" s="430" t="s">
        <v>33</v>
      </c>
      <c r="AQ13" s="431"/>
      <c r="AR13" s="432"/>
      <c r="AS13" s="28" t="s">
        <v>34</v>
      </c>
      <c r="AT13" s="28" t="s">
        <v>35</v>
      </c>
      <c r="AU13" s="29" t="s">
        <v>36</v>
      </c>
      <c r="AV13" s="28" t="s">
        <v>37</v>
      </c>
      <c r="AW13" s="28" t="s">
        <v>38</v>
      </c>
      <c r="AX13" s="430" t="s">
        <v>39</v>
      </c>
      <c r="AY13" s="431"/>
      <c r="AZ13" s="432"/>
      <c r="BA13" s="430" t="s">
        <v>40</v>
      </c>
      <c r="BB13" s="431"/>
      <c r="BC13" s="432"/>
      <c r="BD13" s="430" t="s">
        <v>41</v>
      </c>
      <c r="BE13" s="431"/>
      <c r="BF13" s="432"/>
      <c r="BG13" s="430" t="s">
        <v>42</v>
      </c>
      <c r="BH13" s="431"/>
      <c r="BI13" s="432"/>
      <c r="BJ13" s="430" t="s">
        <v>43</v>
      </c>
      <c r="BK13" s="431"/>
      <c r="BL13" s="432"/>
      <c r="BM13" s="430" t="s">
        <v>44</v>
      </c>
      <c r="BN13" s="431"/>
      <c r="BO13" s="432"/>
      <c r="BP13" s="430" t="s">
        <v>45</v>
      </c>
      <c r="BQ13" s="431"/>
      <c r="BR13" s="432"/>
      <c r="BS13" s="30" t="s">
        <v>46</v>
      </c>
      <c r="BT13" s="447"/>
      <c r="BU13" s="447"/>
      <c r="BV13" s="448"/>
      <c r="BW13" s="437"/>
      <c r="BX13" s="4"/>
      <c r="BY13" s="31"/>
      <c r="BZ13" s="32" t="s">
        <v>44</v>
      </c>
      <c r="CA13" s="32" t="s">
        <v>42</v>
      </c>
      <c r="CB13" s="32" t="s">
        <v>43</v>
      </c>
      <c r="CE13" s="33" t="s">
        <v>44</v>
      </c>
      <c r="CF13" s="33" t="s">
        <v>42</v>
      </c>
      <c r="CG13" s="33" t="s">
        <v>43</v>
      </c>
      <c r="CN13" s="6"/>
    </row>
    <row r="14" spans="1:92" s="37" customFormat="1" ht="12.75" customHeight="1" x14ac:dyDescent="0.2">
      <c r="A14" s="433" t="s">
        <v>47</v>
      </c>
      <c r="B14" s="433"/>
      <c r="C14" s="433"/>
      <c r="D14" s="433"/>
      <c r="E14" s="433"/>
      <c r="F14" s="433"/>
      <c r="G14" s="433"/>
      <c r="H14" s="433"/>
      <c r="I14" s="433"/>
      <c r="J14" s="433"/>
      <c r="K14" s="433"/>
      <c r="L14" s="433"/>
      <c r="M14" s="433"/>
      <c r="N14" s="433"/>
      <c r="O14" s="433"/>
      <c r="P14" s="433"/>
      <c r="Q14" s="433"/>
      <c r="R14" s="433"/>
      <c r="S14" s="433"/>
      <c r="T14" s="433"/>
      <c r="U14" s="433"/>
      <c r="V14" s="433"/>
      <c r="W14" s="433"/>
      <c r="X14" s="433"/>
      <c r="Y14" s="433"/>
      <c r="Z14" s="433"/>
      <c r="AA14" s="433"/>
      <c r="AB14" s="433"/>
      <c r="AC14" s="433"/>
      <c r="AD14" s="433"/>
      <c r="AE14" s="433"/>
      <c r="AF14" s="433"/>
      <c r="AG14" s="433"/>
      <c r="AH14" s="433"/>
      <c r="AI14" s="433"/>
      <c r="AJ14" s="433"/>
      <c r="AK14" s="433"/>
      <c r="AL14" s="433"/>
      <c r="AM14" s="433"/>
      <c r="AN14" s="433"/>
      <c r="AO14" s="433"/>
      <c r="AP14" s="433"/>
      <c r="AQ14" s="433"/>
      <c r="AR14" s="433"/>
      <c r="AS14" s="433"/>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433"/>
      <c r="BV14" s="434"/>
      <c r="BW14" s="34"/>
      <c r="BX14" s="35"/>
      <c r="BY14" s="36"/>
      <c r="CN14" s="38"/>
    </row>
    <row r="15" spans="1:92" s="49" customFormat="1" ht="11.25" customHeight="1" x14ac:dyDescent="0.2">
      <c r="A15" s="435" t="str">
        <f t="shared" ref="A15:A26" si="0">BY15</f>
        <v>PATY</v>
      </c>
      <c r="B15" s="402"/>
      <c r="C15" s="398">
        <f>+VLOOKUP(A15,[1]ARS!A:EL,MATCH("Last",[1]ARS!$4:$4,0),FALSE)</f>
        <v>13.5</v>
      </c>
      <c r="D15" s="399"/>
      <c r="E15" s="39">
        <f>+VLOOKUP(A15,'[1]Market Cap'!I:J,2,FALSE)</f>
        <v>1</v>
      </c>
      <c r="F15" s="290">
        <f>IFERROR(IF(VLOOKUP(A15,[1]ARS!A:EL,MATCH("Total Debt To Total Equity, Percent FQ0",[1]ARS!$4:$4,0),FALSE)="NULL",IF(VLOOKUP(A15,[1]ARS!A:EL,MATCH("Total Debt To Total Equity, Percent FQ-1",[1]ARS!$4:$4,0),FALSE)="NULL","-",VLOOKUP(A15,[1]ARS!A:EL,MATCH("Total Debt To Total Equity, Percent FQ-1",[1]ARS!$4:$4,0))),VLOOKUP(A15,[1]ARS!A:EL,MATCH("Total Debt To Total Equity, Percent FQ0",[1]ARS!$4:$4,0),FALSE))/100,"-")</f>
        <v>10.511802700260001</v>
      </c>
      <c r="G15" s="291"/>
      <c r="H15" s="292"/>
      <c r="I15" s="282">
        <f>IFERROR(VLOOKUP(A15,[1]ARS!A:EC,MATCH("Financial Leverage",[1]ARS!$4:$4,0),FALSE),"-")</f>
        <v>23.397632169830576</v>
      </c>
      <c r="J15" s="293"/>
      <c r="K15" s="294"/>
      <c r="L15" s="282">
        <f>+IFERROR(IF(VLOOKUP(A15,[1]ARS!A:EL,MATCH("Curr Ratio FQ0",[1]ARS!$4:$4,0),FALSE)="NULL",IF(VLOOKUP(A15,[1]ARS!A:EL,MATCH("Curr Ratio FQ-1",[1]ARS!$4:$4,0),FALSE)="NULL","-",VLOOKUP(A15,[1]ARS!A:EL,MATCH("Curr Ratio FQ-1",[1]ARS!$4:$4,0),FALSE)),VLOOKUP(A15,[1]ARS!A:EL,MATCH("Curr Ratio FQ0",[1]ARS!$4:$4,0),FALSE)),"-")</f>
        <v>0.57418000000000002</v>
      </c>
      <c r="M15" s="293"/>
      <c r="N15" s="294"/>
      <c r="O15" s="282">
        <f>+IFERROR(IF(VLOOKUP(A15,[1]ARS!A:EL,MATCH("Quick Ratio FQ0",[1]ARS!$4:$4,0),FALSE)="NULL",IF(VLOOKUP(A15,[1]ARS!A:EL,MATCH("Quick Ratio FQ-1",[1]ARS!$4:$4,0),FALSE)="NULL","-",VLOOKUP(A15,[1]ARS!A:EL,MATCH("Quick Ratio FQ-1",[1]ARS!$4:$4,0),FALSE)),VLOOKUP(A15,[1]ARS!A:EL,MATCH("Quick Ratio FQ0",[1]ARS!$4:$4,0),FALSE)),"-")</f>
        <v>0.35483999999999999</v>
      </c>
      <c r="P15" s="293"/>
      <c r="Q15" s="294"/>
      <c r="R15" s="295" t="str">
        <f>+IFERROR(IF(VLOOKUP(A15,[1]ARS!$A:$EL,MATCH("Dividend yield",[1]ARS!$4:$4,0),FALSE)="NULL","-",VLOOKUP(A15,[1]ARS!$A:$EL,MATCH("Dividend Yield",[1]ARS!$4:$4,0),FALSE)/100),"-")</f>
        <v>-</v>
      </c>
      <c r="S15" s="296"/>
      <c r="T15" s="297"/>
      <c r="U15" s="282">
        <f>IF(IFERROR(VLOOKUP(A15,[1]ARS!A:EL,MATCH("Asset Turnover",[1]ARS!$4:$4,0),FALSE),"-")=0,"-",IFERROR(VLOOKUP(A15,[1]ARS!A:EL,MATCH("Asset Turnover",[1]ARS!$4:$4,0),FALSE),"-"))</f>
        <v>2.2258619566695814</v>
      </c>
      <c r="V15" s="293"/>
      <c r="W15" s="294"/>
      <c r="X15" s="403">
        <f>IFERROR(VLOOKUP(A15,[1]ARS!A:EL,MATCH("CCC",[1]ARS!$4:$4,0),FALSE),"-")</f>
        <v>22.381372967675837</v>
      </c>
      <c r="Y15" s="404"/>
      <c r="Z15" s="405"/>
      <c r="AA15" s="380">
        <f>IF(IFERROR(VLOOKUP(A15,[1]ARS!A:EL,MATCH("Gross Margin, Percent",[1]ARS!$4:$4,0),FALSE)/100,"-")&lt;0,"-",IFERROR(VLOOKUP(A15,[1]ARS!A:EL,MATCH("Gross Margin, Percent",[1]ARS!$4:$4,0),FALSE)/100,"-"))</f>
        <v>0.11621549999999999</v>
      </c>
      <c r="AB15" s="381"/>
      <c r="AC15" s="382"/>
      <c r="AD15" s="380" t="str">
        <f>IF(IFERROR(VLOOKUP(A15,[1]ARS!A:EL,MATCH("Operating Margin, Percent",[1]ARS!$4:$4,0),FALSE)/100,"-")&lt;0,"-",IFERROR(VLOOKUP(A15,[1]ARS!A:EL,MATCH("Operating Margin, Percent",[1]ARS!$4:$4,0),FALSE)/100,"-"))</f>
        <v>-</v>
      </c>
      <c r="AE15" s="381"/>
      <c r="AF15" s="382"/>
      <c r="AG15" s="380" t="str">
        <f>IF(IFERROR(VLOOKUP(A15,[1]ARS!A:EL,MATCH("Net Profit Margin",[1]ARS!$4:$4,0),FALSE),"-")&lt;0,"-",IFERROR(VLOOKUP(A15,[1]ARS!A:EL,MATCH("Net Profit Margin",[1]ARS!$4:$4,0),FALSE),"-"))</f>
        <v>-</v>
      </c>
      <c r="AH15" s="381"/>
      <c r="AI15" s="382"/>
      <c r="AJ15" s="380">
        <f>IFERROR(VLOOKUP(A15,[1]ARS!A:EL,MATCH("FCF/Revenue",[1]ARS!$4:$4,0),FALSE),"-")</f>
        <v>5.1035604228227532E-2</v>
      </c>
      <c r="AK15" s="381"/>
      <c r="AL15" s="382"/>
      <c r="AM15" s="380">
        <f>IFERROR(IF(VLOOKUP(A15,[1]ARS!A:EL,MATCH("ROE",[1]ARS!$4:$4,0),FALSE)&lt;-5,"-",VLOOKUP(A15,[1]ARS!A:EL,MATCH("ROE",[1]ARS!$4:$4,0),FALSE)),"-")</f>
        <v>-1.44891902038694</v>
      </c>
      <c r="AN15" s="381"/>
      <c r="AO15" s="382"/>
      <c r="AP15" s="380">
        <f>IFERROR(VLOOKUP(A15,[1]ARS!A:EL,MATCH("ROA",[1]ARS!$4:$4,0),FALSE),"-")</f>
        <v>-0.12732814660868988</v>
      </c>
      <c r="AQ15" s="381"/>
      <c r="AR15" s="382"/>
      <c r="AS15" s="40">
        <f>+VLOOKUP(A15,[1]ARS!$A$5:$EL$85,MATCH("Last Q y/y",[1]ARS!$4:$4,0),FALSE)</f>
        <v>-0.13334138453900146</v>
      </c>
      <c r="AT15" s="40">
        <f>+VLOOKUP(A15,[1]ARS!$A$5:$EL$99,MATCH("Last 5 yrs - Annual",[1]ARS!$4:$4,0),FALSE)</f>
        <v>-2.0068207615857356</v>
      </c>
      <c r="AU15" s="41">
        <f>+VLOOKUP(A15,[1]ARS!$A$5:$EL$84,MATCH("Desvio",[1]ARS!$4:$4,0),FALSE)</f>
        <v>1.7844532847436079</v>
      </c>
      <c r="AV15" s="42">
        <f>+VLOOKUP(A15,'[1]Prom. Vtas Ult 5 años'!$A$3:$D$81,3,FALSE)</f>
        <v>-46.832411764705888</v>
      </c>
      <c r="AW15" s="40">
        <f>+VLOOKUP(A15,'[1]Prom. Vtas Ult 5 años'!$A$3:$D$81,4,FALSE)</f>
        <v>19.875651381532268</v>
      </c>
      <c r="AX15" s="282">
        <f>IFERROR((VLOOKUP(A15,[1]ARS!A:EL,MATCH("Enterprise Value (Daily Time Series)",[1]ARS!$4:$4,0),FALSE)/1000000000),"-")</f>
        <v>3.2806568995999998</v>
      </c>
      <c r="AY15" s="293"/>
      <c r="AZ15" s="294"/>
      <c r="BA15" s="282">
        <f>IFERROR((VLOOKUP(A15,[1]ARS!A:EL,MATCH("Company Market Cap",[1]ARS!$4:$4,0),FALSE)/1000000000),"-")</f>
        <v>1.9395197549000001</v>
      </c>
      <c r="BB15" s="293"/>
      <c r="BC15" s="294"/>
      <c r="BD15" s="282">
        <f>IF(VLOOKUP(A15,[1]ARS!A:EL,MATCH("Enterprise Value To EBITDA (Daily Time Series Ratio)",[1]ARS!$4:$4,0),FALSE)="NULL","-",VLOOKUP(A15,[1]ARS!A:EL,MATCH("Enterprise Value To EBITDA (Daily Time Series Ratio)",[1]ARS!$4:$4,0),FALSE))</f>
        <v>125.849965459567</v>
      </c>
      <c r="BE15" s="293"/>
      <c r="BF15" s="294"/>
      <c r="BG15" s="282" t="str">
        <f>IF(OR(IFERROR(VLOOKUP(A15,[1]ARS!A:EL,MATCH("Price To Tangible Book Value",[1]ARS!$4:$4,0),FALSE),"-")&lt;0,IFERROR(VLOOKUP(A15,[1]ARS!A:EL,MATCH("Price To Tangible Book Value",[1]ARS!$4:$4,0),FALSE),"-")&gt;100),"-",IFERROR(VLOOKUP(A15,[1]ARS!A:EL,MATCH("Price To Tangible Book Value",[1]ARS!$4:$4,0),FALSE),"-"))</f>
        <v>-</v>
      </c>
      <c r="BH15" s="293"/>
      <c r="BI15" s="294"/>
      <c r="BJ15" s="282" t="str">
        <f>IF(OR(IFERROR(VLOOKUP(A15,[1]ARS!A:EL,MATCH("P/E (Daily Time Series Ratio)",[1]ARS!$4:$4,0),FALSE),"-")&lt;0,IFERROR(VLOOKUP(A15,[1]ARS!A:EL,MATCH("P/E (Daily Time Series Ratio)",[1]ARS!$4:$4,0),FALSE),"-")&gt;500),"-",IFERROR(VLOOKUP(A15,[1]ARS!A:EL,MATCH("P/E (Daily Time Series Ratio)",[1]ARS!$4:$4,0),FALSE),"-"))</f>
        <v>-</v>
      </c>
      <c r="BK15" s="293"/>
      <c r="BL15" s="294"/>
      <c r="BM15" s="282">
        <f>IF(OR(IFERROR(VLOOKUP(A15,[1]ARS!A:EC,MATCH("Price To Sales",[1]ARS!$4:$4,0),FALSE),"-")&lt;0,IFERROR(VLOOKUP(A15,[1]ARS!A:EC,MATCH("Price To Sales",[1]ARS!$4:$4,0),FALSE),"-")&gt;100),"-",IFERROR(VLOOKUP(A15,[1]ARS!A:EC,MATCH("Price To Sales",[1]ARS!$4:$4,0),FALSE),"-"))</f>
        <v>0.3480371951699856</v>
      </c>
      <c r="BN15" s="293"/>
      <c r="BO15" s="294"/>
      <c r="BP15" s="282" t="str">
        <f>+IFERROR(IF(VLOOKUP(A15,[1]ARS!A:EO,MATCH("Price to Free Cash Flow",[1]ARS!$4:$4,0),FALSE)="NULL","-",VLOOKUP(A15,[1]ARS!A:EO,MATCH("Price to Free Cash Flow",[1]ARS!$4:$4,0),FALSE)),"-")</f>
        <v>-</v>
      </c>
      <c r="BQ15" s="293"/>
      <c r="BR15" s="294"/>
      <c r="BS15" s="43">
        <f>IF(VLOOKUP(A15,[1]ARS!A:EE,MATCH("Daily Beta - 180 Day",[1]ARS!$4:$4,0),FALSE)="NULL","-",VLOOKUP(A15,[1]ARS!A:EE,MATCH("Daily Beta - 180 Day",[1]ARS!$4:$4,0),FALSE))</f>
        <v>0.80043198239392999</v>
      </c>
      <c r="BT15" s="40">
        <f>+VLOOKUP(A15,[1]ARS!$A:$EH,MATCH("Volatilidad histórica",[1]ARS!$4:$4,0),FALSE)</f>
        <v>0.52001391337663638</v>
      </c>
      <c r="BU15" s="44">
        <f>+VLOOKUP(A15,[1]ARS!$A$5:$EM$85,MATCH("Rto Medio",[1]ARS!$4:$4,0),FALSE)</f>
        <v>-9.3803549264152575E-2</v>
      </c>
      <c r="BV15" s="45">
        <f>+IF(VLOOKUP(Template!A15,[1]ARS!A:AA,MATCH("Period End Date",[1]ARS!$3:$3,0),FALSE)="","-",VLOOKUP(Template!A15,[1]ARS!A:AA,MATCH("Period End Date",[1]ARS!$3:$3,0),FALSE))</f>
        <v>43008</v>
      </c>
      <c r="BW15" s="46" t="str">
        <f t="shared" ref="BW15:BW26" si="1">+BY15</f>
        <v>PATY</v>
      </c>
      <c r="BX15" s="4"/>
      <c r="BY15" s="47" t="s">
        <v>48</v>
      </c>
      <c r="BZ15" s="48">
        <f>+VLOOKUP(BY15,$A$15:$BV$109,MATCH("P/S",$13:$13,0),FALSE)</f>
        <v>0.3480371951699856</v>
      </c>
      <c r="CA15" s="48" t="str">
        <f t="shared" ref="CA15:CA26" si="2">+VLOOKUP(BY15,$A$15:$BV$111,59,FALSE)</f>
        <v>-</v>
      </c>
      <c r="CB15" s="48" t="str">
        <f t="shared" ref="CB15:CB26" si="3">+VLOOKUP(BY15,$A$15:$BV$111,62,FALSE)</f>
        <v>-</v>
      </c>
      <c r="CD15" s="48" t="s">
        <v>48</v>
      </c>
      <c r="CE15" s="50">
        <v>0.3480371951699856</v>
      </c>
      <c r="CF15" s="48" t="s">
        <v>49</v>
      </c>
      <c r="CG15" s="48" t="s">
        <v>49</v>
      </c>
      <c r="CN15" s="51"/>
    </row>
    <row r="16" spans="1:92" s="61" customFormat="1" ht="11.25" customHeight="1" x14ac:dyDescent="0.2">
      <c r="A16" s="409" t="str">
        <f t="shared" si="0"/>
        <v>PATA</v>
      </c>
      <c r="B16" s="410"/>
      <c r="C16" s="396">
        <f>+VLOOKUP(A16,[1]ARS!A:EL,MATCH("Last",[1]ARS!$4:$4,0),FALSE)</f>
        <v>26.5</v>
      </c>
      <c r="D16" s="397"/>
      <c r="E16" s="52">
        <f>+VLOOKUP(A16,'[1]Market Cap'!I:J,2,FALSE)</f>
        <v>1</v>
      </c>
      <c r="F16" s="371">
        <f>IFERROR(IF(VLOOKUP(A16,[1]ARS!A:EL,MATCH("Total Debt To Total Equity, Percent FQ0",[1]ARS!$4:$4,0),FALSE)="NULL",IF(VLOOKUP(A16,[1]ARS!A:EL,MATCH("Total Debt To Total Equity, Percent FQ-1",[1]ARS!$4:$4,0),FALSE)="NULL","-",VLOOKUP(A16,[1]ARS!A:EL,MATCH("Total Debt To Total Equity, Percent FQ-1",[1]ARS!$4:$4,0))),VLOOKUP(A16,[1]ARS!A:EL,MATCH("Total Debt To Total Equity, Percent FQ0",[1]ARS!$4:$4,0),FALSE))/100,"-")</f>
        <v>0.93396257393000004</v>
      </c>
      <c r="G16" s="372"/>
      <c r="H16" s="373"/>
      <c r="I16" s="325">
        <f>IFERROR(VLOOKUP(A16,[1]ARS!A:EC,MATCH("Financial Leverage",[1]ARS!$4:$4,0),FALSE),"-")</f>
        <v>3.5712256064268071</v>
      </c>
      <c r="J16" s="333"/>
      <c r="K16" s="334"/>
      <c r="L16" s="325">
        <f>+IFERROR(IF(VLOOKUP(A16,[1]ARS!A:EL,MATCH("Curr Ratio FQ0",[1]ARS!$4:$4,0),FALSE)="NULL",IF(VLOOKUP(A16,[1]ARS!A:EL,MATCH("Curr Ratio FQ-1",[1]ARS!$4:$4,0),FALSE)="NULL","-",VLOOKUP(A16,[1]ARS!A:EL,MATCH("Curr Ratio FQ-1",[1]ARS!$4:$4,0),FALSE)),VLOOKUP(A16,[1]ARS!A:EL,MATCH("Curr Ratio FQ0",[1]ARS!$4:$4,0),FALSE)),"-")</f>
        <v>1.18119</v>
      </c>
      <c r="M16" s="333"/>
      <c r="N16" s="334"/>
      <c r="O16" s="325">
        <f>+IFERROR(IF(VLOOKUP(A16,[1]ARS!A:EL,MATCH("Quick Ratio FQ0",[1]ARS!$4:$4,0),FALSE)="NULL",IF(VLOOKUP(A16,[1]ARS!A:EL,MATCH("Quick Ratio FQ-1",[1]ARS!$4:$4,0),FALSE)="NULL","-",VLOOKUP(A16,[1]ARS!A:EL,MATCH("Quick Ratio FQ-1",[1]ARS!$4:$4,0),FALSE)),VLOOKUP(A16,[1]ARS!A:EL,MATCH("Quick Ratio FQ0",[1]ARS!$4:$4,0),FALSE)),"-")</f>
        <v>0.62107999999999997</v>
      </c>
      <c r="P16" s="333"/>
      <c r="Q16" s="334"/>
      <c r="R16" s="335">
        <f>+IFERROR(IF(VLOOKUP(A16,[1]ARS!$A:$EL,MATCH("Dividend yield",[1]ARS!$4:$4,0),FALSE)="NULL","-",VLOOKUP(A16,[1]ARS!$A:$EL,MATCH("Dividend Yield",[1]ARS!$4:$4,0),FALSE)/100),"-")</f>
        <v>5.1111111111111097E-3</v>
      </c>
      <c r="S16" s="336"/>
      <c r="T16" s="337"/>
      <c r="U16" s="325">
        <f>IF(IFERROR(VLOOKUP(A16,[1]ARS!A:EL,MATCH("Asset Turnover",[1]ARS!$4:$4,0),FALSE),"-")=0,"-",IFERROR(VLOOKUP(A16,[1]ARS!A:EL,MATCH("Asset Turnover",[1]ARS!$4:$4,0),FALSE),"-"))</f>
        <v>4.5979446036997631</v>
      </c>
      <c r="V16" s="333"/>
      <c r="W16" s="334"/>
      <c r="X16" s="406">
        <f>IFERROR(VLOOKUP(A16,[1]ARS!A:EL,MATCH("CCC",[1]ARS!$4:$4,0),FALSE),"-")</f>
        <v>30.760080834060261</v>
      </c>
      <c r="Y16" s="407"/>
      <c r="Z16" s="408"/>
      <c r="AA16" s="383">
        <f>IF(IFERROR(VLOOKUP(A16,[1]ARS!A:EL,MATCH("Gross Margin, Percent",[1]ARS!$4:$4,0),FALSE)/100,"-")&lt;0,"-",IFERROR(VLOOKUP(A16,[1]ARS!A:EL,MATCH("Gross Margin, Percent",[1]ARS!$4:$4,0),FALSE)/100,"-"))</f>
        <v>0.31228590000000001</v>
      </c>
      <c r="AB16" s="384"/>
      <c r="AC16" s="385"/>
      <c r="AD16" s="383">
        <f>IF(IFERROR(VLOOKUP(A16,[1]ARS!A:EL,MATCH("Operating Margin, Percent",[1]ARS!$4:$4,0),FALSE)/100,"-")&lt;0,"-",IFERROR(VLOOKUP(A16,[1]ARS!A:EL,MATCH("Operating Margin, Percent",[1]ARS!$4:$4,0),FALSE)/100,"-"))</f>
        <v>2.0658599999999999E-2</v>
      </c>
      <c r="AE16" s="384"/>
      <c r="AF16" s="385"/>
      <c r="AG16" s="383">
        <f>IF(IFERROR(VLOOKUP(A16,[1]ARS!A:EL,MATCH("Net Profit Margin",[1]ARS!$4:$4,0),FALSE),"-")&lt;0,"-",IFERROR(VLOOKUP(A16,[1]ARS!A:EL,MATCH("Net Profit Margin",[1]ARS!$4:$4,0),FALSE),"-"))</f>
        <v>6.2083243173255221E-3</v>
      </c>
      <c r="AH16" s="384"/>
      <c r="AI16" s="385"/>
      <c r="AJ16" s="383">
        <f>IFERROR(VLOOKUP(A16,[1]ARS!A:EL,MATCH("FCF/Revenue",[1]ARS!$4:$4,0),FALSE),"-")</f>
        <v>-1.268423199105444E-3</v>
      </c>
      <c r="AK16" s="384"/>
      <c r="AL16" s="385"/>
      <c r="AM16" s="386">
        <f>IFERROR(IF(VLOOKUP(A16,[1]ARS!A:EL,MATCH("ROE",[1]ARS!$4:$4,0),FALSE)&lt;-5,"-",VLOOKUP(A16,[1]ARS!A:EL,MATCH("ROE",[1]ARS!$4:$4,0),FALSE)),"-")</f>
        <v>7.5281502384595786E-2</v>
      </c>
      <c r="AN16" s="387"/>
      <c r="AO16" s="388"/>
      <c r="AP16" s="383">
        <f>IFERROR(VLOOKUP(A16,[1]ARS!A:EL,MATCH("ROA",[1]ARS!$4:$4,0),FALSE),"-")</f>
        <v>2.2836453473271269E-2</v>
      </c>
      <c r="AQ16" s="384"/>
      <c r="AR16" s="385"/>
      <c r="AS16" s="53">
        <f>+VLOOKUP(A16,[1]ARS!$A$5:$EL$85,MATCH("Last Q y/y",[1]ARS!$4:$4,0),FALSE)</f>
        <v>-1.2350612305119757</v>
      </c>
      <c r="AT16" s="53">
        <f>+VLOOKUP(A16,[1]ARS!$A$5:$EL$99,MATCH("Last 5 yrs - Annual",[1]ARS!$4:$4,0),FALSE)</f>
        <v>0.27063404161498239</v>
      </c>
      <c r="AU16" s="54">
        <f>+VLOOKUP(A16,[1]ARS!$A$5:$EL$84,MATCH("Desvio",[1]ARS!$4:$4,0),FALSE)</f>
        <v>0.6599680330045038</v>
      </c>
      <c r="AV16" s="55">
        <f>+VLOOKUP(A16,'[1]Prom. Vtas Ult 5 años'!$A$3:$D$81,3,FALSE)</f>
        <v>109.45659263157894</v>
      </c>
      <c r="AW16" s="56">
        <f>+VLOOKUP(A16,'[1]Prom. Vtas Ult 5 años'!$A$3:$D$81,4,FALSE)</f>
        <v>1.9295144194874765</v>
      </c>
      <c r="AX16" s="325">
        <f>IFERROR((VLOOKUP(A16,[1]ARS!A:EL,MATCH("Enterprise Value (Daily Time Series)",[1]ARS!$4:$4,0),FALSE)/1000000000),"-")</f>
        <v>15.804231</v>
      </c>
      <c r="AY16" s="333"/>
      <c r="AZ16" s="334"/>
      <c r="BA16" s="325">
        <f>IFERROR((VLOOKUP(A16,[1]ARS!A:EL,MATCH("Company Market Cap",[1]ARS!$4:$4,0),FALSE)/1000000000),"-")</f>
        <v>13.25</v>
      </c>
      <c r="BB16" s="333"/>
      <c r="BC16" s="334"/>
      <c r="BD16" s="325">
        <f>IF(VLOOKUP(A16,[1]ARS!A:EL,MATCH("Enterprise Value To EBITDA (Daily Time Series Ratio)",[1]ARS!$4:$4,0),FALSE)="NULL","-",VLOOKUP(A16,[1]ARS!A:EL,MATCH("Enterprise Value To EBITDA (Daily Time Series Ratio)",[1]ARS!$4:$4,0),FALSE))</f>
        <v>24.395946726106899</v>
      </c>
      <c r="BE16" s="333"/>
      <c r="BF16" s="334"/>
      <c r="BG16" s="325">
        <f>IF(OR(IFERROR(VLOOKUP(A16,[1]ARS!A:EL,MATCH("Price To Tangible Book Value",[1]ARS!$4:$4,0),FALSE),"-")&lt;0,IFERROR(VLOOKUP(A16,[1]ARS!A:EL,MATCH("Price To Tangible Book Value",[1]ARS!$4:$4,0),FALSE),"-")&gt;100),"-",IFERROR(VLOOKUP(A16,[1]ARS!A:EL,MATCH("Price To Tangible Book Value",[1]ARS!$4:$4,0),FALSE),"-"))</f>
        <v>5.1108100768974412</v>
      </c>
      <c r="BH16" s="333"/>
      <c r="BI16" s="334"/>
      <c r="BJ16" s="325">
        <f>IF(OR(IFERROR(VLOOKUP(A16,[1]ARS!A:EL,MATCH("P/E (Daily Time Series Ratio)",[1]ARS!$4:$4,0),FALSE),"-")&lt;0,IFERROR(VLOOKUP(A16,[1]ARS!A:EL,MATCH("P/E (Daily Time Series Ratio)",[1]ARS!$4:$4,0),FALSE),"-")&gt;500),"-",IFERROR(VLOOKUP(A16,[1]ARS!A:EL,MATCH("P/E (Daily Time Series Ratio)",[1]ARS!$4:$4,0),FALSE),"-"))</f>
        <v>67.202596809778612</v>
      </c>
      <c r="BK16" s="333"/>
      <c r="BL16" s="334"/>
      <c r="BM16" s="325">
        <f>IF(OR(IFERROR(VLOOKUP(A16,[1]ARS!A:EC,MATCH("Price To Sales",[1]ARS!$4:$4,0),FALSE),"-")&lt;0,IFERROR(VLOOKUP(A16,[1]ARS!A:EC,MATCH("Price To Sales",[1]ARS!$4:$4,0),FALSE),"-")&gt;100),"-",IFERROR(VLOOKUP(A16,[1]ARS!A:EC,MATCH("Price To Sales",[1]ARS!$4:$4,0),FALSE),"-"))</f>
        <v>0.41721339989939016</v>
      </c>
      <c r="BN16" s="333"/>
      <c r="BO16" s="334"/>
      <c r="BP16" s="325" t="str">
        <f>+IFERROR(IF(VLOOKUP(A16,[1]ARS!A:EO,MATCH("Price to Free Cash Flow",[1]ARS!$4:$4,0),FALSE)="NULL","-",VLOOKUP(A16,[1]ARS!A:EO,MATCH("Price to Free Cash Flow",[1]ARS!$4:$4,0),FALSE)),"-")</f>
        <v>-</v>
      </c>
      <c r="BQ16" s="333"/>
      <c r="BR16" s="334"/>
      <c r="BS16" s="57">
        <f>IF(VLOOKUP(A16,[1]ARS!A:EE,MATCH("Daily Beta - 180 Day",[1]ARS!$4:$4,0),FALSE)="NULL","-",VLOOKUP(A16,[1]ARS!A:EE,MATCH("Daily Beta - 180 Day",[1]ARS!$4:$4,0),FALSE))</f>
        <v>0.143530179052615</v>
      </c>
      <c r="BT16" s="53">
        <f>+VLOOKUP(A16,[1]ARS!$A:$EH,MATCH("Volatilidad histórica",[1]ARS!$4:$4,0),FALSE)</f>
        <v>0.31834586511910362</v>
      </c>
      <c r="BU16" s="56">
        <f>+VLOOKUP(A16,[1]ARS!$A$5:$EM$85,MATCH("Rto Medio",[1]ARS!$4:$4,0),FALSE)</f>
        <v>7.092844038616164E-2</v>
      </c>
      <c r="BV16" s="58">
        <f>+IF(VLOOKUP(Template!A16,[1]ARS!A:AA,MATCH("Period End Date",[1]ARS!$3:$3,0),FALSE)="","-",VLOOKUP(Template!A16,[1]ARS!A:AA,MATCH("Period End Date",[1]ARS!$3:$3,0),FALSE))</f>
        <v>43008</v>
      </c>
      <c r="BW16" s="59" t="str">
        <f t="shared" si="1"/>
        <v>PATA</v>
      </c>
      <c r="BX16" s="60"/>
      <c r="BY16" s="48" t="s">
        <v>50</v>
      </c>
      <c r="BZ16" s="48">
        <f t="shared" ref="BZ16:BZ26" si="4">+VLOOKUP(BY16,$A$15:$BV$109,MATCH("P/S",$13:$13,0),FALSE)</f>
        <v>0.41721339989939016</v>
      </c>
      <c r="CA16" s="48">
        <f t="shared" si="2"/>
        <v>5.1108100768974412</v>
      </c>
      <c r="CB16" s="48">
        <f t="shared" si="3"/>
        <v>67.202596809778612</v>
      </c>
      <c r="CD16" s="47" t="s">
        <v>50</v>
      </c>
      <c r="CE16" s="50">
        <v>0.41721339989939016</v>
      </c>
      <c r="CF16" s="47">
        <v>5.1108100768974412</v>
      </c>
      <c r="CG16" s="47">
        <v>67.202596809778612</v>
      </c>
      <c r="CN16" s="62"/>
    </row>
    <row r="17" spans="1:92" s="49" customFormat="1" ht="11.25" customHeight="1" x14ac:dyDescent="0.2">
      <c r="A17" s="420" t="str">
        <f t="shared" si="0"/>
        <v>LEDE</v>
      </c>
      <c r="B17" s="421"/>
      <c r="C17" s="422">
        <f>+VLOOKUP(A17,[1]ARS!A:EL,MATCH("Last",[1]ARS!$4:$4,0),FALSE)</f>
        <v>15.5</v>
      </c>
      <c r="D17" s="423"/>
      <c r="E17" s="63">
        <f>+VLOOKUP(A17,'[1]Market Cap'!I:J,2,FALSE)</f>
        <v>1</v>
      </c>
      <c r="F17" s="424">
        <f>IFERROR(IF(VLOOKUP(A17,[1]ARS!A:EL,MATCH("Total Debt To Total Equity, Percent FQ0",[1]ARS!$4:$4,0),FALSE)="NULL",IF(VLOOKUP(A17,[1]ARS!A:EL,MATCH("Total Debt To Total Equity, Percent FQ-1",[1]ARS!$4:$4,0),FALSE)="NULL","-",VLOOKUP(A17,[1]ARS!A:EL,MATCH("Total Debt To Total Equity, Percent FQ-1",[1]ARS!$4:$4,0))),VLOOKUP(A17,[1]ARS!A:EL,MATCH("Total Debt To Total Equity, Percent FQ0",[1]ARS!$4:$4,0),FALSE))/100,"-")</f>
        <v>4.7693876151700003</v>
      </c>
      <c r="G17" s="425"/>
      <c r="H17" s="426"/>
      <c r="I17" s="411">
        <f>IFERROR(VLOOKUP(A17,[1]ARS!A:EC,MATCH("Financial Leverage",[1]ARS!$4:$4,0),FALSE),"-")</f>
        <v>8.3997763016927358</v>
      </c>
      <c r="J17" s="412"/>
      <c r="K17" s="413"/>
      <c r="L17" s="411">
        <f>+IFERROR(IF(VLOOKUP(A17,[1]ARS!A:EL,MATCH("Curr Ratio FQ0",[1]ARS!$4:$4,0),FALSE)="NULL",IF(VLOOKUP(A17,[1]ARS!A:EL,MATCH("Curr Ratio FQ-1",[1]ARS!$4:$4,0),FALSE)="NULL","-",VLOOKUP(A17,[1]ARS!A:EL,MATCH("Curr Ratio FQ-1",[1]ARS!$4:$4,0),FALSE)),VLOOKUP(A17,[1]ARS!A:EL,MATCH("Curr Ratio FQ0",[1]ARS!$4:$4,0),FALSE)),"-")</f>
        <v>1.3602000000000001</v>
      </c>
      <c r="M17" s="412"/>
      <c r="N17" s="413"/>
      <c r="O17" s="411">
        <f>+IFERROR(IF(VLOOKUP(A17,[1]ARS!A:EL,MATCH("Quick Ratio FQ0",[1]ARS!$4:$4,0),FALSE)="NULL",IF(VLOOKUP(A17,[1]ARS!A:EL,MATCH("Quick Ratio FQ-1",[1]ARS!$4:$4,0),FALSE)="NULL","-",VLOOKUP(A17,[1]ARS!A:EL,MATCH("Quick Ratio FQ-1",[1]ARS!$4:$4,0),FALSE)),VLOOKUP(A17,[1]ARS!A:EL,MATCH("Quick Ratio FQ0",[1]ARS!$4:$4,0),FALSE)),"-")</f>
        <v>0.50244999999999995</v>
      </c>
      <c r="P17" s="412"/>
      <c r="Q17" s="413"/>
      <c r="R17" s="427">
        <f>+IFERROR(IF(VLOOKUP(A17,[1]ARS!$A:$EL,MATCH("Dividend yield",[1]ARS!$4:$4,0),FALSE)="NULL","-",VLOOKUP(A17,[1]ARS!$A:$EL,MATCH("Dividend Yield",[1]ARS!$4:$4,0),FALSE)/100),"-")</f>
        <v>6.0816647975077895E-3</v>
      </c>
      <c r="S17" s="428"/>
      <c r="T17" s="429"/>
      <c r="U17" s="411">
        <f>IF(IFERROR(VLOOKUP(A17,[1]ARS!A:EL,MATCH("Asset Turnover",[1]ARS!$4:$4,0),FALSE),"-")=0,"-",IFERROR(VLOOKUP(A17,[1]ARS!A:EL,MATCH("Asset Turnover",[1]ARS!$4:$4,0),FALSE),"-"))</f>
        <v>1.6609402114772827</v>
      </c>
      <c r="V17" s="412"/>
      <c r="W17" s="413"/>
      <c r="X17" s="417">
        <f>IFERROR(VLOOKUP(A17,[1]ARS!A:EL,MATCH("CCC",[1]ARS!$4:$4,0),FALSE),"-")</f>
        <v>184.13506889839059</v>
      </c>
      <c r="Y17" s="418"/>
      <c r="Z17" s="419"/>
      <c r="AA17" s="414">
        <f>IF(IFERROR(VLOOKUP(A17,[1]ARS!A:EL,MATCH("Gross Margin, Percent",[1]ARS!$4:$4,0),FALSE)/100,"-")&lt;0,"-",IFERROR(VLOOKUP(A17,[1]ARS!A:EL,MATCH("Gross Margin, Percent",[1]ARS!$4:$4,0),FALSE)/100,"-"))</f>
        <v>0.3817236</v>
      </c>
      <c r="AB17" s="415"/>
      <c r="AC17" s="416"/>
      <c r="AD17" s="414">
        <f>IF(IFERROR(VLOOKUP(A17,[1]ARS!A:EL,MATCH("Operating Margin, Percent",[1]ARS!$4:$4,0),FALSE)/100,"-")&lt;0,"-",IFERROR(VLOOKUP(A17,[1]ARS!A:EL,MATCH("Operating Margin, Percent",[1]ARS!$4:$4,0),FALSE)/100,"-"))</f>
        <v>6.7893800000000004E-2</v>
      </c>
      <c r="AE17" s="415"/>
      <c r="AF17" s="416"/>
      <c r="AG17" s="414" t="str">
        <f>IF(IFERROR(VLOOKUP(A17,[1]ARS!A:EL,MATCH("Net Profit Margin",[1]ARS!$4:$4,0),FALSE),"-")&lt;0,"-",IFERROR(VLOOKUP(A17,[1]ARS!A:EL,MATCH("Net Profit Margin",[1]ARS!$4:$4,0),FALSE),"-"))</f>
        <v>-</v>
      </c>
      <c r="AH17" s="415"/>
      <c r="AI17" s="416"/>
      <c r="AJ17" s="414">
        <f>IFERROR(VLOOKUP(A17,[1]ARS!A:EL,MATCH("FCF/Revenue",[1]ARS!$4:$4,0),FALSE),"-")</f>
        <v>-3.1299902291498413E-2</v>
      </c>
      <c r="AK17" s="415"/>
      <c r="AL17" s="416"/>
      <c r="AM17" s="414">
        <f>IFERROR(IF(VLOOKUP(A17,[1]ARS!A:EL,MATCH("ROE",[1]ARS!$4:$4,0),FALSE)&lt;-5,"-",VLOOKUP(A17,[1]ARS!A:EL,MATCH("ROE",[1]ARS!$4:$4,0),FALSE)),"-")</f>
        <v>-8.7757797639832644E-2</v>
      </c>
      <c r="AN17" s="415"/>
      <c r="AO17" s="416"/>
      <c r="AP17" s="414">
        <f>IFERROR(VLOOKUP(A17,[1]ARS!A:EL,MATCH("ROA",[1]ARS!$4:$4,0),FALSE),"-")</f>
        <v>-1.1377577901206585E-2</v>
      </c>
      <c r="AQ17" s="415"/>
      <c r="AR17" s="416"/>
      <c r="AS17" s="64">
        <f>+VLOOKUP(A17,[1]ARS!$A$5:$EL$85,MATCH("Last Q y/y",[1]ARS!$4:$4,0),FALSE)</f>
        <v>5.8170799380823039</v>
      </c>
      <c r="AT17" s="64">
        <f>+VLOOKUP(A17,[1]ARS!$A$5:$EL$99,MATCH("Last 5 yrs - Annual",[1]ARS!$4:$4,0),FALSE)</f>
        <v>-0.88388584154294247</v>
      </c>
      <c r="AU17" s="41">
        <f>+VLOOKUP(A17,[1]ARS!$A$5:$EL$84,MATCH("Desvio",[1]ARS!$4:$4,0),FALSE)</f>
        <v>0.92409620673672288</v>
      </c>
      <c r="AV17" s="42">
        <f>+VLOOKUP(A17,'[1]Prom. Vtas Ult 5 años'!$A$3:$D$81,3,FALSE)</f>
        <v>19.317315789473682</v>
      </c>
      <c r="AW17" s="40">
        <f>+VLOOKUP(A17,'[1]Prom. Vtas Ult 5 años'!$A$3:$D$81,4,FALSE)</f>
        <v>7.5565845243150651</v>
      </c>
      <c r="AX17" s="411">
        <f>IFERROR((VLOOKUP(A17,[1]ARS!A:EL,MATCH("Enterprise Value (Daily Time Series)",[1]ARS!$4:$4,0),FALSE)/1000000000),"-")</f>
        <v>12.569101</v>
      </c>
      <c r="AY17" s="412"/>
      <c r="AZ17" s="413"/>
      <c r="BA17" s="411">
        <f>IFERROR((VLOOKUP(A17,[1]ARS!A:EL,MATCH("Company Market Cap",[1]ARS!$4:$4,0),FALSE)/1000000000),"-")</f>
        <v>6.8860000000000001</v>
      </c>
      <c r="BB17" s="412"/>
      <c r="BC17" s="413"/>
      <c r="BD17" s="411">
        <f>IF(VLOOKUP(A17,[1]ARS!A:EL,MATCH("Enterprise Value To EBITDA (Daily Time Series Ratio)",[1]ARS!$4:$4,0),FALSE)="NULL","-",VLOOKUP(A17,[1]ARS!A:EL,MATCH("Enterprise Value To EBITDA (Daily Time Series Ratio)",[1]ARS!$4:$4,0),FALSE))</f>
        <v>11.2788562403816</v>
      </c>
      <c r="BE17" s="412"/>
      <c r="BF17" s="413"/>
      <c r="BG17" s="411">
        <f>IF(OR(IFERROR(VLOOKUP(A17,[1]ARS!A:EL,MATCH("Price To Tangible Book Value",[1]ARS!$4:$4,0),FALSE),"-")&lt;0,IFERROR(VLOOKUP(A17,[1]ARS!A:EL,MATCH("Price To Tangible Book Value",[1]ARS!$4:$4,0),FALSE),"-")&gt;100),"-",IFERROR(VLOOKUP(A17,[1]ARS!A:EL,MATCH("Price To Tangible Book Value",[1]ARS!$4:$4,0),FALSE),"-"))</f>
        <v>6.0495525650419149</v>
      </c>
      <c r="BH17" s="412"/>
      <c r="BI17" s="413"/>
      <c r="BJ17" s="411" t="str">
        <f>IF(OR(IFERROR(VLOOKUP(A17,[1]ARS!A:EL,MATCH("P/E (Daily Time Series Ratio)",[1]ARS!$4:$4,0),FALSE),"-")&lt;0,IFERROR(VLOOKUP(A17,[1]ARS!A:EL,MATCH("P/E (Daily Time Series Ratio)",[1]ARS!$4:$4,0),FALSE),"-")&gt;500),"-",IFERROR(VLOOKUP(A17,[1]ARS!A:EL,MATCH("P/E (Daily Time Series Ratio)",[1]ARS!$4:$4,0),FALSE),"-"))</f>
        <v>-</v>
      </c>
      <c r="BK17" s="412"/>
      <c r="BL17" s="413"/>
      <c r="BM17" s="411">
        <f>IF(OR(IFERROR(VLOOKUP(A17,[1]ARS!A:EC,MATCH("Price To Sales",[1]ARS!$4:$4,0),FALSE),"-")&lt;0,IFERROR(VLOOKUP(A17,[1]ARS!A:EC,MATCH("Price To Sales",[1]ARS!$4:$4,0),FALSE),"-")&gt;100),"-",IFERROR(VLOOKUP(A17,[1]ARS!A:EC,MATCH("Price To Sales",[1]ARS!$4:$4,0),FALSE),"-"))</f>
        <v>0.58288204273830635</v>
      </c>
      <c r="BN17" s="412"/>
      <c r="BO17" s="413"/>
      <c r="BP17" s="411" t="str">
        <f>+IFERROR(IF(VLOOKUP(A17,[1]ARS!A:EO,MATCH("Price to Free Cash Flow",[1]ARS!$4:$4,0),FALSE)="NULL","-",VLOOKUP(A17,[1]ARS!A:EO,MATCH("Price to Free Cash Flow",[1]ARS!$4:$4,0),FALSE)),"-")</f>
        <v>-</v>
      </c>
      <c r="BQ17" s="412"/>
      <c r="BR17" s="413"/>
      <c r="BS17" s="65">
        <f>IF(VLOOKUP(A17,[1]ARS!A:EE,MATCH("Daily Beta - 180 Day",[1]ARS!$4:$4,0),FALSE)="NULL","-",VLOOKUP(A17,[1]ARS!A:EE,MATCH("Daily Beta - 180 Day",[1]ARS!$4:$4,0),FALSE))</f>
        <v>0.57729106947779496</v>
      </c>
      <c r="BT17" s="64">
        <f>+VLOOKUP(A17,[1]ARS!$A:$EH,MATCH("Volatilidad histórica",[1]ARS!$4:$4,0),FALSE)</f>
        <v>0.41342883945632097</v>
      </c>
      <c r="BU17" s="66">
        <f>+VLOOKUP(A17,[1]ARS!$A$5:$EM$85,MATCH("Rto Medio",[1]ARS!$4:$4,0),FALSE)</f>
        <v>-3.1412811991568423E-2</v>
      </c>
      <c r="BV17" s="45">
        <f>+IF(VLOOKUP(Template!A17,[1]ARS!A:AA,MATCH("Period End Date",[1]ARS!$3:$3,0),FALSE)="","-",VLOOKUP(Template!A17,[1]ARS!A:AA,MATCH("Period End Date",[1]ARS!$3:$3,0),FALSE))</f>
        <v>43069</v>
      </c>
      <c r="BW17" s="46" t="str">
        <f t="shared" si="1"/>
        <v>LEDE</v>
      </c>
      <c r="BX17" s="4"/>
      <c r="BY17" s="48" t="s">
        <v>51</v>
      </c>
      <c r="BZ17" s="48">
        <f t="shared" si="4"/>
        <v>0.58288204273830635</v>
      </c>
      <c r="CA17" s="48">
        <f t="shared" si="2"/>
        <v>6.0495525650419149</v>
      </c>
      <c r="CB17" s="48" t="str">
        <f t="shared" si="3"/>
        <v>-</v>
      </c>
      <c r="CC17" s="61"/>
      <c r="CD17" s="47" t="s">
        <v>51</v>
      </c>
      <c r="CE17" s="67">
        <v>0.58288204273830635</v>
      </c>
      <c r="CF17" s="68">
        <v>6.0495525650419149</v>
      </c>
      <c r="CG17" s="68" t="s">
        <v>49</v>
      </c>
      <c r="CN17" s="51"/>
    </row>
    <row r="18" spans="1:92" s="61" customFormat="1" ht="11.25" customHeight="1" x14ac:dyDescent="0.2">
      <c r="A18" s="409" t="str">
        <f t="shared" si="0"/>
        <v>MOLI</v>
      </c>
      <c r="B18" s="410"/>
      <c r="C18" s="396">
        <f>+VLOOKUP(A18,[1]ARS!A:EL,MATCH("Last",[1]ARS!$4:$4,0),FALSE)</f>
        <v>58.800000000000004</v>
      </c>
      <c r="D18" s="397"/>
      <c r="E18" s="52">
        <f>+VLOOKUP(A18,'[1]Market Cap'!I:J,2,FALSE)</f>
        <v>1</v>
      </c>
      <c r="F18" s="371">
        <f>IFERROR(IF(VLOOKUP(A18,[1]ARS!A:EL,MATCH("Total Debt To Total Equity, Percent FQ0",[1]ARS!$4:$4,0),FALSE)="NULL",IF(VLOOKUP(A18,[1]ARS!A:EL,MATCH("Total Debt To Total Equity, Percent FQ-1",[1]ARS!$4:$4,0),FALSE)="NULL","-",VLOOKUP(A18,[1]ARS!A:EL,MATCH("Total Debt To Total Equity, Percent FQ-1",[1]ARS!$4:$4,0))),VLOOKUP(A18,[1]ARS!A:EL,MATCH("Total Debt To Total Equity, Percent FQ0",[1]ARS!$4:$4,0),FALSE))/100,"-")</f>
        <v>1.02601484348</v>
      </c>
      <c r="G18" s="372"/>
      <c r="H18" s="373"/>
      <c r="I18" s="325">
        <f>IFERROR(VLOOKUP(A18,[1]ARS!A:EC,MATCH("Financial Leverage",[1]ARS!$4:$4,0),FALSE),"-")</f>
        <v>3.2979696422688849</v>
      </c>
      <c r="J18" s="333"/>
      <c r="K18" s="334"/>
      <c r="L18" s="325">
        <f>+IFERROR(IF(VLOOKUP(A18,[1]ARS!A:EL,MATCH("Curr Ratio FQ0",[1]ARS!$4:$4,0),FALSE)="NULL",IF(VLOOKUP(A18,[1]ARS!A:EL,MATCH("Curr Ratio FQ-1",[1]ARS!$4:$4,0),FALSE)="NULL","-",VLOOKUP(A18,[1]ARS!A:EL,MATCH("Curr Ratio FQ-1",[1]ARS!$4:$4,0),FALSE)),VLOOKUP(A18,[1]ARS!A:EL,MATCH("Curr Ratio FQ0",[1]ARS!$4:$4,0),FALSE)),"-")</f>
        <v>1.6880500000000001</v>
      </c>
      <c r="M18" s="333"/>
      <c r="N18" s="334"/>
      <c r="O18" s="325">
        <f>+IFERROR(IF(VLOOKUP(A18,[1]ARS!A:EL,MATCH("Quick Ratio FQ0",[1]ARS!$4:$4,0),FALSE)="NULL",IF(VLOOKUP(A18,[1]ARS!A:EL,MATCH("Quick Ratio FQ-1",[1]ARS!$4:$4,0),FALSE)="NULL","-",VLOOKUP(A18,[1]ARS!A:EL,MATCH("Quick Ratio FQ-1",[1]ARS!$4:$4,0),FALSE)),VLOOKUP(A18,[1]ARS!A:EL,MATCH("Quick Ratio FQ0",[1]ARS!$4:$4,0),FALSE)),"-")</f>
        <v>0.88246999999999998</v>
      </c>
      <c r="P18" s="333"/>
      <c r="Q18" s="334"/>
      <c r="R18" s="335" t="str">
        <f>+IFERROR(IF(VLOOKUP(A18,[1]ARS!$A:$EL,MATCH("Dividend yield",[1]ARS!$4:$4,0),FALSE)="NULL","-",VLOOKUP(A18,[1]ARS!$A:$EL,MATCH("Dividend Yield",[1]ARS!$4:$4,0),FALSE)/100),"-")</f>
        <v>-</v>
      </c>
      <c r="S18" s="336"/>
      <c r="T18" s="337"/>
      <c r="U18" s="325">
        <f>IF(IFERROR(VLOOKUP(A18,[1]ARS!A:EL,MATCH("Asset Turnover",[1]ARS!$4:$4,0),FALSE),"-")=0,"-",IFERROR(VLOOKUP(A18,[1]ARS!A:EL,MATCH("Asset Turnover",[1]ARS!$4:$4,0),FALSE),"-"))</f>
        <v>3.0339736504763204</v>
      </c>
      <c r="V18" s="333"/>
      <c r="W18" s="334"/>
      <c r="X18" s="406">
        <f>IFERROR(VLOOKUP(A18,[1]ARS!A:EL,MATCH("CCC",[1]ARS!$4:$4,0),FALSE),"-")</f>
        <v>67.217825253495249</v>
      </c>
      <c r="Y18" s="407"/>
      <c r="Z18" s="408"/>
      <c r="AA18" s="383">
        <f>IF(IFERROR(VLOOKUP(A18,[1]ARS!A:EL,MATCH("Gross Margin, Percent",[1]ARS!$4:$4,0),FALSE)/100,"-")&lt;0,"-",IFERROR(VLOOKUP(A18,[1]ARS!A:EL,MATCH("Gross Margin, Percent",[1]ARS!$4:$4,0),FALSE)/100,"-"))</f>
        <v>0.15309889999999998</v>
      </c>
      <c r="AB18" s="384"/>
      <c r="AC18" s="385"/>
      <c r="AD18" s="383">
        <f>IF(IFERROR(VLOOKUP(A18,[1]ARS!A:EL,MATCH("Operating Margin, Percent",[1]ARS!$4:$4,0),FALSE)/100,"-")&lt;0,"-",IFERROR(VLOOKUP(A18,[1]ARS!A:EL,MATCH("Operating Margin, Percent",[1]ARS!$4:$4,0),FALSE)/100,"-"))</f>
        <v>4.6198699999999995E-2</v>
      </c>
      <c r="AE18" s="384"/>
      <c r="AF18" s="385"/>
      <c r="AG18" s="383">
        <f>IF(IFERROR(VLOOKUP(A18,[1]ARS!A:EL,MATCH("Net Profit Margin",[1]ARS!$4:$4,0),FALSE),"-")&lt;0,"-",IFERROR(VLOOKUP(A18,[1]ARS!A:EL,MATCH("Net Profit Margin",[1]ARS!$4:$4,0),FALSE),"-"))</f>
        <v>4.9445572786502908E-3</v>
      </c>
      <c r="AH18" s="384"/>
      <c r="AI18" s="385"/>
      <c r="AJ18" s="383">
        <f>IFERROR(VLOOKUP(A18,[1]ARS!A:EL,MATCH("FCF/Revenue",[1]ARS!$4:$4,0),FALSE),"-")</f>
        <v>2.1692810818473213E-2</v>
      </c>
      <c r="AK18" s="384"/>
      <c r="AL18" s="385"/>
      <c r="AM18" s="386">
        <f>IFERROR(IF(VLOOKUP(A18,[1]ARS!A:EL,MATCH("ROE",[1]ARS!$4:$4,0),FALSE)&lt;-5,"-",VLOOKUP(A18,[1]ARS!A:EL,MATCH("ROE",[1]ARS!$4:$4,0),FALSE)),"-")</f>
        <v>3.6909886255102449E-2</v>
      </c>
      <c r="AN18" s="387"/>
      <c r="AO18" s="388"/>
      <c r="AP18" s="383">
        <f>IFERROR(VLOOKUP(A18,[1]ARS!A:EL,MATCH("ROA",[1]ARS!$4:$4,0),FALSE),"-")</f>
        <v>1.2001340808251626E-2</v>
      </c>
      <c r="AQ18" s="384"/>
      <c r="AR18" s="385"/>
      <c r="AS18" s="53">
        <f>+VLOOKUP(A18,[1]ARS!$A$5:$EL$85,MATCH("Last Q y/y",[1]ARS!$4:$4,0),FALSE)</f>
        <v>-7.3925945039349683E-2</v>
      </c>
      <c r="AT18" s="53">
        <f>+VLOOKUP(A18,[1]ARS!$A$5:$EL$99,MATCH("Last 5 yrs - Annual",[1]ARS!$4:$4,0),FALSE)</f>
        <v>-0.64280124509537373</v>
      </c>
      <c r="AU18" s="54">
        <f>+VLOOKUP(A18,[1]ARS!$A$5:$EL$84,MATCH("Desvio",[1]ARS!$4:$4,0),FALSE)</f>
        <v>4.2859545402788619</v>
      </c>
      <c r="AV18" s="55">
        <f>+VLOOKUP(A18,'[1]Prom. Vtas Ult 5 años'!$A$3:$D$81,3,FALSE)</f>
        <v>92.485157894736858</v>
      </c>
      <c r="AW18" s="56">
        <f>+VLOOKUP(A18,'[1]Prom. Vtas Ult 5 años'!$A$3:$D$81,4,FALSE)</f>
        <v>8.5517376535349872</v>
      </c>
      <c r="AX18" s="325">
        <f>IFERROR((VLOOKUP(A18,[1]ARS!A:EL,MATCH("Enterprise Value (Daily Time Series)",[1]ARS!$4:$4,0),FALSE)/1000000000),"-")</f>
        <v>14.589910619999999</v>
      </c>
      <c r="AY18" s="333"/>
      <c r="AZ18" s="334"/>
      <c r="BA18" s="325">
        <f>IFERROR((VLOOKUP(A18,[1]ARS!A:EL,MATCH("Company Market Cap",[1]ARS!$4:$4,0),FALSE)/1000000000),"-")</f>
        <v>11.964058543799998</v>
      </c>
      <c r="BB18" s="333"/>
      <c r="BC18" s="334"/>
      <c r="BD18" s="325">
        <f>IF(VLOOKUP(A18,[1]ARS!A:EL,MATCH("Enterprise Value To EBITDA (Daily Time Series Ratio)",[1]ARS!$4:$4,0),FALSE)="NULL","-",VLOOKUP(A18,[1]ARS!A:EL,MATCH("Enterprise Value To EBITDA (Daily Time Series Ratio)",[1]ARS!$4:$4,0),FALSE))</f>
        <v>20.472498937079301</v>
      </c>
      <c r="BE18" s="333"/>
      <c r="BF18" s="334"/>
      <c r="BG18" s="325">
        <f>IF(OR(IFERROR(VLOOKUP(A18,[1]ARS!A:EL,MATCH("Price To Tangible Book Value",[1]ARS!$4:$4,0),FALSE),"-")&lt;0,IFERROR(VLOOKUP(A18,[1]ARS!A:EL,MATCH("Price To Tangible Book Value",[1]ARS!$4:$4,0),FALSE),"-")&gt;100),"-",IFERROR(VLOOKUP(A18,[1]ARS!A:EL,MATCH("Price To Tangible Book Value",[1]ARS!$4:$4,0),FALSE),"-"))</f>
        <v>4.7626957999390926</v>
      </c>
      <c r="BH18" s="333"/>
      <c r="BI18" s="334"/>
      <c r="BJ18" s="325">
        <f>IF(OR(IFERROR(VLOOKUP(A18,[1]ARS!A:EL,MATCH("P/E (Daily Time Series Ratio)",[1]ARS!$4:$4,0),FALSE),"-")&lt;0,IFERROR(VLOOKUP(A18,[1]ARS!A:EL,MATCH("P/E (Daily Time Series Ratio)",[1]ARS!$4:$4,0),FALSE),"-")&gt;500),"-",IFERROR(VLOOKUP(A18,[1]ARS!A:EL,MATCH("P/E (Daily Time Series Ratio)",[1]ARS!$4:$4,0),FALSE),"-"))</f>
        <v>94.304822697310399</v>
      </c>
      <c r="BK18" s="333"/>
      <c r="BL18" s="334"/>
      <c r="BM18" s="325">
        <f>IF(OR(IFERROR(VLOOKUP(A18,[1]ARS!A:EC,MATCH("Price To Sales",[1]ARS!$4:$4,0),FALSE),"-")&lt;0,IFERROR(VLOOKUP(A18,[1]ARS!A:EC,MATCH("Price To Sales",[1]ARS!$4:$4,0),FALSE),"-")&gt;100),"-",IFERROR(VLOOKUP(A18,[1]ARS!A:EC,MATCH("Price To Sales",[1]ARS!$4:$4,0),FALSE),"-"))</f>
        <v>0.59632842840814182</v>
      </c>
      <c r="BN18" s="333"/>
      <c r="BO18" s="334"/>
      <c r="BP18" s="325" t="str">
        <f>+IFERROR(IF(VLOOKUP(A18,[1]ARS!A:EO,MATCH("Price to Free Cash Flow",[1]ARS!$4:$4,0),FALSE)="NULL","-",VLOOKUP(A18,[1]ARS!A:EO,MATCH("Price to Free Cash Flow",[1]ARS!$4:$4,0),FALSE)),"-")</f>
        <v>-</v>
      </c>
      <c r="BQ18" s="333"/>
      <c r="BR18" s="334"/>
      <c r="BS18" s="57">
        <f>IF(VLOOKUP(A18,[1]ARS!A:EE,MATCH("Daily Beta - 180 Day",[1]ARS!$4:$4,0),FALSE)="NULL","-",VLOOKUP(A18,[1]ARS!A:EE,MATCH("Daily Beta - 180 Day",[1]ARS!$4:$4,0),FALSE))</f>
        <v>0.65701088808763597</v>
      </c>
      <c r="BT18" s="53">
        <f>+VLOOKUP(A18,[1]ARS!$A:$EH,MATCH("Volatilidad histórica",[1]ARS!$4:$4,0),FALSE)</f>
        <v>0.43699326904422053</v>
      </c>
      <c r="BU18" s="56">
        <f>+VLOOKUP(A18,[1]ARS!$A$5:$EM$85,MATCH("Rto Medio",[1]ARS!$4:$4,0),FALSE)</f>
        <v>3.4248761224468183E-2</v>
      </c>
      <c r="BV18" s="58">
        <f>+IF(VLOOKUP(Template!A18,[1]ARS!A:AA,MATCH("Period End Date",[1]ARS!$3:$3,0),FALSE)="","-",VLOOKUP(Template!A18,[1]ARS!A:AA,MATCH("Period End Date",[1]ARS!$3:$3,0),FALSE))</f>
        <v>43008</v>
      </c>
      <c r="BW18" s="59" t="str">
        <f t="shared" si="1"/>
        <v>MOLI</v>
      </c>
      <c r="BX18" s="60"/>
      <c r="BY18" s="48" t="s">
        <v>52</v>
      </c>
      <c r="BZ18" s="48">
        <f t="shared" si="4"/>
        <v>0.59632842840814182</v>
      </c>
      <c r="CA18" s="48">
        <f t="shared" si="2"/>
        <v>4.7626957999390926</v>
      </c>
      <c r="CB18" s="48">
        <f t="shared" si="3"/>
        <v>94.304822697310399</v>
      </c>
      <c r="CC18" s="49"/>
      <c r="CD18" s="48" t="s">
        <v>52</v>
      </c>
      <c r="CE18" s="69">
        <v>0.59632842840814182</v>
      </c>
      <c r="CF18" s="48">
        <v>4.7626957999390926</v>
      </c>
      <c r="CG18" s="48">
        <v>94.625587400362463</v>
      </c>
      <c r="CN18" s="62"/>
    </row>
    <row r="19" spans="1:92" s="49" customFormat="1" ht="11.25" customHeight="1" x14ac:dyDescent="0.2">
      <c r="A19" s="401" t="str">
        <f t="shared" si="0"/>
        <v>MOLA</v>
      </c>
      <c r="B19" s="402"/>
      <c r="C19" s="398">
        <f>+VLOOKUP(A19,[1]ARS!A:EL,MATCH("Last",[1]ARS!$4:$4,0),FALSE)</f>
        <v>172</v>
      </c>
      <c r="D19" s="399"/>
      <c r="E19" s="39">
        <f>+VLOOKUP(A19,'[1]Market Cap'!I:J,2,FALSE)</f>
        <v>1</v>
      </c>
      <c r="F19" s="290" t="str">
        <f>IFERROR(IF(VLOOKUP(A19,[1]ARS!A:EL,MATCH("Total Debt To Total Equity, Percent FQ0",[1]ARS!$4:$4,0),FALSE)="NULL",IF(VLOOKUP(A19,[1]ARS!A:EL,MATCH("Total Debt To Total Equity, Percent FQ-1",[1]ARS!$4:$4,0),FALSE)="NULL","-",VLOOKUP(A19,[1]ARS!A:EL,MATCH("Total Debt To Total Equity, Percent FQ-1",[1]ARS!$4:$4,0))),VLOOKUP(A19,[1]ARS!A:EL,MATCH("Total Debt To Total Equity, Percent FQ0",[1]ARS!$4:$4,0),FALSE))/100,"-")</f>
        <v>-</v>
      </c>
      <c r="G19" s="291"/>
      <c r="H19" s="292"/>
      <c r="I19" s="282">
        <f>IFERROR(VLOOKUP(A19,[1]ARS!A:EC,MATCH("Financial Leverage",[1]ARS!$4:$4,0),FALSE),"-")</f>
        <v>7.8742600410595207</v>
      </c>
      <c r="J19" s="293"/>
      <c r="K19" s="294"/>
      <c r="L19" s="282">
        <f>+IFERROR(IF(VLOOKUP(A19,[1]ARS!A:EL,MATCH("Curr Ratio FQ0",[1]ARS!$4:$4,0),FALSE)="NULL",IF(VLOOKUP(A19,[1]ARS!A:EL,MATCH("Curr Ratio FQ-1",[1]ARS!$4:$4,0),FALSE)="NULL","-",VLOOKUP(A19,[1]ARS!A:EL,MATCH("Curr Ratio FQ-1",[1]ARS!$4:$4,0),FALSE)),VLOOKUP(A19,[1]ARS!A:EL,MATCH("Curr Ratio FQ0",[1]ARS!$4:$4,0),FALSE)),"-")</f>
        <v>0.94698000000000004</v>
      </c>
      <c r="M19" s="293"/>
      <c r="N19" s="294"/>
      <c r="O19" s="282">
        <f>+IFERROR(IF(VLOOKUP(A19,[1]ARS!A:EL,MATCH("Quick Ratio FQ0",[1]ARS!$4:$4,0),FALSE)="NULL",IF(VLOOKUP(A19,[1]ARS!A:EL,MATCH("Quick Ratio FQ-1",[1]ARS!$4:$4,0),FALSE)="NULL","-",VLOOKUP(A19,[1]ARS!A:EL,MATCH("Quick Ratio FQ-1",[1]ARS!$4:$4,0),FALSE)),VLOOKUP(A19,[1]ARS!A:EL,MATCH("Quick Ratio FQ0",[1]ARS!$4:$4,0),FALSE)),"-")</f>
        <v>0.66798999999999997</v>
      </c>
      <c r="P19" s="293"/>
      <c r="Q19" s="294"/>
      <c r="R19" s="295">
        <f>+IFERROR(IF(VLOOKUP(A19,[1]ARS!$A:$EL,MATCH("Dividend yield",[1]ARS!$4:$4,0),FALSE)="NULL","-",VLOOKUP(A19,[1]ARS!$A:$EL,MATCH("Dividend Yield",[1]ARS!$4:$4,0),FALSE)/100),"-")</f>
        <v>4.2643377052325598E-2</v>
      </c>
      <c r="S19" s="296"/>
      <c r="T19" s="297"/>
      <c r="U19" s="282">
        <f>IF(IFERROR(VLOOKUP(A19,[1]ARS!A:EL,MATCH("Asset Turnover",[1]ARS!$4:$4,0),FALSE),"-")=0,"-",IFERROR(VLOOKUP(A19,[1]ARS!A:EL,MATCH("Asset Turnover",[1]ARS!$4:$4,0),FALSE),"-"))</f>
        <v>5.6203356469760504</v>
      </c>
      <c r="V19" s="293"/>
      <c r="W19" s="294"/>
      <c r="X19" s="403">
        <f>IFERROR(VLOOKUP(A19,[1]ARS!A:EL,MATCH("CCC",[1]ARS!$4:$4,0),FALSE),"-")</f>
        <v>15.792431994993512</v>
      </c>
      <c r="Y19" s="404"/>
      <c r="Z19" s="405"/>
      <c r="AA19" s="380">
        <f>IF(IFERROR(VLOOKUP(A19,[1]ARS!A:EL,MATCH("Gross Margin, Percent",[1]ARS!$4:$4,0),FALSE)/100,"-")&lt;0,"-",IFERROR(VLOOKUP(A19,[1]ARS!A:EL,MATCH("Gross Margin, Percent",[1]ARS!$4:$4,0),FALSE)/100,"-"))</f>
        <v>0.15124589999999999</v>
      </c>
      <c r="AB19" s="381"/>
      <c r="AC19" s="382"/>
      <c r="AD19" s="380">
        <f>IF(IFERROR(VLOOKUP(A19,[1]ARS!A:EL,MATCH("Operating Margin, Percent",[1]ARS!$4:$4,0),FALSE)/100,"-")&lt;0,"-",IFERROR(VLOOKUP(A19,[1]ARS!A:EL,MATCH("Operating Margin, Percent",[1]ARS!$4:$4,0),FALSE)/100,"-"))</f>
        <v>2.61582E-2</v>
      </c>
      <c r="AE19" s="381"/>
      <c r="AF19" s="382"/>
      <c r="AG19" s="380">
        <f>IF(IFERROR(VLOOKUP(A19,[1]ARS!A:EL,MATCH("Net Profit Margin",[1]ARS!$4:$4,0),FALSE),"-")&lt;0,"-",IFERROR(VLOOKUP(A19,[1]ARS!A:EL,MATCH("Net Profit Margin",[1]ARS!$4:$4,0),FALSE),"-"))</f>
        <v>1.3129129537041881E-2</v>
      </c>
      <c r="AH19" s="381"/>
      <c r="AI19" s="382"/>
      <c r="AJ19" s="380">
        <f>IFERROR(VLOOKUP(A19,[1]ARS!A:EL,MATCH("FCF/Revenue",[1]ARS!$4:$4,0),FALSE),"-")</f>
        <v>2.7937775220443526E-2</v>
      </c>
      <c r="AK19" s="381"/>
      <c r="AL19" s="382"/>
      <c r="AM19" s="380">
        <f>IFERROR(IF(VLOOKUP(A19,[1]ARS!A:EL,MATCH("ROE",[1]ARS!$4:$4,0),FALSE)&lt;-5,"-",VLOOKUP(A19,[1]ARS!A:EL,MATCH("ROE",[1]ARS!$4:$4,0),FALSE)),"-")</f>
        <v>0.33081155676964585</v>
      </c>
      <c r="AN19" s="381"/>
      <c r="AO19" s="382"/>
      <c r="AP19" s="380">
        <f>IFERROR(VLOOKUP(A19,[1]ARS!A:EL,MATCH("ROA",[1]ARS!$4:$4,0),FALSE),"-")</f>
        <v>5.9032192124633759E-2</v>
      </c>
      <c r="AQ19" s="381"/>
      <c r="AR19" s="382"/>
      <c r="AS19" s="40">
        <f>+VLOOKUP(A19,[1]ARS!$A$5:$EL$85,MATCH("Last Q y/y",[1]ARS!$4:$4,0),FALSE)</f>
        <v>-0.71493012606258388</v>
      </c>
      <c r="AT19" s="40" t="str">
        <f>+VLOOKUP(A19,[1]ARS!$A$5:$EL$99,MATCH("Last 5 yrs - Annual",[1]ARS!$4:$4,0),FALSE)</f>
        <v>-</v>
      </c>
      <c r="AU19" s="41" t="str">
        <f>+VLOOKUP(A19,[1]ARS!$A$5:$EL$84,MATCH("Desvio",[1]ARS!$4:$4,0),FALSE)</f>
        <v>-</v>
      </c>
      <c r="AV19" s="42">
        <f>+VLOOKUP(A19,'[1]Prom. Vtas Ult 5 años'!$A$3:$D$81,3,FALSE)</f>
        <v>124.04833333333335</v>
      </c>
      <c r="AW19" s="40">
        <f>+VLOOKUP(A19,'[1]Prom. Vtas Ult 5 años'!$A$3:$D$81,4,FALSE)</f>
        <v>1.858142660695854</v>
      </c>
      <c r="AX19" s="282">
        <f>IFERROR((VLOOKUP(A19,[1]ARS!A:EL,MATCH("Enterprise Value (Daily Time Series)",[1]ARS!$4:$4,0),FALSE)/1000000000),"-")</f>
        <v>6.2854929407999895</v>
      </c>
      <c r="AY19" s="293"/>
      <c r="AZ19" s="294"/>
      <c r="BA19" s="282">
        <f>IFERROR((VLOOKUP(A19,[1]ARS!A:EL,MATCH("Company Market Cap",[1]ARS!$4:$4,0),FALSE)/1000000000),"-")</f>
        <v>19.4637407952</v>
      </c>
      <c r="BB19" s="293"/>
      <c r="BC19" s="294"/>
      <c r="BD19" s="282">
        <f>IF(VLOOKUP(A19,[1]ARS!A:EL,MATCH("Enterprise Value To EBITDA (Daily Time Series Ratio)",[1]ARS!$4:$4,0),FALSE)="NULL","-",VLOOKUP(A19,[1]ARS!A:EL,MATCH("Enterprise Value To EBITDA (Daily Time Series Ratio)",[1]ARS!$4:$4,0),FALSE))</f>
        <v>2.3743758792906799</v>
      </c>
      <c r="BE19" s="293"/>
      <c r="BF19" s="294"/>
      <c r="BG19" s="282">
        <f>IF(OR(IFERROR(VLOOKUP(A19,[1]ARS!A:EL,MATCH("Price To Tangible Book Value",[1]ARS!$4:$4,0),FALSE),"-")&lt;0,IFERROR(VLOOKUP(A19,[1]ARS!A:EL,MATCH("Price To Tangible Book Value",[1]ARS!$4:$4,0),FALSE),"-")&gt;100),"-",IFERROR(VLOOKUP(A19,[1]ARS!A:EL,MATCH("Price To Tangible Book Value",[1]ARS!$4:$4,0),FALSE),"-"))</f>
        <v>20.156937889209932</v>
      </c>
      <c r="BH19" s="293"/>
      <c r="BI19" s="294"/>
      <c r="BJ19" s="282">
        <f>IF(OR(IFERROR(VLOOKUP(A19,[1]ARS!A:EL,MATCH("P/E (Daily Time Series Ratio)",[1]ARS!$4:$4,0),FALSE),"-")&lt;0,IFERROR(VLOOKUP(A19,[1]ARS!A:EL,MATCH("P/E (Daily Time Series Ratio)",[1]ARS!$4:$4,0),FALSE),"-")&gt;500),"-",IFERROR(VLOOKUP(A19,[1]ARS!A:EL,MATCH("P/E (Daily Time Series Ratio)",[1]ARS!$4:$4,0),FALSE),"-"))</f>
        <v>22.604245655582261</v>
      </c>
      <c r="BK19" s="293"/>
      <c r="BL19" s="294"/>
      <c r="BM19" s="282">
        <f>IF(OR(IFERROR(VLOOKUP(A19,[1]ARS!A:EC,MATCH("Price To Sales",[1]ARS!$4:$4,0),FALSE),"-")&lt;0,IFERROR(VLOOKUP(A19,[1]ARS!A:EC,MATCH("Price To Sales",[1]ARS!$4:$4,0),FALSE),"-")&gt;100),"-",IFERROR(VLOOKUP(A19,[1]ARS!A:EC,MATCH("Price To Sales",[1]ARS!$4:$4,0),FALSE),"-"))</f>
        <v>0.68422779081755769</v>
      </c>
      <c r="BN19" s="293"/>
      <c r="BO19" s="294"/>
      <c r="BP19" s="282" t="str">
        <f>+IFERROR(IF(VLOOKUP(A19,[1]ARS!A:EO,MATCH("Price to Free Cash Flow",[1]ARS!$4:$4,0),FALSE)="NULL","-",VLOOKUP(A19,[1]ARS!A:EO,MATCH("Price to Free Cash Flow",[1]ARS!$4:$4,0),FALSE)),"-")</f>
        <v>-</v>
      </c>
      <c r="BQ19" s="293"/>
      <c r="BR19" s="294"/>
      <c r="BS19" s="43">
        <f>IF(VLOOKUP(A19,[1]ARS!A:EE,MATCH("Daily Beta - 180 Day",[1]ARS!$4:$4,0),FALSE)="NULL","-",VLOOKUP(A19,[1]ARS!A:EE,MATCH("Daily Beta - 180 Day",[1]ARS!$4:$4,0),FALSE))</f>
        <v>0.66017078431215004</v>
      </c>
      <c r="BT19" s="40" t="str">
        <f>+VLOOKUP(A19,[1]ARS!$A:$EH,MATCH("Volatilidad histórica",[1]ARS!$4:$4,0),FALSE)</f>
        <v>-</v>
      </c>
      <c r="BU19" s="44" t="str">
        <f>+VLOOKUP(A19,[1]ARS!$A$5:$EM$85,MATCH("Rto Medio",[1]ARS!$4:$4,0),FALSE)</f>
        <v>-</v>
      </c>
      <c r="BV19" s="45">
        <f>+IF(VLOOKUP(Template!A19,[1]ARS!A:AA,MATCH("Period End Date",[1]ARS!$3:$3,0),FALSE)="","-",VLOOKUP(Template!A19,[1]ARS!A:AA,MATCH("Period End Date",[1]ARS!$3:$3,0),FALSE))</f>
        <v>43008</v>
      </c>
      <c r="BW19" s="46" t="str">
        <f t="shared" si="1"/>
        <v>MOLA</v>
      </c>
      <c r="BX19" s="4"/>
      <c r="BY19" s="47" t="s">
        <v>53</v>
      </c>
      <c r="BZ19" s="48">
        <f t="shared" si="4"/>
        <v>0.68422779081755769</v>
      </c>
      <c r="CA19" s="48">
        <f t="shared" si="2"/>
        <v>20.156937889209932</v>
      </c>
      <c r="CB19" s="48">
        <f t="shared" si="3"/>
        <v>22.604245655582261</v>
      </c>
      <c r="CD19" s="48" t="s">
        <v>53</v>
      </c>
      <c r="CE19" s="69">
        <v>0.68422779081755769</v>
      </c>
      <c r="CF19" s="48">
        <v>20.156937889209932</v>
      </c>
      <c r="CG19" s="48">
        <v>22.604245655582261</v>
      </c>
      <c r="CN19" s="51"/>
    </row>
    <row r="20" spans="1:92" s="49" customFormat="1" ht="11.25" customHeight="1" x14ac:dyDescent="0.2">
      <c r="A20" s="409" t="str">
        <f t="shared" si="0"/>
        <v>SEMI</v>
      </c>
      <c r="B20" s="410"/>
      <c r="C20" s="396">
        <f>+VLOOKUP(A20,[1]ARS!A:EL,MATCH("Last",[1]ARS!$4:$4,0),FALSE)</f>
        <v>3.8000000000000003</v>
      </c>
      <c r="D20" s="397"/>
      <c r="E20" s="52">
        <f>+VLOOKUP(A20,'[1]Market Cap'!I:J,2,FALSE)</f>
        <v>1</v>
      </c>
      <c r="F20" s="371">
        <f>IFERROR(IF(VLOOKUP(A20,[1]ARS!A:EL,MATCH("Total Debt To Total Equity, Percent FQ0",[1]ARS!$4:$4,0),FALSE)="NULL",IF(VLOOKUP(A20,[1]ARS!A:EL,MATCH("Total Debt To Total Equity, Percent FQ-1",[1]ARS!$4:$4,0),FALSE)="NULL","-",VLOOKUP(A20,[1]ARS!A:EL,MATCH("Total Debt To Total Equity, Percent FQ-1",[1]ARS!$4:$4,0))),VLOOKUP(A20,[1]ARS!A:EL,MATCH("Total Debt To Total Equity, Percent FQ0",[1]ARS!$4:$4,0),FALSE))/100,"-")</f>
        <v>0.54060166314699998</v>
      </c>
      <c r="G20" s="372"/>
      <c r="H20" s="373"/>
      <c r="I20" s="325">
        <f>IFERROR(VLOOKUP(A20,[1]ARS!A:EC,MATCH("Financial Leverage",[1]ARS!$4:$4,0),FALSE),"-")</f>
        <v>2.1018834402422946</v>
      </c>
      <c r="J20" s="333"/>
      <c r="K20" s="334"/>
      <c r="L20" s="325">
        <f>+IFERROR(IF(VLOOKUP(A20,[1]ARS!A:EL,MATCH("Curr Ratio FQ0",[1]ARS!$4:$4,0),FALSE)="NULL",IF(VLOOKUP(A20,[1]ARS!A:EL,MATCH("Curr Ratio FQ-1",[1]ARS!$4:$4,0),FALSE)="NULL","-",VLOOKUP(A20,[1]ARS!A:EL,MATCH("Curr Ratio FQ-1",[1]ARS!$4:$4,0),FALSE)),VLOOKUP(A20,[1]ARS!A:EL,MATCH("Curr Ratio FQ0",[1]ARS!$4:$4,0),FALSE)),"-")</f>
        <v>1.4980199999999999</v>
      </c>
      <c r="M20" s="333"/>
      <c r="N20" s="334"/>
      <c r="O20" s="325">
        <f>+IFERROR(IF(VLOOKUP(A20,[1]ARS!A:EL,MATCH("Quick Ratio FQ0",[1]ARS!$4:$4,0),FALSE)="NULL",IF(VLOOKUP(A20,[1]ARS!A:EL,MATCH("Quick Ratio FQ-1",[1]ARS!$4:$4,0),FALSE)="NULL","-",VLOOKUP(A20,[1]ARS!A:EL,MATCH("Quick Ratio FQ-1",[1]ARS!$4:$4,0),FALSE)),VLOOKUP(A20,[1]ARS!A:EL,MATCH("Quick Ratio FQ0",[1]ARS!$4:$4,0),FALSE)),"-")</f>
        <v>0.99875999999999998</v>
      </c>
      <c r="P20" s="333"/>
      <c r="Q20" s="334"/>
      <c r="R20" s="335">
        <f>+IFERROR(IF(VLOOKUP(A20,[1]ARS!$A:$EL,MATCH("Dividend yield",[1]ARS!$4:$4,0),FALSE)="NULL","-",VLOOKUP(A20,[1]ARS!$A:$EL,MATCH("Dividend Yield",[1]ARS!$4:$4,0),FALSE)/100),"-")</f>
        <v>6.86232429667519E-3</v>
      </c>
      <c r="S20" s="336"/>
      <c r="T20" s="337"/>
      <c r="U20" s="325">
        <f>IF(IFERROR(VLOOKUP(A20,[1]ARS!A:EL,MATCH("Asset Turnover",[1]ARS!$4:$4,0),FALSE),"-")=0,"-",IFERROR(VLOOKUP(A20,[1]ARS!A:EL,MATCH("Asset Turnover",[1]ARS!$4:$4,0),FALSE),"-"))</f>
        <v>2.4509700058222612</v>
      </c>
      <c r="V20" s="333"/>
      <c r="W20" s="334"/>
      <c r="X20" s="406">
        <f>IFERROR(VLOOKUP(A20,[1]ARS!A:EL,MATCH("CCC",[1]ARS!$4:$4,0),FALSE),"-")</f>
        <v>76.586258807832536</v>
      </c>
      <c r="Y20" s="407"/>
      <c r="Z20" s="408"/>
      <c r="AA20" s="383">
        <f>IF(IFERROR(VLOOKUP(A20,[1]ARS!A:EL,MATCH("Gross Margin, Percent",[1]ARS!$4:$4,0),FALSE)/100,"-")&lt;0,"-",IFERROR(VLOOKUP(A20,[1]ARS!A:EL,MATCH("Gross Margin, Percent",[1]ARS!$4:$4,0),FALSE)/100,"-"))</f>
        <v>0.1460476</v>
      </c>
      <c r="AB20" s="384"/>
      <c r="AC20" s="385"/>
      <c r="AD20" s="383">
        <f>IF(IFERROR(VLOOKUP(A20,[1]ARS!A:EL,MATCH("Operating Margin, Percent",[1]ARS!$4:$4,0),FALSE)/100,"-")&lt;0,"-",IFERROR(VLOOKUP(A20,[1]ARS!A:EL,MATCH("Operating Margin, Percent",[1]ARS!$4:$4,0),FALSE)/100,"-"))</f>
        <v>4.5914499999999997E-2</v>
      </c>
      <c r="AE20" s="384"/>
      <c r="AF20" s="385"/>
      <c r="AG20" s="383">
        <f>IF(IFERROR(VLOOKUP(A20,[1]ARS!A:EL,MATCH("Net Profit Margin",[1]ARS!$4:$4,0),FALSE),"-")&lt;0,"-",IFERROR(VLOOKUP(A20,[1]ARS!A:EL,MATCH("Net Profit Margin",[1]ARS!$4:$4,0),FALSE),"-"))</f>
        <v>2.3445865243721796E-2</v>
      </c>
      <c r="AH20" s="384"/>
      <c r="AI20" s="385"/>
      <c r="AJ20" s="383">
        <f>IFERROR(VLOOKUP(A20,[1]ARS!A:EL,MATCH("FCF/Revenue",[1]ARS!$4:$4,0),FALSE),"-")</f>
        <v>-6.3197763890852146E-2</v>
      </c>
      <c r="AK20" s="384"/>
      <c r="AL20" s="385"/>
      <c r="AM20" s="386">
        <f>IFERROR(IF(VLOOKUP(A20,[1]ARS!A:EL,MATCH("ROE",[1]ARS!$4:$4,0),FALSE)&lt;-5,"-",VLOOKUP(A20,[1]ARS!A:EL,MATCH("ROE",[1]ARS!$4:$4,0),FALSE)),"-")</f>
        <v>8.9136989080096179E-2</v>
      </c>
      <c r="AN20" s="387"/>
      <c r="AO20" s="388"/>
      <c r="AP20" s="383">
        <f>IFERROR(VLOOKUP(A20,[1]ARS!A:EL,MATCH("ROA",[1]ARS!$4:$4,0),FALSE),"-")</f>
        <v>4.5973494550629171E-2</v>
      </c>
      <c r="AQ20" s="384"/>
      <c r="AR20" s="385"/>
      <c r="AS20" s="53">
        <f>+VLOOKUP(A20,[1]ARS!$A$5:$EL$85,MATCH("Last Q y/y",[1]ARS!$4:$4,0),FALSE)</f>
        <v>-0.5964645726807889</v>
      </c>
      <c r="AT20" s="53">
        <f>+VLOOKUP(A20,[1]ARS!$A$5:$EL$99,MATCH("Last 5 yrs - Annual",[1]ARS!$4:$4,0),FALSE)</f>
        <v>0.98459095209242187</v>
      </c>
      <c r="AU20" s="54">
        <f>+VLOOKUP(A20,[1]ARS!$A$5:$EL$84,MATCH("Desvio",[1]ARS!$4:$4,0),FALSE)</f>
        <v>2.958466105286393</v>
      </c>
      <c r="AV20" s="55">
        <f>+VLOOKUP(A20,'[1]Prom. Vtas Ult 5 años'!$A$3:$D$81,3,FALSE)</f>
        <v>3.5035678947368414</v>
      </c>
      <c r="AW20" s="56">
        <f>+VLOOKUP(A20,'[1]Prom. Vtas Ult 5 años'!$A$3:$D$81,4,FALSE)</f>
        <v>17.292354849122681</v>
      </c>
      <c r="AX20" s="325">
        <f>IFERROR((VLOOKUP(A20,[1]ARS!A:EL,MATCH("Enterprise Value (Daily Time Series)",[1]ARS!$4:$4,0),FALSE)/1000000000),"-")</f>
        <v>0.69375344000000005</v>
      </c>
      <c r="AY20" s="333"/>
      <c r="AZ20" s="334"/>
      <c r="BA20" s="325">
        <f>IFERROR((VLOOKUP(A20,[1]ARS!A:EL,MATCH("Company Market Cap",[1]ARS!$4:$4,0),FALSE)/1000000000),"-")</f>
        <v>0.59660000000000002</v>
      </c>
      <c r="BB20" s="333"/>
      <c r="BC20" s="334"/>
      <c r="BD20" s="325">
        <f>IF(VLOOKUP(A20,[1]ARS!A:EL,MATCH("Enterprise Value To EBITDA (Daily Time Series Ratio)",[1]ARS!$4:$4,0),FALSE)="NULL","-",VLOOKUP(A20,[1]ARS!A:EL,MATCH("Enterprise Value To EBITDA (Daily Time Series Ratio)",[1]ARS!$4:$4,0),FALSE))</f>
        <v>13.760067658537</v>
      </c>
      <c r="BE20" s="333"/>
      <c r="BF20" s="334"/>
      <c r="BG20" s="325">
        <f>IF(OR(IFERROR(VLOOKUP(A20,[1]ARS!A:EL,MATCH("Price To Tangible Book Value",[1]ARS!$4:$4,0),FALSE),"-")&lt;0,IFERROR(VLOOKUP(A20,[1]ARS!A:EL,MATCH("Price To Tangible Book Value",[1]ARS!$4:$4,0),FALSE),"-")&gt;100),"-",IFERROR(VLOOKUP(A20,[1]ARS!A:EL,MATCH("Price To Tangible Book Value",[1]ARS!$4:$4,0),FALSE),"-"))</f>
        <v>3.2612216691616891</v>
      </c>
      <c r="BH20" s="333"/>
      <c r="BI20" s="334"/>
      <c r="BJ20" s="325">
        <f>IF(OR(IFERROR(VLOOKUP(A20,[1]ARS!A:EL,MATCH("P/E (Daily Time Series Ratio)",[1]ARS!$4:$4,0),FALSE),"-")&lt;0,IFERROR(VLOOKUP(A20,[1]ARS!A:EL,MATCH("P/E (Daily Time Series Ratio)",[1]ARS!$4:$4,0),FALSE),"-")&gt;500),"-",IFERROR(VLOOKUP(A20,[1]ARS!A:EL,MATCH("P/E (Daily Time Series Ratio)",[1]ARS!$4:$4,0),FALSE),"-"))</f>
        <v>37.011785331645079</v>
      </c>
      <c r="BK20" s="333"/>
      <c r="BL20" s="334"/>
      <c r="BM20" s="325">
        <f>IF(OR(IFERROR(VLOOKUP(A20,[1]ARS!A:EC,MATCH("Price To Sales",[1]ARS!$4:$4,0),FALSE),"-")&lt;0,IFERROR(VLOOKUP(A20,[1]ARS!A:EC,MATCH("Price To Sales",[1]ARS!$4:$4,0),FALSE),"-")&gt;100),"-",IFERROR(VLOOKUP(A20,[1]ARS!A:EC,MATCH("Price To Sales",[1]ARS!$4:$4,0),FALSE),"-"))</f>
        <v>0.8633503132314817</v>
      </c>
      <c r="BN20" s="333"/>
      <c r="BO20" s="334"/>
      <c r="BP20" s="325">
        <f>+IFERROR(IF(VLOOKUP(A20,[1]ARS!A:EO,MATCH("Price to Free Cash Flow",[1]ARS!$4:$4,0),FALSE)="NULL","-",VLOOKUP(A20,[1]ARS!A:EO,MATCH("Price to Free Cash Flow",[1]ARS!$4:$4,0),FALSE)),"-")</f>
        <v>130.911176936</v>
      </c>
      <c r="BQ20" s="333"/>
      <c r="BR20" s="334"/>
      <c r="BS20" s="57">
        <f>IF(VLOOKUP(A20,[1]ARS!A:EE,MATCH("Daily Beta - 180 Day",[1]ARS!$4:$4,0),FALSE)="NULL","-",VLOOKUP(A20,[1]ARS!A:EE,MATCH("Daily Beta - 180 Day",[1]ARS!$4:$4,0),FALSE))</f>
        <v>0.78996450911285399</v>
      </c>
      <c r="BT20" s="53">
        <f>+VLOOKUP(A20,[1]ARS!$A:$EH,MATCH("Volatilidad histórica",[1]ARS!$4:$4,0),FALSE)</f>
        <v>0.49198453144124871</v>
      </c>
      <c r="BU20" s="56">
        <f>+VLOOKUP(A20,[1]ARS!$A$5:$EM$85,MATCH("Rto Medio",[1]ARS!$4:$4,0),FALSE)</f>
        <v>-3.8944350607767242E-2</v>
      </c>
      <c r="BV20" s="58">
        <f>+IF(VLOOKUP(Template!A20,[1]ARS!A:AA,MATCH("Period End Date",[1]ARS!$3:$3,0),FALSE)="","-",VLOOKUP(Template!A20,[1]ARS!A:AA,MATCH("Period End Date",[1]ARS!$3:$3,0),FALSE))</f>
        <v>43069</v>
      </c>
      <c r="BW20" s="59" t="str">
        <f t="shared" si="1"/>
        <v>SEMI</v>
      </c>
      <c r="BX20" s="4"/>
      <c r="BY20" s="68" t="s">
        <v>54</v>
      </c>
      <c r="BZ20" s="48">
        <f t="shared" si="4"/>
        <v>0.8633503132314817</v>
      </c>
      <c r="CA20" s="48">
        <f t="shared" si="2"/>
        <v>3.2612216691616891</v>
      </c>
      <c r="CB20" s="48">
        <f t="shared" si="3"/>
        <v>37.011785331645079</v>
      </c>
      <c r="CC20" s="70"/>
      <c r="CD20" s="48" t="s">
        <v>54</v>
      </c>
      <c r="CE20" s="69">
        <v>0.8633503132314817</v>
      </c>
      <c r="CF20" s="48">
        <v>3.2612216691616891</v>
      </c>
      <c r="CG20" s="48">
        <v>37.20658420181163</v>
      </c>
      <c r="CN20" s="51"/>
    </row>
    <row r="21" spans="1:92" s="70" customFormat="1" ht="11.25" customHeight="1" x14ac:dyDescent="0.2">
      <c r="A21" s="401" t="str">
        <f t="shared" si="0"/>
        <v>INTR</v>
      </c>
      <c r="B21" s="402"/>
      <c r="C21" s="398">
        <f>+VLOOKUP(A21,[1]ARS!A:EL,MATCH("Last",[1]ARS!$4:$4,0),FALSE)</f>
        <v>11</v>
      </c>
      <c r="D21" s="399"/>
      <c r="E21" s="39">
        <f>+VLOOKUP(A21,'[1]Market Cap'!I:J,2,FALSE)</f>
        <v>1</v>
      </c>
      <c r="F21" s="290">
        <f>IFERROR(IF(VLOOKUP(A21,[1]ARS!A:EL,MATCH("Total Debt To Total Equity, Percent FQ0",[1]ARS!$4:$4,0),FALSE)="NULL",IF(VLOOKUP(A21,[1]ARS!A:EL,MATCH("Total Debt To Total Equity, Percent FQ-1",[1]ARS!$4:$4,0),FALSE)="NULL","-",VLOOKUP(A21,[1]ARS!A:EL,MATCH("Total Debt To Total Equity, Percent FQ-1",[1]ARS!$4:$4,0))),VLOOKUP(A21,[1]ARS!A:EL,MATCH("Total Debt To Total Equity, Percent FQ0",[1]ARS!$4:$4,0),FALSE))/100,"-")</f>
        <v>0.16142613391000002</v>
      </c>
      <c r="G21" s="291"/>
      <c r="H21" s="292"/>
      <c r="I21" s="282">
        <f>IFERROR(VLOOKUP(A21,[1]ARS!A:EC,MATCH("Financial Leverage",[1]ARS!$4:$4,0),FALSE),"-")</f>
        <v>1.7129002456526947</v>
      </c>
      <c r="J21" s="293"/>
      <c r="K21" s="294"/>
      <c r="L21" s="282">
        <f>+IFERROR(IF(VLOOKUP(A21,[1]ARS!A:EL,MATCH("Curr Ratio FQ0",[1]ARS!$4:$4,0),FALSE)="NULL",IF(VLOOKUP(A21,[1]ARS!A:EL,MATCH("Curr Ratio FQ-1",[1]ARS!$4:$4,0),FALSE)="NULL","-",VLOOKUP(A21,[1]ARS!A:EL,MATCH("Curr Ratio FQ-1",[1]ARS!$4:$4,0),FALSE)),VLOOKUP(A21,[1]ARS!A:EL,MATCH("Curr Ratio FQ0",[1]ARS!$4:$4,0),FALSE)),"-")</f>
        <v>2.0306000000000002</v>
      </c>
      <c r="M21" s="293"/>
      <c r="N21" s="294"/>
      <c r="O21" s="282">
        <f>+IFERROR(IF(VLOOKUP(A21,[1]ARS!A:EL,MATCH("Quick Ratio FQ0",[1]ARS!$4:$4,0),FALSE)="NULL",IF(VLOOKUP(A21,[1]ARS!A:EL,MATCH("Quick Ratio FQ-1",[1]ARS!$4:$4,0),FALSE)="NULL","-",VLOOKUP(A21,[1]ARS!A:EL,MATCH("Quick Ratio FQ-1",[1]ARS!$4:$4,0),FALSE)),VLOOKUP(A21,[1]ARS!A:EL,MATCH("Quick Ratio FQ0",[1]ARS!$4:$4,0),FALSE)),"-")</f>
        <v>1.4379599999999999</v>
      </c>
      <c r="P21" s="293"/>
      <c r="Q21" s="294"/>
      <c r="R21" s="295">
        <f>+IFERROR(IF(VLOOKUP(A21,[1]ARS!$A:$EL,MATCH("Dividend yield",[1]ARS!$4:$4,0),FALSE)="NULL","-",VLOOKUP(A21,[1]ARS!$A:$EL,MATCH("Dividend Yield",[1]ARS!$4:$4,0),FALSE)/100),"-")</f>
        <v>9.5122595636363601E-3</v>
      </c>
      <c r="S21" s="296"/>
      <c r="T21" s="297"/>
      <c r="U21" s="282">
        <f>IF(IFERROR(VLOOKUP(A21,[1]ARS!A:EL,MATCH("Asset Turnover",[1]ARS!$4:$4,0),FALSE),"-")=0,"-",IFERROR(VLOOKUP(A21,[1]ARS!A:EL,MATCH("Asset Turnover",[1]ARS!$4:$4,0),FALSE),"-"))</f>
        <v>2.4683687834079766</v>
      </c>
      <c r="V21" s="293"/>
      <c r="W21" s="294"/>
      <c r="X21" s="403">
        <f>IFERROR(VLOOKUP(A21,[1]ARS!A:EL,MATCH("CCC",[1]ARS!$4:$4,0),FALSE),"-")</f>
        <v>89.057183139949046</v>
      </c>
      <c r="Y21" s="404"/>
      <c r="Z21" s="405"/>
      <c r="AA21" s="380">
        <f>IF(IFERROR(VLOOKUP(A21,[1]ARS!A:EL,MATCH("Gross Margin, Percent",[1]ARS!$4:$4,0),FALSE)/100,"-")&lt;0,"-",IFERROR(VLOOKUP(A21,[1]ARS!A:EL,MATCH("Gross Margin, Percent",[1]ARS!$4:$4,0),FALSE)/100,"-"))</f>
        <v>0.52823450000000005</v>
      </c>
      <c r="AB21" s="381"/>
      <c r="AC21" s="382"/>
      <c r="AD21" s="380">
        <f>IF(IFERROR(VLOOKUP(A21,[1]ARS!A:EL,MATCH("Operating Margin, Percent",[1]ARS!$4:$4,0),FALSE)/100,"-")&lt;0,"-",IFERROR(VLOOKUP(A21,[1]ARS!A:EL,MATCH("Operating Margin, Percent",[1]ARS!$4:$4,0),FALSE)/100,"-"))</f>
        <v>0.14012370000000002</v>
      </c>
      <c r="AE21" s="381"/>
      <c r="AF21" s="382"/>
      <c r="AG21" s="380">
        <f>IF(IFERROR(VLOOKUP(A21,[1]ARS!A:EL,MATCH("Net Profit Margin",[1]ARS!$4:$4,0),FALSE),"-")&lt;0,"-",IFERROR(VLOOKUP(A21,[1]ARS!A:EL,MATCH("Net Profit Margin",[1]ARS!$4:$4,0),FALSE),"-"))</f>
        <v>9.7030536444577334E-2</v>
      </c>
      <c r="AH21" s="381"/>
      <c r="AI21" s="382"/>
      <c r="AJ21" s="380">
        <f>IFERROR(VLOOKUP(A21,[1]ARS!A:EL,MATCH("FCF/Revenue",[1]ARS!$4:$4,0),FALSE),"-")</f>
        <v>-1.3450578345443718E-2</v>
      </c>
      <c r="AK21" s="381"/>
      <c r="AL21" s="382"/>
      <c r="AM21" s="380">
        <f>IFERROR(IF(VLOOKUP(A21,[1]ARS!A:EL,MATCH("ROE",[1]ARS!$4:$4,0),FALSE)&lt;-5,"-",VLOOKUP(A21,[1]ARS!A:EL,MATCH("ROE",[1]ARS!$4:$4,0),FALSE)),"-")</f>
        <v>0.32696619293785556</v>
      </c>
      <c r="AN21" s="381"/>
      <c r="AO21" s="382"/>
      <c r="AP21" s="380">
        <f>IFERROR(VLOOKUP(A21,[1]ARS!A:EL,MATCH("ROA",[1]ARS!$4:$4,0),FALSE),"-")</f>
        <v>0.19161018117577838</v>
      </c>
      <c r="AQ21" s="381"/>
      <c r="AR21" s="382"/>
      <c r="AS21" s="40">
        <f>+VLOOKUP(A21,[1]ARS!$A$5:$EL$85,MATCH("Last Q y/y",[1]ARS!$4:$4,0),FALSE)</f>
        <v>2.2212575755151898E-2</v>
      </c>
      <c r="AT21" s="40">
        <f>+VLOOKUP(A21,[1]ARS!$A$5:$EL$99,MATCH("Last 5 yrs - Annual",[1]ARS!$4:$4,0),FALSE)</f>
        <v>0.4932083904154535</v>
      </c>
      <c r="AU21" s="41">
        <f>+VLOOKUP(A21,[1]ARS!$A$5:$EL$84,MATCH("Desvio",[1]ARS!$4:$4,0),FALSE)</f>
        <v>0.29520911416038381</v>
      </c>
      <c r="AV21" s="42">
        <f>+VLOOKUP(A21,'[1]Prom. Vtas Ult 5 años'!$A$3:$D$81,3,FALSE)</f>
        <v>9.5654289473684209</v>
      </c>
      <c r="AW21" s="40">
        <f>+VLOOKUP(A21,'[1]Prom. Vtas Ult 5 años'!$A$3:$D$81,4,FALSE)</f>
        <v>1.5332526021114878</v>
      </c>
      <c r="AX21" s="282">
        <f>IFERROR((VLOOKUP(A21,[1]ARS!A:EL,MATCH("Enterprise Value (Daily Time Series)",[1]ARS!$4:$4,0),FALSE)/1000000000),"-")</f>
        <v>0.90095222700000099</v>
      </c>
      <c r="AY21" s="293"/>
      <c r="AZ21" s="294"/>
      <c r="BA21" s="282">
        <f>IFERROR((VLOOKUP(A21,[1]ARS!A:EL,MATCH("Company Market Cap",[1]ARS!$4:$4,0),FALSE)/1000000000),"-")</f>
        <v>0.95555245770000008</v>
      </c>
      <c r="BB21" s="293"/>
      <c r="BC21" s="294"/>
      <c r="BD21" s="282">
        <f>IF(VLOOKUP(A21,[1]ARS!A:EL,MATCH("Enterprise Value To EBITDA (Daily Time Series Ratio)",[1]ARS!$4:$4,0),FALSE)="NULL","-",VLOOKUP(A21,[1]ARS!A:EL,MATCH("Enterprise Value To EBITDA (Daily Time Series Ratio)",[1]ARS!$4:$4,0),FALSE))</f>
        <v>6.6828018802440798</v>
      </c>
      <c r="BE21" s="293"/>
      <c r="BF21" s="294"/>
      <c r="BG21" s="282">
        <f>IF(OR(IFERROR(VLOOKUP(A21,[1]ARS!A:EL,MATCH("Price To Tangible Book Value",[1]ARS!$4:$4,0),FALSE),"-")&lt;0,IFERROR(VLOOKUP(A21,[1]ARS!A:EL,MATCH("Price To Tangible Book Value",[1]ARS!$4:$4,0),FALSE),"-")&gt;100),"-",IFERROR(VLOOKUP(A21,[1]ARS!A:EL,MATCH("Price To Tangible Book Value",[1]ARS!$4:$4,0),FALSE),"-"))</f>
        <v>3.152954917793565</v>
      </c>
      <c r="BH21" s="293"/>
      <c r="BI21" s="294"/>
      <c r="BJ21" s="282">
        <f>IF(OR(IFERROR(VLOOKUP(A21,[1]ARS!A:EL,MATCH("P/E (Daily Time Series Ratio)",[1]ARS!$4:$4,0),FALSE),"-")&lt;0,IFERROR(VLOOKUP(A21,[1]ARS!A:EL,MATCH("P/E (Daily Time Series Ratio)",[1]ARS!$4:$4,0),FALSE),"-")&gt;500),"-",IFERROR(VLOOKUP(A21,[1]ARS!A:EL,MATCH("P/E (Daily Time Series Ratio)",[1]ARS!$4:$4,0),FALSE),"-"))</f>
        <v>10.707159195989682</v>
      </c>
      <c r="BK21" s="293"/>
      <c r="BL21" s="294"/>
      <c r="BM21" s="282">
        <f>IF(OR(IFERROR(VLOOKUP(A21,[1]ARS!A:EC,MATCH("Price To Sales",[1]ARS!$4:$4,0),FALSE),"-")&lt;0,IFERROR(VLOOKUP(A21,[1]ARS!A:EC,MATCH("Price To Sales",[1]ARS!$4:$4,0),FALSE),"-")&gt;100),"-",IFERROR(VLOOKUP(A21,[1]ARS!A:EC,MATCH("Price To Sales",[1]ARS!$4:$4,0),FALSE),"-"))</f>
        <v>1.0483691493845013</v>
      </c>
      <c r="BN21" s="293"/>
      <c r="BO21" s="294"/>
      <c r="BP21" s="282">
        <f>+IFERROR(IF(VLOOKUP(A21,[1]ARS!A:EO,MATCH("Price to Free Cash Flow",[1]ARS!$4:$4,0),FALSE)="NULL","-",VLOOKUP(A21,[1]ARS!A:EO,MATCH("Price to Free Cash Flow",[1]ARS!$4:$4,0),FALSE)),"-")</f>
        <v>13.85547339</v>
      </c>
      <c r="BQ21" s="293"/>
      <c r="BR21" s="294"/>
      <c r="BS21" s="43">
        <f>IF(VLOOKUP(A21,[1]ARS!A:EE,MATCH("Daily Beta - 180 Day",[1]ARS!$4:$4,0),FALSE)="NULL","-",VLOOKUP(A21,[1]ARS!A:EE,MATCH("Daily Beta - 180 Day",[1]ARS!$4:$4,0),FALSE))</f>
        <v>0.351777448204801</v>
      </c>
      <c r="BT21" s="40">
        <f>+VLOOKUP(A21,[1]ARS!$A:$EH,MATCH("Volatilidad histórica",[1]ARS!$4:$4,0),FALSE)</f>
        <v>0.40309700586094682</v>
      </c>
      <c r="BU21" s="44">
        <f>+VLOOKUP(A21,[1]ARS!$A$5:$EM$85,MATCH("Rto Medio",[1]ARS!$4:$4,0),FALSE)</f>
        <v>0.17902206303908907</v>
      </c>
      <c r="BV21" s="45">
        <f>+IF(VLOOKUP(Template!A21,[1]ARS!A:AA,MATCH("Period End Date",[1]ARS!$3:$3,0),FALSE)="","-",VLOOKUP(Template!A21,[1]ARS!A:AA,MATCH("Period End Date",[1]ARS!$3:$3,0),FALSE))</f>
        <v>43008</v>
      </c>
      <c r="BW21" s="46" t="str">
        <f t="shared" si="1"/>
        <v>INTR</v>
      </c>
      <c r="BX21" s="60"/>
      <c r="BY21" s="48" t="s">
        <v>55</v>
      </c>
      <c r="BZ21" s="48">
        <f t="shared" si="4"/>
        <v>1.0483691493845013</v>
      </c>
      <c r="CA21" s="48">
        <f t="shared" si="2"/>
        <v>3.152954917793565</v>
      </c>
      <c r="CB21" s="48">
        <f t="shared" si="3"/>
        <v>10.707159195989682</v>
      </c>
      <c r="CC21" s="49"/>
      <c r="CD21" s="47" t="s">
        <v>55</v>
      </c>
      <c r="CE21" s="69">
        <v>1.0483691493845013</v>
      </c>
      <c r="CF21" s="48">
        <v>3.152954917793565</v>
      </c>
      <c r="CG21" s="48">
        <v>10.707159195989682</v>
      </c>
      <c r="CN21" s="71"/>
    </row>
    <row r="22" spans="1:92" s="49" customFormat="1" ht="11.25" customHeight="1" x14ac:dyDescent="0.2">
      <c r="A22" s="330" t="str">
        <f t="shared" si="0"/>
        <v>MORI</v>
      </c>
      <c r="B22" s="330"/>
      <c r="C22" s="331">
        <f>+VLOOKUP(A22,[1]ARS!A:EL,MATCH("Last",[1]ARS!$4:$4,0),FALSE)</f>
        <v>4.3</v>
      </c>
      <c r="D22" s="331"/>
      <c r="E22" s="72">
        <f>+VLOOKUP(A22,'[1]Market Cap'!I:J,2,FALSE)</f>
        <v>1</v>
      </c>
      <c r="F22" s="371">
        <f>IFERROR(IF(VLOOKUP(A22,[1]ARS!A:EL,MATCH("Total Debt To Total Equity, Percent FQ0",[1]ARS!$4:$4,0),FALSE)="NULL",IF(VLOOKUP(A22,[1]ARS!A:EL,MATCH("Total Debt To Total Equity, Percent FQ-1",[1]ARS!$4:$4,0),FALSE)="NULL","-",VLOOKUP(A22,[1]ARS!A:EL,MATCH("Total Debt To Total Equity, Percent FQ-1",[1]ARS!$4:$4,0))),VLOOKUP(A22,[1]ARS!A:EL,MATCH("Total Debt To Total Equity, Percent FQ0",[1]ARS!$4:$4,0),FALSE))/100,"-")</f>
        <v>1.8103776876680002</v>
      </c>
      <c r="G22" s="372"/>
      <c r="H22" s="373"/>
      <c r="I22" s="324">
        <f>IFERROR(VLOOKUP(A22,[1]ARS!A:EC,MATCH("Financial Leverage",[1]ARS!$4:$4,0),FALSE),"-")</f>
        <v>4.4528656220846097</v>
      </c>
      <c r="J22" s="324"/>
      <c r="K22" s="324"/>
      <c r="L22" s="325">
        <f>+IFERROR(IF(VLOOKUP(A22,[1]ARS!A:EL,MATCH("Curr Ratio FQ0",[1]ARS!$4:$4,0),FALSE)="NULL",IF(VLOOKUP(A22,[1]ARS!A:EL,MATCH("Curr Ratio FQ-1",[1]ARS!$4:$4,0),FALSE)="NULL","-",VLOOKUP(A22,[1]ARS!A:EL,MATCH("Curr Ratio FQ-1",[1]ARS!$4:$4,0),FALSE)),VLOOKUP(A22,[1]ARS!A:EL,MATCH("Curr Ratio FQ0",[1]ARS!$4:$4,0),FALSE)),"-")</f>
        <v>1.1402300000000001</v>
      </c>
      <c r="M22" s="333"/>
      <c r="N22" s="334"/>
      <c r="O22" s="325">
        <f>+IFERROR(IF(VLOOKUP(A22,[1]ARS!A:EL,MATCH("Quick Ratio FQ0",[1]ARS!$4:$4,0),FALSE)="NULL",IF(VLOOKUP(A22,[1]ARS!A:EL,MATCH("Quick Ratio FQ-1",[1]ARS!$4:$4,0),FALSE)="NULL","-",VLOOKUP(A22,[1]ARS!A:EL,MATCH("Quick Ratio FQ-1",[1]ARS!$4:$4,0),FALSE)),VLOOKUP(A22,[1]ARS!A:EL,MATCH("Quick Ratio FQ0",[1]ARS!$4:$4,0),FALSE)),"-")</f>
        <v>0.87421000000000004</v>
      </c>
      <c r="P22" s="333"/>
      <c r="Q22" s="334"/>
      <c r="R22" s="335" t="str">
        <f>+IFERROR(IF(VLOOKUP(A22,[1]ARS!$A:$EL,MATCH("Dividend yield",[1]ARS!$4:$4,0),FALSE)="NULL","-",VLOOKUP(A22,[1]ARS!$A:$EL,MATCH("Dividend Yield",[1]ARS!$4:$4,0),FALSE)/100),"-")</f>
        <v>-</v>
      </c>
      <c r="S22" s="336"/>
      <c r="T22" s="337"/>
      <c r="U22" s="324">
        <f>IF(IFERROR(VLOOKUP(A22,[1]ARS!A:EL,MATCH("Asset Turnover",[1]ARS!$4:$4,0),FALSE),"-")=0,"-",IFERROR(VLOOKUP(A22,[1]ARS!A:EL,MATCH("Asset Turnover",[1]ARS!$4:$4,0),FALSE),"-"))</f>
        <v>0.98455874175728098</v>
      </c>
      <c r="V22" s="324"/>
      <c r="W22" s="324"/>
      <c r="X22" s="328">
        <f>IFERROR(VLOOKUP(A22,[1]ARS!A:EL,MATCH("CCC",[1]ARS!$4:$4,0),FALSE),"-")</f>
        <v>-19.244282968522917</v>
      </c>
      <c r="Y22" s="328"/>
      <c r="Z22" s="328"/>
      <c r="AA22" s="383">
        <f>IF(IFERROR(VLOOKUP(A22,[1]ARS!A:EL,MATCH("Gross Margin, Percent",[1]ARS!$4:$4,0),FALSE)/100,"-")&lt;0,"-",IFERROR(VLOOKUP(A22,[1]ARS!A:EL,MATCH("Gross Margin, Percent",[1]ARS!$4:$4,0),FALSE)/100,"-"))</f>
        <v>2.4386E-3</v>
      </c>
      <c r="AB22" s="384"/>
      <c r="AC22" s="385"/>
      <c r="AD22" s="327" t="str">
        <f>IF(IFERROR(VLOOKUP(A22,[1]ARS!A:EL,MATCH("Operating Margin, Percent",[1]ARS!$4:$4,0),FALSE)/100,"-")&lt;0,"-",IFERROR(VLOOKUP(A22,[1]ARS!A:EL,MATCH("Operating Margin, Percent",[1]ARS!$4:$4,0),FALSE)/100,"-"))</f>
        <v>-</v>
      </c>
      <c r="AE22" s="327"/>
      <c r="AF22" s="327"/>
      <c r="AG22" s="327" t="str">
        <f>IF(IFERROR(VLOOKUP(A22,[1]ARS!A:EL,MATCH("Net Profit Margin",[1]ARS!$4:$4,0),FALSE),"-")&lt;0,"-",IFERROR(VLOOKUP(A22,[1]ARS!A:EL,MATCH("Net Profit Margin",[1]ARS!$4:$4,0),FALSE),"-"))</f>
        <v>-</v>
      </c>
      <c r="AH22" s="327"/>
      <c r="AI22" s="327"/>
      <c r="AJ22" s="327">
        <f>IFERROR(VLOOKUP(A22,[1]ARS!A:EL,MATCH("FCF/Revenue",[1]ARS!$4:$4,0),FALSE),"-")</f>
        <v>-0.44166227868798924</v>
      </c>
      <c r="AK22" s="327"/>
      <c r="AL22" s="327"/>
      <c r="AM22" s="329" t="str">
        <f>IFERROR(IF(VLOOKUP(A22,[1]ARS!A:EL,MATCH("ROE",[1]ARS!$4:$4,0),FALSE)&lt;-5,"-",VLOOKUP(A22,[1]ARS!A:EL,MATCH("ROE",[1]ARS!$4:$4,0),FALSE)),"-")</f>
        <v>-</v>
      </c>
      <c r="AN22" s="329"/>
      <c r="AO22" s="329"/>
      <c r="AP22" s="327">
        <f>IFERROR(VLOOKUP(A22,[1]ARS!A:EL,MATCH("ROA",[1]ARS!$4:$4,0),FALSE),"-")</f>
        <v>-0.34721795659177879</v>
      </c>
      <c r="AQ22" s="327"/>
      <c r="AR22" s="327"/>
      <c r="AS22" s="53">
        <f>+VLOOKUP(A22,[1]ARS!$A$5:$EL$85,MATCH("Last Q y/y",[1]ARS!$4:$4,0),FALSE)</f>
        <v>-0.41055073369642092</v>
      </c>
      <c r="AT22" s="53">
        <f>+VLOOKUP(A22,[1]ARS!$A$5:$EL$99,MATCH("Last 5 yrs - Annual",[1]ARS!$4:$4,0),FALSE)</f>
        <v>-0.29184590814734845</v>
      </c>
      <c r="AU22" s="54">
        <f>+VLOOKUP(A22,[1]ARS!$A$5:$EL$84,MATCH("Desvio",[1]ARS!$4:$4,0),FALSE)</f>
        <v>0.38017710148331113</v>
      </c>
      <c r="AV22" s="55">
        <f>+VLOOKUP(A22,'[1]Prom. Vtas Ult 5 años'!$A$3:$D$81,3,FALSE)</f>
        <v>-8.8115836842105253</v>
      </c>
      <c r="AW22" s="56">
        <f>+VLOOKUP(A22,'[1]Prom. Vtas Ult 5 años'!$A$3:$D$81,4,FALSE)</f>
        <v>2.2757606812576947</v>
      </c>
      <c r="AX22" s="324">
        <f>IFERROR((VLOOKUP(A22,[1]ARS!A:EL,MATCH("Enterprise Value (Daily Time Series)",[1]ARS!$4:$4,0),FALSE)/1000000000),"-")</f>
        <v>0.31615799369999997</v>
      </c>
      <c r="AY22" s="324"/>
      <c r="AZ22" s="324"/>
      <c r="BA22" s="324">
        <f>IFERROR((VLOOKUP(A22,[1]ARS!A:EL,MATCH("Company Market Cap",[1]ARS!$4:$4,0),FALSE)/1000000000),"-")</f>
        <v>0.20636887919999999</v>
      </c>
      <c r="BB22" s="324"/>
      <c r="BC22" s="324"/>
      <c r="BD22" s="324" t="str">
        <f>IF(VLOOKUP(A22,[1]ARS!A:EL,MATCH("Enterprise Value To EBITDA (Daily Time Series Ratio)",[1]ARS!$4:$4,0),FALSE)="NULL","-",VLOOKUP(A22,[1]ARS!A:EL,MATCH("Enterprise Value To EBITDA (Daily Time Series Ratio)",[1]ARS!$4:$4,0),FALSE))</f>
        <v>-</v>
      </c>
      <c r="BE22" s="324"/>
      <c r="BF22" s="324"/>
      <c r="BG22" s="324">
        <f>IF(OR(IFERROR(VLOOKUP(A22,[1]ARS!A:EL,MATCH("Price To Tangible Book Value",[1]ARS!$4:$4,0),FALSE),"-")&lt;0,IFERROR(VLOOKUP(A22,[1]ARS!A:EL,MATCH("Price To Tangible Book Value",[1]ARS!$4:$4,0),FALSE),"-")&gt;100),"-",IFERROR(VLOOKUP(A22,[1]ARS!A:EL,MATCH("Price To Tangible Book Value",[1]ARS!$4:$4,0),FALSE),"-"))</f>
        <v>3.8613282090670697</v>
      </c>
      <c r="BH22" s="324"/>
      <c r="BI22" s="324"/>
      <c r="BJ22" s="325" t="str">
        <f>IF(OR(IFERROR(VLOOKUP(A22,[1]ARS!A:EL,MATCH("P/E (Daily Time Series Ratio)",[1]ARS!$4:$4,0),FALSE),"-")&lt;0,IFERROR(VLOOKUP(A22,[1]ARS!A:EL,MATCH("P/E (Daily Time Series Ratio)",[1]ARS!$4:$4,0),FALSE),"-")&gt;500),"-",IFERROR(VLOOKUP(A22,[1]ARS!A:EL,MATCH("P/E (Daily Time Series Ratio)",[1]ARS!$4:$4,0),FALSE),"-"))</f>
        <v>-</v>
      </c>
      <c r="BK22" s="333"/>
      <c r="BL22" s="334"/>
      <c r="BM22" s="324">
        <f>IF(OR(IFERROR(VLOOKUP(A22,[1]ARS!A:EC,MATCH("Price To Sales",[1]ARS!$4:$4,0),FALSE),"-")&lt;0,IFERROR(VLOOKUP(A22,[1]ARS!A:EC,MATCH("Price To Sales",[1]ARS!$4:$4,0),FALSE),"-")&gt;100),"-",IFERROR(VLOOKUP(A22,[1]ARS!A:EC,MATCH("Price To Sales",[1]ARS!$4:$4,0),FALSE),"-"))</f>
        <v>1.2056481637002996</v>
      </c>
      <c r="BN22" s="324"/>
      <c r="BO22" s="324"/>
      <c r="BP22" s="325" t="str">
        <f>+IFERROR(IF(VLOOKUP(A22,[1]ARS!A:EO,MATCH("Price to Free Cash Flow",[1]ARS!$4:$4,0),FALSE)="NULL","-",VLOOKUP(A22,[1]ARS!A:EO,MATCH("Price to Free Cash Flow",[1]ARS!$4:$4,0),FALSE)),"-")</f>
        <v>-</v>
      </c>
      <c r="BQ22" s="333"/>
      <c r="BR22" s="334"/>
      <c r="BS22" s="57">
        <f>IF(VLOOKUP(A22,[1]ARS!A:EE,MATCH("Daily Beta - 180 Day",[1]ARS!$4:$4,0),FALSE)="NULL","-",VLOOKUP(A22,[1]ARS!A:EE,MATCH("Daily Beta - 180 Day",[1]ARS!$4:$4,0),FALSE))</f>
        <v>1.01854881237101</v>
      </c>
      <c r="BT22" s="53">
        <f>+VLOOKUP(A22,[1]ARS!$A:$EH,MATCH("Volatilidad histórica",[1]ARS!$4:$4,0),FALSE)</f>
        <v>0.54445185921625605</v>
      </c>
      <c r="BU22" s="56">
        <f>+VLOOKUP(A22,[1]ARS!$A$5:$EM$85,MATCH("Rto Medio",[1]ARS!$4:$4,0),FALSE)</f>
        <v>-9.0573918636191575E-2</v>
      </c>
      <c r="BV22" s="58">
        <f>+IF(VLOOKUP(Template!A22,[1]ARS!A:AA,MATCH("Period End Date",[1]ARS!$3:$3,0),FALSE)="","-",VLOOKUP(Template!A22,[1]ARS!A:AA,MATCH("Period End Date",[1]ARS!$3:$3,0),FALSE))</f>
        <v>43069</v>
      </c>
      <c r="BW22" s="59" t="str">
        <f t="shared" si="1"/>
        <v>MORI</v>
      </c>
      <c r="BX22" s="4"/>
      <c r="BY22" s="47" t="s">
        <v>56</v>
      </c>
      <c r="BZ22" s="48">
        <f t="shared" si="4"/>
        <v>1.2056481637002996</v>
      </c>
      <c r="CA22" s="48">
        <f t="shared" si="2"/>
        <v>3.8613282090670697</v>
      </c>
      <c r="CB22" s="48" t="str">
        <f t="shared" si="3"/>
        <v>-</v>
      </c>
      <c r="CD22" s="48" t="s">
        <v>56</v>
      </c>
      <c r="CE22" s="69">
        <v>1.2056481637002996</v>
      </c>
      <c r="CF22" s="48">
        <v>3.8613282090670697</v>
      </c>
      <c r="CG22" s="48" t="s">
        <v>49</v>
      </c>
      <c r="CN22" s="51"/>
    </row>
    <row r="23" spans="1:92" s="61" customFormat="1" ht="11.25" customHeight="1" x14ac:dyDescent="0.2">
      <c r="A23" s="401" t="str">
        <f t="shared" si="0"/>
        <v>ESME</v>
      </c>
      <c r="B23" s="402"/>
      <c r="C23" s="289">
        <f>+VLOOKUP(A23,[1]ARS!A:EL,MATCH("Last",[1]ARS!$4:$4,0),FALSE)</f>
        <v>93</v>
      </c>
      <c r="D23" s="289"/>
      <c r="E23" s="73">
        <f>+VLOOKUP(A23,'[1]Market Cap'!I:J,2,FALSE)</f>
        <v>0.01</v>
      </c>
      <c r="F23" s="290">
        <f>IFERROR(IF(VLOOKUP(A23,[1]ARS!A:EL,MATCH("Total Debt To Total Equity, Percent FQ0",[1]ARS!$4:$4,0),FALSE)="NULL",IF(VLOOKUP(A23,[1]ARS!A:EL,MATCH("Total Debt To Total Equity, Percent FQ-1",[1]ARS!$4:$4,0),FALSE)="NULL","-",VLOOKUP(A23,[1]ARS!A:EL,MATCH("Total Debt To Total Equity, Percent FQ-1",[1]ARS!$4:$4,0))),VLOOKUP(A23,[1]ARS!A:EL,MATCH("Total Debt To Total Equity, Percent FQ0",[1]ARS!$4:$4,0),FALSE))/100,"-")</f>
        <v>5.3437603239999999E-2</v>
      </c>
      <c r="G23" s="291"/>
      <c r="H23" s="292"/>
      <c r="I23" s="281">
        <f>IFERROR(VLOOKUP(A23,[1]ARS!A:EC,MATCH("Financial Leverage",[1]ARS!$4:$4,0),FALSE),"-")</f>
        <v>1.9018761461281992</v>
      </c>
      <c r="J23" s="281"/>
      <c r="K23" s="281"/>
      <c r="L23" s="282">
        <f>+IFERROR(IF(VLOOKUP(A23,[1]ARS!A:EL,MATCH("Curr Ratio FQ0",[1]ARS!$4:$4,0),FALSE)="NULL",IF(VLOOKUP(A23,[1]ARS!A:EL,MATCH("Curr Ratio FQ-1",[1]ARS!$4:$4,0),FALSE)="NULL","-",VLOOKUP(A23,[1]ARS!A:EL,MATCH("Curr Ratio FQ-1",[1]ARS!$4:$4,0),FALSE)),VLOOKUP(A23,[1]ARS!A:EL,MATCH("Curr Ratio FQ0",[1]ARS!$4:$4,0),FALSE)),"-")</f>
        <v>2.3121900000000002</v>
      </c>
      <c r="M23" s="293"/>
      <c r="N23" s="294"/>
      <c r="O23" s="282">
        <f>+IFERROR(IF(VLOOKUP(A23,[1]ARS!A:EL,MATCH("Quick Ratio FQ0",[1]ARS!$4:$4,0),FALSE)="NULL",IF(VLOOKUP(A23,[1]ARS!A:EL,MATCH("Quick Ratio FQ-1",[1]ARS!$4:$4,0),FALSE)="NULL","-",VLOOKUP(A23,[1]ARS!A:EL,MATCH("Quick Ratio FQ-1",[1]ARS!$4:$4,0),FALSE)),VLOOKUP(A23,[1]ARS!A:EL,MATCH("Quick Ratio FQ0",[1]ARS!$4:$4,0),FALSE)),"-")</f>
        <v>1.2203900000000001</v>
      </c>
      <c r="P23" s="293"/>
      <c r="Q23" s="294"/>
      <c r="R23" s="295">
        <f>+IFERROR(IF(VLOOKUP(A23,[1]ARS!$A:$EL,MATCH("Dividend yield",[1]ARS!$4:$4,0),FALSE)="NULL","-",VLOOKUP(A23,[1]ARS!$A:$EL,MATCH("Dividend Yield",[1]ARS!$4:$4,0),FALSE)/100),"-")</f>
        <v>5.9883040936842104E-3</v>
      </c>
      <c r="S23" s="296"/>
      <c r="T23" s="297"/>
      <c r="U23" s="281">
        <f>IF(IFERROR(VLOOKUP(A23,[1]ARS!A:EL,MATCH("Asset Turnover",[1]ARS!$4:$4,0),FALSE),"-")=0,"-",IFERROR(VLOOKUP(A23,[1]ARS!A:EL,MATCH("Asset Turnover",[1]ARS!$4:$4,0),FALSE),"-"))</f>
        <v>1.3216949536670035</v>
      </c>
      <c r="V23" s="281"/>
      <c r="W23" s="281"/>
      <c r="X23" s="284">
        <f>IFERROR(VLOOKUP(A23,[1]ARS!A:EL,MATCH("CCC",[1]ARS!$4:$4,0),FALSE),"-")</f>
        <v>167.06622518028544</v>
      </c>
      <c r="Y23" s="284"/>
      <c r="Z23" s="284"/>
      <c r="AA23" s="380">
        <f>IF(IFERROR(VLOOKUP(A23,[1]ARS!A:EL,MATCH("Gross Margin, Percent",[1]ARS!$4:$4,0),FALSE)/100,"-")&lt;0,"-",IFERROR(VLOOKUP(A23,[1]ARS!A:EL,MATCH("Gross Margin, Percent",[1]ARS!$4:$4,0),FALSE)/100,"-"))</f>
        <v>0.41666350000000002</v>
      </c>
      <c r="AB23" s="381"/>
      <c r="AC23" s="382"/>
      <c r="AD23" s="283">
        <f>IF(IFERROR(VLOOKUP(A23,[1]ARS!A:EL,MATCH("Operating Margin, Percent",[1]ARS!$4:$4,0),FALSE)/100,"-")&lt;0,"-",IFERROR(VLOOKUP(A23,[1]ARS!A:EL,MATCH("Operating Margin, Percent",[1]ARS!$4:$4,0),FALSE)/100,"-"))</f>
        <v>0.16901070000000001</v>
      </c>
      <c r="AE23" s="283"/>
      <c r="AF23" s="283"/>
      <c r="AG23" s="283">
        <f>IF(IFERROR(VLOOKUP(A23,[1]ARS!A:EL,MATCH("Net Profit Margin",[1]ARS!$4:$4,0),FALSE),"-")&lt;0,"-",IFERROR(VLOOKUP(A23,[1]ARS!A:EL,MATCH("Net Profit Margin",[1]ARS!$4:$4,0),FALSE),"-"))</f>
        <v>0.10570462795254286</v>
      </c>
      <c r="AH23" s="283"/>
      <c r="AI23" s="283"/>
      <c r="AJ23" s="283">
        <f>IFERROR(VLOOKUP(A23,[1]ARS!A:EL,MATCH("FCF/Revenue",[1]ARS!$4:$4,0),FALSE),"-")</f>
        <v>-5.1244746159549662E-3</v>
      </c>
      <c r="AK23" s="283"/>
      <c r="AL23" s="283"/>
      <c r="AM23" s="283">
        <f>IFERROR(IF(VLOOKUP(A23,[1]ARS!A:EL,MATCH("ROE",[1]ARS!$4:$4,0),FALSE)&lt;-5,"-",VLOOKUP(A23,[1]ARS!A:EL,MATCH("ROE",[1]ARS!$4:$4,0),FALSE)),"-")</f>
        <v>0.20394102156151089</v>
      </c>
      <c r="AN23" s="283"/>
      <c r="AO23" s="283"/>
      <c r="AP23" s="283">
        <f>IFERROR(VLOOKUP(A23,[1]ARS!A:EL,MATCH("ROA",[1]ARS!$4:$4,0),FALSE),"-")</f>
        <v>0.11176786606015593</v>
      </c>
      <c r="AQ23" s="283"/>
      <c r="AR23" s="283"/>
      <c r="AS23" s="40">
        <f>+VLOOKUP(A23,[1]ARS!$A$5:$EL$85,MATCH("Last Q y/y",[1]ARS!$4:$4,0),FALSE)</f>
        <v>-8.0994870179925793E-2</v>
      </c>
      <c r="AT23" s="40">
        <f>+VLOOKUP(A23,[1]ARS!$A$5:$EL$99,MATCH("Last 5 yrs - Annual",[1]ARS!$4:$4,0),FALSE)</f>
        <v>0.47035630194950384</v>
      </c>
      <c r="AU23" s="41">
        <f>+VLOOKUP(A23,[1]ARS!$A$5:$EL$84,MATCH("Desvio",[1]ARS!$4:$4,0),FALSE)</f>
        <v>0.39440583686483288</v>
      </c>
      <c r="AV23" s="42">
        <f>+VLOOKUP(A23,'[1]Prom. Vtas Ult 5 años'!$A$3:$D$81,3,FALSE)</f>
        <v>56.280278421052628</v>
      </c>
      <c r="AW23" s="40">
        <f>+VLOOKUP(A23,'[1]Prom. Vtas Ult 5 años'!$A$3:$D$81,4,FALSE)</f>
        <v>2.6731771317937687</v>
      </c>
      <c r="AX23" s="281">
        <f>IFERROR((VLOOKUP(A23,[1]ARS!A:EL,MATCH("Enterprise Value (Daily Time Series)",[1]ARS!$4:$4,0),FALSE)/1000000000),"-")</f>
        <v>5.4379338199999907</v>
      </c>
      <c r="AY23" s="281"/>
      <c r="AZ23" s="281"/>
      <c r="BA23" s="281">
        <f>IFERROR((VLOOKUP(A23,[1]ARS!A:EL,MATCH("Company Market Cap",[1]ARS!$4:$4,0),FALSE)/1000000000),"-")</f>
        <v>5.3632582639999997</v>
      </c>
      <c r="BB23" s="281"/>
      <c r="BC23" s="281"/>
      <c r="BD23" s="281">
        <f>IF(VLOOKUP(A23,[1]ARS!A:EL,MATCH("Enterprise Value To EBITDA (Daily Time Series Ratio)",[1]ARS!$4:$4,0),FALSE)="NULL","-",VLOOKUP(A23,[1]ARS!A:EL,MATCH("Enterprise Value To EBITDA (Daily Time Series Ratio)",[1]ARS!$4:$4,0),FALSE))</f>
        <v>12.4284607902202</v>
      </c>
      <c r="BE23" s="281"/>
      <c r="BF23" s="281"/>
      <c r="BG23" s="281">
        <f>IF(OR(IFERROR(VLOOKUP(A23,[1]ARS!A:EL,MATCH("Price To Tangible Book Value",[1]ARS!$4:$4,0),FALSE),"-")&lt;0,IFERROR(VLOOKUP(A23,[1]ARS!A:EL,MATCH("Price To Tangible Book Value",[1]ARS!$4:$4,0),FALSE),"-")&gt;100),"-",IFERROR(VLOOKUP(A23,[1]ARS!A:EL,MATCH("Price To Tangible Book Value",[1]ARS!$4:$4,0),FALSE),"-"))</f>
        <v>3.3850747445063822</v>
      </c>
      <c r="BH23" s="281"/>
      <c r="BI23" s="281"/>
      <c r="BJ23" s="282" t="str">
        <f>IF(OR(IFERROR(VLOOKUP(A23,[1]ARS!A:EL,MATCH("P/E (Daily Time Series Ratio)",[1]ARS!$4:$4,0),FALSE),"-")&lt;0,IFERROR(VLOOKUP(A23,[1]ARS!A:EL,MATCH("P/E (Daily Time Series Ratio)",[1]ARS!$4:$4,0),FALSE),"-")&gt;500),"-",IFERROR(VLOOKUP(A23,[1]ARS!A:EL,MATCH("P/E (Daily Time Series Ratio)",[1]ARS!$4:$4,0),FALSE),"-"))</f>
        <v>-</v>
      </c>
      <c r="BK23" s="293"/>
      <c r="BL23" s="294"/>
      <c r="BM23" s="281">
        <f>IF(OR(IFERROR(VLOOKUP(A23,[1]ARS!A:EC,MATCH("Price To Sales",[1]ARS!$4:$4,0),FALSE),"-")&lt;0,IFERROR(VLOOKUP(A23,[1]ARS!A:EC,MATCH("Price To Sales",[1]ARS!$4:$4,0),FALSE),"-")&gt;100),"-",IFERROR(VLOOKUP(A23,[1]ARS!A:EC,MATCH("Price To Sales",[1]ARS!$4:$4,0),FALSE),"-"))</f>
        <v>1.8883502788618935</v>
      </c>
      <c r="BN23" s="281"/>
      <c r="BO23" s="281"/>
      <c r="BP23" s="282">
        <f>+IFERROR(IF(VLOOKUP(A23,[1]ARS!A:EO,MATCH("Price to Free Cash Flow",[1]ARS!$4:$4,0),FALSE)="NULL","-",VLOOKUP(A23,[1]ARS!A:EO,MATCH("Price to Free Cash Flow",[1]ARS!$4:$4,0),FALSE)),"-")</f>
        <v>19.498871789999999</v>
      </c>
      <c r="BQ23" s="293"/>
      <c r="BR23" s="294"/>
      <c r="BS23" s="43" t="str">
        <f>IF(VLOOKUP(A23,[1]ARS!A:EE,MATCH("Daily Beta - 180 Day",[1]ARS!$4:$4,0),FALSE)="NULL","-",VLOOKUP(A23,[1]ARS!A:EE,MATCH("Daily Beta - 180 Day",[1]ARS!$4:$4,0),FALSE))</f>
        <v>-</v>
      </c>
      <c r="BT23" s="40">
        <f>+VLOOKUP(A23,[1]ARS!$A:$EH,MATCH("Volatilidad histórica",[1]ARS!$4:$4,0),FALSE)</f>
        <v>0.34145818516428772</v>
      </c>
      <c r="BU23" s="44">
        <f>+VLOOKUP(A23,[1]ARS!$A$5:$EM$85,MATCH("Rto Medio",[1]ARS!$4:$4,0),FALSE)</f>
        <v>8.4777087466853196E-2</v>
      </c>
      <c r="BV23" s="45">
        <f>+IF(VLOOKUP(Template!A23,[1]ARS!A:AA,MATCH("Period End Date",[1]ARS!$3:$3,0),FALSE)="","-",VLOOKUP(Template!A23,[1]ARS!A:AA,MATCH("Period End Date",[1]ARS!$3:$3,0),FALSE))</f>
        <v>43008</v>
      </c>
      <c r="BW23" s="46" t="str">
        <f t="shared" si="1"/>
        <v>ESME</v>
      </c>
      <c r="BX23" s="60"/>
      <c r="BY23" s="48" t="s">
        <v>57</v>
      </c>
      <c r="BZ23" s="48">
        <f t="shared" si="4"/>
        <v>1.8883502788618935</v>
      </c>
      <c r="CA23" s="48">
        <f t="shared" si="2"/>
        <v>3.3850747445063822</v>
      </c>
      <c r="CB23" s="48" t="str">
        <f t="shared" si="3"/>
        <v>-</v>
      </c>
      <c r="CD23" s="68" t="s">
        <v>57</v>
      </c>
      <c r="CE23" s="69">
        <v>1.8883502788618935</v>
      </c>
      <c r="CF23" s="47">
        <v>3.3850747445063822</v>
      </c>
      <c r="CG23" s="47" t="s">
        <v>49</v>
      </c>
      <c r="CN23" s="62"/>
    </row>
    <row r="24" spans="1:92" s="49" customFormat="1" ht="11.25" customHeight="1" x14ac:dyDescent="0.2">
      <c r="A24" s="330" t="str">
        <f t="shared" si="0"/>
        <v>INVJ</v>
      </c>
      <c r="B24" s="330"/>
      <c r="C24" s="331">
        <f>+VLOOKUP(A24,[1]ARS!A:EL,MATCH("Last",[1]ARS!$4:$4,0),FALSE)</f>
        <v>10.8</v>
      </c>
      <c r="D24" s="331"/>
      <c r="E24" s="74">
        <f>+VLOOKUP(A24,'[1]Market Cap'!I:J,2,FALSE)</f>
        <v>1</v>
      </c>
      <c r="F24" s="371">
        <f>IFERROR(IF(VLOOKUP(A24,[1]ARS!A:EL,MATCH("Total Debt To Total Equity, Percent FQ0",[1]ARS!$4:$4,0),FALSE)="NULL",IF(VLOOKUP(A24,[1]ARS!A:EL,MATCH("Total Debt To Total Equity, Percent FQ-1",[1]ARS!$4:$4,0),FALSE)="NULL","-",VLOOKUP(A24,[1]ARS!A:EL,MATCH("Total Debt To Total Equity, Percent FQ-1",[1]ARS!$4:$4,0))),VLOOKUP(A24,[1]ARS!A:EL,MATCH("Total Debt To Total Equity, Percent FQ0",[1]ARS!$4:$4,0),FALSE))/100,"-")</f>
        <v>0.34575823781999998</v>
      </c>
      <c r="G24" s="372"/>
      <c r="H24" s="373"/>
      <c r="I24" s="324">
        <f>IFERROR(VLOOKUP(A24,[1]ARS!A:EC,MATCH("Financial Leverage",[1]ARS!$4:$4,0),FALSE),"-")</f>
        <v>2.0867252965142948</v>
      </c>
      <c r="J24" s="324"/>
      <c r="K24" s="324"/>
      <c r="L24" s="325">
        <f>+IFERROR(IF(VLOOKUP(A24,[1]ARS!A:EL,MATCH("Curr Ratio FQ0",[1]ARS!$4:$4,0),FALSE)="NULL",IF(VLOOKUP(A24,[1]ARS!A:EL,MATCH("Curr Ratio FQ-1",[1]ARS!$4:$4,0),FALSE)="NULL","-",VLOOKUP(A24,[1]ARS!A:EL,MATCH("Curr Ratio FQ-1",[1]ARS!$4:$4,0),FALSE)),VLOOKUP(A24,[1]ARS!A:EL,MATCH("Curr Ratio FQ0",[1]ARS!$4:$4,0),FALSE)),"-")</f>
        <v>1.5289999999999999</v>
      </c>
      <c r="M24" s="333"/>
      <c r="N24" s="334"/>
      <c r="O24" s="325">
        <f>+IFERROR(IF(VLOOKUP(A24,[1]ARS!A:EL,MATCH("Quick Ratio FQ0",[1]ARS!$4:$4,0),FALSE)="NULL",IF(VLOOKUP(A24,[1]ARS!A:EL,MATCH("Quick Ratio FQ-1",[1]ARS!$4:$4,0),FALSE)="NULL","-",VLOOKUP(A24,[1]ARS!A:EL,MATCH("Quick Ratio FQ-1",[1]ARS!$4:$4,0),FALSE)),VLOOKUP(A24,[1]ARS!A:EL,MATCH("Quick Ratio FQ0",[1]ARS!$4:$4,0),FALSE)),"-")</f>
        <v>0.67003999999999997</v>
      </c>
      <c r="P24" s="333"/>
      <c r="Q24" s="334"/>
      <c r="R24" s="335" t="str">
        <f>+IFERROR(IF(VLOOKUP(A24,[1]ARS!$A:$EL,MATCH("Dividend yield",[1]ARS!$4:$4,0),FALSE)="NULL","-",VLOOKUP(A24,[1]ARS!$A:$EL,MATCH("Dividend Yield",[1]ARS!$4:$4,0),FALSE)/100),"-")</f>
        <v>-</v>
      </c>
      <c r="S24" s="336"/>
      <c r="T24" s="337"/>
      <c r="U24" s="324">
        <f>IF(IFERROR(VLOOKUP(A24,[1]ARS!A:EL,MATCH("Asset Turnover",[1]ARS!$4:$4,0),FALSE),"-")=0,"-",IFERROR(VLOOKUP(A24,[1]ARS!A:EL,MATCH("Asset Turnover",[1]ARS!$4:$4,0),FALSE),"-"))</f>
        <v>0.65102829515473437</v>
      </c>
      <c r="V24" s="324"/>
      <c r="W24" s="324"/>
      <c r="X24" s="328">
        <f>IFERROR(VLOOKUP(A24,[1]ARS!A:EL,MATCH("CCC",[1]ARS!$4:$4,0),FALSE),"-")</f>
        <v>194.56485304381627</v>
      </c>
      <c r="Y24" s="328"/>
      <c r="Z24" s="328"/>
      <c r="AA24" s="383">
        <f>IF(IFERROR(VLOOKUP(A24,[1]ARS!A:EL,MATCH("Gross Margin, Percent",[1]ARS!$4:$4,0),FALSE)/100,"-")&lt;0,"-",IFERROR(VLOOKUP(A24,[1]ARS!A:EL,MATCH("Gross Margin, Percent",[1]ARS!$4:$4,0),FALSE)/100,"-"))</f>
        <v>0.24398069999999999</v>
      </c>
      <c r="AB24" s="384"/>
      <c r="AC24" s="385"/>
      <c r="AD24" s="327">
        <f>IF(IFERROR(VLOOKUP(A24,[1]ARS!A:EL,MATCH("Operating Margin, Percent",[1]ARS!$4:$4,0),FALSE)/100,"-")&lt;0,"-",IFERROR(VLOOKUP(A24,[1]ARS!A:EL,MATCH("Operating Margin, Percent",[1]ARS!$4:$4,0),FALSE)/100,"-"))</f>
        <v>6.7732700000000007E-2</v>
      </c>
      <c r="AE24" s="327"/>
      <c r="AF24" s="327"/>
      <c r="AG24" s="327">
        <f>IF(IFERROR(VLOOKUP(A24,[1]ARS!A:EL,MATCH("Net Profit Margin",[1]ARS!$4:$4,0),FALSE),"-")&lt;0,"-",IFERROR(VLOOKUP(A24,[1]ARS!A:EL,MATCH("Net Profit Margin",[1]ARS!$4:$4,0),FALSE),"-"))</f>
        <v>4.2390427258231569E-2</v>
      </c>
      <c r="AH24" s="327"/>
      <c r="AI24" s="327"/>
      <c r="AJ24" s="327">
        <f>IFERROR(VLOOKUP(A24,[1]ARS!A:EL,MATCH("FCF/Revenue",[1]ARS!$4:$4,0),FALSE),"-")</f>
        <v>-0.16660299199996365</v>
      </c>
      <c r="AK24" s="327"/>
      <c r="AL24" s="327"/>
      <c r="AM24" s="329">
        <f>IFERROR(IF(VLOOKUP(A24,[1]ARS!A:EL,MATCH("ROE",[1]ARS!$4:$4,0),FALSE)&lt;-5,"-",VLOOKUP(A24,[1]ARS!A:EL,MATCH("ROE",[1]ARS!$4:$4,0),FALSE)),"-")</f>
        <v>4.2583548932265701E-2</v>
      </c>
      <c r="AN24" s="329"/>
      <c r="AO24" s="329"/>
      <c r="AP24" s="327">
        <f>IFERROR(VLOOKUP(A24,[1]ARS!A:EL,MATCH("ROA",[1]ARS!$4:$4,0),FALSE),"-")</f>
        <v>2.2077948499512404E-2</v>
      </c>
      <c r="AQ24" s="327"/>
      <c r="AR24" s="327"/>
      <c r="AS24" s="53">
        <f>+VLOOKUP(A24,[1]ARS!$A$5:$EL$85,MATCH("Last Q y/y",[1]ARS!$4:$4,0),FALSE)</f>
        <v>3.6756744632792211</v>
      </c>
      <c r="AT24" s="53">
        <f>+VLOOKUP(A24,[1]ARS!$A$5:$EL$99,MATCH("Last 5 yrs - Annual",[1]ARS!$4:$4,0),FALSE)</f>
        <v>-7.3303017147781002</v>
      </c>
      <c r="AU24" s="54">
        <f>+VLOOKUP(A24,[1]ARS!$A$5:$EL$84,MATCH("Desvio",[1]ARS!$4:$4,0),FALSE)</f>
        <v>22.519596894554695</v>
      </c>
      <c r="AV24" s="55">
        <f>+VLOOKUP(A24,'[1]Prom. Vtas Ult 5 años'!$A$3:$D$81,3,FALSE)</f>
        <v>7.4589473684209831E-2</v>
      </c>
      <c r="AW24" s="56">
        <f>+VLOOKUP(A24,'[1]Prom. Vtas Ult 5 años'!$A$3:$D$81,4,FALSE)</f>
        <v>9.9544053243831545</v>
      </c>
      <c r="AX24" s="324">
        <f>IFERROR((VLOOKUP(A24,[1]ARS!A:EL,MATCH("Enterprise Value (Daily Time Series)",[1]ARS!$4:$4,0),FALSE)/1000000000),"-")</f>
        <v>5.2879618756000006</v>
      </c>
      <c r="AY24" s="324"/>
      <c r="AZ24" s="324"/>
      <c r="BA24" s="324">
        <f>IFERROR((VLOOKUP(A24,[1]ARS!A:EL,MATCH("Company Market Cap",[1]ARS!$4:$4,0),FALSE)/1000000000),"-")</f>
        <v>5.9067861551999998</v>
      </c>
      <c r="BB24" s="324"/>
      <c r="BC24" s="324"/>
      <c r="BD24" s="324">
        <f>IF(VLOOKUP(A24,[1]ARS!A:EL,MATCH("Enterprise Value To EBITDA (Daily Time Series Ratio)",[1]ARS!$4:$4,0),FALSE)="NULL","-",VLOOKUP(A24,[1]ARS!A:EL,MATCH("Enterprise Value To EBITDA (Daily Time Series Ratio)",[1]ARS!$4:$4,0),FALSE))</f>
        <v>15.659810886282701</v>
      </c>
      <c r="BE24" s="324"/>
      <c r="BF24" s="324"/>
      <c r="BG24" s="324">
        <f>IF(OR(IFERROR(VLOOKUP(A24,[1]ARS!A:EL,MATCH("Price To Tangible Book Value",[1]ARS!$4:$4,0),FALSE),"-")&lt;0,IFERROR(VLOOKUP(A24,[1]ARS!A:EL,MATCH("Price To Tangible Book Value",[1]ARS!$4:$4,0),FALSE),"-")&gt;100),"-",IFERROR(VLOOKUP(A24,[1]ARS!A:EL,MATCH("Price To Tangible Book Value",[1]ARS!$4:$4,0),FALSE),"-"))</f>
        <v>2.4739666130579279</v>
      </c>
      <c r="BH24" s="324"/>
      <c r="BI24" s="324"/>
      <c r="BJ24" s="325">
        <f>IF(OR(IFERROR(VLOOKUP(A24,[1]ARS!A:EL,MATCH("P/E (Daily Time Series Ratio)",[1]ARS!$4:$4,0),FALSE),"-")&lt;0,IFERROR(VLOOKUP(A24,[1]ARS!A:EL,MATCH("P/E (Daily Time Series Ratio)",[1]ARS!$4:$4,0),FALSE),"-")&gt;500),"-",IFERROR(VLOOKUP(A24,[1]ARS!A:EL,MATCH("P/E (Daily Time Series Ratio)",[1]ARS!$4:$4,0),FALSE),"-"))</f>
        <v>53.267570900123303</v>
      </c>
      <c r="BK24" s="333"/>
      <c r="BL24" s="334"/>
      <c r="BM24" s="324">
        <f>IF(OR(IFERROR(VLOOKUP(A24,[1]ARS!A:EC,MATCH("Price To Sales",[1]ARS!$4:$4,0),FALSE),"-")&lt;0,IFERROR(VLOOKUP(A24,[1]ARS!A:EC,MATCH("Price To Sales",[1]ARS!$4:$4,0),FALSE),"-")&gt;100),"-",IFERROR(VLOOKUP(A24,[1]ARS!A:EC,MATCH("Price To Sales",[1]ARS!$4:$4,0),FALSE),"-"))</f>
        <v>2.6003962092484407</v>
      </c>
      <c r="BN24" s="324"/>
      <c r="BO24" s="324"/>
      <c r="BP24" s="325" t="str">
        <f>+IFERROR(IF(VLOOKUP(A24,[1]ARS!A:EO,MATCH("Price to Free Cash Flow",[1]ARS!$4:$4,0),FALSE)="NULL","-",VLOOKUP(A24,[1]ARS!A:EO,MATCH("Price to Free Cash Flow",[1]ARS!$4:$4,0),FALSE)),"-")</f>
        <v>-</v>
      </c>
      <c r="BQ24" s="333"/>
      <c r="BR24" s="334"/>
      <c r="BS24" s="57">
        <f>IF(VLOOKUP(A24,[1]ARS!A:EE,MATCH("Daily Beta - 180 Day",[1]ARS!$4:$4,0),FALSE)="NULL","-",VLOOKUP(A24,[1]ARS!A:EE,MATCH("Daily Beta - 180 Day",[1]ARS!$4:$4,0),FALSE))</f>
        <v>0.49815805732170299</v>
      </c>
      <c r="BT24" s="53" t="str">
        <f>+VLOOKUP(A24,[1]ARS!$A:$EH,MATCH("Volatilidad histórica",[1]ARS!$4:$4,0),FALSE)</f>
        <v>-</v>
      </c>
      <c r="BU24" s="56" t="str">
        <f>+VLOOKUP(A24,[1]ARS!$A$5:$EM$85,MATCH("Rto Medio",[1]ARS!$4:$4,0),FALSE)</f>
        <v>-</v>
      </c>
      <c r="BV24" s="58">
        <f>+IF(VLOOKUP(Template!A24,[1]ARS!A:AA,MATCH("Period End Date",[1]ARS!$3:$3,0),FALSE)="","-",VLOOKUP(Template!A24,[1]ARS!A:AA,MATCH("Period End Date",[1]ARS!$3:$3,0),FALSE))</f>
        <v>43008</v>
      </c>
      <c r="BW24" s="59" t="str">
        <f t="shared" si="1"/>
        <v>INVJ</v>
      </c>
      <c r="BX24" s="4"/>
      <c r="BY24" s="48" t="s">
        <v>58</v>
      </c>
      <c r="BZ24" s="48">
        <f t="shared" si="4"/>
        <v>2.6003962092484407</v>
      </c>
      <c r="CA24" s="48">
        <f t="shared" si="2"/>
        <v>2.4739666130579279</v>
      </c>
      <c r="CB24" s="48">
        <f t="shared" si="3"/>
        <v>53.267570900123303</v>
      </c>
      <c r="CD24" s="48" t="s">
        <v>58</v>
      </c>
      <c r="CE24" s="50">
        <v>2.6003962092484407</v>
      </c>
      <c r="CF24" s="47">
        <v>2.4739666130579279</v>
      </c>
      <c r="CG24" s="47">
        <v>53.760789149198516</v>
      </c>
      <c r="CH24" s="48"/>
      <c r="CN24" s="51"/>
    </row>
    <row r="25" spans="1:92" s="49" customFormat="1" ht="11.25" customHeight="1" x14ac:dyDescent="0.2">
      <c r="A25" s="401" t="str">
        <f t="shared" si="0"/>
        <v>SAMI</v>
      </c>
      <c r="B25" s="402"/>
      <c r="C25" s="289">
        <f>+VLOOKUP(A25,[1]ARS!A:EL,MATCH("Last",[1]ARS!$4:$4,0),FALSE)</f>
        <v>110.5</v>
      </c>
      <c r="D25" s="289"/>
      <c r="E25" s="73">
        <f>+VLOOKUP(A25,'[1]Market Cap'!I:J,2,FALSE)</f>
        <v>0.1</v>
      </c>
      <c r="F25" s="290">
        <f>IFERROR(IF(VLOOKUP(A25,[1]ARS!A:EL,MATCH("Total Debt To Total Equity, Percent FQ0",[1]ARS!$4:$4,0),FALSE)="NULL",IF(VLOOKUP(A25,[1]ARS!A:EL,MATCH("Total Debt To Total Equity, Percent FQ-1",[1]ARS!$4:$4,0),FALSE)="NULL","-",VLOOKUP(A25,[1]ARS!A:EL,MATCH("Total Debt To Total Equity, Percent FQ-1",[1]ARS!$4:$4,0))),VLOOKUP(A25,[1]ARS!A:EL,MATCH("Total Debt To Total Equity, Percent FQ0",[1]ARS!$4:$4,0),FALSE))/100,"-")</f>
        <v>1.9773112367799999</v>
      </c>
      <c r="G25" s="291"/>
      <c r="H25" s="292"/>
      <c r="I25" s="281">
        <f>IFERROR(VLOOKUP(A25,[1]ARS!A:EC,MATCH("Financial Leverage",[1]ARS!$4:$4,0),FALSE),"-")</f>
        <v>3.8366233668959078</v>
      </c>
      <c r="J25" s="281"/>
      <c r="K25" s="281"/>
      <c r="L25" s="282" t="s">
        <v>49</v>
      </c>
      <c r="M25" s="293"/>
      <c r="N25" s="294"/>
      <c r="O25" s="282" t="s">
        <v>49</v>
      </c>
      <c r="P25" s="293"/>
      <c r="Q25" s="294"/>
      <c r="R25" s="295" t="str">
        <f>+IFERROR(IF(VLOOKUP(A25,[1]ARS!$A:$EL,MATCH("Dividend yield",[1]ARS!$4:$4,0),FALSE)="NULL","-",VLOOKUP(A25,[1]ARS!$A:$EL,MATCH("Dividend Yield",[1]ARS!$4:$4,0),FALSE)/100),"-")</f>
        <v>-</v>
      </c>
      <c r="S25" s="296"/>
      <c r="T25" s="297"/>
      <c r="U25" s="281">
        <f>IF(IFERROR(VLOOKUP(A25,[1]ARS!A:EL,MATCH("Asset Turnover",[1]ARS!$4:$4,0),FALSE),"-")=0,"-",IFERROR(VLOOKUP(A25,[1]ARS!A:EL,MATCH("Asset Turnover",[1]ARS!$4:$4,0),FALSE),"-"))</f>
        <v>0.75178422487770713</v>
      </c>
      <c r="V25" s="281"/>
      <c r="W25" s="281"/>
      <c r="X25" s="284">
        <f>IFERROR(VLOOKUP(A25,[1]ARS!A:EL,MATCH("CCC",[1]ARS!$4:$4,0),FALSE),"-")</f>
        <v>108.09354601095247</v>
      </c>
      <c r="Y25" s="284"/>
      <c r="Z25" s="284"/>
      <c r="AA25" s="380">
        <f>IF(IFERROR(VLOOKUP(A25,[1]ARS!A:EL,MATCH("Gross Margin, Percent",[1]ARS!$4:$4,0),FALSE)/100,"-")&lt;0,"-",IFERROR(VLOOKUP(A25,[1]ARS!A:EL,MATCH("Gross Margin, Percent",[1]ARS!$4:$4,0),FALSE)/100,"-"))</f>
        <v>0.35559640000000003</v>
      </c>
      <c r="AB25" s="381"/>
      <c r="AC25" s="382"/>
      <c r="AD25" s="283">
        <f>IF(IFERROR(VLOOKUP(A25,[1]ARS!A:EL,MATCH("Operating Margin, Percent",[1]ARS!$4:$4,0),FALSE)/100,"-")&lt;0,"-",IFERROR(VLOOKUP(A25,[1]ARS!A:EL,MATCH("Operating Margin, Percent",[1]ARS!$4:$4,0),FALSE)/100,"-"))</f>
        <v>0.1749908</v>
      </c>
      <c r="AE25" s="283"/>
      <c r="AF25" s="283"/>
      <c r="AG25" s="283">
        <f>IF(IFERROR(VLOOKUP(A25,[1]ARS!A:EL,MATCH("Net Profit Margin",[1]ARS!$4:$4,0),FALSE),"-")&lt;0,"-",IFERROR(VLOOKUP(A25,[1]ARS!A:EL,MATCH("Net Profit Margin",[1]ARS!$4:$4,0),FALSE),"-"))</f>
        <v>3.8278268562339186E-2</v>
      </c>
      <c r="AH25" s="283"/>
      <c r="AI25" s="283"/>
      <c r="AJ25" s="283">
        <f>IFERROR(VLOOKUP(A25,[1]ARS!A:EL,MATCH("FCF/Revenue",[1]ARS!$4:$4,0),FALSE),"-")</f>
        <v>-0.61264759181290074</v>
      </c>
      <c r="AK25" s="283"/>
      <c r="AL25" s="283"/>
      <c r="AM25" s="283">
        <f>IFERROR(IF(VLOOKUP(A25,[1]ARS!A:EL,MATCH("ROE",[1]ARS!$4:$4,0),FALSE)&lt;-5,"-",VLOOKUP(A25,[1]ARS!A:EL,MATCH("ROE",[1]ARS!$4:$4,0),FALSE)),"-")</f>
        <v>7.6564052889921602E-2</v>
      </c>
      <c r="AN25" s="283"/>
      <c r="AO25" s="283"/>
      <c r="AP25" s="283">
        <f>IFERROR(VLOOKUP(A25,[1]ARS!A:EL,MATCH("ROA",[1]ARS!$4:$4,0),FALSE),"-")</f>
        <v>2.3021638858598654E-2</v>
      </c>
      <c r="AQ25" s="283"/>
      <c r="AR25" s="283"/>
      <c r="AS25" s="40">
        <f>+VLOOKUP(A25,[1]ARS!$A$5:$EL$85,MATCH("Last Q y/y",[1]ARS!$4:$4,0),FALSE)</f>
        <v>0.4069706375902209</v>
      </c>
      <c r="AT25" s="40">
        <f>+VLOOKUP(A25,[1]ARS!$A$5:$EL$99,MATCH("Last 5 yrs - Annual",[1]ARS!$4:$4,0),FALSE)</f>
        <v>1.6607821263818323</v>
      </c>
      <c r="AU25" s="41">
        <f>+VLOOKUP(A25,[1]ARS!$A$5:$EL$84,MATCH("Desvio",[1]ARS!$4:$4,0),FALSE)</f>
        <v>2.5840555690947302</v>
      </c>
      <c r="AV25" s="42">
        <f>+VLOOKUP(A25,'[1]Prom. Vtas Ult 5 años'!$A$3:$D$81,3,FALSE)</f>
        <v>25.556921052631584</v>
      </c>
      <c r="AW25" s="40">
        <f>+VLOOKUP(A25,'[1]Prom. Vtas Ult 5 años'!$A$3:$D$81,4,FALSE)</f>
        <v>9.0275016232984502</v>
      </c>
      <c r="AX25" s="281">
        <f>IFERROR((VLOOKUP(A25,[1]ARS!A:EL,MATCH("Enterprise Value (Daily Time Series)",[1]ARS!$4:$4,0),FALSE)/1000000000),"-")</f>
        <v>8.5614174780000099</v>
      </c>
      <c r="AY25" s="281"/>
      <c r="AZ25" s="281"/>
      <c r="BA25" s="281" t="str">
        <f>IFERROR((VLOOKUP(A25,[1]ARS!A:EL,MATCH("Company Market Cap",[1]ARS!$4:$4,0),FALSE)/1000000000),"-")</f>
        <v>-</v>
      </c>
      <c r="BB25" s="281"/>
      <c r="BC25" s="281"/>
      <c r="BD25" s="281">
        <f>IF(VLOOKUP(A25,[1]ARS!A:EL,MATCH("Enterprise Value To EBITDA (Daily Time Series Ratio)",[1]ARS!$4:$4,0),FALSE)="NULL","-",VLOOKUP(A25,[1]ARS!A:EL,MATCH("Enterprise Value To EBITDA (Daily Time Series Ratio)",[1]ARS!$4:$4,0),FALSE))</f>
        <v>54.989089928373197</v>
      </c>
      <c r="BE25" s="281"/>
      <c r="BF25" s="281"/>
      <c r="BG25" s="281" t="str">
        <f>IF(OR(IFERROR(VLOOKUP(A25,[1]ARS!A:EL,MATCH("Price To Tangible Book Value",[1]ARS!$4:$4,0),FALSE),"-")&lt;0,IFERROR(VLOOKUP(A25,[1]ARS!A:EL,MATCH("Price To Tangible Book Value",[1]ARS!$4:$4,0),FALSE),"-")&gt;100),"-",IFERROR(VLOOKUP(A25,[1]ARS!A:EL,MATCH("Price To Tangible Book Value",[1]ARS!$4:$4,0),FALSE),"-"))</f>
        <v>-</v>
      </c>
      <c r="BH25" s="281"/>
      <c r="BI25" s="281"/>
      <c r="BJ25" s="282" t="str">
        <f>IF(OR(IFERROR(VLOOKUP(A25,[1]ARS!A:EL,MATCH("P/E (Daily Time Series Ratio)",[1]ARS!$4:$4,0),FALSE),"-")&lt;0,IFERROR(VLOOKUP(A25,[1]ARS!A:EL,MATCH("P/E (Daily Time Series Ratio)",[1]ARS!$4:$4,0),FALSE),"-")&gt;500),"-",IFERROR(VLOOKUP(A25,[1]ARS!A:EL,MATCH("P/E (Daily Time Series Ratio)",[1]ARS!$4:$4,0),FALSE),"-"))</f>
        <v>-</v>
      </c>
      <c r="BK25" s="293"/>
      <c r="BL25" s="294"/>
      <c r="BM25" s="281" t="str">
        <f>IF(OR(IFERROR(VLOOKUP(A25,[1]ARS!A:EC,MATCH("Price To Sales",[1]ARS!$4:$4,0),FALSE),"-")&lt;0,IFERROR(VLOOKUP(A25,[1]ARS!A:EC,MATCH("Price To Sales",[1]ARS!$4:$4,0),FALSE),"-")&gt;100),"-",IFERROR(VLOOKUP(A25,[1]ARS!A:EC,MATCH("Price To Sales",[1]ARS!$4:$4,0),FALSE),"-"))</f>
        <v>-</v>
      </c>
      <c r="BN25" s="281"/>
      <c r="BO25" s="281"/>
      <c r="BP25" s="282" t="s">
        <v>49</v>
      </c>
      <c r="BQ25" s="293"/>
      <c r="BR25" s="294"/>
      <c r="BS25" s="43">
        <f>IF(VLOOKUP(A25,[1]ARS!A:EE,MATCH("Daily Beta - 180 Day",[1]ARS!$4:$4,0),FALSE)="NULL","-",VLOOKUP(A25,[1]ARS!A:EE,MATCH("Daily Beta - 180 Day",[1]ARS!$4:$4,0),FALSE))</f>
        <v>0.74211574728952501</v>
      </c>
      <c r="BT25" s="40">
        <f>+VLOOKUP(A25,[1]ARS!$A:$EH,MATCH("Volatilidad histórica",[1]ARS!$4:$4,0),FALSE)</f>
        <v>0.61039942209259535</v>
      </c>
      <c r="BU25" s="44">
        <f>+VLOOKUP(A25,[1]ARS!$A$5:$EM$85,MATCH("Rto Medio",[1]ARS!$4:$4,0),FALSE)</f>
        <v>0.34366367280355736</v>
      </c>
      <c r="BV25" s="45">
        <f>+IF(VLOOKUP(Template!A25,[1]ARS!A:AA,MATCH("Period End Date",[1]ARS!$3:$3,0),FALSE)="","-",VLOOKUP(Template!A25,[1]ARS!A:AA,MATCH("Period End Date",[1]ARS!$3:$3,0),FALSE))</f>
        <v>43008</v>
      </c>
      <c r="BW25" s="46" t="str">
        <f t="shared" si="1"/>
        <v>SAMI</v>
      </c>
      <c r="BX25" s="4"/>
      <c r="BY25" s="48" t="s">
        <v>59</v>
      </c>
      <c r="BZ25" s="48" t="str">
        <f t="shared" si="4"/>
        <v>-</v>
      </c>
      <c r="CA25" s="48" t="str">
        <f t="shared" si="2"/>
        <v>-</v>
      </c>
      <c r="CB25" s="48" t="str">
        <f t="shared" si="3"/>
        <v>-</v>
      </c>
      <c r="CD25" s="48" t="s">
        <v>59</v>
      </c>
      <c r="CE25" s="69" t="s">
        <v>49</v>
      </c>
      <c r="CF25" s="48" t="s">
        <v>49</v>
      </c>
      <c r="CG25" s="48" t="s">
        <v>49</v>
      </c>
      <c r="CH25" s="48"/>
      <c r="CN25" s="51"/>
    </row>
    <row r="26" spans="1:92" s="49" customFormat="1" ht="11.25" customHeight="1" x14ac:dyDescent="0.2">
      <c r="A26" s="400" t="str">
        <f t="shared" si="0"/>
        <v>OVOP</v>
      </c>
      <c r="B26" s="316"/>
      <c r="C26" s="317">
        <f>+VLOOKUP(A26,[1]ARS!A:EL,MATCH("Last",[1]ARS!$4:$4,0),FALSE)</f>
        <v>8.75</v>
      </c>
      <c r="D26" s="317"/>
      <c r="E26" s="75">
        <f>+VLOOKUP(A26,'[1]Market Cap'!I:J,2,FALSE)</f>
        <v>1</v>
      </c>
      <c r="F26" s="338" t="str">
        <f>IFERROR(IF(VLOOKUP(A26,[1]ARS!A:EL,MATCH("Total Debt To Total Equity, Percent FQ0",[1]ARS!$4:$4,0),FALSE)="NULL",IF(VLOOKUP(A26,[1]ARS!A:EL,MATCH("Total Debt To Total Equity, Percent FQ-1",[1]ARS!$4:$4,0),FALSE)="NULL","-",VLOOKUP(A26,[1]ARS!A:EL,MATCH("Total Debt To Total Equity, Percent FQ-1",[1]ARS!$4:$4,0))),VLOOKUP(A26,[1]ARS!A:EL,MATCH("Total Debt To Total Equity, Percent FQ0",[1]ARS!$4:$4,0),FALSE))/100,"-")</f>
        <v>-</v>
      </c>
      <c r="G26" s="339"/>
      <c r="H26" s="340"/>
      <c r="I26" s="304" t="str">
        <f>IFERROR(VLOOKUP(A26,[1]ARS!A:EC,MATCH("Financial Leverage",[1]ARS!$4:$4,0),FALSE),"-")</f>
        <v>-</v>
      </c>
      <c r="J26" s="304"/>
      <c r="K26" s="304"/>
      <c r="L26" s="305" t="s">
        <v>49</v>
      </c>
      <c r="M26" s="319"/>
      <c r="N26" s="320"/>
      <c r="O26" s="305" t="s">
        <v>49</v>
      </c>
      <c r="P26" s="319"/>
      <c r="Q26" s="320"/>
      <c r="R26" s="321">
        <f>+IFERROR(IF(VLOOKUP(A26,[1]ARS!$A:$EL,MATCH("Dividend yield",[1]ARS!$4:$4,0),FALSE)="NULL","-",VLOOKUP(A26,[1]ARS!$A:$EL,MATCH("Dividend Yield",[1]ARS!$4:$4,0),FALSE)/100),"-")</f>
        <v>2.5750091862857101E-2</v>
      </c>
      <c r="S26" s="322"/>
      <c r="T26" s="323"/>
      <c r="U26" s="304" t="str">
        <f>IF(IFERROR(VLOOKUP(A26,[1]ARS!A:EL,MATCH("Asset Turnover",[1]ARS!$4:$4,0),FALSE),"-")=0,"-",IFERROR(VLOOKUP(A26,[1]ARS!A:EL,MATCH("Asset Turnover",[1]ARS!$4:$4,0),FALSE),"-"))</f>
        <v>-</v>
      </c>
      <c r="V26" s="304"/>
      <c r="W26" s="304"/>
      <c r="X26" s="314" t="str">
        <f>IFERROR(VLOOKUP(A26,[1]ARS!A:EL,MATCH("CCC",[1]ARS!$4:$4,0),FALSE),"-")</f>
        <v>-</v>
      </c>
      <c r="Y26" s="314"/>
      <c r="Z26" s="314"/>
      <c r="AA26" s="374" t="str">
        <f>IF(IFERROR(VLOOKUP(A26,[1]ARS!A:EL,MATCH("Gross Margin, Percent",[1]ARS!$4:$4,0),FALSE)/100,"-")&lt;0,"-",IFERROR(VLOOKUP(A26,[1]ARS!A:EL,MATCH("Gross Margin, Percent",[1]ARS!$4:$4,0),FALSE)/100,"-"))</f>
        <v>-</v>
      </c>
      <c r="AB26" s="375"/>
      <c r="AC26" s="376"/>
      <c r="AD26" s="313" t="str">
        <f>IF(IFERROR(VLOOKUP(A26,[1]ARS!A:EL,MATCH("Operating Margin, Percent",[1]ARS!$4:$4,0),FALSE)/100,"-")&lt;0,"-",IFERROR(VLOOKUP(A26,[1]ARS!A:EL,MATCH("Operating Margin, Percent",[1]ARS!$4:$4,0),FALSE)/100,"-"))</f>
        <v>-</v>
      </c>
      <c r="AE26" s="313"/>
      <c r="AF26" s="313"/>
      <c r="AG26" s="313" t="str">
        <f>IF(IFERROR(VLOOKUP(A26,[1]ARS!A:EL,MATCH("Net Profit Margin",[1]ARS!$4:$4,0),FALSE),"-")&lt;0,"-",IFERROR(VLOOKUP(A26,[1]ARS!A:EL,MATCH("Net Profit Margin",[1]ARS!$4:$4,0),FALSE),"-"))</f>
        <v>-</v>
      </c>
      <c r="AH26" s="313"/>
      <c r="AI26" s="313"/>
      <c r="AJ26" s="313" t="str">
        <f>IFERROR(VLOOKUP(A26,[1]ARS!A:EL,MATCH("FCF/Revenue",[1]ARS!$4:$4,0),FALSE),"-")</f>
        <v>-</v>
      </c>
      <c r="AK26" s="313"/>
      <c r="AL26" s="313"/>
      <c r="AM26" s="315" t="str">
        <f>IFERROR(IF(VLOOKUP(A26,[1]ARS!A:EL,MATCH("ROE",[1]ARS!$4:$4,0),FALSE)&lt;-5,"-",VLOOKUP(A26,[1]ARS!A:EL,MATCH("ROE",[1]ARS!$4:$4,0),FALSE)),"-")</f>
        <v>-</v>
      </c>
      <c r="AN26" s="315"/>
      <c r="AO26" s="315"/>
      <c r="AP26" s="313" t="str">
        <f>IFERROR(VLOOKUP(A26,[1]ARS!A:EL,MATCH("ROA",[1]ARS!$4:$4,0),FALSE),"-")</f>
        <v>-</v>
      </c>
      <c r="AQ26" s="313"/>
      <c r="AR26" s="313"/>
      <c r="AS26" s="76" t="str">
        <f>+VLOOKUP(A26,[1]ARS!$A$5:$EL$85,MATCH("Last Q y/y",[1]ARS!$4:$4,0),FALSE)</f>
        <v>-</v>
      </c>
      <c r="AT26" s="76" t="str">
        <f>+VLOOKUP(A26,[1]ARS!$A$5:$EL$99,MATCH("Last 5 yrs - Annual",[1]ARS!$4:$4,0),FALSE)</f>
        <v>-</v>
      </c>
      <c r="AU26" s="77" t="str">
        <f>+VLOOKUP(A26,[1]ARS!$A$5:$EL$84,MATCH("Desvio",[1]ARS!$4:$4,0),FALSE)</f>
        <v>-</v>
      </c>
      <c r="AV26" s="78" t="str">
        <f>+VLOOKUP(A26,'[1]Prom. Vtas Ult 5 años'!$A$3:$D$81,3,FALSE)</f>
        <v>-</v>
      </c>
      <c r="AW26" s="79" t="str">
        <f>+VLOOKUP(A26,'[1]Prom. Vtas Ult 5 años'!$A$3:$D$81,4,FALSE)</f>
        <v>-</v>
      </c>
      <c r="AX26" s="304" t="str">
        <f>IFERROR((VLOOKUP(A26,[1]ARS!A:EL,MATCH("Enterprise Value (Daily Time Series)",[1]ARS!$4:$4,0),FALSE)/1000000000),"-")</f>
        <v>-</v>
      </c>
      <c r="AY26" s="304"/>
      <c r="AZ26" s="304"/>
      <c r="BA26" s="304">
        <f>IFERROR((VLOOKUP(A26,[1]ARS!A:EL,MATCH("Company Market Cap",[1]ARS!$4:$4,0),FALSE)/1000000000),"-")</f>
        <v>0.2109</v>
      </c>
      <c r="BB26" s="304"/>
      <c r="BC26" s="304"/>
      <c r="BD26" s="304" t="str">
        <f>IF(VLOOKUP(A26,[1]ARS!A:EL,MATCH("Enterprise Value To EBITDA (Daily Time Series Ratio)",[1]ARS!$4:$4,0),FALSE)="NULL","-",VLOOKUP(A26,[1]ARS!A:EL,MATCH("Enterprise Value To EBITDA (Daily Time Series Ratio)",[1]ARS!$4:$4,0),FALSE))</f>
        <v>-</v>
      </c>
      <c r="BE26" s="304"/>
      <c r="BF26" s="304"/>
      <c r="BG26" s="304" t="str">
        <f>IF(OR(IFERROR(VLOOKUP(A26,[1]ARS!A:EL,MATCH("Price To Tangible Book Value",[1]ARS!$4:$4,0),FALSE),"-")&lt;0,IFERROR(VLOOKUP(A26,[1]ARS!A:EL,MATCH("Price To Tangible Book Value",[1]ARS!$4:$4,0),FALSE),"-")&gt;100),"-",IFERROR(VLOOKUP(A26,[1]ARS!A:EL,MATCH("Price To Tangible Book Value",[1]ARS!$4:$4,0),FALSE),"-"))</f>
        <v>-</v>
      </c>
      <c r="BH26" s="304"/>
      <c r="BI26" s="304"/>
      <c r="BJ26" s="305" t="str">
        <f>IF(OR(IFERROR(VLOOKUP(A26,[1]ARS!A:EL,MATCH("P/E (Daily Time Series Ratio)",[1]ARS!$4:$4,0),FALSE),"-")&lt;0,IFERROR(VLOOKUP(A26,[1]ARS!A:EL,MATCH("P/E (Daily Time Series Ratio)",[1]ARS!$4:$4,0),FALSE),"-")&gt;500),"-",IFERROR(VLOOKUP(A26,[1]ARS!A:EL,MATCH("P/E (Daily Time Series Ratio)",[1]ARS!$4:$4,0),FALSE),"-"))</f>
        <v>-</v>
      </c>
      <c r="BK26" s="319"/>
      <c r="BL26" s="320"/>
      <c r="BM26" s="304" t="str">
        <f>IF(OR(IFERROR(VLOOKUP(A26,[1]ARS!A:EC,MATCH("Price To Sales",[1]ARS!$4:$4,0),FALSE),"-")&lt;0,IFERROR(VLOOKUP(A26,[1]ARS!A:EC,MATCH("Price To Sales",[1]ARS!$4:$4,0),FALSE),"-")&gt;100),"-",IFERROR(VLOOKUP(A26,[1]ARS!A:EC,MATCH("Price To Sales",[1]ARS!$4:$4,0),FALSE),"-"))</f>
        <v>-</v>
      </c>
      <c r="BN26" s="304"/>
      <c r="BO26" s="304"/>
      <c r="BP26" s="305" t="s">
        <v>49</v>
      </c>
      <c r="BQ26" s="319"/>
      <c r="BR26" s="320"/>
      <c r="BS26" s="80" t="str">
        <f>IF(VLOOKUP(A26,[1]ARS!A:EE,MATCH("Daily Beta - 180 Day",[1]ARS!$4:$4,0),FALSE)="NULL","-",VLOOKUP(A26,[1]ARS!A:EE,MATCH("Daily Beta - 180 Day",[1]ARS!$4:$4,0),FALSE))</f>
        <v>-</v>
      </c>
      <c r="BT26" s="76" t="str">
        <f>+VLOOKUP(A26,[1]ARS!$A:$EH,MATCH("Volatilidad histórica",[1]ARS!$4:$4,0),FALSE)</f>
        <v>-</v>
      </c>
      <c r="BU26" s="79" t="str">
        <f>+VLOOKUP(A26,[1]ARS!$A$5:$EM$85,MATCH("Rto Medio",[1]ARS!$4:$4,0),FALSE)</f>
        <v>-</v>
      </c>
      <c r="BV26" s="81" t="str">
        <f>+IF(VLOOKUP(Template!A26,[1]ARS!A:AA,MATCH("Period End Date",[1]ARS!$3:$3,0),FALSE)="","-",VLOOKUP(Template!A26,[1]ARS!A:AA,MATCH("Period End Date",[1]ARS!$3:$3,0),FALSE))</f>
        <v>-</v>
      </c>
      <c r="BW26" s="59" t="str">
        <f t="shared" si="1"/>
        <v>OVOP</v>
      </c>
      <c r="BX26" s="4"/>
      <c r="BY26" s="48" t="s">
        <v>60</v>
      </c>
      <c r="BZ26" s="48" t="str">
        <f t="shared" si="4"/>
        <v>-</v>
      </c>
      <c r="CA26" s="48" t="str">
        <f t="shared" si="2"/>
        <v>-</v>
      </c>
      <c r="CB26" s="48" t="str">
        <f t="shared" si="3"/>
        <v>-</v>
      </c>
      <c r="CD26" s="37" t="s">
        <v>60</v>
      </c>
      <c r="CE26" s="37" t="s">
        <v>49</v>
      </c>
      <c r="CF26" s="37" t="s">
        <v>49</v>
      </c>
      <c r="CG26" s="37" t="s">
        <v>49</v>
      </c>
      <c r="CH26" s="48"/>
      <c r="CN26" s="51"/>
    </row>
    <row r="27" spans="1:92" s="49" customFormat="1" ht="11.25" customHeight="1" x14ac:dyDescent="0.2">
      <c r="A27" s="306" t="s">
        <v>61</v>
      </c>
      <c r="B27" s="307"/>
      <c r="C27" s="308"/>
      <c r="D27" s="309"/>
      <c r="E27" s="82"/>
      <c r="F27" s="301">
        <f>AVERAGE(F15:H26)</f>
        <v>2.2130080295404997</v>
      </c>
      <c r="G27" s="302"/>
      <c r="H27" s="303"/>
      <c r="I27" s="301">
        <f>AVERAGE(I15:K26)</f>
        <v>5.6939761707996848</v>
      </c>
      <c r="J27" s="302"/>
      <c r="K27" s="303"/>
      <c r="L27" s="301">
        <f>AVERAGE(L15:N26)</f>
        <v>1.4260640000000002</v>
      </c>
      <c r="M27" s="302"/>
      <c r="N27" s="303"/>
      <c r="O27" s="301">
        <f>AVERAGE(O15:Q26)</f>
        <v>0.82301900000000006</v>
      </c>
      <c r="P27" s="302"/>
      <c r="Q27" s="303"/>
      <c r="R27" s="310">
        <f>AVERAGE(R15:T26)</f>
        <v>1.4564161825399621E-2</v>
      </c>
      <c r="S27" s="311"/>
      <c r="T27" s="312"/>
      <c r="U27" s="301">
        <f>AVERAGE(U15:W26)</f>
        <v>2.3424964612714505</v>
      </c>
      <c r="V27" s="302"/>
      <c r="W27" s="303"/>
      <c r="X27" s="301">
        <f>AVERAGE(X15:Z26)</f>
        <v>85.12823301481167</v>
      </c>
      <c r="Y27" s="302"/>
      <c r="Z27" s="303"/>
      <c r="AA27" s="298">
        <f>AVERAGE(AA15:AC26)</f>
        <v>0.25523009999999996</v>
      </c>
      <c r="AB27" s="299"/>
      <c r="AC27" s="300"/>
      <c r="AD27" s="298">
        <f>AVERAGE(AD15:AF26)</f>
        <v>8.4297966666666668E-2</v>
      </c>
      <c r="AE27" s="299"/>
      <c r="AF27" s="300"/>
      <c r="AG27" s="298">
        <f>AVERAGE(AG15:AI26)</f>
        <v>4.13914670743038E-2</v>
      </c>
      <c r="AH27" s="299"/>
      <c r="AI27" s="300"/>
      <c r="AJ27" s="298">
        <f>AVERAGE(AJ15:AL26)</f>
        <v>-0.11223525587059671</v>
      </c>
      <c r="AK27" s="299"/>
      <c r="AL27" s="300"/>
      <c r="AM27" s="298">
        <f>AVERAGE(AM15:AO26)</f>
        <v>-3.5448206721577856E-2</v>
      </c>
      <c r="AN27" s="299"/>
      <c r="AO27" s="300"/>
      <c r="AP27" s="298">
        <f>AVERAGE(AP15:AR26)</f>
        <v>2.1794858628690288E-4</v>
      </c>
      <c r="AQ27" s="299"/>
      <c r="AR27" s="300"/>
      <c r="AS27" s="83">
        <f>AVERAGE(AS15:AS26)</f>
        <v>0.60696988654516837</v>
      </c>
      <c r="AT27" s="83">
        <f>AVERAGE(AT15:AT26)</f>
        <v>-0.72760836586953059</v>
      </c>
      <c r="AU27" s="84">
        <f>AVERAGE(AU15:AU26)</f>
        <v>3.6786382686208041</v>
      </c>
      <c r="AV27" s="85">
        <f>AVERAGE(AV15:AV26)</f>
        <v>34.967653635425464</v>
      </c>
      <c r="AW27" s="83">
        <f>AVERAGE(AW15:AW26)</f>
        <v>7.5025529865029901</v>
      </c>
      <c r="AX27" s="285">
        <f>+AVERAGE(AX15:AZ26)</f>
        <v>6.7025062995181806</v>
      </c>
      <c r="AY27" s="286"/>
      <c r="AZ27" s="287"/>
      <c r="BA27" s="285">
        <f>+AVERAGE(BA15:BC26)</f>
        <v>6.0675258954545459</v>
      </c>
      <c r="BB27" s="286"/>
      <c r="BC27" s="287"/>
      <c r="BD27" s="285">
        <f>+AVERAGE(BD15:BF26)</f>
        <v>28.78918743860827</v>
      </c>
      <c r="BE27" s="286"/>
      <c r="BF27" s="287"/>
      <c r="BG27" s="285">
        <f>+AVERAGE(BG15:BI26)</f>
        <v>5.8016158316305573</v>
      </c>
      <c r="BH27" s="286"/>
      <c r="BI27" s="287"/>
      <c r="BJ27" s="285">
        <f>+AVERAGE(BJ15:BL26)</f>
        <v>47.516363431738228</v>
      </c>
      <c r="BK27" s="286"/>
      <c r="BL27" s="287"/>
      <c r="BM27" s="285">
        <f>+AVERAGE(BM15:BO26)</f>
        <v>1.023480297146</v>
      </c>
      <c r="BN27" s="286"/>
      <c r="BO27" s="287"/>
      <c r="BP27" s="285">
        <f>+AVERAGE(BP17:BR26)</f>
        <v>54.755174038666667</v>
      </c>
      <c r="BQ27" s="286"/>
      <c r="BR27" s="287"/>
      <c r="BS27" s="86">
        <f>+AVERAGE(BS15:BS26)</f>
        <v>0.62389994776240187</v>
      </c>
      <c r="BT27" s="83">
        <f>AVERAGE(BT15:BT26)</f>
        <v>0.45335254341906839</v>
      </c>
      <c r="BU27" s="83">
        <f>AVERAGE(BU15:BU26)</f>
        <v>5.0878377157827739E-2</v>
      </c>
      <c r="BV27" s="87"/>
      <c r="BW27" s="87"/>
      <c r="BX27" s="4"/>
      <c r="BY27" s="48"/>
      <c r="BZ27" s="48"/>
      <c r="CA27" s="48"/>
      <c r="CB27" s="48"/>
      <c r="CD27" s="48"/>
      <c r="CE27" s="69"/>
      <c r="CF27" s="48"/>
      <c r="CG27" s="48"/>
      <c r="CH27" s="48"/>
      <c r="CN27" s="51"/>
    </row>
    <row r="28" spans="1:92" s="97" customFormat="1" ht="11.25" customHeight="1" x14ac:dyDescent="0.2">
      <c r="A28" s="88" t="s">
        <v>62</v>
      </c>
      <c r="B28" s="88"/>
      <c r="C28" s="88"/>
      <c r="D28" s="88"/>
      <c r="E28" s="88"/>
      <c r="F28" s="88"/>
      <c r="G28" s="88"/>
      <c r="H28" s="88"/>
      <c r="I28" s="88"/>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8"/>
      <c r="AM28" s="88"/>
      <c r="AN28" s="88"/>
      <c r="AO28" s="88"/>
      <c r="AP28" s="88"/>
      <c r="AQ28" s="88"/>
      <c r="AR28" s="88"/>
      <c r="AS28" s="88"/>
      <c r="AT28" s="88"/>
      <c r="AU28" s="88"/>
      <c r="AV28" s="89"/>
      <c r="AW28" s="90"/>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91"/>
      <c r="BW28" s="92"/>
      <c r="BX28" s="93"/>
      <c r="BY28" s="94"/>
      <c r="BZ28" s="95"/>
      <c r="CA28" s="95"/>
      <c r="CB28" s="96"/>
      <c r="CN28" s="98"/>
    </row>
    <row r="29" spans="1:92" s="49" customFormat="1" ht="11.25" customHeight="1" x14ac:dyDescent="0.2">
      <c r="A29" s="330" t="str">
        <f t="shared" ref="A29:A36" si="5">BY29</f>
        <v>GCLA</v>
      </c>
      <c r="B29" s="330"/>
      <c r="C29" s="396">
        <f>+VLOOKUP(A29,[1]ARS!A:EL,MATCH("Last",[1]ARS!$4:$4,0),FALSE)</f>
        <v>63</v>
      </c>
      <c r="D29" s="397"/>
      <c r="E29" s="99">
        <f>+VLOOKUP(A29,'[1]Market Cap'!I:J,2,FALSE)</f>
        <v>1</v>
      </c>
      <c r="F29" s="371">
        <f>IFERROR(IF(VLOOKUP(A29,[1]ARS!A:EL,MATCH("Total Debt To Total Equity, Percent FQ0",[1]ARS!$4:$4,0),FALSE)="NULL",IF(VLOOKUP(A29,[1]ARS!A:EL,MATCH("Total Debt To Total Equity, Percent FQ-1",[1]ARS!$4:$4,0),FALSE)="NULL","-",VLOOKUP(A29,[1]ARS!A:EL,MATCH("Total Debt To Total Equity, Percent FQ-1",[1]ARS!$4:$4,0))),VLOOKUP(A29,[1]ARS!A:EL,MATCH("Total Debt To Total Equity, Percent FQ0",[1]ARS!$4:$4,0),FALSE))/100,"-")</f>
        <v>0.29584638221999998</v>
      </c>
      <c r="G29" s="372"/>
      <c r="H29" s="373"/>
      <c r="I29" s="325">
        <f>IFERROR(VLOOKUP(A29,[1]ARS!A:EC,MATCH("Financial Leverage",[1]ARS!$4:$4,0),FALSE),"-")</f>
        <v>2.3000172884412762</v>
      </c>
      <c r="J29" s="333"/>
      <c r="K29" s="334"/>
      <c r="L29" s="325">
        <f>+IFERROR(IF(VLOOKUP(A29,[1]ARS!A:EL,MATCH("Curr Ratio FQ0",[1]ARS!$4:$4,0),FALSE)="NULL",IF(VLOOKUP(A29,[1]ARS!A:EL,MATCH("Curr Ratio FQ-1",[1]ARS!$4:$4,0),FALSE)="NULL","-",VLOOKUP(A29,[1]ARS!A:EL,MATCH("Curr Ratio FQ-1",[1]ARS!$4:$4,0),FALSE)),VLOOKUP(A29,[1]ARS!A:EL,MATCH("Curr Ratio FQ0",[1]ARS!$4:$4,0),FALSE)),"-")</f>
        <v>1.5416000000000001</v>
      </c>
      <c r="M29" s="333"/>
      <c r="N29" s="334"/>
      <c r="O29" s="325">
        <f>+IFERROR(IF(VLOOKUP(A29,[1]ARS!A:EL,MATCH("Quick Ratio FQ0",[1]ARS!$4:$4,0),FALSE)="NULL",IF(VLOOKUP(A29,[1]ARS!A:EL,MATCH("Quick Ratio FQ-1",[1]ARS!$4:$4,0),FALSE)="NULL","-",VLOOKUP(A29,[1]ARS!A:EL,MATCH("Quick Ratio FQ-1",[1]ARS!$4:$4,0),FALSE)),VLOOKUP(A29,[1]ARS!A:EL,MATCH("Quick Ratio FQ0",[1]ARS!$4:$4,0),FALSE)),"-")</f>
        <v>1.38822</v>
      </c>
      <c r="P29" s="333"/>
      <c r="Q29" s="334"/>
      <c r="R29" s="335">
        <f>+IFERROR(IF(VLOOKUP(A29,[1]ARS!$A:$EL,MATCH("Dividend yield",[1]ARS!$4:$4,0),FALSE)="NULL","-",VLOOKUP(A29,[1]ARS!$A:$EL,MATCH("Dividend Yield",[1]ARS!$4:$4,0),FALSE)/100),"-")</f>
        <v>7.3454117468954194E-2</v>
      </c>
      <c r="S29" s="336"/>
      <c r="T29" s="337"/>
      <c r="U29" s="324">
        <f>IF(IFERROR(VLOOKUP(A29,[1]ARS!A:EL,MATCH("Asset Turnover",[1]ARS!$4:$4,0),FALSE),"-")=0,"-",IFERROR(VLOOKUP(A29,[1]ARS!A:EL,MATCH("Asset Turnover",[1]ARS!$4:$4,0),FALSE),"-"))</f>
        <v>0.71719462709018655</v>
      </c>
      <c r="V29" s="324"/>
      <c r="W29" s="324"/>
      <c r="X29" s="328">
        <f>IFERROR(VLOOKUP(A29,[1]ARS!A:EL,MATCH("CCC",[1]ARS!$4:$4,0),FALSE),"-")</f>
        <v>53.075620329473296</v>
      </c>
      <c r="Y29" s="328"/>
      <c r="Z29" s="328"/>
      <c r="AA29" s="327">
        <f>IF(IFERROR(VLOOKUP(A29,[1]ARS!A:EL,MATCH("Gross Margin, Percent",[1]ARS!$4:$4,0),FALSE)/100,"-")&lt;0,"-",IFERROR(VLOOKUP(A29,[1]ARS!A:EL,MATCH("Gross Margin, Percent",[1]ARS!$4:$4,0),FALSE)/100,"-"))</f>
        <v>0.38529910000000001</v>
      </c>
      <c r="AB29" s="327"/>
      <c r="AC29" s="327"/>
      <c r="AD29" s="327">
        <f>IF(IFERROR(VLOOKUP(A29,[1]ARS!A:EL,MATCH("Operating Margin, Percent",[1]ARS!$4:$4,0),FALSE)/100,"-")&lt;0,"-",IFERROR(VLOOKUP(A29,[1]ARS!A:EL,MATCH("Operating Margin, Percent",[1]ARS!$4:$4,0),FALSE)/100,"-"))</f>
        <v>6.8743299999999993E-2</v>
      </c>
      <c r="AE29" s="327"/>
      <c r="AF29" s="327"/>
      <c r="AG29" s="327" t="str">
        <f>IF(IFERROR(VLOOKUP(A29,[1]ARS!A:EL,MATCH("Net Profit Margin",[1]ARS!$4:$4,0),FALSE),"-")&lt;0,"-",IFERROR(VLOOKUP(A29,[1]ARS!A:EL,MATCH("Net Profit Margin",[1]ARS!$4:$4,0),FALSE),"-"))</f>
        <v>-</v>
      </c>
      <c r="AH29" s="327"/>
      <c r="AI29" s="327"/>
      <c r="AJ29" s="327">
        <f>IFERROR(VLOOKUP(A29,[1]ARS!A:EL,MATCH("FCF/Revenue",[1]ARS!$4:$4,0),FALSE),"-")</f>
        <v>-0.42035226408385462</v>
      </c>
      <c r="AK29" s="327"/>
      <c r="AL29" s="327"/>
      <c r="AM29" s="327">
        <f>IFERROR(IF(VLOOKUP(A29,[1]ARS!A:EL,MATCH("ROE",[1]ARS!$4:$4,0),FALSE)&lt;-5,"-",VLOOKUP(A29,[1]ARS!A:EL,MATCH("ROE",[1]ARS!$4:$4,0),FALSE)),"-")</f>
        <v>-0.13741161637630903</v>
      </c>
      <c r="AN29" s="327"/>
      <c r="AO29" s="327"/>
      <c r="AP29" s="327">
        <f>IFERROR(VLOOKUP(A29,[1]ARS!A:EL,MATCH("ROA",[1]ARS!$4:$4,0),FALSE),"-")</f>
        <v>-4.1550697385403006E-2</v>
      </c>
      <c r="AQ29" s="327"/>
      <c r="AR29" s="327"/>
      <c r="AS29" s="53">
        <f>+VLOOKUP(A29,[1]ARS!$A$5:$EL$85,MATCH("Last Q y/y",[1]ARS!$4:$4,0),FALSE)</f>
        <v>1.6040572030949036</v>
      </c>
      <c r="AT29" s="53">
        <f>+VLOOKUP(A29,[1]ARS!$A$5:$EL$99,MATCH("Last 5 yrs - Annual",[1]ARS!$4:$4,0),FALSE)</f>
        <v>4.585243679147851</v>
      </c>
      <c r="AU29" s="54">
        <f>+VLOOKUP(A29,[1]ARS!$A$5:$EL$84,MATCH("Desvio",[1]ARS!$4:$4,0),FALSE)</f>
        <v>12.570056330413165</v>
      </c>
      <c r="AV29" s="55">
        <f>+VLOOKUP(A29,'[1]Prom. Vtas Ult 5 años'!$A$3:$D$81,3,FALSE)</f>
        <v>234.2522268421053</v>
      </c>
      <c r="AW29" s="56">
        <f>+VLOOKUP(A29,'[1]Prom. Vtas Ult 5 años'!$A$3:$D$81,4,FALSE)</f>
        <v>4.7401012745315398</v>
      </c>
      <c r="AX29" s="324">
        <f>IFERROR((VLOOKUP(A29,[1]ARS!A:EL,MATCH("Enterprise Value (Daily Time Series)",[1]ARS!$4:$4,0),FALSE)/1000000000),"-")</f>
        <v>4.5431733228000004</v>
      </c>
      <c r="AY29" s="324"/>
      <c r="AZ29" s="324"/>
      <c r="BA29" s="324">
        <f>IFERROR((VLOOKUP(A29,[1]ARS!A:EL,MATCH("Company Market Cap",[1]ARS!$4:$4,0),FALSE)/1000000000),"-")</f>
        <v>6.7268882520000002</v>
      </c>
      <c r="BB29" s="324"/>
      <c r="BC29" s="324"/>
      <c r="BD29" s="325">
        <f>IF(VLOOKUP(A29,[1]ARS!A:EL,MATCH("Enterprise Value To EBITDA (Daily Time Series Ratio)",[1]ARS!$4:$4,0),FALSE)="NULL","-",VLOOKUP(A29,[1]ARS!A:EL,MATCH("Enterprise Value To EBITDA (Daily Time Series Ratio)",[1]ARS!$4:$4,0),FALSE))</f>
        <v>4.2120380152569696</v>
      </c>
      <c r="BE29" s="333"/>
      <c r="BF29" s="334"/>
      <c r="BG29" s="324">
        <f>IF(OR(IFERROR(VLOOKUP(A29,[1]ARS!A:EL,MATCH("Price To Tangible Book Value",[1]ARS!$4:$4,0),FALSE),"-")&lt;0,IFERROR(VLOOKUP(A29,[1]ARS!A:EL,MATCH("Price To Tangible Book Value",[1]ARS!$4:$4,0),FALSE),"-")&gt;100),"-",IFERROR(VLOOKUP(A29,[1]ARS!A:EL,MATCH("Price To Tangible Book Value",[1]ARS!$4:$4,0),FALSE),"-"))</f>
        <v>1.8152975324644991</v>
      </c>
      <c r="BH29" s="324"/>
      <c r="BI29" s="324"/>
      <c r="BJ29" s="324" t="str">
        <f>IF(OR(IFERROR(VLOOKUP(A29,[1]ARS!A:EL,MATCH("P/E (Daily Time Series Ratio)",[1]ARS!$4:$4,0),FALSE),"-")&lt;0,IFERROR(VLOOKUP(A29,[1]ARS!A:EL,MATCH("P/E (Daily Time Series Ratio)",[1]ARS!$4:$4,0),FALSE),"-")&gt;500),"-",IFERROR(VLOOKUP(A29,[1]ARS!A:EL,MATCH("P/E (Daily Time Series Ratio)",[1]ARS!$4:$4,0),FALSE),"-"))</f>
        <v>-</v>
      </c>
      <c r="BK29" s="324"/>
      <c r="BL29" s="324"/>
      <c r="BM29" s="324">
        <f>IF(OR(IFERROR(VLOOKUP(A29,[1]ARS!A:EC,MATCH("Price To Sales",[1]ARS!$4:$4,0),FALSE),"-")&lt;0,IFERROR(VLOOKUP(A29,[1]ARS!A:EC,MATCH("Price To Sales",[1]ARS!$4:$4,0),FALSE),"-")&gt;100),"-",IFERROR(VLOOKUP(A29,[1]ARS!A:EC,MATCH("Price To Sales",[1]ARS!$4:$4,0),FALSE),"-"))</f>
        <v>0.49819490050426352</v>
      </c>
      <c r="BN29" s="324"/>
      <c r="BO29" s="324"/>
      <c r="BP29" s="324">
        <f>+IFERROR(IF(VLOOKUP(A29,[1]ARS!A:EO,MATCH("Price to Free Cash Flow",[1]ARS!$4:$4,0),FALSE)="NULL","-",VLOOKUP(A29,[1]ARS!A:EO,MATCH("Price to Free Cash Flow",[1]ARS!$4:$4,0),FALSE)),"-")</f>
        <v>35.754489134799996</v>
      </c>
      <c r="BQ29" s="324"/>
      <c r="BR29" s="325"/>
      <c r="BS29" s="57">
        <f>IF(VLOOKUP(A29,[1]ARS!A:EE,MATCH("Daily Beta - 180 Day",[1]ARS!$4:$4,0),FALSE)="NULL","-",VLOOKUP(A29,[1]ARS!A:EE,MATCH("Daily Beta - 180 Day",[1]ARS!$4:$4,0),FALSE))</f>
        <v>0.68390239526229502</v>
      </c>
      <c r="BT29" s="53">
        <f>+VLOOKUP(A29,[1]ARS!$A:$EH,MATCH("Volatilidad histórica",[1]ARS!$4:$4,0),FALSE)</f>
        <v>0.49263394657510673</v>
      </c>
      <c r="BU29" s="56">
        <f>+VLOOKUP(A29,[1]ARS!$A$5:$EM$85,MATCH("Rto Medio",[1]ARS!$4:$4,0),FALSE)</f>
        <v>7.6032310438790551E-2</v>
      </c>
      <c r="BV29" s="58">
        <f>+IF(VLOOKUP(Template!A29,[1]ARS!A:AA,MATCH("Period End Date",[1]ARS!$3:$3,0),FALSE)="","-",VLOOKUP(Template!A29,[1]ARS!A:AA,MATCH("Period End Date",[1]ARS!$3:$3,0),FALSE))</f>
        <v>43008</v>
      </c>
      <c r="BW29" s="59" t="str">
        <f t="shared" ref="BW29:BW36" si="6">+BY29</f>
        <v>GCLA</v>
      </c>
      <c r="BX29" s="4"/>
      <c r="BY29" s="48" t="s">
        <v>63</v>
      </c>
      <c r="BZ29" s="48">
        <f t="shared" ref="BZ29:BZ36" si="7">+VLOOKUP(BY29,$A$15:$BV$109,MATCH("P/S",$13:$13,0),FALSE)</f>
        <v>0.49819490050426352</v>
      </c>
      <c r="CA29" s="48">
        <f t="shared" ref="CA29:CA36" si="8">+VLOOKUP(BY29,$A$15:$BV$111,59,FALSE)</f>
        <v>1.8152975324644991</v>
      </c>
      <c r="CB29" s="48" t="str">
        <f t="shared" ref="CB29:CB36" si="9">+VLOOKUP(BY29,$A$15:$BV$111,62,FALSE)</f>
        <v>-</v>
      </c>
      <c r="CD29" s="48" t="s">
        <v>63</v>
      </c>
      <c r="CE29" s="69">
        <v>0.49819490050426352</v>
      </c>
      <c r="CF29" s="48">
        <v>1.8152975324644991</v>
      </c>
      <c r="CG29" s="48" t="s">
        <v>49</v>
      </c>
      <c r="CN29" s="51"/>
    </row>
    <row r="30" spans="1:92" s="49" customFormat="1" ht="11.25" customHeight="1" x14ac:dyDescent="0.2">
      <c r="A30" s="288" t="str">
        <f t="shared" si="5"/>
        <v>GRIM</v>
      </c>
      <c r="B30" s="288"/>
      <c r="C30" s="398">
        <f>+VLOOKUP(A30,[1]ARS!A:EL,MATCH("Last",[1]ARS!$4:$4,0),FALSE)</f>
        <v>49.5</v>
      </c>
      <c r="D30" s="399"/>
      <c r="E30" s="39">
        <f>+VLOOKUP(A30,'[1]Market Cap'!I:J,2,FALSE)</f>
        <v>1</v>
      </c>
      <c r="F30" s="290">
        <f>IFERROR(IF(VLOOKUP(A30,[1]ARS!A:EL,MATCH("Total Debt To Total Equity, Percent FQ0",[1]ARS!$4:$4,0),FALSE)="NULL",IF(VLOOKUP(A30,[1]ARS!A:EL,MATCH("Total Debt To Total Equity, Percent FQ-1",[1]ARS!$4:$4,0),FALSE)="NULL","-",VLOOKUP(A30,[1]ARS!A:EL,MATCH("Total Debt To Total Equity, Percent FQ-1",[1]ARS!$4:$4,0))),VLOOKUP(A30,[1]ARS!A:EL,MATCH("Total Debt To Total Equity, Percent FQ0",[1]ARS!$4:$4,0),FALSE))/100,"-")</f>
        <v>1.5322533014899999</v>
      </c>
      <c r="G30" s="291"/>
      <c r="H30" s="292"/>
      <c r="I30" s="282">
        <f>IFERROR(VLOOKUP(A30,[1]ARS!A:EC,MATCH("Financial Leverage",[1]ARS!$4:$4,0),FALSE),"-")</f>
        <v>3.7967118248255551</v>
      </c>
      <c r="J30" s="293"/>
      <c r="K30" s="294"/>
      <c r="L30" s="282">
        <f>+IFERROR(IF(VLOOKUP(A30,[1]ARS!A:EL,MATCH("Curr Ratio FQ0",[1]ARS!$4:$4,0),FALSE)="NULL",IF(VLOOKUP(A30,[1]ARS!A:EL,MATCH("Curr Ratio FQ-1",[1]ARS!$4:$4,0),FALSE)="NULL","-",VLOOKUP(A30,[1]ARS!A:EL,MATCH("Curr Ratio FQ-1",[1]ARS!$4:$4,0),FALSE)),VLOOKUP(A30,[1]ARS!A:EL,MATCH("Curr Ratio FQ0",[1]ARS!$4:$4,0),FALSE)),"-")</f>
        <v>1.6207</v>
      </c>
      <c r="M30" s="293"/>
      <c r="N30" s="294"/>
      <c r="O30" s="282">
        <f>+IFERROR(IF(VLOOKUP(A30,[1]ARS!A:EL,MATCH("Quick Ratio FQ0",[1]ARS!$4:$4,0),FALSE)="NULL",IF(VLOOKUP(A30,[1]ARS!A:EL,MATCH("Quick Ratio FQ-1",[1]ARS!$4:$4,0),FALSE)="NULL","-",VLOOKUP(A30,[1]ARS!A:EL,MATCH("Quick Ratio FQ-1",[1]ARS!$4:$4,0),FALSE)),VLOOKUP(A30,[1]ARS!A:EL,MATCH("Quick Ratio FQ0",[1]ARS!$4:$4,0),FALSE)),"-")</f>
        <v>1.0886199999999999</v>
      </c>
      <c r="P30" s="293"/>
      <c r="Q30" s="294"/>
      <c r="R30" s="295">
        <f>+IFERROR(IF(VLOOKUP(A30,[1]ARS!$A:$EL,MATCH("Dividend yield",[1]ARS!$4:$4,0),FALSE)="NULL","-",VLOOKUP(A30,[1]ARS!$A:$EL,MATCH("Dividend Yield",[1]ARS!$4:$4,0),FALSE)/100),"-")</f>
        <v>5.7575345081632701E-3</v>
      </c>
      <c r="S30" s="296"/>
      <c r="T30" s="297"/>
      <c r="U30" s="281">
        <f>IF(IFERROR(VLOOKUP(A30,[1]ARS!A:EL,MATCH("Asset Turnover",[1]ARS!$4:$4,0),FALSE),"-")=0,"-",IFERROR(VLOOKUP(A30,[1]ARS!A:EL,MATCH("Asset Turnover",[1]ARS!$4:$4,0),FALSE),"-"))</f>
        <v>2.4862729986038623</v>
      </c>
      <c r="V30" s="281"/>
      <c r="W30" s="281"/>
      <c r="X30" s="284">
        <f>IFERROR(VLOOKUP(A30,[1]ARS!A:EL,MATCH("CCC",[1]ARS!$4:$4,0),FALSE),"-")</f>
        <v>113.18871771535285</v>
      </c>
      <c r="Y30" s="284"/>
      <c r="Z30" s="284"/>
      <c r="AA30" s="283">
        <f>IF(IFERROR(VLOOKUP(A30,[1]ARS!A:EL,MATCH("Gross Margin, Percent",[1]ARS!$4:$4,0),FALSE)/100,"-")&lt;0,"-",IFERROR(VLOOKUP(A30,[1]ARS!A:EL,MATCH("Gross Margin, Percent",[1]ARS!$4:$4,0),FALSE)/100,"-"))</f>
        <v>0.44694260000000002</v>
      </c>
      <c r="AB30" s="283"/>
      <c r="AC30" s="283"/>
      <c r="AD30" s="283">
        <f>IF(IFERROR(VLOOKUP(A30,[1]ARS!A:EL,MATCH("Operating Margin, Percent",[1]ARS!$4:$4,0),FALSE)/100,"-")&lt;0,"-",IFERROR(VLOOKUP(A30,[1]ARS!A:EL,MATCH("Operating Margin, Percent",[1]ARS!$4:$4,0),FALSE)/100,"-"))</f>
        <v>0.16982209999999998</v>
      </c>
      <c r="AE30" s="283"/>
      <c r="AF30" s="283"/>
      <c r="AG30" s="283">
        <f>IF(IFERROR(VLOOKUP(A30,[1]ARS!A:EL,MATCH("Net Profit Margin",[1]ARS!$4:$4,0),FALSE),"-")&lt;0,"-",IFERROR(VLOOKUP(A30,[1]ARS!A:EL,MATCH("Net Profit Margin",[1]ARS!$4:$4,0),FALSE),"-"))</f>
        <v>1.741835778706145E-2</v>
      </c>
      <c r="AH30" s="283"/>
      <c r="AI30" s="283"/>
      <c r="AJ30" s="283">
        <f>IFERROR(VLOOKUP(A30,[1]ARS!A:EL,MATCH("FCF/Revenue",[1]ARS!$4:$4,0),FALSE),"-")</f>
        <v>3.5741005464730288E-2</v>
      </c>
      <c r="AK30" s="283"/>
      <c r="AL30" s="283"/>
      <c r="AM30" s="283">
        <f>IFERROR(IF(VLOOKUP(A30,[1]ARS!A:EL,MATCH("ROE",[1]ARS!$4:$4,0),FALSE)&lt;-5,"-",VLOOKUP(A30,[1]ARS!A:EL,MATCH("ROE",[1]ARS!$4:$4,0),FALSE)),"-")</f>
        <v>0.1181060865428681</v>
      </c>
      <c r="AN30" s="283"/>
      <c r="AO30" s="283"/>
      <c r="AP30" s="283">
        <f>IFERROR(VLOOKUP(A30,[1]ARS!A:EL,MATCH("ROA",[1]ARS!$4:$4,0),FALSE),"-")</f>
        <v>3.4645637693169265E-2</v>
      </c>
      <c r="AQ30" s="283"/>
      <c r="AR30" s="283"/>
      <c r="AS30" s="40">
        <f>+VLOOKUP(A30,[1]ARS!$A$5:$EL$85,MATCH("Last Q y/y",[1]ARS!$4:$4,0),FALSE)</f>
        <v>-0.14830303180148441</v>
      </c>
      <c r="AT30" s="40">
        <f>+VLOOKUP(A30,[1]ARS!$A$5:$EL$99,MATCH("Last 5 yrs - Annual",[1]ARS!$4:$4,0),FALSE)</f>
        <v>0.70142523352304575</v>
      </c>
      <c r="AU30" s="41">
        <f>+VLOOKUP(A30,[1]ARS!$A$5:$EL$84,MATCH("Desvio",[1]ARS!$4:$4,0),FALSE)</f>
        <v>0.647115116448859</v>
      </c>
      <c r="AV30" s="42">
        <f>+VLOOKUP(A30,'[1]Prom. Vtas Ult 5 años'!$A$3:$D$81,3,FALSE)</f>
        <v>24.603043684210526</v>
      </c>
      <c r="AW30" s="40">
        <f>+VLOOKUP(A30,'[1]Prom. Vtas Ult 5 años'!$A$3:$D$81,4,FALSE)</f>
        <v>2.790301795467832</v>
      </c>
      <c r="AX30" s="281">
        <f>IFERROR((VLOOKUP(A30,[1]ARS!A:EL,MATCH("Enterprise Value (Daily Time Series)",[1]ARS!$4:$4,0),FALSE)/1000000000),"-")</f>
        <v>2.4429664560000002</v>
      </c>
      <c r="AY30" s="281"/>
      <c r="AZ30" s="281"/>
      <c r="BA30" s="281">
        <f>IFERROR((VLOOKUP(A30,[1]ARS!A:EL,MATCH("Company Market Cap",[1]ARS!$4:$4,0),FALSE)/1000000000),"-")</f>
        <v>1.9938381300000001</v>
      </c>
      <c r="BB30" s="281"/>
      <c r="BC30" s="281"/>
      <c r="BD30" s="282">
        <f>IF(VLOOKUP(A30,[1]ARS!A:EL,MATCH("Enterprise Value To EBITDA (Daily Time Series Ratio)",[1]ARS!$4:$4,0),FALSE)="NULL","-",VLOOKUP(A30,[1]ARS!A:EL,MATCH("Enterprise Value To EBITDA (Daily Time Series Ratio)",[1]ARS!$4:$4,0),FALSE))</f>
        <v>5.0838817799582499</v>
      </c>
      <c r="BE30" s="293"/>
      <c r="BF30" s="294"/>
      <c r="BG30" s="281">
        <f>IF(OR(IFERROR(VLOOKUP(A30,[1]ARS!A:EL,MATCH("Price To Tangible Book Value",[1]ARS!$4:$4,0),FALSE),"-")&lt;0,IFERROR(VLOOKUP(A30,[1]ARS!A:EL,MATCH("Price To Tangible Book Value",[1]ARS!$4:$4,0),FALSE),"-")&gt;100),"-",IFERROR(VLOOKUP(A30,[1]ARS!A:EL,MATCH("Price To Tangible Book Value",[1]ARS!$4:$4,0),FALSE),"-"))</f>
        <v>3.640326963686324</v>
      </c>
      <c r="BH30" s="281"/>
      <c r="BI30" s="281"/>
      <c r="BJ30" s="281">
        <f>IF(OR(IFERROR(VLOOKUP(A30,[1]ARS!A:EL,MATCH("P/E (Daily Time Series Ratio)",[1]ARS!$4:$4,0),FALSE),"-")&lt;0,IFERROR(VLOOKUP(A30,[1]ARS!A:EL,MATCH("P/E (Daily Time Series Ratio)",[1]ARS!$4:$4,0),FALSE),"-")&gt;500),"-",IFERROR(VLOOKUP(A30,[1]ARS!A:EL,MATCH("P/E (Daily Time Series Ratio)",[1]ARS!$4:$4,0),FALSE),"-"))</f>
        <v>34.596030192899079</v>
      </c>
      <c r="BK30" s="281"/>
      <c r="BL30" s="281"/>
      <c r="BM30" s="281">
        <f>IF(OR(IFERROR(VLOOKUP(A30,[1]ARS!A:EC,MATCH("Price To Sales",[1]ARS!$4:$4,0),FALSE),"-")&lt;0,IFERROR(VLOOKUP(A30,[1]ARS!A:EC,MATCH("Price To Sales",[1]ARS!$4:$4,0),FALSE),"-")&gt;100),"-",IFERROR(VLOOKUP(A30,[1]ARS!A:EC,MATCH("Price To Sales",[1]ARS!$4:$4,0),FALSE),"-"))</f>
        <v>0.54782350145737413</v>
      </c>
      <c r="BN30" s="281"/>
      <c r="BO30" s="281"/>
      <c r="BP30" s="281">
        <f>+IFERROR(IF(VLOOKUP(A30,[1]ARS!A:EO,MATCH("Price to Free Cash Flow",[1]ARS!$4:$4,0),FALSE)="NULL","-",VLOOKUP(A30,[1]ARS!A:EO,MATCH("Price to Free Cash Flow",[1]ARS!$4:$4,0),FALSE)),"-")</f>
        <v>84.518074698999996</v>
      </c>
      <c r="BQ30" s="281"/>
      <c r="BR30" s="282"/>
      <c r="BS30" s="43">
        <f>IF(VLOOKUP(A30,[1]ARS!A:EE,MATCH("Daily Beta - 180 Day",[1]ARS!$4:$4,0),FALSE)="NULL","-",VLOOKUP(A30,[1]ARS!A:EE,MATCH("Daily Beta - 180 Day",[1]ARS!$4:$4,0),FALSE))</f>
        <v>0.57518475511812395</v>
      </c>
      <c r="BT30" s="64">
        <f>+VLOOKUP(A30,[1]ARS!$A:$EH,MATCH("Volatilidad histórica",[1]ARS!$4:$4,0),FALSE)</f>
        <v>0.47651876441852098</v>
      </c>
      <c r="BU30" s="66">
        <f>+VLOOKUP(A30,[1]ARS!$A$5:$EM$85,MATCH("Rto Medio",[1]ARS!$4:$4,0),FALSE)</f>
        <v>0.22508044510992353</v>
      </c>
      <c r="BV30" s="45">
        <f>+IF(VLOOKUP(Template!A30,[1]ARS!A:AA,MATCH("Period End Date",[1]ARS!$3:$3,0),FALSE)="","-",VLOOKUP(Template!A30,[1]ARS!A:AA,MATCH("Period End Date",[1]ARS!$3:$3,0),FALSE))</f>
        <v>43008</v>
      </c>
      <c r="BW30" s="46" t="str">
        <f t="shared" si="6"/>
        <v>GRIM</v>
      </c>
      <c r="BX30" s="4"/>
      <c r="BY30" s="48" t="s">
        <v>64</v>
      </c>
      <c r="BZ30" s="48">
        <f t="shared" si="7"/>
        <v>0.54782350145737413</v>
      </c>
      <c r="CA30" s="48">
        <f t="shared" si="8"/>
        <v>3.640326963686324</v>
      </c>
      <c r="CB30" s="48">
        <f t="shared" si="9"/>
        <v>34.596030192899079</v>
      </c>
      <c r="CD30" s="48" t="s">
        <v>64</v>
      </c>
      <c r="CE30" s="69">
        <v>0.54782350145737413</v>
      </c>
      <c r="CF30" s="48">
        <v>3.640326963686324</v>
      </c>
      <c r="CG30" s="48">
        <v>34.805703103159075</v>
      </c>
      <c r="CN30" s="51"/>
    </row>
    <row r="31" spans="1:92" s="49" customFormat="1" ht="11.25" customHeight="1" x14ac:dyDescent="0.2">
      <c r="A31" s="330" t="str">
        <f t="shared" si="5"/>
        <v>MIRG</v>
      </c>
      <c r="B31" s="330"/>
      <c r="C31" s="396">
        <f>+VLOOKUP(A31,[1]ARS!A:EL,MATCH("Last",[1]ARS!$4:$4,0),FALSE)</f>
        <v>626</v>
      </c>
      <c r="D31" s="397"/>
      <c r="E31" s="52">
        <f>+VLOOKUP(A31,'[1]Market Cap'!I:J,2,FALSE)</f>
        <v>0.1</v>
      </c>
      <c r="F31" s="371">
        <f>IFERROR(IF(VLOOKUP(A31,[1]ARS!A:EL,MATCH("Total Debt To Total Equity, Percent FQ0",[1]ARS!$4:$4,0),FALSE)="NULL",IF(VLOOKUP(A31,[1]ARS!A:EL,MATCH("Total Debt To Total Equity, Percent FQ-1",[1]ARS!$4:$4,0),FALSE)="NULL","-",VLOOKUP(A31,[1]ARS!A:EL,MATCH("Total Debt To Total Equity, Percent FQ-1",[1]ARS!$4:$4,0))),VLOOKUP(A31,[1]ARS!A:EL,MATCH("Total Debt To Total Equity, Percent FQ0",[1]ARS!$4:$4,0),FALSE))/100,"-")</f>
        <v>0.26144099389000003</v>
      </c>
      <c r="G31" s="372"/>
      <c r="H31" s="373"/>
      <c r="I31" s="325">
        <f>IFERROR(VLOOKUP(A31,[1]ARS!A:EC,MATCH("Financial Leverage",[1]ARS!$4:$4,0),FALSE),"-")</f>
        <v>4.042640984945213</v>
      </c>
      <c r="J31" s="333"/>
      <c r="K31" s="334"/>
      <c r="L31" s="325">
        <f>+IFERROR(IF(VLOOKUP(A31,[1]ARS!A:EL,MATCH("Curr Ratio FQ0",[1]ARS!$4:$4,0),FALSE)="NULL",IF(VLOOKUP(A31,[1]ARS!A:EL,MATCH("Curr Ratio FQ-1",[1]ARS!$4:$4,0),FALSE)="NULL","-",VLOOKUP(A31,[1]ARS!A:EL,MATCH("Curr Ratio FQ-1",[1]ARS!$4:$4,0),FALSE)),VLOOKUP(A31,[1]ARS!A:EL,MATCH("Curr Ratio FQ0",[1]ARS!$4:$4,0),FALSE)),"-")</f>
        <v>1.1332</v>
      </c>
      <c r="M31" s="333"/>
      <c r="N31" s="334"/>
      <c r="O31" s="325">
        <f>+IFERROR(IF(VLOOKUP(A31,[1]ARS!A:EL,MATCH("Quick Ratio FQ0",[1]ARS!$4:$4,0),FALSE)="NULL",IF(VLOOKUP(A31,[1]ARS!A:EL,MATCH("Quick Ratio FQ-1",[1]ARS!$4:$4,0),FALSE)="NULL","-",VLOOKUP(A31,[1]ARS!A:EL,MATCH("Quick Ratio FQ-1",[1]ARS!$4:$4,0),FALSE)),VLOOKUP(A31,[1]ARS!A:EL,MATCH("Quick Ratio FQ0",[1]ARS!$4:$4,0),FALSE)),"-")</f>
        <v>0.68028999999999995</v>
      </c>
      <c r="P31" s="333"/>
      <c r="Q31" s="334"/>
      <c r="R31" s="335">
        <f>+IFERROR(IF(VLOOKUP(A31,[1]ARS!$A:$EL,MATCH("Dividend yield",[1]ARS!$4:$4,0),FALSE)="NULL","-",VLOOKUP(A31,[1]ARS!$A:$EL,MATCH("Dividend Yield",[1]ARS!$4:$4,0),FALSE)/100),"-")</f>
        <v>2.5532662440571003E-4</v>
      </c>
      <c r="S31" s="336"/>
      <c r="T31" s="337"/>
      <c r="U31" s="324">
        <f>IF(IFERROR(VLOOKUP(A31,[1]ARS!A:EL,MATCH("Asset Turnover",[1]ARS!$4:$4,0),FALSE),"-")=0,"-",IFERROR(VLOOKUP(A31,[1]ARS!A:EL,MATCH("Asset Turnover",[1]ARS!$4:$4,0),FALSE),"-"))</f>
        <v>2.8210674870376486</v>
      </c>
      <c r="V31" s="324"/>
      <c r="W31" s="324"/>
      <c r="X31" s="328">
        <f>IFERROR(VLOOKUP(A31,[1]ARS!A:EL,MATCH("CCC",[1]ARS!$4:$4,0),FALSE),"-")</f>
        <v>24.651030309720241</v>
      </c>
      <c r="Y31" s="328"/>
      <c r="Z31" s="328"/>
      <c r="AA31" s="327">
        <f>IF(IFERROR(VLOOKUP(A31,[1]ARS!A:EL,MATCH("Gross Margin, Percent",[1]ARS!$4:$4,0),FALSE)/100,"-")&lt;0,"-",IFERROR(VLOOKUP(A31,[1]ARS!A:EL,MATCH("Gross Margin, Percent",[1]ARS!$4:$4,0),FALSE)/100,"-"))</f>
        <v>0.1532413</v>
      </c>
      <c r="AB31" s="327"/>
      <c r="AC31" s="327"/>
      <c r="AD31" s="327">
        <f>IF(IFERROR(VLOOKUP(A31,[1]ARS!A:EL,MATCH("Operating Margin, Percent",[1]ARS!$4:$4,0),FALSE)/100,"-")&lt;0,"-",IFERROR(VLOOKUP(A31,[1]ARS!A:EL,MATCH("Operating Margin, Percent",[1]ARS!$4:$4,0),FALSE)/100,"-"))</f>
        <v>4.1425299999999998E-2</v>
      </c>
      <c r="AE31" s="327"/>
      <c r="AF31" s="327"/>
      <c r="AG31" s="327">
        <f>IF(IFERROR(VLOOKUP(A31,[1]ARS!A:EL,MATCH("Net Profit Margin",[1]ARS!$4:$4,0),FALSE),"-")&lt;0,"-",IFERROR(VLOOKUP(A31,[1]ARS!A:EL,MATCH("Net Profit Margin",[1]ARS!$4:$4,0),FALSE),"-"))</f>
        <v>3.9173758661855893E-2</v>
      </c>
      <c r="AH31" s="327"/>
      <c r="AI31" s="327"/>
      <c r="AJ31" s="327">
        <f>IFERROR(VLOOKUP(A31,[1]ARS!A:EL,MATCH("FCF/Revenue",[1]ARS!$4:$4,0),FALSE),"-")</f>
        <v>0.13582524735806142</v>
      </c>
      <c r="AK31" s="327"/>
      <c r="AL31" s="327"/>
      <c r="AM31" s="329">
        <f>IFERROR(IF(VLOOKUP(A31,[1]ARS!A:EL,MATCH("ROE",[1]ARS!$4:$4,0),FALSE)&lt;-5,"-",VLOOKUP(A31,[1]ARS!A:EL,MATCH("ROE",[1]ARS!$4:$4,0),FALSE)),"-")</f>
        <v>0.3693381335528213</v>
      </c>
      <c r="AN31" s="329"/>
      <c r="AO31" s="329"/>
      <c r="AP31" s="327">
        <f>IFERROR(VLOOKUP(A31,[1]ARS!A:EL,MATCH("ROA",[1]ARS!$4:$4,0),FALSE),"-")</f>
        <v>8.8409571500195641E-2</v>
      </c>
      <c r="AQ31" s="327"/>
      <c r="AR31" s="327"/>
      <c r="AS31" s="53">
        <f>+VLOOKUP(A31,[1]ARS!$A$5:$EL$85,MATCH("Last Q y/y",[1]ARS!$4:$4,0),FALSE)</f>
        <v>1.0600434080622536</v>
      </c>
      <c r="AT31" s="53">
        <f>+VLOOKUP(A31,[1]ARS!$A$5:$EL$99,MATCH("Last 5 yrs - Annual",[1]ARS!$4:$4,0),FALSE)</f>
        <v>0.74427251378519643</v>
      </c>
      <c r="AU31" s="54">
        <f>+VLOOKUP(A31,[1]ARS!$A$5:$EL$84,MATCH("Desvio",[1]ARS!$4:$4,0),FALSE)</f>
        <v>1.2801775045651382</v>
      </c>
      <c r="AV31" s="55">
        <f>+VLOOKUP(A31,'[1]Prom. Vtas Ult 5 años'!$A$3:$D$81,3,FALSE)</f>
        <v>81.867526315789476</v>
      </c>
      <c r="AW31" s="56">
        <f>+VLOOKUP(A31,'[1]Prom. Vtas Ult 5 años'!$A$3:$D$81,4,FALSE)</f>
        <v>12.127841938138198</v>
      </c>
      <c r="AX31" s="324">
        <f>IFERROR((VLOOKUP(A31,[1]ARS!A:EL,MATCH("Enterprise Value (Daily Time Series)",[1]ARS!$4:$4,0),FALSE)/1000000000),"-")</f>
        <v>114.064077</v>
      </c>
      <c r="AY31" s="324"/>
      <c r="AZ31" s="324"/>
      <c r="BA31" s="324">
        <f>IFERROR((VLOOKUP(A31,[1]ARS!A:EL,MATCH("Company Market Cap",[1]ARS!$4:$4,0),FALSE)/1000000000),"-")</f>
        <v>11.016</v>
      </c>
      <c r="BB31" s="324"/>
      <c r="BC31" s="324"/>
      <c r="BD31" s="325">
        <f>IF(VLOOKUP(A31,[1]ARS!A:EL,MATCH("Enterprise Value To EBITDA (Daily Time Series Ratio)",[1]ARS!$4:$4,0),FALSE)="NULL","-",VLOOKUP(A31,[1]ARS!A:EL,MATCH("Enterprise Value To EBITDA (Daily Time Series Ratio)",[1]ARS!$4:$4,0),FALSE))</f>
        <v>37.333746064975202</v>
      </c>
      <c r="BE31" s="333"/>
      <c r="BF31" s="334"/>
      <c r="BG31" s="324">
        <f>IF(OR(IFERROR(VLOOKUP(A31,[1]ARS!A:EL,MATCH("Price To Tangible Book Value",[1]ARS!$4:$4,0),FALSE),"-")&lt;0,IFERROR(VLOOKUP(A31,[1]ARS!A:EL,MATCH("Price To Tangible Book Value",[1]ARS!$4:$4,0),FALSE),"-")&gt;100),"-",IFERROR(VLOOKUP(A31,[1]ARS!A:EL,MATCH("Price To Tangible Book Value",[1]ARS!$4:$4,0),FALSE),"-"))</f>
        <v>4.8958607399611749</v>
      </c>
      <c r="BH31" s="324"/>
      <c r="BI31" s="324"/>
      <c r="BJ31" s="324">
        <f>IF(OR(IFERROR(VLOOKUP(A31,[1]ARS!A:EL,MATCH("P/E (Daily Time Series Ratio)",[1]ARS!$4:$4,0),FALSE),"-")&lt;0,IFERROR(VLOOKUP(A31,[1]ARS!A:EL,MATCH("P/E (Daily Time Series Ratio)",[1]ARS!$4:$4,0),FALSE),"-")&gt;500),"-",IFERROR(VLOOKUP(A31,[1]ARS!A:EL,MATCH("P/E (Daily Time Series Ratio)",[1]ARS!$4:$4,0),FALSE),"-"))</f>
        <v>157.19637996323715</v>
      </c>
      <c r="BK31" s="324"/>
      <c r="BL31" s="324"/>
      <c r="BM31" s="324">
        <f>IF(OR(IFERROR(VLOOKUP(A31,[1]ARS!A:EC,MATCH("Price To Sales",[1]ARS!$4:$4,0),FALSE),"-")&lt;0,IFERROR(VLOOKUP(A31,[1]ARS!A:EC,MATCH("Price To Sales",[1]ARS!$4:$4,0),FALSE),"-")&gt;100),"-",IFERROR(VLOOKUP(A31,[1]ARS!A:EC,MATCH("Price To Sales",[1]ARS!$4:$4,0),FALSE),"-"))</f>
        <v>0.60579167860221816</v>
      </c>
      <c r="BN31" s="324"/>
      <c r="BO31" s="324"/>
      <c r="BP31" s="324">
        <f>+IFERROR(IF(VLOOKUP(A31,[1]ARS!A:EO,MATCH("Price to Free Cash Flow",[1]ARS!$4:$4,0),FALSE)="NULL","-",VLOOKUP(A31,[1]ARS!A:EO,MATCH("Price to Free Cash Flow",[1]ARS!$4:$4,0),FALSE)),"-")</f>
        <v>140.85188230349999</v>
      </c>
      <c r="BQ31" s="324"/>
      <c r="BR31" s="325"/>
      <c r="BS31" s="57">
        <f>IF(VLOOKUP(A31,[1]ARS!A:EE,MATCH("Daily Beta - 180 Day",[1]ARS!$4:$4,0),FALSE)="NULL","-",VLOOKUP(A31,[1]ARS!A:EE,MATCH("Daily Beta - 180 Day",[1]ARS!$4:$4,0),FALSE))</f>
        <v>0.82407432438556605</v>
      </c>
      <c r="BT31" s="53">
        <f>+VLOOKUP(A31,[1]ARS!$A:$EH,MATCH("Volatilidad histórica",[1]ARS!$4:$4,0),FALSE)</f>
        <v>0.49024635317258181</v>
      </c>
      <c r="BU31" s="56">
        <f>+VLOOKUP(A31,[1]ARS!$A$5:$EM$85,MATCH("Rto Medio",[1]ARS!$4:$4,0),FALSE)</f>
        <v>0.19739031876233515</v>
      </c>
      <c r="BV31" s="58">
        <f>+IF(VLOOKUP(Template!A31,[1]ARS!A:AA,MATCH("Period End Date",[1]ARS!$3:$3,0),FALSE)="","-",VLOOKUP(Template!A31,[1]ARS!A:AA,MATCH("Period End Date",[1]ARS!$3:$3,0),FALSE))</f>
        <v>43008</v>
      </c>
      <c r="BW31" s="59" t="str">
        <f t="shared" si="6"/>
        <v>MIRG</v>
      </c>
      <c r="BX31" s="4"/>
      <c r="BY31" s="48" t="s">
        <v>65</v>
      </c>
      <c r="BZ31" s="48">
        <f t="shared" si="7"/>
        <v>0.60579167860221816</v>
      </c>
      <c r="CA31" s="48">
        <f t="shared" si="8"/>
        <v>4.8958607399611749</v>
      </c>
      <c r="CB31" s="48">
        <f t="shared" si="9"/>
        <v>157.19637996323715</v>
      </c>
      <c r="CD31" s="48" t="s">
        <v>65</v>
      </c>
      <c r="CE31" s="94">
        <v>0.60579167860221816</v>
      </c>
      <c r="CF31" s="94">
        <v>4.8958607399611749</v>
      </c>
      <c r="CG31" s="94">
        <v>156.94526753518085</v>
      </c>
      <c r="CN31" s="51"/>
    </row>
    <row r="32" spans="1:92" s="49" customFormat="1" ht="11.25" customHeight="1" x14ac:dyDescent="0.2">
      <c r="A32" s="288" t="str">
        <f t="shared" si="5"/>
        <v>LONG</v>
      </c>
      <c r="B32" s="288"/>
      <c r="C32" s="398">
        <f>+VLOOKUP(A32,[1]ARS!A:EL,MATCH("Last",[1]ARS!$4:$4,0),FALSE)</f>
        <v>5.6000000000000005</v>
      </c>
      <c r="D32" s="399"/>
      <c r="E32" s="39">
        <f>+VLOOKUP(A32,'[1]Market Cap'!I:J,2,FALSE)</f>
        <v>1</v>
      </c>
      <c r="F32" s="290">
        <f>IFERROR(IF(VLOOKUP(A32,[1]ARS!A:EL,MATCH("Total Debt To Total Equity, Percent FQ0",[1]ARS!$4:$4,0),FALSE)="NULL",IF(VLOOKUP(A32,[1]ARS!A:EL,MATCH("Total Debt To Total Equity, Percent FQ-1",[1]ARS!$4:$4,0),FALSE)="NULL","-",VLOOKUP(A32,[1]ARS!A:EL,MATCH("Total Debt To Total Equity, Percent FQ-1",[1]ARS!$4:$4,0))),VLOOKUP(A32,[1]ARS!A:EL,MATCH("Total Debt To Total Equity, Percent FQ0",[1]ARS!$4:$4,0),FALSE))/100,"-")</f>
        <v>0.73970866133000002</v>
      </c>
      <c r="G32" s="291"/>
      <c r="H32" s="292"/>
      <c r="I32" s="282">
        <f>IFERROR(VLOOKUP(A32,[1]ARS!A:EC,MATCH("Financial Leverage",[1]ARS!$4:$4,0),FALSE),"-")</f>
        <v>2.5189409717723383</v>
      </c>
      <c r="J32" s="293"/>
      <c r="K32" s="294"/>
      <c r="L32" s="282">
        <f>+IFERROR(IF(VLOOKUP(A32,[1]ARS!A:EL,MATCH("Curr Ratio FQ0",[1]ARS!$4:$4,0),FALSE)="NULL",IF(VLOOKUP(A32,[1]ARS!A:EL,MATCH("Curr Ratio FQ-1",[1]ARS!$4:$4,0),FALSE)="NULL","-",VLOOKUP(A32,[1]ARS!A:EL,MATCH("Curr Ratio FQ-1",[1]ARS!$4:$4,0),FALSE)),VLOOKUP(A32,[1]ARS!A:EL,MATCH("Curr Ratio FQ0",[1]ARS!$4:$4,0),FALSE)),"-")</f>
        <v>1.5565100000000001</v>
      </c>
      <c r="M32" s="293"/>
      <c r="N32" s="294"/>
      <c r="O32" s="282">
        <f>+IFERROR(IF(VLOOKUP(A32,[1]ARS!A:EL,MATCH("Quick Ratio FQ0",[1]ARS!$4:$4,0),FALSE)="NULL",IF(VLOOKUP(A32,[1]ARS!A:EL,MATCH("Quick Ratio FQ-1",[1]ARS!$4:$4,0),FALSE)="NULL","-",VLOOKUP(A32,[1]ARS!A:EL,MATCH("Quick Ratio FQ-1",[1]ARS!$4:$4,0),FALSE)),VLOOKUP(A32,[1]ARS!A:EL,MATCH("Quick Ratio FQ0",[1]ARS!$4:$4,0),FALSE)),"-")</f>
        <v>0.73440000000000005</v>
      </c>
      <c r="P32" s="293"/>
      <c r="Q32" s="294"/>
      <c r="R32" s="295">
        <f>+IFERROR(IF(VLOOKUP(A32,[1]ARS!$A:$EL,MATCH("Dividend yield",[1]ARS!$4:$4,0),FALSE)="NULL","-",VLOOKUP(A32,[1]ARS!$A:$EL,MATCH("Dividend Yield",[1]ARS!$4:$4,0),FALSE)/100),"-")</f>
        <v>1.4940359237288099E-2</v>
      </c>
      <c r="S32" s="296"/>
      <c r="T32" s="297"/>
      <c r="U32" s="281">
        <f>IF(IFERROR(VLOOKUP(A32,[1]ARS!A:EL,MATCH("Asset Turnover",[1]ARS!$4:$4,0),FALSE),"-")=0,"-",IFERROR(VLOOKUP(A32,[1]ARS!A:EL,MATCH("Asset Turnover",[1]ARS!$4:$4,0),FALSE),"-"))</f>
        <v>1.9740070969560959</v>
      </c>
      <c r="V32" s="281"/>
      <c r="W32" s="281"/>
      <c r="X32" s="284">
        <f>IFERROR(VLOOKUP(A32,[1]ARS!A:EL,MATCH("CCC",[1]ARS!$4:$4,0),FALSE),"-")</f>
        <v>142.21830749706857</v>
      </c>
      <c r="Y32" s="284"/>
      <c r="Z32" s="284"/>
      <c r="AA32" s="283">
        <f>IF(IFERROR(VLOOKUP(A32,[1]ARS!A:EL,MATCH("Gross Margin, Percent",[1]ARS!$4:$4,0),FALSE)/100,"-")&lt;0,"-",IFERROR(VLOOKUP(A32,[1]ARS!A:EL,MATCH("Gross Margin, Percent",[1]ARS!$4:$4,0),FALSE)/100,"-"))</f>
        <v>0.23041029999999998</v>
      </c>
      <c r="AB32" s="283"/>
      <c r="AC32" s="283"/>
      <c r="AD32" s="283">
        <f>IF(IFERROR(VLOOKUP(A32,[1]ARS!A:EL,MATCH("Operating Margin, Percent",[1]ARS!$4:$4,0),FALSE)/100,"-")&lt;0,"-",IFERROR(VLOOKUP(A32,[1]ARS!A:EL,MATCH("Operating Margin, Percent",[1]ARS!$4:$4,0),FALSE)/100,"-"))</f>
        <v>4.7027599999999996E-2</v>
      </c>
      <c r="AE32" s="283"/>
      <c r="AF32" s="283"/>
      <c r="AG32" s="283" t="str">
        <f>IF(IFERROR(VLOOKUP(A32,[1]ARS!A:EL,MATCH("Net Profit Margin",[1]ARS!$4:$4,0),FALSE),"-")&lt;0,"-",IFERROR(VLOOKUP(A32,[1]ARS!A:EL,MATCH("Net Profit Margin",[1]ARS!$4:$4,0),FALSE),"-"))</f>
        <v>-</v>
      </c>
      <c r="AH32" s="283"/>
      <c r="AI32" s="283"/>
      <c r="AJ32" s="283">
        <f>IFERROR(VLOOKUP(A32,[1]ARS!A:EL,MATCH("FCF/Revenue",[1]ARS!$4:$4,0),FALSE),"-")</f>
        <v>6.2316669454640121E-3</v>
      </c>
      <c r="AK32" s="283"/>
      <c r="AL32" s="283"/>
      <c r="AM32" s="283">
        <f>IFERROR(IF(VLOOKUP(A32,[1]ARS!A:EL,MATCH("ROE",[1]ARS!$4:$4,0),FALSE)&lt;-5,"-",VLOOKUP(A32,[1]ARS!A:EL,MATCH("ROE",[1]ARS!$4:$4,0),FALSE)),"-")</f>
        <v>-5.7358261297394348E-3</v>
      </c>
      <c r="AN32" s="283"/>
      <c r="AO32" s="283"/>
      <c r="AP32" s="283">
        <f>IFERROR(VLOOKUP(A32,[1]ARS!A:EL,MATCH("ROA",[1]ARS!$4:$4,0),FALSE),"-")</f>
        <v>-2.378187361347337E-3</v>
      </c>
      <c r="AQ32" s="283"/>
      <c r="AR32" s="283"/>
      <c r="AS32" s="40">
        <f>+VLOOKUP(A32,[1]ARS!$A$5:$EL$85,MATCH("Last Q y/y",[1]ARS!$4:$4,0),FALSE)</f>
        <v>-0.77682867241846298</v>
      </c>
      <c r="AT32" s="40">
        <f>+VLOOKUP(A32,[1]ARS!$A$5:$EL$99,MATCH("Last 5 yrs - Annual",[1]ARS!$4:$4,0),FALSE)</f>
        <v>0.43487236222775189</v>
      </c>
      <c r="AU32" s="41">
        <f>+VLOOKUP(A32,[1]ARS!$A$5:$EL$84,MATCH("Desvio",[1]ARS!$4:$4,0),FALSE)</f>
        <v>1.1425514707765321</v>
      </c>
      <c r="AV32" s="42">
        <f>+VLOOKUP(A32,'[1]Prom. Vtas Ult 5 años'!$A$3:$D$81,3,FALSE)</f>
        <v>10.537869473684211</v>
      </c>
      <c r="AW32" s="40">
        <f>+VLOOKUP(A32,'[1]Prom. Vtas Ult 5 años'!$A$3:$D$81,4,FALSE)</f>
        <v>3.2814188838722997</v>
      </c>
      <c r="AX32" s="281">
        <f>IFERROR((VLOOKUP(A32,[1]ARS!A:EL,MATCH("Enterprise Value (Daily Time Series)",[1]ARS!$4:$4,0),FALSE)/1000000000),"-")</f>
        <v>1.0875733267000001</v>
      </c>
      <c r="AY32" s="281"/>
      <c r="AZ32" s="281"/>
      <c r="BA32" s="281">
        <f>IFERROR((VLOOKUP(A32,[1]ARS!A:EL,MATCH("Company Market Cap",[1]ARS!$4:$4,0),FALSE)/1000000000),"-")</f>
        <v>0.87575662409999999</v>
      </c>
      <c r="BB32" s="281"/>
      <c r="BC32" s="281"/>
      <c r="BD32" s="282">
        <f>IF(VLOOKUP(A32,[1]ARS!A:EL,MATCH("Enterprise Value To EBITDA (Daily Time Series Ratio)",[1]ARS!$4:$4,0),FALSE)="NULL","-",VLOOKUP(A32,[1]ARS!A:EL,MATCH("Enterprise Value To EBITDA (Daily Time Series Ratio)",[1]ARS!$4:$4,0),FALSE))</f>
        <v>35.272457771579603</v>
      </c>
      <c r="BE32" s="293"/>
      <c r="BF32" s="294"/>
      <c r="BG32" s="281">
        <f>IF(OR(IFERROR(VLOOKUP(A32,[1]ARS!A:EL,MATCH("Price To Tangible Book Value",[1]ARS!$4:$4,0),FALSE),"-")&lt;0,IFERROR(VLOOKUP(A32,[1]ARS!A:EL,MATCH("Price To Tangible Book Value",[1]ARS!$4:$4,0),FALSE),"-")&gt;100),"-",IFERROR(VLOOKUP(A32,[1]ARS!A:EL,MATCH("Price To Tangible Book Value",[1]ARS!$4:$4,0),FALSE),"-"))</f>
        <v>2.7925899400877201</v>
      </c>
      <c r="BH32" s="281"/>
      <c r="BI32" s="281"/>
      <c r="BJ32" s="281" t="str">
        <f>IF(OR(IFERROR(VLOOKUP(A32,[1]ARS!A:EL,MATCH("P/E (Daily Time Series Ratio)",[1]ARS!$4:$4,0),FALSE),"-")&lt;0,IFERROR(VLOOKUP(A32,[1]ARS!A:EL,MATCH("P/E (Daily Time Series Ratio)",[1]ARS!$4:$4,0),FALSE),"-")&gt;500),"-",IFERROR(VLOOKUP(A32,[1]ARS!A:EL,MATCH("P/E (Daily Time Series Ratio)",[1]ARS!$4:$4,0),FALSE),"-"))</f>
        <v>-</v>
      </c>
      <c r="BK32" s="281"/>
      <c r="BL32" s="281"/>
      <c r="BM32" s="281">
        <f>IF(OR(IFERROR(VLOOKUP(A32,[1]ARS!A:EC,MATCH("Price To Sales",[1]ARS!$4:$4,0),FALSE),"-")&lt;0,IFERROR(VLOOKUP(A32,[1]ARS!A:EC,MATCH("Price To Sales",[1]ARS!$4:$4,0),FALSE),"-")&gt;100),"-",IFERROR(VLOOKUP(A32,[1]ARS!A:EC,MATCH("Price To Sales",[1]ARS!$4:$4,0),FALSE),"-"))</f>
        <v>0.73600870770505322</v>
      </c>
      <c r="BN32" s="281"/>
      <c r="BO32" s="281"/>
      <c r="BP32" s="281">
        <f>+IFERROR(IF(VLOOKUP(A32,[1]ARS!A:EO,MATCH("Price to Free Cash Flow",[1]ARS!$4:$4,0),FALSE)="NULL","-",VLOOKUP(A32,[1]ARS!A:EO,MATCH("Price to Free Cash Flow",[1]ARS!$4:$4,0),FALSE)),"-")</f>
        <v>748.56101034710002</v>
      </c>
      <c r="BQ32" s="281"/>
      <c r="BR32" s="282"/>
      <c r="BS32" s="43">
        <f>IF(VLOOKUP(A32,[1]ARS!A:EE,MATCH("Daily Beta - 180 Day",[1]ARS!$4:$4,0),FALSE)="NULL","-",VLOOKUP(A32,[1]ARS!A:EE,MATCH("Daily Beta - 180 Day",[1]ARS!$4:$4,0),FALSE))</f>
        <v>0.69034196171630802</v>
      </c>
      <c r="BT32" s="40">
        <f>+VLOOKUP(A32,[1]ARS!$A:$EH,MATCH("Volatilidad histórica",[1]ARS!$4:$4,0),FALSE)</f>
        <v>0.43563506137941616</v>
      </c>
      <c r="BU32" s="44">
        <f>+VLOOKUP(A32,[1]ARS!$A$5:$EM$85,MATCH("Rto Medio",[1]ARS!$4:$4,0),FALSE)</f>
        <v>4.464140275202011E-2</v>
      </c>
      <c r="BV32" s="45">
        <f>+IF(VLOOKUP(Template!A32,[1]ARS!A:AA,MATCH("Period End Date",[1]ARS!$3:$3,0),FALSE)="","-",VLOOKUP(Template!A32,[1]ARS!A:AA,MATCH("Period End Date",[1]ARS!$3:$3,0),FALSE))</f>
        <v>43008</v>
      </c>
      <c r="BW32" s="46" t="str">
        <f t="shared" si="6"/>
        <v>LONG</v>
      </c>
      <c r="BX32" s="4"/>
      <c r="BY32" s="48" t="s">
        <v>66</v>
      </c>
      <c r="BZ32" s="48">
        <f t="shared" si="7"/>
        <v>0.73600870770505322</v>
      </c>
      <c r="CA32" s="48">
        <f t="shared" si="8"/>
        <v>2.7925899400877201</v>
      </c>
      <c r="CB32" s="48" t="str">
        <f t="shared" si="9"/>
        <v>-</v>
      </c>
      <c r="CD32" s="48" t="s">
        <v>66</v>
      </c>
      <c r="CE32" s="69">
        <v>0.73600870770505322</v>
      </c>
      <c r="CF32" s="48">
        <v>2.7925899400877201</v>
      </c>
      <c r="CG32" s="48" t="s">
        <v>49</v>
      </c>
      <c r="CN32" s="51"/>
    </row>
    <row r="33" spans="1:140" s="49" customFormat="1" ht="11.25" customHeight="1" x14ac:dyDescent="0.2">
      <c r="A33" s="330" t="str">
        <f t="shared" si="5"/>
        <v>TGLT</v>
      </c>
      <c r="B33" s="330"/>
      <c r="C33" s="396">
        <f>+VLOOKUP(A33,[1]ARS!A:EL,MATCH("Last",[1]ARS!$4:$4,0),FALSE)</f>
        <v>20.85</v>
      </c>
      <c r="D33" s="397"/>
      <c r="E33" s="52">
        <f>+VLOOKUP(A33,'[1]Market Cap'!I:J,2,FALSE)</f>
        <v>1</v>
      </c>
      <c r="F33" s="371">
        <f>IFERROR(IF(VLOOKUP(A33,[1]ARS!A:EL,MATCH("Total Debt To Total Equity, Percent FQ0",[1]ARS!$4:$4,0),FALSE)="NULL",IF(VLOOKUP(A33,[1]ARS!A:EL,MATCH("Total Debt To Total Equity, Percent FQ-1",[1]ARS!$4:$4,0),FALSE)="NULL","-",VLOOKUP(A33,[1]ARS!A:EL,MATCH("Total Debt To Total Equity, Percent FQ-1",[1]ARS!$4:$4,0))),VLOOKUP(A33,[1]ARS!A:EL,MATCH("Total Debt To Total Equity, Percent FQ0",[1]ARS!$4:$4,0),FALSE))/100,"-")</f>
        <v>2.6311694745</v>
      </c>
      <c r="G33" s="372"/>
      <c r="H33" s="373"/>
      <c r="I33" s="325">
        <f>IFERROR(VLOOKUP(A33,[1]ARS!A:EC,MATCH("Financial Leverage",[1]ARS!$4:$4,0),FALSE),"-")</f>
        <v>7.7016363116404554</v>
      </c>
      <c r="J33" s="333"/>
      <c r="K33" s="334"/>
      <c r="L33" s="325">
        <f>+IFERROR(IF(VLOOKUP(A33,[1]ARS!A:EL,MATCH("Curr Ratio FQ0",[1]ARS!$4:$4,0),FALSE)="NULL",IF(VLOOKUP(A33,[1]ARS!A:EL,MATCH("Curr Ratio FQ-1",[1]ARS!$4:$4,0),FALSE)="NULL","-",VLOOKUP(A33,[1]ARS!A:EL,MATCH("Curr Ratio FQ-1",[1]ARS!$4:$4,0),FALSE)),VLOOKUP(A33,[1]ARS!A:EL,MATCH("Curr Ratio FQ0",[1]ARS!$4:$4,0),FALSE)),"-")</f>
        <v>1.4485600000000001</v>
      </c>
      <c r="M33" s="333"/>
      <c r="N33" s="334"/>
      <c r="O33" s="325">
        <f>+IFERROR(IF(VLOOKUP(A33,[1]ARS!A:EL,MATCH("Quick Ratio FQ0",[1]ARS!$4:$4,0),FALSE)="NULL",IF(VLOOKUP(A33,[1]ARS!A:EL,MATCH("Quick Ratio FQ-1",[1]ARS!$4:$4,0),FALSE)="NULL","-",VLOOKUP(A33,[1]ARS!A:EL,MATCH("Quick Ratio FQ-1",[1]ARS!$4:$4,0),FALSE)),VLOOKUP(A33,[1]ARS!A:EL,MATCH("Quick Ratio FQ0",[1]ARS!$4:$4,0),FALSE)),"-")</f>
        <v>0.61987000000000003</v>
      </c>
      <c r="P33" s="333"/>
      <c r="Q33" s="334"/>
      <c r="R33" s="335" t="str">
        <f>+IFERROR(IF(VLOOKUP(A33,[1]ARS!$A:$EL,MATCH("Dividend yield",[1]ARS!$4:$4,0),FALSE)="NULL","-",VLOOKUP(A33,[1]ARS!$A:$EL,MATCH("Dividend Yield",[1]ARS!$4:$4,0),FALSE)/100),"-")</f>
        <v>-</v>
      </c>
      <c r="S33" s="336"/>
      <c r="T33" s="337"/>
      <c r="U33" s="324">
        <f>IF(IFERROR(VLOOKUP(A33,[1]ARS!A:EL,MATCH("Asset Turnover",[1]ARS!$4:$4,0),FALSE),"-")=0,"-",IFERROR(VLOOKUP(A33,[1]ARS!A:EL,MATCH("Asset Turnover",[1]ARS!$4:$4,0),FALSE),"-"))</f>
        <v>0.2628337561541424</v>
      </c>
      <c r="V33" s="324"/>
      <c r="W33" s="324"/>
      <c r="X33" s="328">
        <f>IFERROR(VLOOKUP(A33,[1]ARS!A:EL,MATCH("CCC",[1]ARS!$4:$4,0),FALSE),"-")</f>
        <v>7.6666628334735831</v>
      </c>
      <c r="Y33" s="328"/>
      <c r="Z33" s="328"/>
      <c r="AA33" s="327">
        <f>IF(IFERROR(VLOOKUP(A33,[1]ARS!A:EL,MATCH("Gross Margin, Percent",[1]ARS!$4:$4,0),FALSE)/100,"-")&lt;0,"-",IFERROR(VLOOKUP(A33,[1]ARS!A:EL,MATCH("Gross Margin, Percent",[1]ARS!$4:$4,0),FALSE)/100,"-"))</f>
        <v>8.3731100000000003E-2</v>
      </c>
      <c r="AB33" s="327"/>
      <c r="AC33" s="327"/>
      <c r="AD33" s="327" t="str">
        <f>IF(IFERROR(VLOOKUP(A33,[1]ARS!A:EL,MATCH("Operating Margin, Percent",[1]ARS!$4:$4,0),FALSE)/100,"-")&lt;0,"-",IFERROR(VLOOKUP(A33,[1]ARS!A:EL,MATCH("Operating Margin, Percent",[1]ARS!$4:$4,0),FALSE)/100,"-"))</f>
        <v>-</v>
      </c>
      <c r="AE33" s="327"/>
      <c r="AF33" s="327"/>
      <c r="AG33" s="327" t="str">
        <f>IF(IFERROR(VLOOKUP(A33,[1]ARS!A:EL,MATCH("Net Profit Margin",[1]ARS!$4:$4,0),FALSE),"-")&lt;0,"-",IFERROR(VLOOKUP(A33,[1]ARS!A:EL,MATCH("Net Profit Margin",[1]ARS!$4:$4,0),FALSE),"-"))</f>
        <v>-</v>
      </c>
      <c r="AH33" s="327"/>
      <c r="AI33" s="327"/>
      <c r="AJ33" s="327">
        <f>IFERROR(VLOOKUP(A33,[1]ARS!A:EL,MATCH("FCF/Revenue",[1]ARS!$4:$4,0),FALSE),"-")</f>
        <v>-0.47504297648436666</v>
      </c>
      <c r="AK33" s="327"/>
      <c r="AL33" s="327"/>
      <c r="AM33" s="329">
        <f>IFERROR(IF(VLOOKUP(A33,[1]ARS!A:EL,MATCH("ROE",[1]ARS!$4:$4,0),FALSE)&lt;-5,"-",VLOOKUP(A33,[1]ARS!A:EL,MATCH("ROE",[1]ARS!$4:$4,0),FALSE)),"-")</f>
        <v>-0.28468755354073122</v>
      </c>
      <c r="AN33" s="329"/>
      <c r="AO33" s="329"/>
      <c r="AP33" s="327">
        <f>IFERROR(VLOOKUP(A33,[1]ARS!A:EL,MATCH("ROA",[1]ARS!$4:$4,0),FALSE),"-")</f>
        <v>-1.6352913430764813E-2</v>
      </c>
      <c r="AQ33" s="327"/>
      <c r="AR33" s="327"/>
      <c r="AS33" s="53">
        <f>+VLOOKUP(A33,[1]ARS!$A$5:$EL$85,MATCH("Last Q y/y",[1]ARS!$4:$4,0),FALSE)</f>
        <v>-3.1898269097818215</v>
      </c>
      <c r="AT33" s="53">
        <f>+VLOOKUP(A33,[1]ARS!$A$5:$EL$99,MATCH("Last 5 yrs - Annual",[1]ARS!$4:$4,0),FALSE)</f>
        <v>-0.23585254091702593</v>
      </c>
      <c r="AU33" s="54">
        <f>+VLOOKUP(A33,[1]ARS!$A$5:$EL$84,MATCH("Desvio",[1]ARS!$4:$4,0),FALSE)</f>
        <v>1.4458013250724175</v>
      </c>
      <c r="AV33" s="55">
        <f>+VLOOKUP(A33,'[1]Prom. Vtas Ult 5 años'!$A$3:$D$81,3,FALSE)</f>
        <v>-4.1337468421052614</v>
      </c>
      <c r="AW33" s="56">
        <f>+VLOOKUP(A33,'[1]Prom. Vtas Ult 5 años'!$A$3:$D$81,4,FALSE)</f>
        <v>9.1367501927882273</v>
      </c>
      <c r="AX33" s="324">
        <f>IFERROR((VLOOKUP(A33,[1]ARS!A:EL,MATCH("Enterprise Value (Daily Time Series)",[1]ARS!$4:$4,0),FALSE)/1000000000),"-")</f>
        <v>2.0385900217500001</v>
      </c>
      <c r="AY33" s="324"/>
      <c r="AZ33" s="324"/>
      <c r="BA33" s="324">
        <f>IFERROR((VLOOKUP(A33,[1]ARS!A:EL,MATCH("Company Market Cap",[1]ARS!$4:$4,0),FALSE)/1000000000),"-")</f>
        <v>1.4069897</v>
      </c>
      <c r="BB33" s="324"/>
      <c r="BC33" s="324"/>
      <c r="BD33" s="325" t="str">
        <f>IF(VLOOKUP(A33,[1]ARS!A:EL,MATCH("Enterprise Value To EBITDA (Daily Time Series Ratio)",[1]ARS!$4:$4,0),FALSE)="NULL","-",VLOOKUP(A33,[1]ARS!A:EL,MATCH("Enterprise Value To EBITDA (Daily Time Series Ratio)",[1]ARS!$4:$4,0),FALSE))</f>
        <v>-</v>
      </c>
      <c r="BE33" s="333"/>
      <c r="BF33" s="334"/>
      <c r="BG33" s="324">
        <f>IF(OR(IFERROR(VLOOKUP(A33,[1]ARS!A:EL,MATCH("Price To Tangible Book Value",[1]ARS!$4:$4,0),FALSE),"-")&lt;0,IFERROR(VLOOKUP(A33,[1]ARS!A:EL,MATCH("Price To Tangible Book Value",[1]ARS!$4:$4,0),FALSE),"-")&gt;100),"-",IFERROR(VLOOKUP(A33,[1]ARS!A:EL,MATCH("Price To Tangible Book Value",[1]ARS!$4:$4,0),FALSE),"-"))</f>
        <v>1.6338735281589074</v>
      </c>
      <c r="BH33" s="324"/>
      <c r="BI33" s="324"/>
      <c r="BJ33" s="324" t="str">
        <f>IF(OR(IFERROR(VLOOKUP(A33,[1]ARS!A:EL,MATCH("P/E (Daily Time Series Ratio)",[1]ARS!$4:$4,0),FALSE),"-")&lt;0,IFERROR(VLOOKUP(A33,[1]ARS!A:EL,MATCH("P/E (Daily Time Series Ratio)",[1]ARS!$4:$4,0),FALSE),"-")&gt;500),"-",IFERROR(VLOOKUP(A33,[1]ARS!A:EL,MATCH("P/E (Daily Time Series Ratio)",[1]ARS!$4:$4,0),FALSE),"-"))</f>
        <v>-</v>
      </c>
      <c r="BK33" s="324"/>
      <c r="BL33" s="324"/>
      <c r="BM33" s="324">
        <f>IF(OR(IFERROR(VLOOKUP(A33,[1]ARS!A:EC,MATCH("Price To Sales",[1]ARS!$4:$4,0),FALSE),"-")&lt;0,IFERROR(VLOOKUP(A33,[1]ARS!A:EC,MATCH("Price To Sales",[1]ARS!$4:$4,0),FALSE),"-")&gt;100),"-",IFERROR(VLOOKUP(A33,[1]ARS!A:EC,MATCH("Price To Sales",[1]ARS!$4:$4,0),FALSE),"-"))</f>
        <v>1.2501286122539659</v>
      </c>
      <c r="BN33" s="324"/>
      <c r="BO33" s="324"/>
      <c r="BP33" s="324">
        <f>+IFERROR(IF(VLOOKUP(A33,[1]ARS!A:EO,MATCH("Price to Free Cash Flow",[1]ARS!$4:$4,0),FALSE)="NULL","-",VLOOKUP(A33,[1]ARS!A:EO,MATCH("Price to Free Cash Flow",[1]ARS!$4:$4,0),FALSE)),"-")</f>
        <v>9.6392576306999995</v>
      </c>
      <c r="BQ33" s="324"/>
      <c r="BR33" s="325"/>
      <c r="BS33" s="57">
        <f>IF(VLOOKUP(A33,[1]ARS!A:EE,MATCH("Daily Beta - 180 Day",[1]ARS!$4:$4,0),FALSE)="NULL","-",VLOOKUP(A33,[1]ARS!A:EE,MATCH("Daily Beta - 180 Day",[1]ARS!$4:$4,0),FALSE))</f>
        <v>0.86113618239541401</v>
      </c>
      <c r="BT33" s="53" t="str">
        <f>+VLOOKUP(A33,[1]ARS!$A:$EH,MATCH("Volatilidad histórica",[1]ARS!$4:$4,0),FALSE)</f>
        <v>-</v>
      </c>
      <c r="BU33" s="56" t="str">
        <f>+VLOOKUP(A33,[1]ARS!$A$5:$EM$85,MATCH("Rto Medio",[1]ARS!$4:$4,0),FALSE)</f>
        <v>-</v>
      </c>
      <c r="BV33" s="58">
        <f>+IF(VLOOKUP(Template!A33,[1]ARS!A:AA,MATCH("Period End Date",[1]ARS!$3:$3,0),FALSE)="","-",VLOOKUP(Template!A33,[1]ARS!A:AA,MATCH("Period End Date",[1]ARS!$3:$3,0),FALSE))</f>
        <v>43008</v>
      </c>
      <c r="BW33" s="59" t="str">
        <f t="shared" si="6"/>
        <v>TGLT</v>
      </c>
      <c r="BX33" s="4"/>
      <c r="BY33" s="48" t="s">
        <v>67</v>
      </c>
      <c r="BZ33" s="48">
        <f t="shared" si="7"/>
        <v>1.2501286122539659</v>
      </c>
      <c r="CA33" s="48">
        <f t="shared" si="8"/>
        <v>1.6338735281589074</v>
      </c>
      <c r="CB33" s="48" t="str">
        <f t="shared" si="9"/>
        <v>-</v>
      </c>
      <c r="CD33" s="48" t="s">
        <v>67</v>
      </c>
      <c r="CE33" s="69">
        <v>1.2501286122539659</v>
      </c>
      <c r="CF33" s="48">
        <v>1.6338735281589074</v>
      </c>
      <c r="CG33" s="48" t="s">
        <v>49</v>
      </c>
      <c r="CN33" s="51"/>
    </row>
    <row r="34" spans="1:140" s="49" customFormat="1" ht="11.25" customHeight="1" x14ac:dyDescent="0.2">
      <c r="A34" s="288" t="str">
        <f t="shared" si="5"/>
        <v>DOM</v>
      </c>
      <c r="B34" s="288"/>
      <c r="C34" s="398">
        <f>+VLOOKUP(A34,[1]ARS!A:EL,MATCH("Last",[1]ARS!$4:$4,0),FALSE)</f>
        <v>11.1</v>
      </c>
      <c r="D34" s="399"/>
      <c r="E34" s="39">
        <f>+VLOOKUP(A34,'[1]Market Cap'!I:J,2,FALSE)</f>
        <v>1</v>
      </c>
      <c r="F34" s="290">
        <f>IFERROR(IF(VLOOKUP(A34,[1]ARS!A:EL,MATCH("Total Debt To Total Equity, Percent FQ0",[1]ARS!$4:$4,0),FALSE)="NULL",IF(VLOOKUP(A34,[1]ARS!A:EL,MATCH("Total Debt To Total Equity, Percent FQ-1",[1]ARS!$4:$4,0),FALSE)="NULL","-",VLOOKUP(A34,[1]ARS!A:EL,MATCH("Total Debt To Total Equity, Percent FQ-1",[1]ARS!$4:$4,0))),VLOOKUP(A34,[1]ARS!A:EL,MATCH("Total Debt To Total Equity, Percent FQ0",[1]ARS!$4:$4,0),FALSE))/100,"-")</f>
        <v>5.1946725863000004E-2</v>
      </c>
      <c r="G34" s="291"/>
      <c r="H34" s="292"/>
      <c r="I34" s="282">
        <f>IFERROR(VLOOKUP(A34,[1]ARS!A:EC,MATCH("Financial Leverage",[1]ARS!$4:$4,0),FALSE),"-")</f>
        <v>2.4995562157018179</v>
      </c>
      <c r="J34" s="293"/>
      <c r="K34" s="294"/>
      <c r="L34" s="282">
        <f>+IFERROR(IF(VLOOKUP(A34,[1]ARS!A:EL,MATCH("Curr Ratio FQ0",[1]ARS!$4:$4,0),FALSE)="NULL",IF(VLOOKUP(A34,[1]ARS!A:EL,MATCH("Curr Ratio FQ-1",[1]ARS!$4:$4,0),FALSE)="NULL","-",VLOOKUP(A34,[1]ARS!A:EL,MATCH("Curr Ratio FQ-1",[1]ARS!$4:$4,0),FALSE)),VLOOKUP(A34,[1]ARS!A:EL,MATCH("Curr Ratio FQ0",[1]ARS!$4:$4,0),FALSE)),"-")</f>
        <v>1.6341600000000001</v>
      </c>
      <c r="M34" s="293"/>
      <c r="N34" s="294"/>
      <c r="O34" s="282">
        <f>+IFERROR(IF(VLOOKUP(A34,[1]ARS!A:EL,MATCH("Quick Ratio FQ0",[1]ARS!$4:$4,0),FALSE)="NULL",IF(VLOOKUP(A34,[1]ARS!A:EL,MATCH("Quick Ratio FQ-1",[1]ARS!$4:$4,0),FALSE)="NULL","-",VLOOKUP(A34,[1]ARS!A:EL,MATCH("Quick Ratio FQ-1",[1]ARS!$4:$4,0),FALSE)),VLOOKUP(A34,[1]ARS!A:EL,MATCH("Quick Ratio FQ0",[1]ARS!$4:$4,0),FALSE)),"-")</f>
        <v>1.00312</v>
      </c>
      <c r="P34" s="293"/>
      <c r="Q34" s="294"/>
      <c r="R34" s="295">
        <f>+IFERROR(IF(VLOOKUP(A34,[1]ARS!$A:$EL,MATCH("Dividend yield",[1]ARS!$4:$4,0),FALSE)="NULL","-",VLOOKUP(A34,[1]ARS!$A:$EL,MATCH("Dividend Yield",[1]ARS!$4:$4,0),FALSE)/100),"-")</f>
        <v>0</v>
      </c>
      <c r="S34" s="296"/>
      <c r="T34" s="297"/>
      <c r="U34" s="281">
        <f>IF(IFERROR(VLOOKUP(A34,[1]ARS!A:EL,MATCH("Asset Turnover",[1]ARS!$4:$4,0),FALSE),"-")=0,"-",IFERROR(VLOOKUP(A34,[1]ARS!A:EL,MATCH("Asset Turnover",[1]ARS!$4:$4,0),FALSE),"-"))</f>
        <v>2.2448218238469035</v>
      </c>
      <c r="V34" s="281"/>
      <c r="W34" s="281"/>
      <c r="X34" s="284">
        <f>IFERROR(VLOOKUP(A34,[1]ARS!A:EL,MATCH("CCC",[1]ARS!$4:$4,0),FALSE),"-")</f>
        <v>202.39558662538602</v>
      </c>
      <c r="Y34" s="284"/>
      <c r="Z34" s="284"/>
      <c r="AA34" s="283">
        <f>IF(IFERROR(VLOOKUP(A34,[1]ARS!A:EL,MATCH("Gross Margin, Percent",[1]ARS!$4:$4,0),FALSE)/100,"-")&lt;0,"-",IFERROR(VLOOKUP(A34,[1]ARS!A:EL,MATCH("Gross Margin, Percent",[1]ARS!$4:$4,0),FALSE)/100,"-"))</f>
        <v>0.25213830000000004</v>
      </c>
      <c r="AB34" s="283"/>
      <c r="AC34" s="283"/>
      <c r="AD34" s="283">
        <f>IF(IFERROR(VLOOKUP(A34,[1]ARS!A:EL,MATCH("Operating Margin, Percent",[1]ARS!$4:$4,0),FALSE)/100,"-")&lt;0,"-",IFERROR(VLOOKUP(A34,[1]ARS!A:EL,MATCH("Operating Margin, Percent",[1]ARS!$4:$4,0),FALSE)/100,"-"))</f>
        <v>6.6638599999999992E-2</v>
      </c>
      <c r="AE34" s="283"/>
      <c r="AF34" s="283"/>
      <c r="AG34" s="283">
        <f>IF(IFERROR(VLOOKUP(A34,[1]ARS!A:EL,MATCH("Net Profit Margin",[1]ARS!$4:$4,0),FALSE),"-")&lt;0,"-",IFERROR(VLOOKUP(A34,[1]ARS!A:EL,MATCH("Net Profit Margin",[1]ARS!$4:$4,0),FALSE),"-"))</f>
        <v>3.3552748096688505E-2</v>
      </c>
      <c r="AH34" s="283"/>
      <c r="AI34" s="283"/>
      <c r="AJ34" s="283" t="str">
        <f>IFERROR(VLOOKUP(A34,[1]ARS!A:EL,MATCH("FCF/Revenue",[1]ARS!$4:$4,0),FALSE),"-")</f>
        <v>-</v>
      </c>
      <c r="AK34" s="283"/>
      <c r="AL34" s="283"/>
      <c r="AM34" s="283">
        <f>IFERROR(IF(VLOOKUP(A34,[1]ARS!A:EL,MATCH("ROE",[1]ARS!$4:$4,0),FALSE)&lt;-5,"-",VLOOKUP(A34,[1]ARS!A:EL,MATCH("ROE",[1]ARS!$4:$4,0),FALSE)),"-")</f>
        <v>0.14074801233121167</v>
      </c>
      <c r="AN34" s="283"/>
      <c r="AO34" s="283"/>
      <c r="AP34" s="283">
        <f>IFERROR(VLOOKUP(A34,[1]ARS!A:EL,MATCH("ROA",[1]ARS!$4:$4,0),FALSE),"-")</f>
        <v>6.0259759198729869E-2</v>
      </c>
      <c r="AQ34" s="283"/>
      <c r="AR34" s="283"/>
      <c r="AS34" s="40">
        <f>+VLOOKUP(A34,[1]ARS!$A$5:$EL$85,MATCH("Last Q y/y",[1]ARS!$4:$4,0),FALSE)</f>
        <v>3.4637203583347969</v>
      </c>
      <c r="AT34" s="40">
        <f>+VLOOKUP(A34,[1]ARS!$A$5:$EL$99,MATCH("Last 5 yrs - Annual",[1]ARS!$4:$4,0),FALSE)</f>
        <v>9.9656440448035163E-2</v>
      </c>
      <c r="AU34" s="41">
        <f>+VLOOKUP(A34,[1]ARS!$A$5:$EL$84,MATCH("Desvio",[1]ARS!$4:$4,0),FALSE)</f>
        <v>0.53256479039687343</v>
      </c>
      <c r="AV34" s="42">
        <f>+VLOOKUP(A34,'[1]Prom. Vtas Ult 5 años'!$A$3:$D$81,3,FALSE)</f>
        <v>2.1352057894736842</v>
      </c>
      <c r="AW34" s="40">
        <f>+VLOOKUP(A34,'[1]Prom. Vtas Ult 5 años'!$A$3:$D$81,4,FALSE)</f>
        <v>4.5378698182963859</v>
      </c>
      <c r="AX34" s="281">
        <f>IFERROR((VLOOKUP(A34,[1]ARS!A:EL,MATCH("Enterprise Value (Daily Time Series)",[1]ARS!$4:$4,0),FALSE)/1000000000),"-")</f>
        <v>0.21376961</v>
      </c>
      <c r="AY34" s="281"/>
      <c r="AZ34" s="281"/>
      <c r="BA34" s="281">
        <f>IFERROR((VLOOKUP(A34,[1]ARS!A:EL,MATCH("Company Market Cap",[1]ARS!$4:$4,0),FALSE)/1000000000),"-")</f>
        <v>0.42656805025</v>
      </c>
      <c r="BB34" s="281"/>
      <c r="BC34" s="281"/>
      <c r="BD34" s="282">
        <f>IF(VLOOKUP(A34,[1]ARS!A:EL,MATCH("Enterprise Value To EBITDA (Daily Time Series Ratio)",[1]ARS!$4:$4,0),FALSE)="NULL","-",VLOOKUP(A34,[1]ARS!A:EL,MATCH("Enterprise Value To EBITDA (Daily Time Series Ratio)",[1]ARS!$4:$4,0),FALSE))</f>
        <v>7.1027685464101298</v>
      </c>
      <c r="BE34" s="293"/>
      <c r="BF34" s="294"/>
      <c r="BG34" s="281">
        <f>IF(OR(IFERROR(VLOOKUP(A34,[1]ARS!A:EL,MATCH("Price To Tangible Book Value",[1]ARS!$4:$4,0),FALSE),"-")&lt;0,IFERROR(VLOOKUP(A34,[1]ARS!A:EL,MATCH("Price To Tangible Book Value",[1]ARS!$4:$4,0),FALSE),"-")&gt;100),"-",IFERROR(VLOOKUP(A34,[1]ARS!A:EL,MATCH("Price To Tangible Book Value",[1]ARS!$4:$4,0),FALSE),"-"))</f>
        <v>5.3377753505445478</v>
      </c>
      <c r="BH34" s="281"/>
      <c r="BI34" s="281"/>
      <c r="BJ34" s="281">
        <f>IF(OR(IFERROR(VLOOKUP(A34,[1]ARS!A:EL,MATCH("P/E (Daily Time Series Ratio)",[1]ARS!$4:$4,0),FALSE),"-")&lt;0,IFERROR(VLOOKUP(A34,[1]ARS!A:EL,MATCH("P/E (Daily Time Series Ratio)",[1]ARS!$4:$4,0),FALSE),"-")&gt;500),"-",IFERROR(VLOOKUP(A34,[1]ARS!A:EL,MATCH("P/E (Daily Time Series Ratio)",[1]ARS!$4:$4,0),FALSE),"-"))</f>
        <v>20.546804138977844</v>
      </c>
      <c r="BK34" s="281"/>
      <c r="BL34" s="281"/>
      <c r="BM34" s="281">
        <f>IF(OR(IFERROR(VLOOKUP(A34,[1]ARS!A:EC,MATCH("Price To Sales",[1]ARS!$4:$4,0),FALSE),"-")&lt;0,IFERROR(VLOOKUP(A34,[1]ARS!A:EC,MATCH("Price To Sales",[1]ARS!$4:$4,0),FALSE),"-")&gt;100),"-",IFERROR(VLOOKUP(A34,[1]ARS!A:EC,MATCH("Price To Sales",[1]ARS!$4:$4,0),FALSE),"-"))</f>
        <v>1.3943922738540495</v>
      </c>
      <c r="BN34" s="281"/>
      <c r="BO34" s="281"/>
      <c r="BP34" s="281">
        <f>+IFERROR(IF(VLOOKUP(A34,[1]ARS!A:EO,MATCH("Price to Free Cash Flow",[1]ARS!$4:$4,0),FALSE)="NULL","-",VLOOKUP(A34,[1]ARS!A:EO,MATCH("Price to Free Cash Flow",[1]ARS!$4:$4,0),FALSE)),"-")</f>
        <v>19.412328347199999</v>
      </c>
      <c r="BQ34" s="281"/>
      <c r="BR34" s="282"/>
      <c r="BS34" s="43" t="str">
        <f>IF(VLOOKUP(A34,[1]ARS!A:EE,MATCH("Daily Beta - 180 Day",[1]ARS!$4:$4,0),FALSE)="NULL","-",VLOOKUP(A34,[1]ARS!A:EE,MATCH("Daily Beta - 180 Day",[1]ARS!$4:$4,0),FALSE))</f>
        <v>-</v>
      </c>
      <c r="BT34" s="40">
        <f>+VLOOKUP(A34,[1]ARS!$A:$EH,MATCH("Volatilidad histórica",[1]ARS!$4:$4,0),FALSE)</f>
        <v>0.40460472947788118</v>
      </c>
      <c r="BU34" s="44">
        <f>+VLOOKUP(A34,[1]ARS!$A$5:$EM$85,MATCH("Rto Medio",[1]ARS!$4:$4,0),FALSE)</f>
        <v>-3.4275104096350595E-2</v>
      </c>
      <c r="BV34" s="45">
        <f>+IF(VLOOKUP(Template!A34,[1]ARS!A:AA,MATCH("Period End Date",[1]ARS!$3:$3,0),FALSE)="","-",VLOOKUP(Template!A34,[1]ARS!A:AA,MATCH("Period End Date",[1]ARS!$3:$3,0),FALSE))</f>
        <v>43039</v>
      </c>
      <c r="BW34" s="46" t="str">
        <f t="shared" si="6"/>
        <v>DOM</v>
      </c>
      <c r="BX34" s="4"/>
      <c r="BY34" s="48" t="s">
        <v>68</v>
      </c>
      <c r="BZ34" s="48">
        <f t="shared" si="7"/>
        <v>1.3943922738540495</v>
      </c>
      <c r="CA34" s="48">
        <f t="shared" si="8"/>
        <v>5.3377753505445478</v>
      </c>
      <c r="CB34" s="48">
        <f t="shared" si="9"/>
        <v>20.546804138977844</v>
      </c>
      <c r="CD34" s="48" t="s">
        <v>68</v>
      </c>
      <c r="CE34" s="69">
        <v>1.3943922738540495</v>
      </c>
      <c r="CF34" s="48">
        <v>5.3377753505445478</v>
      </c>
      <c r="CG34" s="48">
        <v>20.546804138977844</v>
      </c>
      <c r="CN34" s="51"/>
    </row>
    <row r="35" spans="1:140" s="49" customFormat="1" ht="11.25" customHeight="1" x14ac:dyDescent="0.2">
      <c r="A35" s="330" t="str">
        <f t="shared" si="5"/>
        <v>HAVA</v>
      </c>
      <c r="B35" s="330"/>
      <c r="C35" s="396">
        <f>+VLOOKUP(A35,[1]ARS!A:EL,MATCH("Last",[1]ARS!$4:$4,0),FALSE)</f>
        <v>41</v>
      </c>
      <c r="D35" s="397"/>
      <c r="E35" s="52">
        <f>+VLOOKUP(A35,'[1]Market Cap'!I:J,2,FALSE)</f>
        <v>1</v>
      </c>
      <c r="F35" s="371">
        <f>IFERROR(IF(VLOOKUP(A35,[1]ARS!A:EL,MATCH("Total Debt To Total Equity, Percent FQ0",[1]ARS!$4:$4,0),FALSE)="NULL",IF(VLOOKUP(A35,[1]ARS!A:EL,MATCH("Total Debt To Total Equity, Percent FQ-1",[1]ARS!$4:$4,0),FALSE)="NULL","-",VLOOKUP(A35,[1]ARS!A:EL,MATCH("Total Debt To Total Equity, Percent FQ-1",[1]ARS!$4:$4,0))),VLOOKUP(A35,[1]ARS!A:EL,MATCH("Total Debt To Total Equity, Percent FQ0",[1]ARS!$4:$4,0),FALSE))/100,"-")</f>
        <v>0.25503773107</v>
      </c>
      <c r="G35" s="372"/>
      <c r="H35" s="373"/>
      <c r="I35" s="325">
        <f>IFERROR(VLOOKUP(A35,[1]ARS!A:EC,MATCH("Financial Leverage",[1]ARS!$4:$4,0),FALSE),"-")</f>
        <v>2.1179801936545264</v>
      </c>
      <c r="J35" s="333"/>
      <c r="K35" s="334"/>
      <c r="L35" s="325">
        <f>+IFERROR(IF(VLOOKUP(A35,[1]ARS!A:EL,MATCH("Curr Ratio FQ0",[1]ARS!$4:$4,0),FALSE)="NULL",IF(VLOOKUP(A35,[1]ARS!A:EL,MATCH("Curr Ratio FQ-1",[1]ARS!$4:$4,0),FALSE)="NULL","-",VLOOKUP(A35,[1]ARS!A:EL,MATCH("Curr Ratio FQ-1",[1]ARS!$4:$4,0),FALSE)),VLOOKUP(A35,[1]ARS!A:EL,MATCH("Curr Ratio FQ0",[1]ARS!$4:$4,0),FALSE)),"-")</f>
        <v>1.2092099999999999</v>
      </c>
      <c r="M35" s="333"/>
      <c r="N35" s="334"/>
      <c r="O35" s="325">
        <f>+IFERROR(IF(VLOOKUP(A35,[1]ARS!A:EL,MATCH("Quick Ratio FQ0",[1]ARS!$4:$4,0),FALSE)="NULL",IF(VLOOKUP(A35,[1]ARS!A:EL,MATCH("Quick Ratio FQ-1",[1]ARS!$4:$4,0),FALSE)="NULL","-",VLOOKUP(A35,[1]ARS!A:EL,MATCH("Quick Ratio FQ-1",[1]ARS!$4:$4,0),FALSE)),VLOOKUP(A35,[1]ARS!A:EL,MATCH("Quick Ratio FQ0",[1]ARS!$4:$4,0),FALSE)),"-")</f>
        <v>0.75580999999999998</v>
      </c>
      <c r="P35" s="333"/>
      <c r="Q35" s="334"/>
      <c r="R35" s="335">
        <f>+IFERROR(IF(VLOOKUP(A35,[1]ARS!$A:$EL,MATCH("Dividend yield",[1]ARS!$4:$4,0),FALSE)="NULL","-",VLOOKUP(A35,[1]ARS!$A:$EL,MATCH("Dividend Yield",[1]ARS!$4:$4,0),FALSE)/100),"-")</f>
        <v>3.3917896824999995E-2</v>
      </c>
      <c r="S35" s="336"/>
      <c r="T35" s="337"/>
      <c r="U35" s="324">
        <f>IF(IFERROR(VLOOKUP(A35,[1]ARS!A:EL,MATCH("Asset Turnover",[1]ARS!$4:$4,0),FALSE),"-")=0,"-",IFERROR(VLOOKUP(A35,[1]ARS!A:EL,MATCH("Asset Turnover",[1]ARS!$4:$4,0),FALSE),"-"))</f>
        <v>2.543662513719664</v>
      </c>
      <c r="V35" s="324"/>
      <c r="W35" s="324"/>
      <c r="X35" s="328">
        <f>IFERROR(VLOOKUP(A35,[1]ARS!A:EL,MATCH("CCC",[1]ARS!$4:$4,0),FALSE),"-")</f>
        <v>110.07990231522426</v>
      </c>
      <c r="Y35" s="328"/>
      <c r="Z35" s="328"/>
      <c r="AA35" s="327">
        <f>IF(IFERROR(VLOOKUP(A35,[1]ARS!A:EL,MATCH("Gross Margin, Percent",[1]ARS!$4:$4,0),FALSE)/100,"-")&lt;0,"-",IFERROR(VLOOKUP(A35,[1]ARS!A:EL,MATCH("Gross Margin, Percent",[1]ARS!$4:$4,0),FALSE)/100,"-"))</f>
        <v>0.56317059999999997</v>
      </c>
      <c r="AB35" s="327"/>
      <c r="AC35" s="327"/>
      <c r="AD35" s="327">
        <f>IF(IFERROR(VLOOKUP(A35,[1]ARS!A:EL,MATCH("Operating Margin, Percent",[1]ARS!$4:$4,0),FALSE)/100,"-")&lt;0,"-",IFERROR(VLOOKUP(A35,[1]ARS!A:EL,MATCH("Operating Margin, Percent",[1]ARS!$4:$4,0),FALSE)/100,"-"))</f>
        <v>0.13643560000000002</v>
      </c>
      <c r="AE35" s="327"/>
      <c r="AF35" s="327"/>
      <c r="AG35" s="327">
        <f>IF(IFERROR(VLOOKUP(A35,[1]ARS!A:EL,MATCH("Net Profit Margin",[1]ARS!$4:$4,0),FALSE),"-")&lt;0,"-",IFERROR(VLOOKUP(A35,[1]ARS!A:EL,MATCH("Net Profit Margin",[1]ARS!$4:$4,0),FALSE),"-"))</f>
        <v>8.4374000012246111E-2</v>
      </c>
      <c r="AH35" s="327"/>
      <c r="AI35" s="327"/>
      <c r="AJ35" s="327">
        <f>IFERROR(VLOOKUP(A35,[1]ARS!A:EL,MATCH("FCF/Revenue",[1]ARS!$4:$4,0),FALSE),"-")</f>
        <v>0.10287665195980296</v>
      </c>
      <c r="AK35" s="327"/>
      <c r="AL35" s="327"/>
      <c r="AM35" s="329">
        <f>IFERROR(IF(VLOOKUP(A35,[1]ARS!A:EL,MATCH("ROE",[1]ARS!$4:$4,0),FALSE)&lt;-5,"-",VLOOKUP(A35,[1]ARS!A:EL,MATCH("ROE",[1]ARS!$4:$4,0),FALSE)),"-")</f>
        <v>0.35573766058413014</v>
      </c>
      <c r="AN35" s="329"/>
      <c r="AO35" s="329"/>
      <c r="AP35" s="327">
        <f>IFERROR(VLOOKUP(A35,[1]ARS!A:EL,MATCH("ROA",[1]ARS!$4:$4,0),FALSE),"-")</f>
        <v>0.17169831009441128</v>
      </c>
      <c r="AQ35" s="327"/>
      <c r="AR35" s="327"/>
      <c r="AS35" s="53">
        <f>+VLOOKUP(A35,[1]ARS!$A$5:$EL$85,MATCH("Last Q y/y",[1]ARS!$4:$4,0),FALSE)</f>
        <v>8.4031127632467006E-2</v>
      </c>
      <c r="AT35" s="53">
        <f>+VLOOKUP(A35,[1]ARS!$A$5:$EL$99,MATCH("Last 5 yrs - Annual",[1]ARS!$4:$4,0),FALSE)</f>
        <v>0.39544338879533031</v>
      </c>
      <c r="AU35" s="54">
        <f>+VLOOKUP(A35,[1]ARS!$A$5:$EL$84,MATCH("Desvio",[1]ARS!$4:$4,0),FALSE)</f>
        <v>0.2481937997020513</v>
      </c>
      <c r="AV35" s="55">
        <f>+VLOOKUP(A35,'[1]Prom. Vtas Ult 5 años'!$A$3:$D$81,3,FALSE)</f>
        <v>18.279998749999997</v>
      </c>
      <c r="AW35" s="56">
        <f>+VLOOKUP(A35,'[1]Prom. Vtas Ult 5 años'!$A$3:$D$81,4,FALSE)</f>
        <v>430.20309778741671</v>
      </c>
      <c r="AX35" s="324" t="str">
        <f>IFERROR((VLOOKUP(A35,[1]ARS!A:EL,MATCH("Enterprise Value (Daily Time Series)",[1]ARS!$4:$4,0),FALSE)/1000000000),"-")</f>
        <v>-</v>
      </c>
      <c r="AY35" s="324"/>
      <c r="AZ35" s="324"/>
      <c r="BA35" s="324">
        <f>IFERROR((VLOOKUP(A35,[1]ARS!A:EL,MATCH("Company Market Cap",[1]ARS!$4:$4,0),FALSE)/1000000000),"-")</f>
        <v>2.0610720542499998</v>
      </c>
      <c r="BB35" s="324"/>
      <c r="BC35" s="324"/>
      <c r="BD35" s="325" t="str">
        <f>IF(VLOOKUP(A35,[1]ARS!A:EL,MATCH("Enterprise Value To EBITDA (Daily Time Series Ratio)",[1]ARS!$4:$4,0),FALSE)="NULL","-",VLOOKUP(A35,[1]ARS!A:EL,MATCH("Enterprise Value To EBITDA (Daily Time Series Ratio)",[1]ARS!$4:$4,0),FALSE))</f>
        <v>-</v>
      </c>
      <c r="BE35" s="333"/>
      <c r="BF35" s="334"/>
      <c r="BG35" s="324">
        <f>IF(OR(IFERROR(VLOOKUP(A35,[1]ARS!A:EL,MATCH("Price To Tangible Book Value",[1]ARS!$4:$4,0),FALSE),"-")&lt;0,IFERROR(VLOOKUP(A35,[1]ARS!A:EL,MATCH("Price To Tangible Book Value",[1]ARS!$4:$4,0),FALSE),"-")&gt;100),"-",IFERROR(VLOOKUP(A35,[1]ARS!A:EL,MATCH("Price To Tangible Book Value",[1]ARS!$4:$4,0),FALSE),"-"))</f>
        <v>9.5779468176722879</v>
      </c>
      <c r="BH35" s="324"/>
      <c r="BI35" s="324"/>
      <c r="BJ35" s="324">
        <f>IF(OR(IFERROR(VLOOKUP(A35,[1]ARS!A:EL,MATCH("P/E (Daily Time Series Ratio)",[1]ARS!$4:$4,0),FALSE),"-")&lt;0,IFERROR(VLOOKUP(A35,[1]ARS!A:EL,MATCH("P/E (Daily Time Series Ratio)",[1]ARS!$4:$4,0),FALSE),"-")&gt;500),"-",IFERROR(VLOOKUP(A35,[1]ARS!A:EL,MATCH("P/E (Daily Time Series Ratio)",[1]ARS!$4:$4,0),FALSE),"-"))</f>
        <v>18.67711370262391</v>
      </c>
      <c r="BK35" s="324"/>
      <c r="BL35" s="324"/>
      <c r="BM35" s="324">
        <f>IF(OR(IFERROR(VLOOKUP(A35,[1]ARS!A:EC,MATCH("Price To Sales",[1]ARS!$4:$4,0),FALSE),"-")&lt;0,IFERROR(VLOOKUP(A35,[1]ARS!A:EC,MATCH("Price To Sales",[1]ARS!$4:$4,0),FALSE),"-")&gt;100),"-",IFERROR(VLOOKUP(A35,[1]ARS!A:EC,MATCH("Price To Sales",[1]ARS!$4:$4,0),FALSE),"-"))</f>
        <v>1.7146812097692115</v>
      </c>
      <c r="BN35" s="324"/>
      <c r="BO35" s="324"/>
      <c r="BP35" s="324" t="str">
        <f>+IFERROR(IF(VLOOKUP(A35,[1]ARS!A:EO,MATCH("Price to Free Cash Flow",[1]ARS!$4:$4,0),FALSE)="NULL","-",VLOOKUP(A35,[1]ARS!A:EO,MATCH("Price to Free Cash Flow",[1]ARS!$4:$4,0),FALSE)),"-")</f>
        <v>-</v>
      </c>
      <c r="BQ35" s="324"/>
      <c r="BR35" s="325"/>
      <c r="BS35" s="57">
        <f>IF(VLOOKUP(A35,[1]ARS!A:EE,MATCH("Daily Beta - 180 Day",[1]ARS!$4:$4,0),FALSE)="NULL","-",VLOOKUP(A35,[1]ARS!A:EE,MATCH("Daily Beta - 180 Day",[1]ARS!$4:$4,0),FALSE))</f>
        <v>0.240463724284006</v>
      </c>
      <c r="BT35" s="53" t="str">
        <f>+VLOOKUP(A35,[1]ARS!$A:$EH,MATCH("Volatilidad histórica",[1]ARS!$4:$4,0),FALSE)</f>
        <v>-</v>
      </c>
      <c r="BU35" s="56" t="str">
        <f>+VLOOKUP(A35,[1]ARS!$A$5:$EM$85,MATCH("Rto Medio",[1]ARS!$4:$4,0),FALSE)</f>
        <v>-</v>
      </c>
      <c r="BV35" s="58">
        <f>+IF(VLOOKUP(Template!A35,[1]ARS!A:AA,MATCH("Period End Date",[1]ARS!$3:$3,0),FALSE)="","-",VLOOKUP(Template!A35,[1]ARS!A:AA,MATCH("Period End Date",[1]ARS!$3:$3,0),FALSE))</f>
        <v>43008</v>
      </c>
      <c r="BW35" s="59" t="str">
        <f t="shared" si="6"/>
        <v>HAVA</v>
      </c>
      <c r="BX35" s="4"/>
      <c r="BY35" s="48" t="s">
        <v>69</v>
      </c>
      <c r="BZ35" s="48">
        <f t="shared" si="7"/>
        <v>1.7146812097692115</v>
      </c>
      <c r="CA35" s="48">
        <f t="shared" si="8"/>
        <v>9.5779468176722879</v>
      </c>
      <c r="CB35" s="48">
        <f t="shared" si="9"/>
        <v>18.67711370262391</v>
      </c>
      <c r="CD35" s="48" t="s">
        <v>69</v>
      </c>
      <c r="CE35" s="94">
        <v>1.7146812097692115</v>
      </c>
      <c r="CF35" s="94">
        <v>9.5779468176722879</v>
      </c>
      <c r="CG35" s="94">
        <v>18.67711370262391</v>
      </c>
      <c r="CN35" s="51"/>
    </row>
    <row r="36" spans="1:140" s="49" customFormat="1" ht="11.25" customHeight="1" x14ac:dyDescent="0.2">
      <c r="A36" s="361" t="str">
        <f t="shared" si="5"/>
        <v>ROSE</v>
      </c>
      <c r="B36" s="361"/>
      <c r="C36" s="394">
        <f>+VLOOKUP(A36,[1]ARS!A:EL,MATCH("Last",[1]ARS!$4:$4,0),FALSE)</f>
        <v>9.2000000000000011</v>
      </c>
      <c r="D36" s="395"/>
      <c r="E36" s="100">
        <f>+VLOOKUP(A36,'[1]Market Cap'!I:J,2,FALSE)</f>
        <v>1</v>
      </c>
      <c r="F36" s="363">
        <f>IFERROR(IF(VLOOKUP(A36,[1]ARS!A:EL,MATCH("Total Debt To Total Equity, Percent FQ0",[1]ARS!$4:$4,0),FALSE)="NULL",IF(VLOOKUP(A36,[1]ARS!A:EL,MATCH("Total Debt To Total Equity, Percent FQ-1",[1]ARS!$4:$4,0),FALSE)="NULL","-",VLOOKUP(A36,[1]ARS!A:EL,MATCH("Total Debt To Total Equity, Percent FQ-1",[1]ARS!$4:$4,0))),VLOOKUP(A36,[1]ARS!A:EL,MATCH("Total Debt To Total Equity, Percent FQ0",[1]ARS!$4:$4,0),FALSE))/100,"-")</f>
        <v>0.57502052743999998</v>
      </c>
      <c r="G36" s="364"/>
      <c r="H36" s="365"/>
      <c r="I36" s="351">
        <f>IFERROR(VLOOKUP(A36,[1]ARS!A:EC,MATCH("Financial Leverage",[1]ARS!$4:$4,0),FALSE),"-")</f>
        <v>2.6767477045172852</v>
      </c>
      <c r="J36" s="366"/>
      <c r="K36" s="367"/>
      <c r="L36" s="351">
        <f>+IFERROR(IF(VLOOKUP(A36,[1]ARS!A:EL,MATCH("Curr Ratio FQ0",[1]ARS!$4:$4,0),FALSE)="NULL",IF(VLOOKUP(A36,[1]ARS!A:EL,MATCH("Curr Ratio FQ-1",[1]ARS!$4:$4,0),FALSE)="NULL","-",VLOOKUP(A36,[1]ARS!A:EL,MATCH("Curr Ratio FQ-1",[1]ARS!$4:$4,0),FALSE)),VLOOKUP(A36,[1]ARS!A:EL,MATCH("Curr Ratio FQ0",[1]ARS!$4:$4,0),FALSE)),"-")</f>
        <v>1.6991700000000001</v>
      </c>
      <c r="M36" s="366"/>
      <c r="N36" s="367"/>
      <c r="O36" s="351">
        <f>+IFERROR(IF(VLOOKUP(A36,[1]ARS!A:EL,MATCH("Quick Ratio FQ0",[1]ARS!$4:$4,0),FALSE)="NULL",IF(VLOOKUP(A36,[1]ARS!A:EL,MATCH("Quick Ratio FQ-1",[1]ARS!$4:$4,0),FALSE)="NULL","-",VLOOKUP(A36,[1]ARS!A:EL,MATCH("Quick Ratio FQ-1",[1]ARS!$4:$4,0),FALSE)),VLOOKUP(A36,[1]ARS!A:EL,MATCH("Quick Ratio FQ0",[1]ARS!$4:$4,0),FALSE)),"-")</f>
        <v>1.0045500000000001</v>
      </c>
      <c r="P36" s="366"/>
      <c r="Q36" s="367"/>
      <c r="R36" s="368" t="str">
        <f>+IFERROR(IF(VLOOKUP(A36,[1]ARS!$A:$EL,MATCH("Dividend yield",[1]ARS!$4:$4,0),FALSE)="NULL","-",VLOOKUP(A36,[1]ARS!$A:$EL,MATCH("Dividend Yield",[1]ARS!$4:$4,0),FALSE)/100),"-")</f>
        <v>-</v>
      </c>
      <c r="S36" s="369"/>
      <c r="T36" s="370"/>
      <c r="U36" s="350">
        <f>IF(IFERROR(VLOOKUP(A36,[1]ARS!A:EL,MATCH("Asset Turnover",[1]ARS!$4:$4,0),FALSE),"-")=0,"-",IFERROR(VLOOKUP(A36,[1]ARS!A:EL,MATCH("Asset Turnover",[1]ARS!$4:$4,0),FALSE),"-"))</f>
        <v>1.0021981203630224</v>
      </c>
      <c r="V36" s="350"/>
      <c r="W36" s="350"/>
      <c r="X36" s="360">
        <f>IFERROR(VLOOKUP(A36,[1]ARS!A:EL,MATCH("CCC",[1]ARS!$4:$4,0),FALSE),"-")</f>
        <v>283.52002742098455</v>
      </c>
      <c r="Y36" s="360"/>
      <c r="Z36" s="360"/>
      <c r="AA36" s="359">
        <f>IF(IFERROR(VLOOKUP(A36,[1]ARS!A:EL,MATCH("Gross Margin, Percent",[1]ARS!$4:$4,0),FALSE)/100,"-")&lt;0,"-",IFERROR(VLOOKUP(A36,[1]ARS!A:EL,MATCH("Gross Margin, Percent",[1]ARS!$4:$4,0),FALSE)/100,"-"))</f>
        <v>0.36294120000000002</v>
      </c>
      <c r="AB36" s="359"/>
      <c r="AC36" s="359"/>
      <c r="AD36" s="359">
        <f>IF(IFERROR(VLOOKUP(A36,[1]ARS!A:EL,MATCH("Operating Margin, Percent",[1]ARS!$4:$4,0),FALSE)/100,"-")&lt;0,"-",IFERROR(VLOOKUP(A36,[1]ARS!A:EL,MATCH("Operating Margin, Percent",[1]ARS!$4:$4,0),FALSE)/100,"-"))</f>
        <v>9.244680000000001E-2</v>
      </c>
      <c r="AE36" s="359"/>
      <c r="AF36" s="359"/>
      <c r="AG36" s="359">
        <f>IF(IFERROR(VLOOKUP(A36,[1]ARS!A:EL,MATCH("Net Profit Margin",[1]ARS!$4:$4,0),FALSE),"-")&lt;0,"-",IFERROR(VLOOKUP(A36,[1]ARS!A:EL,MATCH("Net Profit Margin",[1]ARS!$4:$4,0),FALSE),"-"))</f>
        <v>6.542189751299593E-2</v>
      </c>
      <c r="AH36" s="359"/>
      <c r="AI36" s="359"/>
      <c r="AJ36" s="359">
        <f>IFERROR(VLOOKUP(A36,[1]ARS!A:EL,MATCH("FCF/Revenue",[1]ARS!$4:$4,0),FALSE),"-")</f>
        <v>-8.6310552164202164E-2</v>
      </c>
      <c r="AK36" s="359"/>
      <c r="AL36" s="359"/>
      <c r="AM36" s="359">
        <f>IFERROR(IF(VLOOKUP(A36,[1]ARS!A:EL,MATCH("ROE",[1]ARS!$4:$4,0),FALSE)&lt;-5,"-",VLOOKUP(A36,[1]ARS!A:EL,MATCH("ROE",[1]ARS!$4:$4,0),FALSE)),"-")</f>
        <v>0.13510834347909972</v>
      </c>
      <c r="AN36" s="359"/>
      <c r="AO36" s="359"/>
      <c r="AP36" s="359">
        <f>IFERROR(VLOOKUP(A36,[1]ARS!A:EL,MATCH("ROA",[1]ARS!$4:$4,0),FALSE),"-")</f>
        <v>5.2455336894618912E-2</v>
      </c>
      <c r="AQ36" s="359"/>
      <c r="AR36" s="359"/>
      <c r="AS36" s="101">
        <f>+VLOOKUP(A36,[1]ARS!$A$5:$EL$85,MATCH("Last Q y/y",[1]ARS!$4:$4,0),FALSE)</f>
        <v>-1.2546324404400515</v>
      </c>
      <c r="AT36" s="101">
        <f>+VLOOKUP(A36,[1]ARS!$A$5:$EL$99,MATCH("Last 5 yrs - Annual",[1]ARS!$4:$4,0),FALSE)</f>
        <v>2.8300476180274359</v>
      </c>
      <c r="AU36" s="102">
        <f>+VLOOKUP(A36,[1]ARS!$A$5:$EL$84,MATCH("Desvio",[1]ARS!$4:$4,0),FALSE)</f>
        <v>6.9453187649392518</v>
      </c>
      <c r="AV36" s="103">
        <f>+VLOOKUP(A36,'[1]Prom. Vtas Ult 5 años'!$A$3:$D$81,3,FALSE)</f>
        <v>1.0781068421052631</v>
      </c>
      <c r="AW36" s="101">
        <f>+VLOOKUP(A36,'[1]Prom. Vtas Ult 5 años'!$A$3:$D$81,4,FALSE)</f>
        <v>18.437855807984274</v>
      </c>
      <c r="AX36" s="350">
        <f>IFERROR((VLOOKUP(A36,[1]ARS!A:EL,MATCH("Enterprise Value (Daily Time Series)",[1]ARS!$4:$4,0),FALSE)/1000000000),"-")</f>
        <v>0.44358714125000104</v>
      </c>
      <c r="AY36" s="350"/>
      <c r="AZ36" s="350"/>
      <c r="BA36" s="350">
        <f>IFERROR((VLOOKUP(A36,[1]ARS!A:EL,MATCH("Company Market Cap",[1]ARS!$4:$4,0),FALSE)/1000000000),"-")</f>
        <v>0.38756413150000002</v>
      </c>
      <c r="BB36" s="350"/>
      <c r="BC36" s="350"/>
      <c r="BD36" s="351">
        <f>IF(VLOOKUP(A36,[1]ARS!A:EL,MATCH("Enterprise Value To EBITDA (Daily Time Series Ratio)",[1]ARS!$4:$4,0),FALSE)="NULL","-",VLOOKUP(A36,[1]ARS!A:EL,MATCH("Enterprise Value To EBITDA (Daily Time Series Ratio)",[1]ARS!$4:$4,0),FALSE))</f>
        <v>60.7926768808452</v>
      </c>
      <c r="BE36" s="366"/>
      <c r="BF36" s="367"/>
      <c r="BG36" s="350">
        <f>IF(OR(IFERROR(VLOOKUP(A36,[1]ARS!A:EL,MATCH("Price To Tangible Book Value",[1]ARS!$4:$4,0),FALSE),"-")&lt;0,IFERROR(VLOOKUP(A36,[1]ARS!A:EL,MATCH("Price To Tangible Book Value",[1]ARS!$4:$4,0),FALSE),"-")&gt;100),"-",IFERROR(VLOOKUP(A36,[1]ARS!A:EL,MATCH("Price To Tangible Book Value",[1]ARS!$4:$4,0),FALSE),"-"))</f>
        <v>4.8400135260676205</v>
      </c>
      <c r="BH36" s="350"/>
      <c r="BI36" s="350"/>
      <c r="BJ36" s="350">
        <f>IF(OR(IFERROR(VLOOKUP(A36,[1]ARS!A:EL,MATCH("P/E (Daily Time Series Ratio)",[1]ARS!$4:$4,0),FALSE),"-")&lt;0,IFERROR(VLOOKUP(A36,[1]ARS!A:EL,MATCH("P/E (Daily Time Series Ratio)",[1]ARS!$4:$4,0),FALSE),"-")&gt;500),"-",IFERROR(VLOOKUP(A36,[1]ARS!A:EL,MATCH("P/E (Daily Time Series Ratio)",[1]ARS!$4:$4,0),FALSE),"-"))</f>
        <v>36.750019972836945</v>
      </c>
      <c r="BK36" s="350"/>
      <c r="BL36" s="350"/>
      <c r="BM36" s="350">
        <f>IF(OR(IFERROR(VLOOKUP(A36,[1]ARS!A:EC,MATCH("Price To Sales",[1]ARS!$4:$4,0),FALSE),"-")&lt;0,IFERROR(VLOOKUP(A36,[1]ARS!A:EC,MATCH("Price To Sales",[1]ARS!$4:$4,0),FALSE),"-")&gt;100),"-",IFERROR(VLOOKUP(A36,[1]ARS!A:EC,MATCH("Price To Sales",[1]ARS!$4:$4,0),FALSE),"-"))</f>
        <v>2.378155537175711</v>
      </c>
      <c r="BN36" s="350"/>
      <c r="BO36" s="350"/>
      <c r="BP36" s="350">
        <f>+IFERROR(IF(VLOOKUP(A36,[1]ARS!A:EO,MATCH("Price to Free Cash Flow",[1]ARS!$4:$4,0),FALSE)="NULL","-",VLOOKUP(A36,[1]ARS!A:EO,MATCH("Price to Free Cash Flow",[1]ARS!$4:$4,0),FALSE)),"-")</f>
        <v>126.3599933445</v>
      </c>
      <c r="BQ36" s="350"/>
      <c r="BR36" s="351"/>
      <c r="BS36" s="104">
        <f>IF(VLOOKUP(A36,[1]ARS!A:EE,MATCH("Daily Beta - 180 Day",[1]ARS!$4:$4,0),FALSE)="NULL","-",VLOOKUP(A36,[1]ARS!A:EE,MATCH("Daily Beta - 180 Day",[1]ARS!$4:$4,0),FALSE))</f>
        <v>0.59842300456077702</v>
      </c>
      <c r="BT36" s="101">
        <f>+VLOOKUP(A36,[1]ARS!$A:$EH,MATCH("Volatilidad histórica",[1]ARS!$4:$4,0),FALSE)</f>
        <v>0.40633068378248327</v>
      </c>
      <c r="BU36" s="105">
        <f>+VLOOKUP(A36,[1]ARS!$A$5:$EM$85,MATCH("Rto Medio",[1]ARS!$4:$4,0),FALSE)</f>
        <v>-3.5219263106330501E-2</v>
      </c>
      <c r="BV36" s="106">
        <f>+IF(VLOOKUP(Template!A36,[1]ARS!A:AA,MATCH("Period End Date",[1]ARS!$3:$3,0),FALSE)="","-",VLOOKUP(Template!A36,[1]ARS!A:AA,MATCH("Period End Date",[1]ARS!$3:$3,0),FALSE))</f>
        <v>43008</v>
      </c>
      <c r="BW36" s="46" t="str">
        <f t="shared" si="6"/>
        <v>ROSE</v>
      </c>
      <c r="BX36" s="4"/>
      <c r="BY36" s="48" t="s">
        <v>70</v>
      </c>
      <c r="BZ36" s="48">
        <f t="shared" si="7"/>
        <v>2.378155537175711</v>
      </c>
      <c r="CA36" s="48">
        <f t="shared" si="8"/>
        <v>4.8400135260676205</v>
      </c>
      <c r="CB36" s="48">
        <f t="shared" si="9"/>
        <v>36.750019972836945</v>
      </c>
      <c r="CD36" s="107" t="s">
        <v>70</v>
      </c>
      <c r="CE36" s="107">
        <v>2.378155537175711</v>
      </c>
      <c r="CF36" s="107">
        <v>4.8400135260676205</v>
      </c>
      <c r="CG36" s="107">
        <v>36.750019972836945</v>
      </c>
      <c r="CN36" s="51"/>
    </row>
    <row r="37" spans="1:140" s="49" customFormat="1" ht="11.25" customHeight="1" x14ac:dyDescent="0.2">
      <c r="A37" s="352" t="s">
        <v>61</v>
      </c>
      <c r="B37" s="353"/>
      <c r="C37" s="354"/>
      <c r="D37" s="355"/>
      <c r="E37" s="108"/>
      <c r="F37" s="347">
        <f>AVERAGE(F29:H36)</f>
        <v>0.79280297472537486</v>
      </c>
      <c r="G37" s="348"/>
      <c r="H37" s="349"/>
      <c r="I37" s="347">
        <f>AVERAGE(I29:K36)</f>
        <v>3.4567789369373085</v>
      </c>
      <c r="J37" s="348"/>
      <c r="K37" s="349"/>
      <c r="L37" s="347">
        <f>AVERAGE(L29:N36)</f>
        <v>1.4803887500000001</v>
      </c>
      <c r="M37" s="348"/>
      <c r="N37" s="349"/>
      <c r="O37" s="347">
        <f>AVERAGE(O29:Q36)</f>
        <v>0.90936000000000006</v>
      </c>
      <c r="P37" s="348"/>
      <c r="Q37" s="349"/>
      <c r="R37" s="356">
        <f>AVERAGE(R29:T36)</f>
        <v>2.138753911063521E-2</v>
      </c>
      <c r="S37" s="357"/>
      <c r="T37" s="358"/>
      <c r="U37" s="347">
        <f>AVERAGE(U29:W36)</f>
        <v>1.7565073029714406</v>
      </c>
      <c r="V37" s="348"/>
      <c r="W37" s="349"/>
      <c r="X37" s="347">
        <f>AVERAGE(X29:Z36)</f>
        <v>117.09948188083541</v>
      </c>
      <c r="Y37" s="348"/>
      <c r="Z37" s="349"/>
      <c r="AA37" s="344">
        <f>AVERAGE(AA29:AC36)</f>
        <v>0.3097343125</v>
      </c>
      <c r="AB37" s="345"/>
      <c r="AC37" s="346"/>
      <c r="AD37" s="344">
        <f>AVERAGE(AD29:AF36)</f>
        <v>8.8934185714285713E-2</v>
      </c>
      <c r="AE37" s="345"/>
      <c r="AF37" s="346"/>
      <c r="AG37" s="344">
        <f>AVERAGE(AG29:AI36)</f>
        <v>4.798815241416958E-2</v>
      </c>
      <c r="AH37" s="345"/>
      <c r="AI37" s="346"/>
      <c r="AJ37" s="344">
        <f>AVERAGE(AJ29:AL36)</f>
        <v>-0.10014731728633781</v>
      </c>
      <c r="AK37" s="345"/>
      <c r="AL37" s="346"/>
      <c r="AM37" s="344">
        <f>AVERAGE(AM29:AO36)</f>
        <v>8.6400405055418905E-2</v>
      </c>
      <c r="AN37" s="345"/>
      <c r="AO37" s="346"/>
      <c r="AP37" s="344">
        <f>AVERAGE(AP29:AR36)</f>
        <v>4.3398352150451222E-2</v>
      </c>
      <c r="AQ37" s="345"/>
      <c r="AR37" s="346"/>
      <c r="AS37" s="109">
        <f>AVERAGE(AS29:AS36)</f>
        <v>0.10528263033532503</v>
      </c>
      <c r="AT37" s="109">
        <f>AVERAGE(AT29:AT36)</f>
        <v>1.1943885868797026</v>
      </c>
      <c r="AU37" s="110">
        <f>AVERAGE(AU29:AU36)</f>
        <v>3.1014723877892858</v>
      </c>
      <c r="AV37" s="111">
        <f>AVERAGE(AV29:AV36)</f>
        <v>46.077528856907904</v>
      </c>
      <c r="AW37" s="109">
        <f>AVERAGE(AW29:AW36)</f>
        <v>60.656904687311929</v>
      </c>
      <c r="AX37" s="341">
        <f>+AVERAGE(AX29:AZ36)</f>
        <v>17.833390982642857</v>
      </c>
      <c r="AY37" s="342"/>
      <c r="AZ37" s="343"/>
      <c r="BA37" s="341">
        <f>+AVERAGE(BA29:BC36)</f>
        <v>3.1118346177625003</v>
      </c>
      <c r="BB37" s="342"/>
      <c r="BC37" s="343"/>
      <c r="BD37" s="341">
        <f>+AVERAGE(BD29:BF36)</f>
        <v>24.966261509837562</v>
      </c>
      <c r="BE37" s="342"/>
      <c r="BF37" s="343"/>
      <c r="BG37" s="341">
        <f>+AVERAGE(BG29:BI36)</f>
        <v>4.3167105498303853</v>
      </c>
      <c r="BH37" s="342"/>
      <c r="BI37" s="343"/>
      <c r="BJ37" s="341">
        <f>+AVERAGE(BJ29:BL36)</f>
        <v>53.55326959411498</v>
      </c>
      <c r="BK37" s="342"/>
      <c r="BL37" s="343"/>
      <c r="BM37" s="341">
        <f>+AVERAGE(BM29:BO36)</f>
        <v>1.1406470526652308</v>
      </c>
      <c r="BN37" s="342"/>
      <c r="BO37" s="343"/>
      <c r="BP37" s="341">
        <f>+AVERAGE(BP29:BR36)</f>
        <v>166.44243368668572</v>
      </c>
      <c r="BQ37" s="342"/>
      <c r="BR37" s="343"/>
      <c r="BS37" s="112">
        <f>+AVERAGE(BS29:BS36)</f>
        <v>0.63907519253178435</v>
      </c>
      <c r="BT37" s="109">
        <f>AVERAGE(BT29:BT36)</f>
        <v>0.4509949231343317</v>
      </c>
      <c r="BU37" s="109">
        <f>AVERAGE(BU29:BU36)</f>
        <v>7.8941684976731374E-2</v>
      </c>
      <c r="BV37" s="113"/>
      <c r="BW37" s="113"/>
      <c r="BX37" s="4"/>
      <c r="BY37" s="48" t="s">
        <v>71</v>
      </c>
      <c r="BZ37" s="48"/>
      <c r="CA37" s="48"/>
      <c r="CB37" s="48"/>
      <c r="CD37" s="48" t="s">
        <v>71</v>
      </c>
      <c r="CE37" s="69"/>
      <c r="CF37" s="48"/>
      <c r="CG37" s="48"/>
      <c r="CN37" s="51"/>
    </row>
    <row r="38" spans="1:140" s="115" customFormat="1" ht="11.25" customHeight="1" x14ac:dyDescent="0.2">
      <c r="A38" s="88" t="s">
        <v>72</v>
      </c>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8"/>
      <c r="AM38" s="88"/>
      <c r="AN38" s="88"/>
      <c r="AO38" s="88"/>
      <c r="AP38" s="88"/>
      <c r="AQ38" s="88"/>
      <c r="AR38" s="88"/>
      <c r="AS38" s="88"/>
      <c r="AT38" s="88"/>
      <c r="AU38" s="88"/>
      <c r="AV38" s="89"/>
      <c r="AW38" s="90"/>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91"/>
      <c r="BW38" s="92"/>
      <c r="BX38" s="93"/>
      <c r="BY38" s="107"/>
      <c r="BZ38" s="95"/>
      <c r="CA38" s="114"/>
      <c r="CB38" s="96"/>
      <c r="CD38" s="48"/>
      <c r="CE38" s="69"/>
      <c r="CF38" s="48"/>
      <c r="CG38" s="48"/>
      <c r="CN38" s="116"/>
    </row>
    <row r="39" spans="1:140" s="120" customFormat="1" ht="11.25" customHeight="1" x14ac:dyDescent="0.2">
      <c r="A39" s="288" t="str">
        <f>BY39</f>
        <v>ROSE</v>
      </c>
      <c r="B39" s="288"/>
      <c r="C39" s="289">
        <f>+VLOOKUP(A39,[1]ARS!A:EL,MATCH("Last",[1]ARS!$4:$4,0),FALSE)</f>
        <v>9.2000000000000011</v>
      </c>
      <c r="D39" s="289"/>
      <c r="E39" s="117">
        <f>+VLOOKUP(A39,'[1]Market Cap'!I:J,2,FALSE)</f>
        <v>1</v>
      </c>
      <c r="F39" s="290">
        <f>IFERROR(IF(VLOOKUP(A39,[1]ARS!A:EL,MATCH("Total Debt To Total Equity, Percent FQ0",[1]ARS!$4:$4,0),FALSE)="NULL",IF(VLOOKUP(A39,[1]ARS!A:EL,MATCH("Total Debt To Total Equity, Percent FQ-1",[1]ARS!$4:$4,0),FALSE)="NULL","-",VLOOKUP(A39,[1]ARS!A:EL,MATCH("Total Debt To Total Equity, Percent FQ-1",[1]ARS!$4:$4,0))),VLOOKUP(A39,[1]ARS!A:EL,MATCH("Total Debt To Total Equity, Percent FQ0",[1]ARS!$4:$4,0),FALSE))/100,"-")</f>
        <v>0.57502052743999998</v>
      </c>
      <c r="G39" s="291"/>
      <c r="H39" s="292"/>
      <c r="I39" s="282">
        <f>IFERROR(VLOOKUP(A39,[1]ARS!A:EC,MATCH("Financial Leverage",[1]ARS!$4:$4,0),FALSE),"-")</f>
        <v>2.6767477045172852</v>
      </c>
      <c r="J39" s="293"/>
      <c r="K39" s="294"/>
      <c r="L39" s="282">
        <f>+IFERROR(IF(VLOOKUP(A39,[1]ARS!A:EL,MATCH("Curr Ratio FQ0",[1]ARS!$4:$4,0),FALSE)="NULL",IF(VLOOKUP(A39,[1]ARS!A:EL,MATCH("Curr Ratio FQ-1",[1]ARS!$4:$4,0),FALSE)="NULL","-",VLOOKUP(A39,[1]ARS!A:EL,MATCH("Curr Ratio FQ-1",[1]ARS!$4:$4,0),FALSE)),VLOOKUP(A39,[1]ARS!A:EL,MATCH("Curr Ratio FQ0",[1]ARS!$4:$4,0),FALSE)),"-")</f>
        <v>1.6991700000000001</v>
      </c>
      <c r="M39" s="293"/>
      <c r="N39" s="294"/>
      <c r="O39" s="282">
        <f>+IFERROR(IF(VLOOKUP(A39,[1]ARS!A:EL,MATCH("Quick Ratio FQ0",[1]ARS!$4:$4,0),FALSE)="NULL",IF(VLOOKUP(A39,[1]ARS!A:EL,MATCH("Quick Ratio FQ-1",[1]ARS!$4:$4,0),FALSE)="NULL","-",VLOOKUP(A39,[1]ARS!A:EL,MATCH("Quick Ratio FQ-1",[1]ARS!$4:$4,0),FALSE)),VLOOKUP(A39,[1]ARS!A:EL,MATCH("Quick Ratio FQ0",[1]ARS!$4:$4,0),FALSE)),"-")</f>
        <v>1.0045500000000001</v>
      </c>
      <c r="P39" s="293"/>
      <c r="Q39" s="294"/>
      <c r="R39" s="380" t="str">
        <f>+IFERROR(IF(VLOOKUP(A39,[1]ARS!$A:$EL,MATCH("Dividend yield",[1]ARS!$4:$4,0),FALSE)="NULL","-",VLOOKUP(A39,[1]ARS!$A:$EL,MATCH("Dividend Yield",[1]ARS!$4:$4,0),FALSE)/100),"-")</f>
        <v>-</v>
      </c>
      <c r="S39" s="381"/>
      <c r="T39" s="382"/>
      <c r="U39" s="281">
        <f>IF(IFERROR(VLOOKUP(A39,[1]ARS!A:EL,MATCH("Asset Turnover",[1]ARS!$4:$4,0),FALSE),"-")=0,"-",IFERROR(VLOOKUP(A39,[1]ARS!A:EL,MATCH("Asset Turnover",[1]ARS!$4:$4,0),FALSE),"-"))</f>
        <v>1.0021981203630224</v>
      </c>
      <c r="V39" s="281"/>
      <c r="W39" s="281"/>
      <c r="X39" s="284">
        <f>IFERROR(VLOOKUP(A39,[1]ARS!A:EL,MATCH("CCC",[1]ARS!$4:$4,0),FALSE),"-")</f>
        <v>283.52002742098455</v>
      </c>
      <c r="Y39" s="284"/>
      <c r="Z39" s="284"/>
      <c r="AA39" s="283">
        <f>IF(IFERROR(VLOOKUP(A39,[1]ARS!A:EL,MATCH("Gross Margin, Percent",[1]ARS!$4:$4,0),FALSE)/100,"-")&lt;0,"-",IFERROR(VLOOKUP(A39,[1]ARS!A:EL,MATCH("Gross Margin, Percent",[1]ARS!$4:$4,0),FALSE)/100,"-"))</f>
        <v>0.36294120000000002</v>
      </c>
      <c r="AB39" s="283"/>
      <c r="AC39" s="283"/>
      <c r="AD39" s="283">
        <f>IF(IFERROR(VLOOKUP(A39,[1]ARS!A:EL,MATCH("Operating Margin, Percent",[1]ARS!$4:$4,0),FALSE)/100,"-")&lt;0,"-",IFERROR(VLOOKUP(A39,[1]ARS!A:EL,MATCH("Operating Margin, Percent",[1]ARS!$4:$4,0),FALSE)/100,"-"))</f>
        <v>9.244680000000001E-2</v>
      </c>
      <c r="AE39" s="283"/>
      <c r="AF39" s="283"/>
      <c r="AG39" s="283">
        <f>IF(IFERROR(VLOOKUP(A39,[1]ARS!A:EL,MATCH("Net Profit Margin",[1]ARS!$4:$4,0),FALSE),"-")&lt;0,"-",IFERROR(VLOOKUP(A39,[1]ARS!A:EL,MATCH("Net Profit Margin",[1]ARS!$4:$4,0),FALSE),"-"))</f>
        <v>6.542189751299593E-2</v>
      </c>
      <c r="AH39" s="283"/>
      <c r="AI39" s="283"/>
      <c r="AJ39" s="283">
        <f>IFERROR(VLOOKUP(A39,[1]ARS!A:EL,MATCH("FCF/Revenue",[1]ARS!$4:$4,0),FALSE),"-")</f>
        <v>-8.6310552164202164E-2</v>
      </c>
      <c r="AK39" s="283"/>
      <c r="AL39" s="283"/>
      <c r="AM39" s="283">
        <f>IFERROR(IF(VLOOKUP(A39,[1]ARS!A:EL,MATCH("ROE",[1]ARS!$4:$4,0),FALSE)&lt;-5,"-",VLOOKUP(A39,[1]ARS!A:EL,MATCH("ROE",[1]ARS!$4:$4,0),FALSE)),"-")</f>
        <v>0.13510834347909972</v>
      </c>
      <c r="AN39" s="283"/>
      <c r="AO39" s="283"/>
      <c r="AP39" s="283">
        <f>IFERROR(VLOOKUP(A39,[1]ARS!A:EL,MATCH("ROA",[1]ARS!$4:$4,0),FALSE),"-")</f>
        <v>5.2455336894618912E-2</v>
      </c>
      <c r="AQ39" s="283"/>
      <c r="AR39" s="283"/>
      <c r="AS39" s="40">
        <f>+VLOOKUP(A39,[1]ARS!$A$5:$EL$85,MATCH("Last Q y/y",[1]ARS!$4:$4,0),FALSE)</f>
        <v>-1.2546324404400515</v>
      </c>
      <c r="AT39" s="40">
        <f>+VLOOKUP(A39,[1]ARS!$A$5:$EL$99,MATCH("Last 5 yrs - Annual",[1]ARS!$4:$4,0),FALSE)</f>
        <v>2.8300476180274359</v>
      </c>
      <c r="AU39" s="41">
        <f>+VLOOKUP(A39,[1]ARS!$A$5:$EL$84,MATCH("Desvio",[1]ARS!$4:$4,0),FALSE)</f>
        <v>6.9453187649392518</v>
      </c>
      <c r="AV39" s="118">
        <f>AVERAGE(AV31:AX38)</f>
        <v>41.495260819200311</v>
      </c>
      <c r="AW39" s="44">
        <f>AVERAGE(AW31:AW38)</f>
        <v>76.911677016544004</v>
      </c>
      <c r="AX39" s="282">
        <f>IFERROR((VLOOKUP(A39,[1]ARS!A:EL,MATCH("Enterprise Value (Daily Time Series)",[1]ARS!$4:$4,0),FALSE)/1000000000),"-")</f>
        <v>0.44358714125000104</v>
      </c>
      <c r="AY39" s="293"/>
      <c r="AZ39" s="294"/>
      <c r="BA39" s="281">
        <f>IFERROR((VLOOKUP(A39,[1]ARS!A:EL,MATCH("Company Market Cap",[1]ARS!$4:$4,0),FALSE)/1000000000),"-")</f>
        <v>0.38756413150000002</v>
      </c>
      <c r="BB39" s="281"/>
      <c r="BC39" s="281"/>
      <c r="BD39" s="281">
        <f>IF(VLOOKUP(A39,[1]ARS!A:EL,MATCH("Enterprise Value To EBITDA (Daily Time Series Ratio)",[1]ARS!$4:$4,0),FALSE)="NULL","-",VLOOKUP(A39,[1]ARS!A:EL,MATCH("Enterprise Value To EBITDA (Daily Time Series Ratio)",[1]ARS!$4:$4,0),FALSE))</f>
        <v>60.7926768808452</v>
      </c>
      <c r="BE39" s="281"/>
      <c r="BF39" s="281"/>
      <c r="BG39" s="281">
        <f>IF(OR(IFERROR(VLOOKUP(A39,[1]ARS!A:EL,MATCH("Price To Tangible Book Value",[1]ARS!$4:$4,0),FALSE),"-")&lt;0,IFERROR(VLOOKUP(A39,[1]ARS!A:EL,MATCH("Price To Tangible Book Value",[1]ARS!$4:$4,0),FALSE),"-")&gt;100),"-",IFERROR(VLOOKUP(A39,[1]ARS!A:EL,MATCH("Price To Tangible Book Value",[1]ARS!$4:$4,0),FALSE),"-"))</f>
        <v>4.8400135260676205</v>
      </c>
      <c r="BH39" s="281"/>
      <c r="BI39" s="281"/>
      <c r="BJ39" s="281">
        <f>IF(OR(IFERROR(VLOOKUP(A39,[1]ARS!A:EL,MATCH("P/E (Daily Time Series Ratio)",[1]ARS!$4:$4,0),FALSE),"-")&lt;0,IFERROR(VLOOKUP(A39,[1]ARS!A:EL,MATCH("P/E (Daily Time Series Ratio)",[1]ARS!$4:$4,0),FALSE),"-")&gt;500),"-",IFERROR(VLOOKUP(A39,[1]ARS!A:EL,MATCH("P/E (Daily Time Series Ratio)",[1]ARS!$4:$4,0),FALSE),"-"))</f>
        <v>36.750019972836945</v>
      </c>
      <c r="BK39" s="281"/>
      <c r="BL39" s="281"/>
      <c r="BM39" s="281">
        <f>IF(OR(IFERROR(VLOOKUP(A39,[1]ARS!A:EC,MATCH("Price To Sales",[1]ARS!$4:$4,0),FALSE),"-")&lt;0,IFERROR(VLOOKUP(A39,[1]ARS!A:EC,MATCH("Price To Sales",[1]ARS!$4:$4,0),FALSE),"-")&gt;100),"-",IFERROR(VLOOKUP(A39,[1]ARS!A:EC,MATCH("Price To Sales",[1]ARS!$4:$4,0),FALSE),"-"))</f>
        <v>2.378155537175711</v>
      </c>
      <c r="BN39" s="281"/>
      <c r="BO39" s="281"/>
      <c r="BP39" s="281">
        <f>+IFERROR(IF(VLOOKUP(A39,[1]ARS!A:EO,MATCH("Price to Free Cash Flow",[1]ARS!$4:$4,0),FALSE)="NULL","-",VLOOKUP(A39,[1]ARS!A:EO,MATCH("Price to Free Cash Flow",[1]ARS!$4:$4,0),FALSE)),"-")</f>
        <v>126.3599933445</v>
      </c>
      <c r="BQ39" s="281"/>
      <c r="BR39" s="282"/>
      <c r="BS39" s="43">
        <f>IF(VLOOKUP(A39,[1]ARS!A:EE,MATCH("Daily Beta - 180 Day",[1]ARS!$4:$4,0),FALSE)="NULL","-",VLOOKUP(A39,[1]ARS!A:EE,MATCH("Daily Beta - 180 Day",[1]ARS!$4:$4,0),FALSE))</f>
        <v>0.59842300456077702</v>
      </c>
      <c r="BT39" s="40">
        <f>+VLOOKUP(A39,[1]ARS!$A:$EH,MATCH("Volatilidad histórica",[1]ARS!$4:$4,0),FALSE)</f>
        <v>0.40633068378248327</v>
      </c>
      <c r="BU39" s="44">
        <f>+VLOOKUP(A39,[1]ARS!$A$5:$EM$85,MATCH("Rto Medio",[1]ARS!$4:$4,0),FALSE)</f>
        <v>-3.5219263106330501E-2</v>
      </c>
      <c r="BV39" s="45">
        <f>+IF(VLOOKUP(Template!A39,[1]ARS!A:AA,MATCH("Period End Date",[1]ARS!$3:$3,0),FALSE)="","-",VLOOKUP(Template!A39,[1]ARS!A:AA,MATCH("Period End Date",[1]ARS!$3:$3,0),FALSE))</f>
        <v>43008</v>
      </c>
      <c r="BW39" s="46" t="str">
        <f t="shared" ref="BW39" si="10">+BY39</f>
        <v>ROSE</v>
      </c>
      <c r="BX39" s="4"/>
      <c r="BY39" s="119" t="s">
        <v>70</v>
      </c>
      <c r="BZ39" s="48">
        <f>+VLOOKUP(BY39,$A$15:$BV$109,MATCH("P/S",$13:$13,0),FALSE)</f>
        <v>2.378155537175711</v>
      </c>
      <c r="CA39" s="48">
        <f>+VLOOKUP(BY39,$A$15:$BV$111,59,FALSE)</f>
        <v>4.8400135260676205</v>
      </c>
      <c r="CB39" s="48">
        <f>+VLOOKUP(BY39,$A$15:$BV$111,62,FALSE)</f>
        <v>36.750019972836945</v>
      </c>
      <c r="CD39" s="48" t="s">
        <v>70</v>
      </c>
      <c r="CE39" s="69">
        <v>2.378155537175711</v>
      </c>
      <c r="CF39" s="48">
        <v>4.8400135260676205</v>
      </c>
      <c r="CG39" s="48">
        <v>36.750019972836945</v>
      </c>
      <c r="CN39" s="121"/>
    </row>
    <row r="40" spans="1:140" s="115" customFormat="1" ht="11.25" customHeight="1" x14ac:dyDescent="0.2">
      <c r="A40" s="88" t="s">
        <v>73</v>
      </c>
      <c r="B40" s="88"/>
      <c r="C40" s="88"/>
      <c r="D40" s="88"/>
      <c r="E40" s="88"/>
      <c r="F40" s="88"/>
      <c r="G40" s="88"/>
      <c r="H40" s="88"/>
      <c r="I40" s="88"/>
      <c r="J40" s="88"/>
      <c r="K40" s="88"/>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8"/>
      <c r="AM40" s="88"/>
      <c r="AN40" s="88"/>
      <c r="AO40" s="88"/>
      <c r="AP40" s="88"/>
      <c r="AQ40" s="88"/>
      <c r="AR40" s="88"/>
      <c r="AS40" s="88"/>
      <c r="AT40" s="88"/>
      <c r="AU40" s="88"/>
      <c r="AV40" s="89"/>
      <c r="AW40" s="90"/>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91"/>
      <c r="BW40" s="92"/>
      <c r="BX40" s="122"/>
      <c r="BY40" s="123"/>
      <c r="BZ40" s="95"/>
      <c r="CA40" s="124"/>
      <c r="CB40" s="96"/>
      <c r="CC40" s="122"/>
      <c r="CD40" s="119"/>
      <c r="CE40" s="119"/>
      <c r="CF40" s="119"/>
      <c r="CG40" s="119"/>
      <c r="CH40" s="125"/>
      <c r="CI40" s="126"/>
      <c r="CJ40" s="122"/>
      <c r="CK40" s="122"/>
      <c r="CL40" s="122"/>
      <c r="CM40" s="122"/>
      <c r="CN40" s="122"/>
      <c r="CO40" s="122"/>
      <c r="CP40" s="122"/>
      <c r="CQ40" s="127"/>
      <c r="CR40" s="127"/>
      <c r="CS40" s="127"/>
      <c r="CT40" s="127"/>
      <c r="CU40" s="127"/>
      <c r="CV40" s="127"/>
      <c r="CW40" s="126"/>
      <c r="CX40" s="122"/>
      <c r="CY40" s="122"/>
      <c r="CZ40" s="122"/>
      <c r="DA40" s="122"/>
      <c r="DB40" s="122"/>
      <c r="DC40" s="122"/>
      <c r="DD40" s="122"/>
      <c r="DE40" s="127"/>
      <c r="DF40" s="127"/>
      <c r="DG40" s="127"/>
      <c r="DH40" s="127"/>
      <c r="DI40" s="127"/>
      <c r="DJ40" s="127"/>
      <c r="DK40" s="126"/>
      <c r="DL40" s="122"/>
      <c r="DM40" s="122"/>
      <c r="DN40" s="122"/>
      <c r="DO40" s="122"/>
      <c r="DP40" s="122"/>
      <c r="DQ40" s="122"/>
      <c r="DR40" s="122"/>
      <c r="DS40" s="127"/>
      <c r="DT40" s="127"/>
      <c r="DU40" s="127"/>
      <c r="DV40" s="127"/>
      <c r="DW40" s="127"/>
      <c r="DX40" s="127"/>
      <c r="DY40" s="126"/>
      <c r="DZ40" s="122"/>
      <c r="EA40" s="122"/>
      <c r="EB40" s="122"/>
      <c r="EC40" s="122"/>
      <c r="ED40" s="122"/>
      <c r="EE40" s="122"/>
      <c r="EF40" s="122"/>
      <c r="EG40" s="127"/>
      <c r="EH40" s="127"/>
      <c r="EI40" s="127"/>
      <c r="EJ40" s="127"/>
    </row>
    <row r="41" spans="1:140" s="120" customFormat="1" ht="11.25" customHeight="1" x14ac:dyDescent="0.2">
      <c r="A41" s="288" t="str">
        <f t="shared" ref="A41:A51" si="11">BY41</f>
        <v>YPFD</v>
      </c>
      <c r="B41" s="288"/>
      <c r="C41" s="289">
        <f>+VLOOKUP(A41,[1]ARS!A:EL,MATCH("Last",[1]ARS!$4:$4,0),FALSE)</f>
        <v>451</v>
      </c>
      <c r="D41" s="289"/>
      <c r="E41" s="117">
        <f>+VLOOKUP(A41,'[1]Market Cap'!I:J,2,FALSE)</f>
        <v>10</v>
      </c>
      <c r="F41" s="290">
        <f>IFERROR(IF(VLOOKUP(A41,[1]ARS!A:EL,MATCH("Total Debt To Total Equity, Percent FQ0",[1]ARS!$4:$4,0),FALSE)="NULL",IF(VLOOKUP(A41,[1]ARS!A:EL,MATCH("Total Debt To Total Equity, Percent FQ-1",[1]ARS!$4:$4,0),FALSE)="NULL","-",VLOOKUP(A41,[1]ARS!A:EL,MATCH("Total Debt To Total Equity, Percent FQ-1",[1]ARS!$4:$4,0))),VLOOKUP(A41,[1]ARS!A:EL,MATCH("Total Debt To Total Equity, Percent FQ0",[1]ARS!$4:$4,0),FALSE))/100,"-")</f>
        <v>1.3218447122200001</v>
      </c>
      <c r="G41" s="291"/>
      <c r="H41" s="292"/>
      <c r="I41" s="281">
        <f>IFERROR(VLOOKUP(A41,[1]ARS!A:EC,MATCH("Financial Leverage",[1]ARS!$4:$4,0),FALSE),"-")</f>
        <v>3.5314418704353017</v>
      </c>
      <c r="J41" s="281"/>
      <c r="K41" s="281"/>
      <c r="L41" s="282">
        <f>+IFERROR(IF(VLOOKUP(A41,[1]ARS!A:EL,MATCH("Curr Ratio FQ0",[1]ARS!$4:$4,0),FALSE)="NULL",IF(VLOOKUP(A41,[1]ARS!A:EL,MATCH("Curr Ratio FQ-1",[1]ARS!$4:$4,0),FALSE)="NULL","-",VLOOKUP(A41,[1]ARS!A:EL,MATCH("Curr Ratio FQ-1",[1]ARS!$4:$4,0),FALSE)),VLOOKUP(A41,[1]ARS!A:EL,MATCH("Curr Ratio FQ0",[1]ARS!$4:$4,0),FALSE)),"-")</f>
        <v>1.2786</v>
      </c>
      <c r="M41" s="293"/>
      <c r="N41" s="294"/>
      <c r="O41" s="282">
        <f>+IFERROR(IF(VLOOKUP(A41,[1]ARS!A:EL,MATCH("Quick Ratio FQ0",[1]ARS!$4:$4,0),FALSE)="NULL",IF(VLOOKUP(A41,[1]ARS!A:EL,MATCH("Quick Ratio FQ-1",[1]ARS!$4:$4,0),FALSE)="NULL","-",VLOOKUP(A41,[1]ARS!A:EL,MATCH("Quick Ratio FQ-1",[1]ARS!$4:$4,0),FALSE)),VLOOKUP(A41,[1]ARS!A:EL,MATCH("Quick Ratio FQ0",[1]ARS!$4:$4,0),FALSE)),"-")</f>
        <v>0.96484999999999999</v>
      </c>
      <c r="P41" s="293"/>
      <c r="Q41" s="294"/>
      <c r="R41" s="295">
        <f>+IFERROR(IF(VLOOKUP(A41,[1]ARS!$A:$EL,MATCH("Dividend yield",[1]ARS!$4:$4,0),FALSE)="NULL","-",VLOOKUP(A41,[1]ARS!$A:$EL,MATCH("Dividend Yield",[1]ARS!$4:$4,0),FALSE)/100),"-")</f>
        <v>5.3228070175438602E-3</v>
      </c>
      <c r="S41" s="296"/>
      <c r="T41" s="297"/>
      <c r="U41" s="281">
        <f>IF(IFERROR(VLOOKUP(A41,[1]ARS!A:EL,MATCH("Asset Turnover",[1]ARS!$4:$4,0),FALSE),"-")=0,"-",IFERROR(VLOOKUP(A41,[1]ARS!A:EL,MATCH("Asset Turnover",[1]ARS!$4:$4,0),FALSE),"-"))</f>
        <v>0.69124769243206741</v>
      </c>
      <c r="V41" s="281"/>
      <c r="W41" s="281"/>
      <c r="X41" s="284">
        <f>IFERROR(VLOOKUP(A41,[1]ARS!A:EL,MATCH("CCC",[1]ARS!$4:$4,0),FALSE),"-")</f>
        <v>19.766831312286797</v>
      </c>
      <c r="Y41" s="284"/>
      <c r="Z41" s="284"/>
      <c r="AA41" s="283">
        <f>IF(IFERROR(VLOOKUP(A41,[1]ARS!A:EL,MATCH("Gross Margin, Percent",[1]ARS!$4:$4,0),FALSE)/100,"-")&lt;0,"-",IFERROR(VLOOKUP(A41,[1]ARS!A:EL,MATCH("Gross Margin, Percent",[1]ARS!$4:$4,0),FALSE)/100,"-"))</f>
        <v>0.15120419999999998</v>
      </c>
      <c r="AB41" s="283"/>
      <c r="AC41" s="283"/>
      <c r="AD41" s="380" t="str">
        <f>IF(IFERROR(VLOOKUP(A41,[1]ARS!A:EL,MATCH("Operating Margin, Percent",[1]ARS!$4:$4,0),FALSE)/100,"-")&lt;0,"-",IFERROR(VLOOKUP(A41,[1]ARS!A:EL,MATCH("Operating Margin, Percent",[1]ARS!$4:$4,0),FALSE)/100,"-"))</f>
        <v>-</v>
      </c>
      <c r="AE41" s="381"/>
      <c r="AF41" s="382"/>
      <c r="AG41" s="283">
        <f>IF(IFERROR(VLOOKUP(A41,[1]ARS!A:EL,MATCH("Net Profit Margin",[1]ARS!$4:$4,0),FALSE),"-")&lt;0,"-",IFERROR(VLOOKUP(A41,[1]ARS!A:EL,MATCH("Net Profit Margin",[1]ARS!$4:$4,0),FALSE),"-"))</f>
        <v>8.6264547416059247E-3</v>
      </c>
      <c r="AH41" s="283"/>
      <c r="AI41" s="283"/>
      <c r="AJ41" s="283">
        <f>IFERROR(VLOOKUP(A41,[1]ARS!A:EL,MATCH("FCF/Revenue",[1]ARS!$4:$4,0),FALSE),"-")</f>
        <v>0.12730645154506492</v>
      </c>
      <c r="AK41" s="283"/>
      <c r="AL41" s="283"/>
      <c r="AM41" s="283">
        <f>IFERROR(IF(VLOOKUP(A41,[1]ARS!A:EL,MATCH("ROE",[1]ARS!$4:$4,0),FALSE)&lt;-5,"-",VLOOKUP(A41,[1]ARS!A:EL,MATCH("ROE",[1]ARS!$4:$4,0),FALSE)),"-")</f>
        <v>1.6786192926637133E-2</v>
      </c>
      <c r="AN41" s="283"/>
      <c r="AO41" s="283"/>
      <c r="AP41" s="283">
        <f>IFERROR(VLOOKUP(A41,[1]ARS!A:EL,MATCH("ROA",[1]ARS!$4:$4,0),FALSE),"-")</f>
        <v>4.7704136665024975E-3</v>
      </c>
      <c r="AQ41" s="283"/>
      <c r="AR41" s="283"/>
      <c r="AS41" s="40">
        <f>+VLOOKUP(A41,[1]ARS!$A$5:$EL$85,MATCH("Last Q y/y",[1]ARS!$4:$4,0),FALSE)</f>
        <v>1.0030783489457482</v>
      </c>
      <c r="AT41" s="40">
        <f>+VLOOKUP(A41,[1]ARS!$A$5:$EL$99,MATCH("Last 5 yrs - Annual",[1]ARS!$4:$4,0),FALSE)</f>
        <v>-1.342041688368192</v>
      </c>
      <c r="AU41" s="41">
        <f>+VLOOKUP(A41,[1]ARS!$A$5:$EL$84,MATCH("Desvio",[1]ARS!$4:$4,0),FALSE)</f>
        <v>3.2894549252271874</v>
      </c>
      <c r="AV41" s="42">
        <f>+IFERROR(VLOOKUP(A41,'[1]Prom. Vtas Ult 5 años'!$A$3:$D$81,3,FALSE),"-")</f>
        <v>-361.25</v>
      </c>
      <c r="AW41" s="40">
        <f>+IFERROR(VLOOKUP(A41,'[1]Prom. Vtas Ult 5 años'!$A$3:$D$81,4,FALSE),"-")</f>
        <v>18.665086150040683</v>
      </c>
      <c r="AX41" s="281">
        <f>IFERROR((VLOOKUP(A41,[1]ARS!A:EL,MATCH("Enterprise Value (Daily Time Series)",[1]ARS!$4:$4,0),FALSE)/1000000000),"-")</f>
        <v>321.86363665229999</v>
      </c>
      <c r="AY41" s="281"/>
      <c r="AZ41" s="281"/>
      <c r="BA41" s="281">
        <f>IFERROR((VLOOKUP(A41,[1]ARS!A:EL,MATCH("Company Market Cap",[1]ARS!$4:$4,0),FALSE)/1000000000),"-")</f>
        <v>179.88160587854998</v>
      </c>
      <c r="BB41" s="281"/>
      <c r="BC41" s="281"/>
      <c r="BD41" s="282">
        <f>IF(VLOOKUP(A41,[1]ARS!A:EL,MATCH("Enterprise Value To EBITDA (Daily Time Series Ratio)",[1]ARS!$4:$4,0),FALSE)="NULL","-",VLOOKUP(A41,[1]ARS!A:EL,MATCH("Enterprise Value To EBITDA (Daily Time Series Ratio)",[1]ARS!$4:$4,0),FALSE))</f>
        <v>4.64342484638901</v>
      </c>
      <c r="BE41" s="293"/>
      <c r="BF41" s="294"/>
      <c r="BG41" s="281">
        <f>IF(OR(IFERROR(VLOOKUP(A41,[1]ARS!A:EL,MATCH("Price To Tangible Book Value",[1]ARS!$4:$4,0),FALSE),"-")&lt;0,IFERROR(VLOOKUP(A41,[1]ARS!A:EL,MATCH("Price To Tangible Book Value",[1]ARS!$4:$4,0),FALSE),"-")&gt;100),"-",IFERROR(VLOOKUP(A41,[1]ARS!A:EL,MATCH("Price To Tangible Book Value",[1]ARS!$4:$4,0),FALSE),"-"))</f>
        <v>1.4794111841315074</v>
      </c>
      <c r="BH41" s="281"/>
      <c r="BI41" s="281"/>
      <c r="BJ41" s="281">
        <f>IF(OR(IFERROR(VLOOKUP(A41,[1]ARS!A:EL,MATCH("P/E (Daily Time Series Ratio)",[1]ARS!$4:$4,0),FALSE),"-")&lt;0,IFERROR(VLOOKUP(A41,[1]ARS!A:EL,MATCH("P/E (Daily Time Series Ratio)",[1]ARS!$4:$4,0),FALSE),"-")&gt;500),"-",IFERROR(VLOOKUP(A41,[1]ARS!A:EL,MATCH("P/E (Daily Time Series Ratio)",[1]ARS!$4:$4,0),FALSE),"-"))</f>
        <v>86.016829545541242</v>
      </c>
      <c r="BK41" s="281"/>
      <c r="BL41" s="281"/>
      <c r="BM41" s="281">
        <f>IF(OR(IFERROR(VLOOKUP(A41,[1]ARS!A:EC,MATCH("Price To Sales",[1]ARS!$4:$4,0),FALSE),"-")&lt;0,IFERROR(VLOOKUP(A41,[1]ARS!A:EC,MATCH("Price To Sales",[1]ARS!$4:$4,0),FALSE),"-")&gt;100),"-",IFERROR(VLOOKUP(A41,[1]ARS!A:EC,MATCH("Price To Sales",[1]ARS!$4:$4,0),FALSE),"-"))</f>
        <v>0.75657753874144607</v>
      </c>
      <c r="BN41" s="281"/>
      <c r="BO41" s="281"/>
      <c r="BP41" s="281" t="str">
        <f>+IFERROR(IF(VLOOKUP(A41,[1]ARS!A:EO,MATCH("Price to Free Cash Flow",[1]ARS!$4:$4,0),FALSE)="NULL","-",VLOOKUP(A41,[1]ARS!A:EO,MATCH("Price to Free Cash Flow",[1]ARS!$4:$4,0),FALSE)),"-")</f>
        <v>-</v>
      </c>
      <c r="BQ41" s="281"/>
      <c r="BR41" s="282"/>
      <c r="BS41" s="43">
        <f>IF(VLOOKUP(A41,[1]ARS!A:EE,MATCH("Daily Beta - 180 Day",[1]ARS!$4:$4,0),FALSE)="NULL","-",VLOOKUP(A41,[1]ARS!A:EE,MATCH("Daily Beta - 180 Day",[1]ARS!$4:$4,0),FALSE))</f>
        <v>0.92014811851450196</v>
      </c>
      <c r="BT41" s="40">
        <f>+VLOOKUP(A41,[1]ARS!$A:$EH,MATCH("Volatilidad histórica",[1]ARS!$4:$4,0),FALSE)</f>
        <v>0.45101907311918604</v>
      </c>
      <c r="BU41" s="44">
        <f>+VLOOKUP(A41,[1]ARS!$A$5:$EM$85,MATCH("Rto Medio",[1]ARS!$4:$4,0),FALSE)</f>
        <v>-1.1494787845834575E-2</v>
      </c>
      <c r="BV41" s="45">
        <f>+IF(VLOOKUP(Template!A41,[1]ARS!A:AA,MATCH("Period End Date",[1]ARS!$3:$3,0),FALSE)="","-",VLOOKUP(Template!A41,[1]ARS!A:AA,MATCH("Period End Date",[1]ARS!$3:$3,0),FALSE))</f>
        <v>43008</v>
      </c>
      <c r="BW41" s="46" t="str">
        <f t="shared" ref="BW41:BW51" si="12">+BY41</f>
        <v>YPFD</v>
      </c>
      <c r="BX41" s="4"/>
      <c r="BY41" s="119" t="s">
        <v>74</v>
      </c>
      <c r="BZ41" s="48">
        <f t="shared" ref="BZ41:BZ51" si="13">+VLOOKUP(BY41,$A$15:$BV$109,MATCH("P/S",$13:$13,0),FALSE)</f>
        <v>0.75657753874144607</v>
      </c>
      <c r="CA41" s="48">
        <f t="shared" ref="CA41:CA51" si="14">+VLOOKUP(BY41,$A$15:$BV$111,59,FALSE)</f>
        <v>1.4794111841315074</v>
      </c>
      <c r="CB41" s="48">
        <f t="shared" ref="CB41:CB51" si="15">+VLOOKUP(BY41,$A$15:$BV$111,62,FALSE)</f>
        <v>86.016829545541242</v>
      </c>
      <c r="CC41" s="128"/>
      <c r="CD41" s="115" t="s">
        <v>74</v>
      </c>
      <c r="CE41" s="115">
        <v>0.75657753874144607</v>
      </c>
      <c r="CF41" s="115">
        <v>1.4794111841315074</v>
      </c>
      <c r="CG41" s="115">
        <v>85.921467206798965</v>
      </c>
      <c r="CN41" s="121"/>
    </row>
    <row r="42" spans="1:140" s="120" customFormat="1" ht="11.25" customHeight="1" x14ac:dyDescent="0.2">
      <c r="A42" s="330" t="str">
        <f t="shared" si="11"/>
        <v>APBR</v>
      </c>
      <c r="B42" s="330"/>
      <c r="C42" s="331">
        <f>+VLOOKUP(A42,[1]ARS!A:EL,MATCH("Last",[1]ARS!$4:$4,0),FALSE)</f>
        <v>126.9</v>
      </c>
      <c r="D42" s="331"/>
      <c r="E42" s="74">
        <f>+VLOOKUP(A42,'[1]Market Cap'!I:J,2,FALSE)</f>
        <v>1</v>
      </c>
      <c r="F42" s="371">
        <f>IFERROR(IF(VLOOKUP(A42,[1]ARS!A:EL,MATCH("Total Debt To Total Equity, Percent FQ0",[1]ARS!$4:$4,0),FALSE)="NULL",IF(VLOOKUP(A42,[1]ARS!A:EL,MATCH("Total Debt To Total Equity, Percent FQ-1",[1]ARS!$4:$4,0),FALSE)="NULL","-",VLOOKUP(A42,[1]ARS!A:EL,MATCH("Total Debt To Total Equity, Percent FQ-1",[1]ARS!$4:$4,0))),VLOOKUP(A42,[1]ARS!A:EL,MATCH("Total Debt To Total Equity, Percent FQ0",[1]ARS!$4:$4,0),FALSE))/100,"-")</f>
        <v>1.3550946654200002</v>
      </c>
      <c r="G42" s="372"/>
      <c r="H42" s="373"/>
      <c r="I42" s="324">
        <f>IFERROR(VLOOKUP(A42,[1]ARS!A:EC,MATCH("Financial Leverage",[1]ARS!$4:$4,0),FALSE),"-")</f>
        <v>3.0709723262175155</v>
      </c>
      <c r="J42" s="324"/>
      <c r="K42" s="324"/>
      <c r="L42" s="325">
        <f>+IFERROR(IF(VLOOKUP(A42,[1]ARS!A:EL,MATCH("Curr Ratio FQ0",[1]ARS!$4:$4,0),FALSE)="NULL",IF(VLOOKUP(A42,[1]ARS!A:EL,MATCH("Curr Ratio FQ-1",[1]ARS!$4:$4,0),FALSE)="NULL","-",VLOOKUP(A42,[1]ARS!A:EL,MATCH("Curr Ratio FQ-1",[1]ARS!$4:$4,0),FALSE)),VLOOKUP(A42,[1]ARS!A:EL,MATCH("Curr Ratio FQ0",[1]ARS!$4:$4,0),FALSE)),"-")</f>
        <v>2.0203000000000002</v>
      </c>
      <c r="M42" s="333"/>
      <c r="N42" s="334"/>
      <c r="O42" s="325">
        <f>+IFERROR(IF(VLOOKUP(A42,[1]ARS!A:EL,MATCH("Quick Ratio FQ0",[1]ARS!$4:$4,0),FALSE)="NULL",IF(VLOOKUP(A42,[1]ARS!A:EL,MATCH("Quick Ratio FQ-1",[1]ARS!$4:$4,0),FALSE)="NULL","-",VLOOKUP(A42,[1]ARS!A:EL,MATCH("Quick Ratio FQ-1",[1]ARS!$4:$4,0),FALSE)),VLOOKUP(A42,[1]ARS!A:EL,MATCH("Quick Ratio FQ0",[1]ARS!$4:$4,0),FALSE)),"-")</f>
        <v>1.6574599999999999</v>
      </c>
      <c r="P42" s="333"/>
      <c r="Q42" s="334"/>
      <c r="R42" s="335" t="str">
        <f>+IFERROR(IF(VLOOKUP(A42,[1]ARS!$A:$EL,MATCH("Dividend yield",[1]ARS!$4:$4,0),FALSE)="NULL","-",VLOOKUP(A42,[1]ARS!$A:$EL,MATCH("Dividend Yield",[1]ARS!$4:$4,0),FALSE)/100),"-")</f>
        <v>-</v>
      </c>
      <c r="S42" s="336"/>
      <c r="T42" s="337"/>
      <c r="U42" s="324">
        <f>IF(IFERROR(VLOOKUP(A42,[1]ARS!A:EL,MATCH("Asset Turnover",[1]ARS!$4:$4,0),FALSE),"-")=0,"-",IFERROR(VLOOKUP(A42,[1]ARS!A:EL,MATCH("Asset Turnover",[1]ARS!$4:$4,0),FALSE),"-"))</f>
        <v>0.43345854063710743</v>
      </c>
      <c r="V42" s="324"/>
      <c r="W42" s="324"/>
      <c r="X42" s="328">
        <f>IFERROR(VLOOKUP(A42,[1]ARS!A:EL,MATCH("CCC",[1]ARS!$4:$4,0),FALSE),"-")</f>
        <v>37.521122601714097</v>
      </c>
      <c r="Y42" s="328"/>
      <c r="Z42" s="328"/>
      <c r="AA42" s="327">
        <f>IF(IFERROR(VLOOKUP(A42,[1]ARS!A:EL,MATCH("Gross Margin, Percent",[1]ARS!$4:$4,0),FALSE)/100,"-")&lt;0,"-",IFERROR(VLOOKUP(A42,[1]ARS!A:EL,MATCH("Gross Margin, Percent",[1]ARS!$4:$4,0),FALSE)/100,"-"))</f>
        <v>0.31840589999999996</v>
      </c>
      <c r="AB42" s="327"/>
      <c r="AC42" s="327"/>
      <c r="AD42" s="383">
        <f>IF(IFERROR(VLOOKUP(A42,[1]ARS!A:EL,MATCH("Operating Margin, Percent",[1]ARS!$4:$4,0),FALSE)/100,"-")&lt;0,"-",IFERROR(VLOOKUP(A42,[1]ARS!A:EL,MATCH("Operating Margin, Percent",[1]ARS!$4:$4,0),FALSE)/100,"-"))</f>
        <v>6.0550800000000002E-2</v>
      </c>
      <c r="AE42" s="384"/>
      <c r="AF42" s="385"/>
      <c r="AG42" s="327">
        <f>IF(IFERROR(VLOOKUP(A42,[1]ARS!A:EL,MATCH("Net Profit Margin",[1]ARS!$4:$4,0),FALSE),"-")&lt;0,"-",IFERROR(VLOOKUP(A42,[1]ARS!A:EL,MATCH("Net Profit Margin",[1]ARS!$4:$4,0),FALSE),"-"))</f>
        <v>2.6373903826338526E-2</v>
      </c>
      <c r="AH42" s="327"/>
      <c r="AI42" s="327"/>
      <c r="AJ42" s="327">
        <f>IFERROR(VLOOKUP(A42,[1]ARS!A:EL,MATCH("FCF/Revenue",[1]ARS!$4:$4,0),FALSE),"-")</f>
        <v>9.0564940497003116E-2</v>
      </c>
      <c r="AK42" s="327"/>
      <c r="AL42" s="327"/>
      <c r="AM42" s="329">
        <f>IFERROR(IF(VLOOKUP(A42,[1]ARS!A:EL,MATCH("ROE",[1]ARS!$4:$4,0),FALSE)&lt;-5,"-",VLOOKUP(A42,[1]ARS!A:EL,MATCH("ROE",[1]ARS!$4:$4,0),FALSE)),"-")</f>
        <v>2.848695660060846E-2</v>
      </c>
      <c r="AN42" s="329"/>
      <c r="AO42" s="329"/>
      <c r="AP42" s="327">
        <f>IFERROR(VLOOKUP(A42,[1]ARS!A:EL,MATCH("ROA",[1]ARS!$4:$4,0),FALSE),"-")</f>
        <v>9.1455951149720573E-3</v>
      </c>
      <c r="AQ42" s="327"/>
      <c r="AR42" s="327"/>
      <c r="AS42" s="53">
        <f>+VLOOKUP(A42,[1]ARS!$A$5:$EL$85,MATCH("Last Q y/y",[1]ARS!$4:$4,0),FALSE)</f>
        <v>1.0187715072486283</v>
      </c>
      <c r="AT42" s="53">
        <f>+VLOOKUP(A42,[1]ARS!$A$5:$EL$99,MATCH("Last 5 yrs - Annual",[1]ARS!$4:$4,0),FALSE)</f>
        <v>-0.48039453948071287</v>
      </c>
      <c r="AU42" s="54">
        <f>+VLOOKUP(A42,[1]ARS!$A$5:$EL$84,MATCH("Desvio",[1]ARS!$4:$4,0),FALSE)</f>
        <v>0.98162513152705566</v>
      </c>
      <c r="AV42" s="55" t="str">
        <f>+IFERROR(VLOOKUP(A42,'[1]Prom. Vtas Ult 5 años'!$A$3:$D$81,3,FALSE),"-")</f>
        <v>-</v>
      </c>
      <c r="AW42" s="56" t="str">
        <f>+IFERROR(VLOOKUP(A42,'[1]Prom. Vtas Ult 5 años'!$A$3:$D$81,4,FALSE),"-")</f>
        <v>-</v>
      </c>
      <c r="AX42" s="324">
        <f>IFERROR((VLOOKUP(A42,[1]ARS!A:EL,MATCH("Enterprise Value (Daily Time Series)",[1]ARS!$4:$4,0),FALSE)/1000000000),"-")</f>
        <v>3259.5525508085602</v>
      </c>
      <c r="AY42" s="324"/>
      <c r="AZ42" s="324"/>
      <c r="BA42" s="324">
        <f>IFERROR((VLOOKUP(A42,[1]ARS!A:EL,MATCH("Company Market Cap",[1]ARS!$4:$4,0),FALSE)/1000000000),"-")</f>
        <v>1493.8197465508999</v>
      </c>
      <c r="BB42" s="324"/>
      <c r="BC42" s="324"/>
      <c r="BD42" s="325">
        <f>IF(VLOOKUP(A42,[1]ARS!A:EL,MATCH("Enterprise Value To EBITDA (Daily Time Series Ratio)",[1]ARS!$4:$4,0),FALSE)="NULL","-",VLOOKUP(A42,[1]ARS!A:EL,MATCH("Enterprise Value To EBITDA (Daily Time Series Ratio)",[1]ARS!$4:$4,0),FALSE))</f>
        <v>5.8274923140339201</v>
      </c>
      <c r="BE42" s="333"/>
      <c r="BF42" s="334"/>
      <c r="BG42" s="324">
        <f>IF(OR(IFERROR(VLOOKUP(A42,[1]ARS!A:EL,MATCH("Price To Tangible Book Value",[1]ARS!$4:$4,0),FALSE),"-")&lt;0,IFERROR(VLOOKUP(A42,[1]ARS!A:EL,MATCH("Price To Tangible Book Value",[1]ARS!$4:$4,0),FALSE),"-")&gt;100),"-",IFERROR(VLOOKUP(A42,[1]ARS!A:EL,MATCH("Price To Tangible Book Value",[1]ARS!$4:$4,0),FALSE),"-"))</f>
        <v>1.0859876498067773</v>
      </c>
      <c r="BH42" s="324"/>
      <c r="BI42" s="324"/>
      <c r="BJ42" s="324">
        <f>IF(OR(IFERROR(VLOOKUP(A42,[1]ARS!A:EL,MATCH("P/E (Daily Time Series Ratio)",[1]ARS!$4:$4,0),FALSE),"-")&lt;0,IFERROR(VLOOKUP(A42,[1]ARS!A:EL,MATCH("P/E (Daily Time Series Ratio)",[1]ARS!$4:$4,0),FALSE),"-")&gt;500),"-",IFERROR(VLOOKUP(A42,[1]ARS!A:EL,MATCH("P/E (Daily Time Series Ratio)",[1]ARS!$4:$4,0),FALSE),"-"))</f>
        <v>44.557909250156037</v>
      </c>
      <c r="BK42" s="324"/>
      <c r="BL42" s="324"/>
      <c r="BM42" s="324">
        <f>IF(OR(IFERROR(VLOOKUP(A42,[1]ARS!A:EC,MATCH("Price To Sales",[1]ARS!$4:$4,0),FALSE),"-")&lt;0,IFERROR(VLOOKUP(A42,[1]ARS!A:EC,MATCH("Price To Sales",[1]ARS!$4:$4,0),FALSE),"-")&gt;100),"-",IFERROR(VLOOKUP(A42,[1]ARS!A:EC,MATCH("Price To Sales",[1]ARS!$4:$4,0),FALSE),"-"))</f>
        <v>1.0600613678751869</v>
      </c>
      <c r="BN42" s="324"/>
      <c r="BO42" s="324"/>
      <c r="BP42" s="324">
        <f>+IFERROR(IF(VLOOKUP(A42,[1]ARS!A:EO,MATCH("Price to Free Cash Flow",[1]ARS!$4:$4,0),FALSE)="NULL","-",VLOOKUP(A42,[1]ARS!A:EO,MATCH("Price to Free Cash Flow",[1]ARS!$4:$4,0),FALSE)),"-")</f>
        <v>29.6505649064</v>
      </c>
      <c r="BQ42" s="324"/>
      <c r="BR42" s="325"/>
      <c r="BS42" s="57">
        <f>IF(VLOOKUP(A42,[1]ARS!A:EE,MATCH("Daily Beta - 180 Day",[1]ARS!$4:$4,0),FALSE)="NULL","-",VLOOKUP(A42,[1]ARS!A:EE,MATCH("Daily Beta - 180 Day",[1]ARS!$4:$4,0),FALSE))</f>
        <v>0.74632711798485596</v>
      </c>
      <c r="BT42" s="53">
        <f>+VLOOKUP(A42,[1]ARS!$A:$EH,MATCH("Volatilidad histórica",[1]ARS!$4:$4,0),FALSE)</f>
        <v>0.54156614897138922</v>
      </c>
      <c r="BU42" s="56">
        <f>+VLOOKUP(A42,[1]ARS!$A$5:$EM$85,MATCH("Rto Medio",[1]ARS!$4:$4,0),FALSE)</f>
        <v>-0.12505399853373322</v>
      </c>
      <c r="BV42" s="58">
        <f>+IF(VLOOKUP(Template!A42,[1]ARS!A:AA,MATCH("Period End Date",[1]ARS!$3:$3,0),FALSE)="","-",VLOOKUP(Template!A42,[1]ARS!A:AA,MATCH("Period End Date",[1]ARS!$3:$3,0),FALSE))</f>
        <v>43008</v>
      </c>
      <c r="BW42" s="59" t="str">
        <f t="shared" si="12"/>
        <v>APBR</v>
      </c>
      <c r="BX42" s="4"/>
      <c r="BY42" s="119" t="s">
        <v>75</v>
      </c>
      <c r="BZ42" s="48">
        <f t="shared" si="13"/>
        <v>1.0600613678751869</v>
      </c>
      <c r="CA42" s="48">
        <f t="shared" si="14"/>
        <v>1.0859876498067773</v>
      </c>
      <c r="CB42" s="48">
        <f t="shared" si="15"/>
        <v>44.557909250156037</v>
      </c>
      <c r="CC42" s="128"/>
      <c r="CD42" s="119" t="s">
        <v>75</v>
      </c>
      <c r="CE42" s="129">
        <v>1.0600613678751869</v>
      </c>
      <c r="CF42" s="119">
        <v>1.0859876498067773</v>
      </c>
      <c r="CG42" s="119">
        <v>44.557909250156037</v>
      </c>
      <c r="CN42" s="121"/>
    </row>
    <row r="43" spans="1:140" s="120" customFormat="1" ht="11.25" customHeight="1" x14ac:dyDescent="0.2">
      <c r="A43" s="288" t="str">
        <f t="shared" si="11"/>
        <v>REP</v>
      </c>
      <c r="B43" s="288"/>
      <c r="C43" s="289">
        <f>+VLOOKUP(A43,[1]ARS!A:EL,MATCH("Last",[1]ARS!$4:$4,0),FALSE)</f>
        <v>320</v>
      </c>
      <c r="D43" s="289"/>
      <c r="E43" s="117">
        <f>+VLOOKUP(A43,'[1]Market Cap'!I:J,2,FALSE)</f>
        <v>1</v>
      </c>
      <c r="F43" s="290">
        <f>IFERROR(IF(VLOOKUP(A43,[1]ARS!A:EL,MATCH("Total Debt To Total Equity, Percent FQ0",[1]ARS!$4:$4,0),FALSE)="NULL",IF(VLOOKUP(A43,[1]ARS!A:EL,MATCH("Total Debt To Total Equity, Percent FQ-1",[1]ARS!$4:$4,0),FALSE)="NULL","-",VLOOKUP(A43,[1]ARS!A:EL,MATCH("Total Debt To Total Equity, Percent FQ-1",[1]ARS!$4:$4,0))),VLOOKUP(A43,[1]ARS!A:EL,MATCH("Total Debt To Total Equity, Percent FQ0",[1]ARS!$4:$4,0),FALSE))/100,"-")</f>
        <v>0.49499832157999996</v>
      </c>
      <c r="G43" s="291"/>
      <c r="H43" s="292"/>
      <c r="I43" s="281">
        <f>IFERROR(VLOOKUP(A43,[1]ARS!A:EC,MATCH("Financial Leverage",[1]ARS!$4:$4,0),FALSE),"-")</f>
        <v>2.0386371265525427</v>
      </c>
      <c r="J43" s="281"/>
      <c r="K43" s="281"/>
      <c r="L43" s="282">
        <f>+IFERROR(IF(VLOOKUP(A43,[1]ARS!A:EL,MATCH("Curr Ratio FQ0",[1]ARS!$4:$4,0),FALSE)="NULL",IF(VLOOKUP(A43,[1]ARS!A:EL,MATCH("Curr Ratio FQ-1",[1]ARS!$4:$4,0),FALSE)="NULL","-",VLOOKUP(A43,[1]ARS!A:EL,MATCH("Curr Ratio FQ-1",[1]ARS!$4:$4,0),FALSE)),VLOOKUP(A43,[1]ARS!A:EL,MATCH("Curr Ratio FQ0",[1]ARS!$4:$4,0),FALSE)),"-")</f>
        <v>1.11738</v>
      </c>
      <c r="M43" s="293"/>
      <c r="N43" s="294"/>
      <c r="O43" s="282">
        <f>+IFERROR(IF(VLOOKUP(A43,[1]ARS!A:EL,MATCH("Quick Ratio FQ0",[1]ARS!$4:$4,0),FALSE)="NULL",IF(VLOOKUP(A43,[1]ARS!A:EL,MATCH("Quick Ratio FQ-1",[1]ARS!$4:$4,0),FALSE)="NULL","-",VLOOKUP(A43,[1]ARS!A:EL,MATCH("Quick Ratio FQ-1",[1]ARS!$4:$4,0),FALSE)),VLOOKUP(A43,[1]ARS!A:EL,MATCH("Quick Ratio FQ0",[1]ARS!$4:$4,0),FALSE)),"-")</f>
        <v>0.86751</v>
      </c>
      <c r="P43" s="293"/>
      <c r="Q43" s="294"/>
      <c r="R43" s="295">
        <f>+IFERROR(IF(VLOOKUP(A43,[1]ARS!$A:$EL,MATCH("Dividend yield",[1]ARS!$4:$4,0),FALSE)="NULL","-",VLOOKUP(A43,[1]ARS!$A:$EL,MATCH("Dividend Yield",[1]ARS!$4:$4,0),FALSE)/100),"-")</f>
        <v>4.7604827866220098E-2</v>
      </c>
      <c r="S43" s="296"/>
      <c r="T43" s="297"/>
      <c r="U43" s="281">
        <f>IF(IFERROR(VLOOKUP(A43,[1]ARS!A:EL,MATCH("Asset Turnover",[1]ARS!$4:$4,0),FALSE),"-")=0,"-",IFERROR(VLOOKUP(A43,[1]ARS!A:EL,MATCH("Asset Turnover",[1]ARS!$4:$4,0),FALSE),"-"))</f>
        <v>0.48937193885742458</v>
      </c>
      <c r="V43" s="281"/>
      <c r="W43" s="281"/>
      <c r="X43" s="284">
        <f>IFERROR(VLOOKUP(A43,[1]ARS!A:EL,MATCH("CCC",[1]ARS!$4:$4,0),FALSE),"-")</f>
        <v>93.933181364711174</v>
      </c>
      <c r="Y43" s="284"/>
      <c r="Z43" s="284"/>
      <c r="AA43" s="283">
        <f>IF(IFERROR(VLOOKUP(A43,[1]ARS!A:EL,MATCH("Gross Margin, Percent",[1]ARS!$4:$4,0),FALSE)/100,"-")&lt;0,"-",IFERROR(VLOOKUP(A43,[1]ARS!A:EL,MATCH("Gross Margin, Percent",[1]ARS!$4:$4,0),FALSE)/100,"-"))</f>
        <v>0.3229554</v>
      </c>
      <c r="AB43" s="283"/>
      <c r="AC43" s="283"/>
      <c r="AD43" s="380">
        <f>IF(IFERROR(VLOOKUP(A43,[1]ARS!A:EL,MATCH("Operating Margin, Percent",[1]ARS!$4:$4,0),FALSE)/100,"-")&lt;0,"-",IFERROR(VLOOKUP(A43,[1]ARS!A:EL,MATCH("Operating Margin, Percent",[1]ARS!$4:$4,0),FALSE)/100,"-"))</f>
        <v>5.6473199999999994E-2</v>
      </c>
      <c r="AE43" s="381"/>
      <c r="AF43" s="382"/>
      <c r="AG43" s="283">
        <f>IF(IFERROR(VLOOKUP(A43,[1]ARS!A:EL,MATCH("Net Profit Margin",[1]ARS!$4:$4,0),FALSE),"-")&lt;0,"-",IFERROR(VLOOKUP(A43,[1]ARS!A:EL,MATCH("Net Profit Margin",[1]ARS!$4:$4,0),FALSE),"-"))</f>
        <v>5.9438154185123729E-2</v>
      </c>
      <c r="AH43" s="283"/>
      <c r="AI43" s="283"/>
      <c r="AJ43" s="283">
        <f>IFERROR(VLOOKUP(A43,[1]ARS!A:EL,MATCH("FCF/Revenue",[1]ARS!$4:$4,0),FALSE),"-")</f>
        <v>7.534060666580783E-2</v>
      </c>
      <c r="AK43" s="283"/>
      <c r="AL43" s="283"/>
      <c r="AM43" s="283" t="str">
        <f>IFERROR(IF(VLOOKUP(A43,[1]ARS!A:EL,MATCH("ROE",[1]ARS!$4:$4,0),FALSE)&lt;-5,"-",VLOOKUP(A43,[1]ARS!A:EL,MATCH("ROE",[1]ARS!$4:$4,0),FALSE)),"-")</f>
        <v>-</v>
      </c>
      <c r="AN43" s="283"/>
      <c r="AO43" s="283"/>
      <c r="AP43" s="283">
        <f>IFERROR(VLOOKUP(A43,[1]ARS!A:EL,MATCH("ROA",[1]ARS!$4:$4,0),FALSE),"-")</f>
        <v>1.9391576870722183E-2</v>
      </c>
      <c r="AQ43" s="283"/>
      <c r="AR43" s="283"/>
      <c r="AS43" s="40">
        <f>+VLOOKUP(A43,[1]ARS!$A$5:$EL$85,MATCH("Last Q y/y",[1]ARS!$4:$4,0),FALSE)</f>
        <v>0.29748450615921129</v>
      </c>
      <c r="AT43" s="40">
        <f>+VLOOKUP(A43,[1]ARS!$A$5:$EL$99,MATCH("Last 5 yrs - Annual",[1]ARS!$4:$4,0),FALSE)</f>
        <v>-6.3578353682955946E-2</v>
      </c>
      <c r="AU43" s="41">
        <f>+VLOOKUP(A43,[1]ARS!$A$5:$EL$84,MATCH("Desvio",[1]ARS!$4:$4,0),FALSE)</f>
        <v>1.8222087919222736</v>
      </c>
      <c r="AV43" s="42">
        <f>+IFERROR(VLOOKUP(A43,'[1]Prom. Vtas Ult 5 años'!$A$3:$D$81,3,FALSE),"-")</f>
        <v>420.66666666666669</v>
      </c>
      <c r="AW43" s="40" t="str">
        <f>+IFERROR(VLOOKUP(A43,'[1]Prom. Vtas Ult 5 años'!$A$3:$D$81,4,FALSE),"-")</f>
        <v>-</v>
      </c>
      <c r="AX43" s="281">
        <f>IFERROR((VLOOKUP(A43,[1]ARS!A:EL,MATCH("Enterprise Value (Daily Time Series)",[1]ARS!$4:$4,0),FALSE)/1000000000),"-")</f>
        <v>750.60244240916393</v>
      </c>
      <c r="AY43" s="281"/>
      <c r="AZ43" s="281"/>
      <c r="BA43" s="281">
        <f>IFERROR((VLOOKUP(A43,[1]ARS!A:EL,MATCH("Company Market Cap",[1]ARS!$4:$4,0),FALSE)/1000000000),"-")</f>
        <v>508.5785027</v>
      </c>
      <c r="BB43" s="281"/>
      <c r="BC43" s="281"/>
      <c r="BD43" s="282">
        <f>IF(VLOOKUP(A43,[1]ARS!A:EL,MATCH("Enterprise Value To EBITDA (Daily Time Series Ratio)",[1]ARS!$4:$4,0),FALSE)="NULL","-",VLOOKUP(A43,[1]ARS!A:EL,MATCH("Enterprise Value To EBITDA (Daily Time Series Ratio)",[1]ARS!$4:$4,0),FALSE))</f>
        <v>6.1750641022808397</v>
      </c>
      <c r="BE43" s="293"/>
      <c r="BF43" s="294"/>
      <c r="BG43" s="281">
        <f>IF(OR(IFERROR(VLOOKUP(A43,[1]ARS!A:EL,MATCH("Price To Tangible Book Value",[1]ARS!$4:$4,0),FALSE),"-")&lt;0,IFERROR(VLOOKUP(A43,[1]ARS!A:EL,MATCH("Price To Tangible Book Value",[1]ARS!$4:$4,0),FALSE),"-")&gt;100),"-",IFERROR(VLOOKUP(A43,[1]ARS!A:EL,MATCH("Price To Tangible Book Value",[1]ARS!$4:$4,0),FALSE),"-"))</f>
        <v>0.99013375019937788</v>
      </c>
      <c r="BH43" s="281"/>
      <c r="BI43" s="281"/>
      <c r="BJ43" s="281">
        <f>IF(OR(IFERROR(VLOOKUP(A43,[1]ARS!A:EL,MATCH("P/E (Daily Time Series Ratio)",[1]ARS!$4:$4,0),FALSE),"-")&lt;0,IFERROR(VLOOKUP(A43,[1]ARS!A:EL,MATCH("P/E (Daily Time Series Ratio)",[1]ARS!$4:$4,0),FALSE),"-")&gt;500),"-",IFERROR(VLOOKUP(A43,[1]ARS!A:EL,MATCH("P/E (Daily Time Series Ratio)",[1]ARS!$4:$4,0),FALSE),"-"))</f>
        <v>22.785959017405006</v>
      </c>
      <c r="BK43" s="281"/>
      <c r="BL43" s="281"/>
      <c r="BM43" s="281">
        <f>IF(OR(IFERROR(VLOOKUP(A43,[1]ARS!A:EC,MATCH("Price To Sales",[1]ARS!$4:$4,0),FALSE),"-")&lt;0,IFERROR(VLOOKUP(A43,[1]ARS!A:EC,MATCH("Price To Sales",[1]ARS!$4:$4,0),FALSE),"-")&gt;100),"-",IFERROR(VLOOKUP(A43,[1]ARS!A:EC,MATCH("Price To Sales",[1]ARS!$4:$4,0),FALSE),"-"))</f>
        <v>1.3717252660492323</v>
      </c>
      <c r="BN43" s="281"/>
      <c r="BO43" s="281"/>
      <c r="BP43" s="281">
        <f>+IFERROR(IF(VLOOKUP(A43,[1]ARS!A:EO,MATCH("Price to Free Cash Flow",[1]ARS!$4:$4,0),FALSE)="NULL","-",VLOOKUP(A43,[1]ARS!A:EO,MATCH("Price to Free Cash Flow",[1]ARS!$4:$4,0),FALSE)),"-")</f>
        <v>9.4805297267000004</v>
      </c>
      <c r="BQ43" s="281"/>
      <c r="BR43" s="282"/>
      <c r="BS43" s="43">
        <f>IF(VLOOKUP(A43,[1]ARS!A:EE,MATCH("Daily Beta - 180 Day",[1]ARS!$4:$4,0),FALSE)="NULL","-",VLOOKUP(A43,[1]ARS!A:EE,MATCH("Daily Beta - 180 Day",[1]ARS!$4:$4,0),FALSE))</f>
        <v>0.23779538902743799</v>
      </c>
      <c r="BT43" s="40">
        <f>+VLOOKUP(A43,[1]ARS!$A:$EH,MATCH("Volatilidad histórica",[1]ARS!$4:$4,0),FALSE)</f>
        <v>0.37981436957214099</v>
      </c>
      <c r="BU43" s="44">
        <f>+VLOOKUP(A43,[1]ARS!$A$5:$EM$85,MATCH("Rto Medio",[1]ARS!$4:$4,0),FALSE)</f>
        <v>-4.0990397766700548E-2</v>
      </c>
      <c r="BV43" s="45">
        <f>+IF(VLOOKUP(Template!A43,[1]ARS!A:AA,MATCH("Period End Date",[1]ARS!$3:$3,0),FALSE)="","-",VLOOKUP(Template!A43,[1]ARS!A:AA,MATCH("Period End Date",[1]ARS!$3:$3,0),FALSE))</f>
        <v>43008</v>
      </c>
      <c r="BW43" s="46" t="str">
        <f t="shared" si="12"/>
        <v>REP</v>
      </c>
      <c r="BX43" s="4"/>
      <c r="BY43" s="119" t="s">
        <v>76</v>
      </c>
      <c r="BZ43" s="48">
        <f t="shared" si="13"/>
        <v>1.3717252660492323</v>
      </c>
      <c r="CA43" s="48">
        <f t="shared" si="14"/>
        <v>0.99013375019937788</v>
      </c>
      <c r="CB43" s="48">
        <f t="shared" si="15"/>
        <v>22.785959017405006</v>
      </c>
      <c r="CC43" s="128"/>
      <c r="CD43" s="119" t="s">
        <v>76</v>
      </c>
      <c r="CE43" s="129">
        <v>1.3717252660492323</v>
      </c>
      <c r="CF43" s="119">
        <v>0.99013375019937788</v>
      </c>
      <c r="CG43" s="119">
        <v>24.708524309498554</v>
      </c>
      <c r="CN43" s="121"/>
    </row>
    <row r="44" spans="1:140" s="120" customFormat="1" ht="11.25" customHeight="1" x14ac:dyDescent="0.2">
      <c r="A44" s="330" t="str">
        <f t="shared" si="11"/>
        <v>PESA</v>
      </c>
      <c r="B44" s="330"/>
      <c r="C44" s="331">
        <f>+VLOOKUP(A44,[1]ARS!A:EL,MATCH("Last",[1]ARS!$4:$4,0),FALSE)</f>
        <v>24.3</v>
      </c>
      <c r="D44" s="331"/>
      <c r="E44" s="74">
        <f>+VLOOKUP(A44,'[1]Market Cap'!I:J,2,FALSE)</f>
        <v>1</v>
      </c>
      <c r="F44" s="371">
        <f>IFERROR(IF(VLOOKUP(A44,[1]ARS!A:EL,MATCH("Total Debt To Total Equity, Percent FQ0",[1]ARS!$4:$4,0),FALSE)="NULL",IF(VLOOKUP(A44,[1]ARS!A:EL,MATCH("Total Debt To Total Equity, Percent FQ-1",[1]ARS!$4:$4,0),FALSE)="NULL","-",VLOOKUP(A44,[1]ARS!A:EL,MATCH("Total Debt To Total Equity, Percent FQ-1",[1]ARS!$4:$4,0))),VLOOKUP(A44,[1]ARS!A:EL,MATCH("Total Debt To Total Equity, Percent FQ0",[1]ARS!$4:$4,0),FALSE))/100,"-")</f>
        <v>0.54891967553999998</v>
      </c>
      <c r="G44" s="372"/>
      <c r="H44" s="373"/>
      <c r="I44" s="324">
        <f>IFERROR(VLOOKUP(A44,[1]ARS!A:EC,MATCH("Financial Leverage",[1]ARS!$4:$4,0),FALSE),"-")</f>
        <v>2.598162371689039</v>
      </c>
      <c r="J44" s="324"/>
      <c r="K44" s="324"/>
      <c r="L44" s="325">
        <f>+IFERROR(IF(VLOOKUP(A44,[1]ARS!A:EL,MATCH("Curr Ratio FQ0",[1]ARS!$4:$4,0),FALSE)="NULL",IF(VLOOKUP(A44,[1]ARS!A:EL,MATCH("Curr Ratio FQ-1",[1]ARS!$4:$4,0),FALSE)="NULL","-",VLOOKUP(A44,[1]ARS!A:EL,MATCH("Curr Ratio FQ-1",[1]ARS!$4:$4,0),FALSE)),VLOOKUP(A44,[1]ARS!A:EL,MATCH("Curr Ratio FQ0",[1]ARS!$4:$4,0),FALSE)),"-")</f>
        <v>2.0988199999999999</v>
      </c>
      <c r="M44" s="333"/>
      <c r="N44" s="334"/>
      <c r="O44" s="325">
        <f>+IFERROR(IF(VLOOKUP(A44,[1]ARS!A:EL,MATCH("Quick Ratio FQ0",[1]ARS!$4:$4,0),FALSE)="NULL",IF(VLOOKUP(A44,[1]ARS!A:EL,MATCH("Quick Ratio FQ-1",[1]ARS!$4:$4,0),FALSE)="NULL","-",VLOOKUP(A44,[1]ARS!A:EL,MATCH("Quick Ratio FQ-1",[1]ARS!$4:$4,0),FALSE)),VLOOKUP(A44,[1]ARS!A:EL,MATCH("Quick Ratio FQ0",[1]ARS!$4:$4,0),FALSE)),"-")</f>
        <v>1.7402599999999999</v>
      </c>
      <c r="P44" s="333"/>
      <c r="Q44" s="334"/>
      <c r="R44" s="335" t="str">
        <f>+IFERROR(IF(VLOOKUP(A44,[1]ARS!$A:$EL,MATCH("Dividend yield",[1]ARS!$4:$4,0),FALSE)="NULL","-",VLOOKUP(A44,[1]ARS!$A:$EL,MATCH("Dividend Yield",[1]ARS!$4:$4,0),FALSE)/100),"-")</f>
        <v>-</v>
      </c>
      <c r="S44" s="336"/>
      <c r="T44" s="337"/>
      <c r="U44" s="324">
        <f>IF(IFERROR(VLOOKUP(A44,[1]ARS!A:EL,MATCH("Asset Turnover",[1]ARS!$4:$4,0),FALSE),"-")=0,"-",IFERROR(VLOOKUP(A44,[1]ARS!A:EL,MATCH("Asset Turnover",[1]ARS!$4:$4,0),FALSE),"-"))</f>
        <v>1.0796059164639464</v>
      </c>
      <c r="V44" s="324"/>
      <c r="W44" s="324"/>
      <c r="X44" s="328">
        <f>IFERROR(VLOOKUP(A44,[1]ARS!A:EL,MATCH("CCC",[1]ARS!$4:$4,0),FALSE),"-")</f>
        <v>30.923490275610305</v>
      </c>
      <c r="Y44" s="328"/>
      <c r="Z44" s="328"/>
      <c r="AA44" s="327">
        <f>IF(IFERROR(VLOOKUP(A44,[1]ARS!A:EL,MATCH("Gross Margin, Percent",[1]ARS!$4:$4,0),FALSE)/100,"-")&lt;0,"-",IFERROR(VLOOKUP(A44,[1]ARS!A:EL,MATCH("Gross Margin, Percent",[1]ARS!$4:$4,0),FALSE)/100,"-"))</f>
        <v>0.2915509</v>
      </c>
      <c r="AB44" s="327"/>
      <c r="AC44" s="327"/>
      <c r="AD44" s="383">
        <f>IF(IFERROR(VLOOKUP(A44,[1]ARS!A:EL,MATCH("Operating Margin, Percent",[1]ARS!$4:$4,0),FALSE)/100,"-")&lt;0,"-",IFERROR(VLOOKUP(A44,[1]ARS!A:EL,MATCH("Operating Margin, Percent",[1]ARS!$4:$4,0),FALSE)/100,"-"))</f>
        <v>8.74061E-2</v>
      </c>
      <c r="AE44" s="384"/>
      <c r="AF44" s="385"/>
      <c r="AG44" s="327" t="str">
        <f>IF(IFERROR(VLOOKUP(A44,[1]ARS!A:EL,MATCH("Net Profit Margin",[1]ARS!$4:$4,0),FALSE),"-")&lt;0,"-",IFERROR(VLOOKUP(A44,[1]ARS!A:EL,MATCH("Net Profit Margin",[1]ARS!$4:$4,0),FALSE),"-"))</f>
        <v>-</v>
      </c>
      <c r="AH44" s="327"/>
      <c r="AI44" s="327"/>
      <c r="AJ44" s="327">
        <f>IFERROR(VLOOKUP(A44,[1]ARS!A:EL,MATCH("FCF/Revenue",[1]ARS!$4:$4,0),FALSE),"-")</f>
        <v>-6.0746488486546679E-2</v>
      </c>
      <c r="AK44" s="327"/>
      <c r="AL44" s="327"/>
      <c r="AM44" s="327">
        <f>IFERROR(IF(VLOOKUP(A44,[1]ARS!A:EL,MATCH("ROE",[1]ARS!$4:$4,0),FALSE)&lt;-5,"-",VLOOKUP(A44,[1]ARS!A:EL,MATCH("ROE",[1]ARS!$4:$4,0),FALSE)),"-")</f>
        <v>-1.1577633459360697E-2</v>
      </c>
      <c r="AN44" s="327"/>
      <c r="AO44" s="327"/>
      <c r="AP44" s="327">
        <f>IFERROR(VLOOKUP(A44,[1]ARS!A:EL,MATCH("ROA",[1]ARS!$4:$4,0),FALSE),"-")</f>
        <v>-4.9642419447417816E-3</v>
      </c>
      <c r="AQ44" s="327"/>
      <c r="AR44" s="327"/>
      <c r="AS44" s="53">
        <f>+VLOOKUP(A44,[1]ARS!$A$5:$EL$85,MATCH("Last Q y/y",[1]ARS!$4:$4,0),FALSE)</f>
        <v>-2.1002277904328017</v>
      </c>
      <c r="AT44" s="53">
        <f>+VLOOKUP(A44,[1]ARS!$A$5:$EL$99,MATCH("Last 5 yrs - Annual",[1]ARS!$4:$4,0),FALSE)</f>
        <v>5.0718935781049739</v>
      </c>
      <c r="AU44" s="54">
        <f>+VLOOKUP(A44,[1]ARS!$A$5:$EL$84,MATCH("Desvio",[1]ARS!$4:$4,0),FALSE)</f>
        <v>11.565328761769361</v>
      </c>
      <c r="AV44" s="55">
        <f>+IFERROR(VLOOKUP(A44,'[1]Prom. Vtas Ult 5 años'!$A$3:$D$81,3,FALSE),"-")</f>
        <v>206.94117647058823</v>
      </c>
      <c r="AW44" s="56">
        <f>+IFERROR(VLOOKUP(A44,'[1]Prom. Vtas Ult 5 años'!$A$3:$D$81,4,FALSE),"-")</f>
        <v>6.3043428143724229</v>
      </c>
      <c r="AX44" s="324">
        <f>IFERROR((VLOOKUP(A44,[1]ARS!A:EL,MATCH("Enterprise Value (Daily Time Series)",[1]ARS!$4:$4,0),FALSE)/1000000000),"-")</f>
        <v>56.725767864000098</v>
      </c>
      <c r="AY44" s="324"/>
      <c r="AZ44" s="324"/>
      <c r="BA44" s="324">
        <f>IFERROR((VLOOKUP(A44,[1]ARS!A:EL,MATCH("Company Market Cap",[1]ARS!$4:$4,0),FALSE)/1000000000),"-")</f>
        <v>47.956874474999999</v>
      </c>
      <c r="BB44" s="324"/>
      <c r="BC44" s="324"/>
      <c r="BD44" s="325">
        <f>IF(VLOOKUP(A44,[1]ARS!A:EL,MATCH("Enterprise Value To EBITDA (Daily Time Series Ratio)",[1]ARS!$4:$4,0),FALSE)="NULL","-",VLOOKUP(A44,[1]ARS!A:EL,MATCH("Enterprise Value To EBITDA (Daily Time Series Ratio)",[1]ARS!$4:$4,0),FALSE))</f>
        <v>9.88598254862322</v>
      </c>
      <c r="BE44" s="333"/>
      <c r="BF44" s="334"/>
      <c r="BG44" s="324">
        <f>IF(OR(IFERROR(VLOOKUP(A44,[1]ARS!A:EL,MATCH("Price To Tangible Book Value",[1]ARS!$4:$4,0),FALSE),"-")&lt;0,IFERROR(VLOOKUP(A44,[1]ARS!A:EL,MATCH("Price To Tangible Book Value",[1]ARS!$4:$4,0),FALSE),"-")&gt;100),"-",IFERROR(VLOOKUP(A44,[1]ARS!A:EL,MATCH("Price To Tangible Book Value",[1]ARS!$4:$4,0),FALSE),"-"))</f>
        <v>3.4424574312683944</v>
      </c>
      <c r="BH44" s="324"/>
      <c r="BI44" s="324"/>
      <c r="BJ44" s="324" t="str">
        <f>IF(OR(IFERROR(VLOOKUP(A44,[1]ARS!A:EL,MATCH("P/E (Daily Time Series Ratio)",[1]ARS!$4:$4,0),FALSE),"-")&lt;0,IFERROR(VLOOKUP(A44,[1]ARS!A:EL,MATCH("P/E (Daily Time Series Ratio)",[1]ARS!$4:$4,0),FALSE),"-")&gt;500),"-",IFERROR(VLOOKUP(A44,[1]ARS!A:EL,MATCH("P/E (Daily Time Series Ratio)",[1]ARS!$4:$4,0),FALSE),"-"))</f>
        <v>-</v>
      </c>
      <c r="BK44" s="324"/>
      <c r="BL44" s="324"/>
      <c r="BM44" s="324">
        <f>IF(OR(IFERROR(VLOOKUP(A44,[1]ARS!A:EC,MATCH("Price To Sales",[1]ARS!$4:$4,0),FALSE),"-")&lt;0,IFERROR(VLOOKUP(A44,[1]ARS!A:EC,MATCH("Price To Sales",[1]ARS!$4:$4,0),FALSE),"-")&gt;100),"-",IFERROR(VLOOKUP(A44,[1]ARS!A:EC,MATCH("Price To Sales",[1]ARS!$4:$4,0),FALSE),"-"))</f>
        <v>1.722774525810971</v>
      </c>
      <c r="BN44" s="324"/>
      <c r="BO44" s="324"/>
      <c r="BP44" s="324" t="str">
        <f>+IFERROR(IF(VLOOKUP(A44,[1]ARS!A:EO,MATCH("Price to Free Cash Flow",[1]ARS!$4:$4,0),FALSE)="NULL","-",VLOOKUP(A44,[1]ARS!A:EO,MATCH("Price to Free Cash Flow",[1]ARS!$4:$4,0),FALSE)),"-")</f>
        <v>-</v>
      </c>
      <c r="BQ44" s="324"/>
      <c r="BR44" s="325"/>
      <c r="BS44" s="57">
        <f>IF(VLOOKUP(A44,[1]ARS!A:EE,MATCH("Daily Beta - 180 Day",[1]ARS!$4:$4,0),FALSE)="NULL","-",VLOOKUP(A44,[1]ARS!A:EE,MATCH("Daily Beta - 180 Day",[1]ARS!$4:$4,0),FALSE))</f>
        <v>1.1068227649245601</v>
      </c>
      <c r="BT44" s="53">
        <f>+VLOOKUP(A44,[1]ARS!$A:$EH,MATCH("Volatilidad histórica",[1]ARS!$4:$4,0),FALSE)</f>
        <v>0.40657806989775519</v>
      </c>
      <c r="BU44" s="56">
        <f>+VLOOKUP(A44,[1]ARS!$A$5:$EM$85,MATCH("Rto Medio",[1]ARS!$4:$4,0),FALSE)</f>
        <v>-4.965299901229403E-3</v>
      </c>
      <c r="BV44" s="58">
        <f>+IF(VLOOKUP(Template!A44,[1]ARS!A:AA,MATCH("Period End Date",[1]ARS!$3:$3,0),FALSE)="","-",VLOOKUP(Template!A44,[1]ARS!A:AA,MATCH("Period End Date",[1]ARS!$3:$3,0),FALSE))</f>
        <v>42643</v>
      </c>
      <c r="BW44" s="59" t="str">
        <f t="shared" si="12"/>
        <v>PESA</v>
      </c>
      <c r="BX44" s="4"/>
      <c r="BY44" s="119" t="s">
        <v>77</v>
      </c>
      <c r="BZ44" s="48">
        <f t="shared" si="13"/>
        <v>1.722774525810971</v>
      </c>
      <c r="CA44" s="48">
        <f t="shared" si="14"/>
        <v>3.4424574312683944</v>
      </c>
      <c r="CB44" s="48" t="str">
        <f t="shared" si="15"/>
        <v>-</v>
      </c>
      <c r="CC44" s="128"/>
      <c r="CD44" s="119" t="s">
        <v>77</v>
      </c>
      <c r="CE44" s="129">
        <v>1.722774525810971</v>
      </c>
      <c r="CF44" s="119">
        <v>3.4424574312683944</v>
      </c>
      <c r="CG44" s="119" t="s">
        <v>49</v>
      </c>
      <c r="CN44" s="121"/>
    </row>
    <row r="45" spans="1:140" s="120" customFormat="1" ht="11.25" customHeight="1" x14ac:dyDescent="0.2">
      <c r="A45" s="288" t="str">
        <f t="shared" si="11"/>
        <v>CARC</v>
      </c>
      <c r="B45" s="288"/>
      <c r="C45" s="289">
        <f>+VLOOKUP(A45,[1]ARS!A:EL,MATCH("Last",[1]ARS!$4:$4,0),FALSE)</f>
        <v>1.34</v>
      </c>
      <c r="D45" s="289"/>
      <c r="E45" s="117">
        <f>+VLOOKUP(A45,'[1]Market Cap'!I:J,2,FALSE)</f>
        <v>1</v>
      </c>
      <c r="F45" s="290" t="str">
        <f>IFERROR(IF(VLOOKUP(A45,[1]ARS!A:EL,MATCH("Total Debt To Total Equity, Percent FQ0",[1]ARS!$4:$4,0),FALSE)="NULL",IF(VLOOKUP(A45,[1]ARS!A:EL,MATCH("Total Debt To Total Equity, Percent FQ-1",[1]ARS!$4:$4,0),FALSE)="NULL","-",VLOOKUP(A45,[1]ARS!A:EL,MATCH("Total Debt To Total Equity, Percent FQ-1",[1]ARS!$4:$4,0))),VLOOKUP(A45,[1]ARS!A:EL,MATCH("Total Debt To Total Equity, Percent FQ0",[1]ARS!$4:$4,0),FALSE))/100,"-")</f>
        <v>-</v>
      </c>
      <c r="G45" s="291"/>
      <c r="H45" s="292"/>
      <c r="I45" s="281">
        <f>IFERROR(VLOOKUP(A45,[1]ARS!A:EC,MATCH("Financial Leverage",[1]ARS!$4:$4,0),FALSE),"-")</f>
        <v>-0.65437546752998499</v>
      </c>
      <c r="J45" s="281"/>
      <c r="K45" s="281"/>
      <c r="L45" s="282">
        <f>+IFERROR(IF(VLOOKUP(A45,[1]ARS!A:EL,MATCH("Curr Ratio FQ0",[1]ARS!$4:$4,0),FALSE)="NULL",IF(VLOOKUP(A45,[1]ARS!A:EL,MATCH("Curr Ratio FQ-1",[1]ARS!$4:$4,0),FALSE)="NULL","-",VLOOKUP(A45,[1]ARS!A:EL,MATCH("Curr Ratio FQ-1",[1]ARS!$4:$4,0),FALSE)),VLOOKUP(A45,[1]ARS!A:EL,MATCH("Curr Ratio FQ0",[1]ARS!$4:$4,0),FALSE)),"-")</f>
        <v>0.14593</v>
      </c>
      <c r="M45" s="293"/>
      <c r="N45" s="294"/>
      <c r="O45" s="282">
        <f>+IFERROR(IF(VLOOKUP(A45,[1]ARS!A:EL,MATCH("Quick Ratio FQ0",[1]ARS!$4:$4,0),FALSE)="NULL",IF(VLOOKUP(A45,[1]ARS!A:EL,MATCH("Quick Ratio FQ-1",[1]ARS!$4:$4,0),FALSE)="NULL","-",VLOOKUP(A45,[1]ARS!A:EL,MATCH("Quick Ratio FQ-1",[1]ARS!$4:$4,0),FALSE)),VLOOKUP(A45,[1]ARS!A:EL,MATCH("Quick Ratio FQ0",[1]ARS!$4:$4,0),FALSE)),"-")</f>
        <v>8.8660000000000003E-2</v>
      </c>
      <c r="P45" s="293"/>
      <c r="Q45" s="294"/>
      <c r="R45" s="295">
        <f>+IFERROR(IF(VLOOKUP(A45,[1]ARS!$A:$EL,MATCH("Dividend yield",[1]ARS!$4:$4,0),FALSE)="NULL","-",VLOOKUP(A45,[1]ARS!$A:$EL,MATCH("Dividend Yield",[1]ARS!$4:$4,0),FALSE)/100),"-")</f>
        <v>0</v>
      </c>
      <c r="S45" s="296"/>
      <c r="T45" s="297"/>
      <c r="U45" s="281">
        <f>IF(IFERROR(VLOOKUP(A45,[1]ARS!A:EL,MATCH("Asset Turnover",[1]ARS!$4:$4,0),FALSE),"-")=0,"-",IFERROR(VLOOKUP(A45,[1]ARS!A:EL,MATCH("Asset Turnover",[1]ARS!$4:$4,0),FALSE),"-"))</f>
        <v>0.99938771534069581</v>
      </c>
      <c r="V45" s="281"/>
      <c r="W45" s="281"/>
      <c r="X45" s="284">
        <f>IFERROR(VLOOKUP(A45,[1]ARS!A:EL,MATCH("CCC",[1]ARS!$4:$4,0),FALSE),"-")</f>
        <v>26.053430234561475</v>
      </c>
      <c r="Y45" s="284"/>
      <c r="Z45" s="284"/>
      <c r="AA45" s="283">
        <f>IF(IFERROR(VLOOKUP(A45,[1]ARS!A:EL,MATCH("Gross Margin, Percent",[1]ARS!$4:$4,0),FALSE)/100,"-")&lt;0,"-",IFERROR(VLOOKUP(A45,[1]ARS!A:EL,MATCH("Gross Margin, Percent",[1]ARS!$4:$4,0),FALSE)/100,"-"))</f>
        <v>9.138410000000001E-2</v>
      </c>
      <c r="AB45" s="283"/>
      <c r="AC45" s="283"/>
      <c r="AD45" s="380" t="str">
        <f>IF(IFERROR(VLOOKUP(A45,[1]ARS!A:EL,MATCH("Operating Margin, Percent",[1]ARS!$4:$4,0),FALSE)/100,"-")&lt;0,"-",IFERROR(VLOOKUP(A45,[1]ARS!A:EL,MATCH("Operating Margin, Percent",[1]ARS!$4:$4,0),FALSE)/100,"-"))</f>
        <v>-</v>
      </c>
      <c r="AE45" s="381"/>
      <c r="AF45" s="382"/>
      <c r="AG45" s="283" t="str">
        <f>IF(IFERROR(VLOOKUP(A45,[1]ARS!A:EL,MATCH("Net Profit Margin",[1]ARS!$4:$4,0),FALSE),"-")&lt;0,"-",IFERROR(VLOOKUP(A45,[1]ARS!A:EL,MATCH("Net Profit Margin",[1]ARS!$4:$4,0),FALSE),"-"))</f>
        <v>-</v>
      </c>
      <c r="AH45" s="283"/>
      <c r="AI45" s="283"/>
      <c r="AJ45" s="283">
        <f>IFERROR(VLOOKUP(A45,[1]ARS!A:EL,MATCH("FCF/Revenue",[1]ARS!$4:$4,0),FALSE),"-")</f>
        <v>-0.77219559660507475</v>
      </c>
      <c r="AK45" s="283"/>
      <c r="AL45" s="283"/>
      <c r="AM45" s="283" t="str">
        <f>IFERROR(IF(VLOOKUP(A45,[1]ARS!A:EL,MATCH("ROE",[1]ARS!$4:$4,0),FALSE)&lt;-5,"-",VLOOKUP(A45,[1]ARS!A:EL,MATCH("ROE",[1]ARS!$4:$4,0),FALSE)),"-")</f>
        <v>-</v>
      </c>
      <c r="AN45" s="283"/>
      <c r="AO45" s="283"/>
      <c r="AP45" s="283">
        <f>IFERROR(VLOOKUP(A45,[1]ARS!A:EL,MATCH("ROA",[1]ARS!$4:$4,0),FALSE),"-")</f>
        <v>-0.27027576501044431</v>
      </c>
      <c r="AQ45" s="283"/>
      <c r="AR45" s="283"/>
      <c r="AS45" s="40">
        <f>+VLOOKUP(A45,[1]ARS!$A$5:$EL$85,MATCH("Last Q y/y",[1]ARS!$4:$4,0),FALSE)</f>
        <v>-1.5425894597635015</v>
      </c>
      <c r="AT45" s="40">
        <f>+VLOOKUP(A45,[1]ARS!$A$5:$EL$99,MATCH("Last 5 yrs - Annual",[1]ARS!$4:$4,0),FALSE)</f>
        <v>-0.57228584716572239</v>
      </c>
      <c r="AU45" s="41">
        <f>+VLOOKUP(A45,[1]ARS!$A$5:$EL$84,MATCH("Desvio",[1]ARS!$4:$4,0),FALSE)</f>
        <v>2.9434436699249376</v>
      </c>
      <c r="AV45" s="42">
        <f>+IFERROR(VLOOKUP(A45,'[1]Prom. Vtas Ult 5 años'!$A$3:$D$81,3,FALSE),"-")</f>
        <v>-12.162279999999999</v>
      </c>
      <c r="AW45" s="40">
        <f>+IFERROR(VLOOKUP(A45,'[1]Prom. Vtas Ult 5 años'!$A$3:$D$81,4,FALSE),"-")</f>
        <v>10.47647576971546</v>
      </c>
      <c r="AX45" s="281">
        <f>IFERROR((VLOOKUP(A45,[1]ARS!A:EL,MATCH("Enterprise Value (Daily Time Series)",[1]ARS!$4:$4,0),FALSE)/1000000000),"-")</f>
        <v>0.56780187668000104</v>
      </c>
      <c r="AY45" s="281"/>
      <c r="AZ45" s="281"/>
      <c r="BA45" s="281">
        <f>IFERROR((VLOOKUP(A45,[1]ARS!A:EL,MATCH("Company Market Cap",[1]ARS!$4:$4,0),FALSE)/1000000000),"-")</f>
        <v>0.56810904667999995</v>
      </c>
      <c r="BB45" s="281"/>
      <c r="BC45" s="281"/>
      <c r="BD45" s="282" t="str">
        <f>IF(VLOOKUP(A45,[1]ARS!A:EL,MATCH("Enterprise Value To EBITDA (Daily Time Series Ratio)",[1]ARS!$4:$4,0),FALSE)="NULL","-",VLOOKUP(A45,[1]ARS!A:EL,MATCH("Enterprise Value To EBITDA (Daily Time Series Ratio)",[1]ARS!$4:$4,0),FALSE))</f>
        <v>-</v>
      </c>
      <c r="BE45" s="293"/>
      <c r="BF45" s="294"/>
      <c r="BG45" s="281" t="str">
        <f>IF(OR(IFERROR(VLOOKUP(A45,[1]ARS!A:EL,MATCH("Price To Tangible Book Value",[1]ARS!$4:$4,0),FALSE),"-")&lt;0,IFERROR(VLOOKUP(A45,[1]ARS!A:EL,MATCH("Price To Tangible Book Value",[1]ARS!$4:$4,0),FALSE),"-")&gt;100),"-",IFERROR(VLOOKUP(A45,[1]ARS!A:EL,MATCH("Price To Tangible Book Value",[1]ARS!$4:$4,0),FALSE),"-"))</f>
        <v>-</v>
      </c>
      <c r="BH45" s="281"/>
      <c r="BI45" s="281"/>
      <c r="BJ45" s="281" t="str">
        <f>IF(OR(IFERROR(VLOOKUP(A45,[1]ARS!A:EL,MATCH("P/E (Daily Time Series Ratio)",[1]ARS!$4:$4,0),FALSE),"-")&lt;0,IFERROR(VLOOKUP(A45,[1]ARS!A:EL,MATCH("P/E (Daily Time Series Ratio)",[1]ARS!$4:$4,0),FALSE),"-")&gt;500),"-",IFERROR(VLOOKUP(A45,[1]ARS!A:EL,MATCH("P/E (Daily Time Series Ratio)",[1]ARS!$4:$4,0),FALSE),"-"))</f>
        <v>-</v>
      </c>
      <c r="BK45" s="281"/>
      <c r="BL45" s="281"/>
      <c r="BM45" s="281">
        <f>IF(OR(IFERROR(VLOOKUP(A45,[1]ARS!A:EC,MATCH("Price To Sales",[1]ARS!$4:$4,0),FALSE),"-")&lt;0,IFERROR(VLOOKUP(A45,[1]ARS!A:EC,MATCH("Price To Sales",[1]ARS!$4:$4,0),FALSE),"-")&gt;100),"-",IFERROR(VLOOKUP(A45,[1]ARS!A:EC,MATCH("Price To Sales",[1]ARS!$4:$4,0),FALSE),"-"))</f>
        <v>2.1773792968062211</v>
      </c>
      <c r="BN45" s="281"/>
      <c r="BO45" s="281"/>
      <c r="BP45" s="281" t="str">
        <f>+IFERROR(IF(VLOOKUP(A45,[1]ARS!A:EO,MATCH("Price to Free Cash Flow",[1]ARS!$4:$4,0),FALSE)="NULL","-",VLOOKUP(A45,[1]ARS!A:EO,MATCH("Price to Free Cash Flow",[1]ARS!$4:$4,0),FALSE)),"-")</f>
        <v>-</v>
      </c>
      <c r="BQ45" s="281"/>
      <c r="BR45" s="282"/>
      <c r="BS45" s="43">
        <f>IF(VLOOKUP(A45,[1]ARS!A:EE,MATCH("Daily Beta - 180 Day",[1]ARS!$4:$4,0),FALSE)="NULL","-",VLOOKUP(A45,[1]ARS!A:EE,MATCH("Daily Beta - 180 Day",[1]ARS!$4:$4,0),FALSE))</f>
        <v>0.59330357056083904</v>
      </c>
      <c r="BT45" s="40">
        <f>+VLOOKUP(A45,[1]ARS!$A:$EH,MATCH("Volatilidad histórica",[1]ARS!$4:$4,0),FALSE)</f>
        <v>0.51942601287602252</v>
      </c>
      <c r="BU45" s="44">
        <f>+VLOOKUP(A45,[1]ARS!$A$5:$EM$85,MATCH("Rto Medio",[1]ARS!$4:$4,0),FALSE)</f>
        <v>-0.13158780017205263</v>
      </c>
      <c r="BV45" s="45">
        <f>+IF(VLOOKUP(Template!A45,[1]ARS!A:AA,MATCH("Period End Date",[1]ARS!$3:$3,0),FALSE)="","-",VLOOKUP(Template!A45,[1]ARS!A:AA,MATCH("Period End Date",[1]ARS!$3:$3,0),FALSE))</f>
        <v>43008</v>
      </c>
      <c r="BW45" s="46" t="str">
        <f t="shared" si="12"/>
        <v>CARC</v>
      </c>
      <c r="BX45" s="4"/>
      <c r="BY45" s="119" t="s">
        <v>78</v>
      </c>
      <c r="BZ45" s="48">
        <f t="shared" si="13"/>
        <v>2.1773792968062211</v>
      </c>
      <c r="CA45" s="48" t="str">
        <f t="shared" si="14"/>
        <v>-</v>
      </c>
      <c r="CB45" s="48" t="str">
        <f t="shared" si="15"/>
        <v>-</v>
      </c>
      <c r="CC45" s="128"/>
      <c r="CD45" s="119" t="s">
        <v>78</v>
      </c>
      <c r="CE45" s="129">
        <v>2.1773792968062211</v>
      </c>
      <c r="CF45" s="119" t="s">
        <v>49</v>
      </c>
      <c r="CG45" s="119" t="s">
        <v>49</v>
      </c>
      <c r="CN45" s="121"/>
    </row>
    <row r="46" spans="1:140" s="120" customFormat="1" ht="11.25" customHeight="1" x14ac:dyDescent="0.2">
      <c r="A46" s="330" t="str">
        <f t="shared" si="11"/>
        <v>COME</v>
      </c>
      <c r="B46" s="330"/>
      <c r="C46" s="331">
        <f>+VLOOKUP(A46,[1]ARS!A:EL,MATCH("Last",[1]ARS!$4:$4,0),FALSE)</f>
        <v>4.5</v>
      </c>
      <c r="D46" s="331"/>
      <c r="E46" s="74">
        <f>+VLOOKUP(A46,'[1]Market Cap'!I:J,2,FALSE)</f>
        <v>10</v>
      </c>
      <c r="F46" s="371">
        <f>IFERROR(IF(VLOOKUP(A46,[1]ARS!A:EL,MATCH("Total Debt To Total Equity, Percent FQ0",[1]ARS!$4:$4,0),FALSE)="NULL",IF(VLOOKUP(A46,[1]ARS!A:EL,MATCH("Total Debt To Total Equity, Percent FQ-1",[1]ARS!$4:$4,0),FALSE)="NULL","-",VLOOKUP(A46,[1]ARS!A:EL,MATCH("Total Debt To Total Equity, Percent FQ-1",[1]ARS!$4:$4,0))),VLOOKUP(A46,[1]ARS!A:EL,MATCH("Total Debt To Total Equity, Percent FQ0",[1]ARS!$4:$4,0),FALSE))/100,"-")</f>
        <v>0.70591558393999998</v>
      </c>
      <c r="G46" s="372"/>
      <c r="H46" s="373"/>
      <c r="I46" s="324">
        <f>IFERROR(VLOOKUP(A46,[1]ARS!A:EC,MATCH("Financial Leverage",[1]ARS!$4:$4,0),FALSE),"-")</f>
        <v>2.5481161219726514</v>
      </c>
      <c r="J46" s="324"/>
      <c r="K46" s="324"/>
      <c r="L46" s="325">
        <f>+IFERROR(IF(VLOOKUP(A46,[1]ARS!A:EL,MATCH("Curr Ratio FQ0",[1]ARS!$4:$4,0),FALSE)="NULL",IF(VLOOKUP(A46,[1]ARS!A:EL,MATCH("Curr Ratio FQ-1",[1]ARS!$4:$4,0),FALSE)="NULL","-",VLOOKUP(A46,[1]ARS!A:EL,MATCH("Curr Ratio FQ-1",[1]ARS!$4:$4,0),FALSE)),VLOOKUP(A46,[1]ARS!A:EL,MATCH("Curr Ratio FQ0",[1]ARS!$4:$4,0),FALSE)),"-")</f>
        <v>0.95709999999999995</v>
      </c>
      <c r="M46" s="333"/>
      <c r="N46" s="334"/>
      <c r="O46" s="325">
        <f>+IFERROR(IF(VLOOKUP(A46,[1]ARS!A:EL,MATCH("Quick Ratio FQ0",[1]ARS!$4:$4,0),FALSE)="NULL",IF(VLOOKUP(A46,[1]ARS!A:EL,MATCH("Quick Ratio FQ-1",[1]ARS!$4:$4,0),FALSE)="NULL","-",VLOOKUP(A46,[1]ARS!A:EL,MATCH("Quick Ratio FQ-1",[1]ARS!$4:$4,0),FALSE)),VLOOKUP(A46,[1]ARS!A:EL,MATCH("Quick Ratio FQ0",[1]ARS!$4:$4,0),FALSE)),"-")</f>
        <v>0.62316000000000005</v>
      </c>
      <c r="P46" s="333"/>
      <c r="Q46" s="334"/>
      <c r="R46" s="335" t="str">
        <f>+IFERROR(IF(VLOOKUP(A46,[1]ARS!$A:$EL,MATCH("Dividend yield",[1]ARS!$4:$4,0),FALSE)="NULL","-",VLOOKUP(A46,[1]ARS!$A:$EL,MATCH("Dividend Yield",[1]ARS!$4:$4,0),FALSE)/100),"-")</f>
        <v>-</v>
      </c>
      <c r="S46" s="336"/>
      <c r="T46" s="337"/>
      <c r="U46" s="324">
        <f>IF(IFERROR(VLOOKUP(A46,[1]ARS!A:EL,MATCH("Asset Turnover",[1]ARS!$4:$4,0),FALSE),"-")=0,"-",IFERROR(VLOOKUP(A46,[1]ARS!A:EL,MATCH("Asset Turnover",[1]ARS!$4:$4,0),FALSE),"-"))</f>
        <v>0.93902980105098577</v>
      </c>
      <c r="V46" s="324"/>
      <c r="W46" s="324"/>
      <c r="X46" s="328">
        <f>IFERROR(VLOOKUP(A46,[1]ARS!A:EL,MATCH("CCC",[1]ARS!$4:$4,0),FALSE),"-")</f>
        <v>47.680216473848802</v>
      </c>
      <c r="Y46" s="328"/>
      <c r="Z46" s="328"/>
      <c r="AA46" s="327">
        <f>IF(IFERROR(VLOOKUP(A46,[1]ARS!A:EL,MATCH("Gross Margin, Percent",[1]ARS!$4:$4,0),FALSE)/100,"-")&lt;0,"-",IFERROR(VLOOKUP(A46,[1]ARS!A:EL,MATCH("Gross Margin, Percent",[1]ARS!$4:$4,0),FALSE)/100,"-"))</f>
        <v>0.2448534</v>
      </c>
      <c r="AB46" s="327"/>
      <c r="AC46" s="327"/>
      <c r="AD46" s="383">
        <f>IF(IFERROR(VLOOKUP(A46,[1]ARS!A:EL,MATCH("Operating Margin, Percent",[1]ARS!$4:$4,0),FALSE)/100,"-")&lt;0,"-",IFERROR(VLOOKUP(A46,[1]ARS!A:EL,MATCH("Operating Margin, Percent",[1]ARS!$4:$4,0),FALSE)/100,"-"))</f>
        <v>9.7142800000000001E-2</v>
      </c>
      <c r="AE46" s="384"/>
      <c r="AF46" s="385"/>
      <c r="AG46" s="327">
        <f>IF(IFERROR(VLOOKUP(A46,[1]ARS!A:EL,MATCH("Net Profit Margin",[1]ARS!$4:$4,0),FALSE),"-")&lt;0,"-",IFERROR(VLOOKUP(A46,[1]ARS!A:EL,MATCH("Net Profit Margin",[1]ARS!$4:$4,0),FALSE),"-"))</f>
        <v>7.7238724905209794E-3</v>
      </c>
      <c r="AH46" s="327"/>
      <c r="AI46" s="327"/>
      <c r="AJ46" s="327">
        <f>IFERROR(VLOOKUP(A46,[1]ARS!A:EL,MATCH("FCF/Revenue",[1]ARS!$4:$4,0),FALSE),"-")</f>
        <v>-9.9670458500920031E-2</v>
      </c>
      <c r="AK46" s="327"/>
      <c r="AL46" s="327"/>
      <c r="AM46" s="329">
        <f>IFERROR(IF(VLOOKUP(A46,[1]ARS!A:EL,MATCH("ROE",[1]ARS!$4:$4,0),FALSE)&lt;-5,"-",VLOOKUP(A46,[1]ARS!A:EL,MATCH("ROE",[1]ARS!$4:$4,0),FALSE)),"-")</f>
        <v>1.3678469240700604E-2</v>
      </c>
      <c r="AN46" s="329"/>
      <c r="AO46" s="329"/>
      <c r="AP46" s="327">
        <f>IFERROR(VLOOKUP(A46,[1]ARS!A:EL,MATCH("ROA",[1]ARS!$4:$4,0),FALSE),"-")</f>
        <v>5.8023730430135367E-3</v>
      </c>
      <c r="AQ46" s="327"/>
      <c r="AR46" s="327"/>
      <c r="AS46" s="53">
        <f>+VLOOKUP(A46,[1]ARS!$A$5:$EL$85,MATCH("Last Q y/y",[1]ARS!$4:$4,0),FALSE)</f>
        <v>-6.2920307584760575</v>
      </c>
      <c r="AT46" s="53">
        <f>+VLOOKUP(A46,[1]ARS!$A$5:$EL$99,MATCH("Last 5 yrs - Annual",[1]ARS!$4:$4,0),FALSE)</f>
        <v>0.75337628598722994</v>
      </c>
      <c r="AU46" s="54">
        <f>+VLOOKUP(A46,[1]ARS!$A$5:$EL$84,MATCH("Desvio",[1]ARS!$4:$4,0),FALSE)</f>
        <v>1.7257770376532429</v>
      </c>
      <c r="AV46" s="55">
        <f>+IFERROR(VLOOKUP(A46,'[1]Prom. Vtas Ult 5 años'!$A$3:$D$81,3,FALSE),"-")</f>
        <v>92.513789473684184</v>
      </c>
      <c r="AW46" s="56">
        <f>+IFERROR(VLOOKUP(A46,'[1]Prom. Vtas Ult 5 años'!$A$3:$D$81,4,FALSE),"-")</f>
        <v>44.507165964752396</v>
      </c>
      <c r="AX46" s="324">
        <f>IFERROR((VLOOKUP(A46,[1]ARS!A:EL,MATCH("Enterprise Value (Daily Time Series)",[1]ARS!$4:$4,0),FALSE)/1000000000),"-")</f>
        <v>12.945290487097799</v>
      </c>
      <c r="AY46" s="324"/>
      <c r="AZ46" s="324"/>
      <c r="BA46" s="324">
        <f>IFERROR((VLOOKUP(A46,[1]ARS!A:EL,MATCH("Company Market Cap",[1]ARS!$4:$4,0),FALSE)/1000000000),"-")</f>
        <v>6.9339844386000005</v>
      </c>
      <c r="BB46" s="324"/>
      <c r="BC46" s="324"/>
      <c r="BD46" s="325">
        <f>IF(VLOOKUP(A46,[1]ARS!A:EL,MATCH("Enterprise Value To EBITDA (Daily Time Series Ratio)",[1]ARS!$4:$4,0),FALSE)="NULL","-",VLOOKUP(A46,[1]ARS!A:EL,MATCH("Enterprise Value To EBITDA (Daily Time Series Ratio)",[1]ARS!$4:$4,0),FALSE))</f>
        <v>118.36451692540599</v>
      </c>
      <c r="BE46" s="333"/>
      <c r="BF46" s="334"/>
      <c r="BG46" s="324">
        <f>IF(OR(IFERROR(VLOOKUP(A46,[1]ARS!A:EL,MATCH("Price To Tangible Book Value",[1]ARS!$4:$4,0),FALSE),"-")&lt;0,IFERROR(VLOOKUP(A46,[1]ARS!A:EL,MATCH("Price To Tangible Book Value",[1]ARS!$4:$4,0),FALSE),"-")&gt;100),"-",IFERROR(VLOOKUP(A46,[1]ARS!A:EL,MATCH("Price To Tangible Book Value",[1]ARS!$4:$4,0),FALSE),"-"))</f>
        <v>4.2611227528119233</v>
      </c>
      <c r="BH46" s="324"/>
      <c r="BI46" s="324"/>
      <c r="BJ46" s="324" t="str">
        <f>IF(OR(IFERROR(VLOOKUP(A46,[1]ARS!A:EL,MATCH("P/E (Daily Time Series Ratio)",[1]ARS!$4:$4,0),FALSE),"-")&lt;0,IFERROR(VLOOKUP(A46,[1]ARS!A:EL,MATCH("P/E (Daily Time Series Ratio)",[1]ARS!$4:$4,0),FALSE),"-")&gt;500),"-",IFERROR(VLOOKUP(A46,[1]ARS!A:EL,MATCH("P/E (Daily Time Series Ratio)",[1]ARS!$4:$4,0),FALSE),"-"))</f>
        <v>-</v>
      </c>
      <c r="BK46" s="324"/>
      <c r="BL46" s="324"/>
      <c r="BM46" s="324">
        <f>IF(OR(IFERROR(VLOOKUP(A46,[1]ARS!A:EC,MATCH("Price To Sales",[1]ARS!$4:$4,0),FALSE),"-")&lt;0,IFERROR(VLOOKUP(A46,[1]ARS!A:EC,MATCH("Price To Sales",[1]ARS!$4:$4,0),FALSE),"-")&gt;100),"-",IFERROR(VLOOKUP(A46,[1]ARS!A:EC,MATCH("Price To Sales",[1]ARS!$4:$4,0),FALSE),"-"))</f>
        <v>2.3501343479311552</v>
      </c>
      <c r="BN46" s="324"/>
      <c r="BO46" s="324"/>
      <c r="BP46" s="324" t="str">
        <f>+IFERROR(IF(VLOOKUP(A46,[1]ARS!A:EO,MATCH("Price to Free Cash Flow",[1]ARS!$4:$4,0),FALSE)="NULL","-",VLOOKUP(A46,[1]ARS!A:EO,MATCH("Price to Free Cash Flow",[1]ARS!$4:$4,0),FALSE)),"-")</f>
        <v>-</v>
      </c>
      <c r="BQ46" s="324"/>
      <c r="BR46" s="325"/>
      <c r="BS46" s="57">
        <f>IF(VLOOKUP(A46,[1]ARS!A:EE,MATCH("Daily Beta - 180 Day",[1]ARS!$4:$4,0),FALSE)="NULL","-",VLOOKUP(A46,[1]ARS!A:EE,MATCH("Daily Beta - 180 Day",[1]ARS!$4:$4,0),FALSE))</f>
        <v>0.93556801595360395</v>
      </c>
      <c r="BT46" s="53">
        <f>+VLOOKUP(A46,[1]ARS!$A:$EH,MATCH("Volatilidad histórica",[1]ARS!$4:$4,0),FALSE)</f>
        <v>0.51045490222393941</v>
      </c>
      <c r="BU46" s="56">
        <f>+VLOOKUP(A46,[1]ARS!$A$5:$EM$85,MATCH("Rto Medio",[1]ARS!$4:$4,0),FALSE)</f>
        <v>2.7130405567381777E-2</v>
      </c>
      <c r="BV46" s="58">
        <f>+IF(VLOOKUP(Template!A46,[1]ARS!A:AA,MATCH("Period End Date",[1]ARS!$3:$3,0),FALSE)="","-",VLOOKUP(Template!A46,[1]ARS!A:AA,MATCH("Period End Date",[1]ARS!$3:$3,0),FALSE))</f>
        <v>43008</v>
      </c>
      <c r="BW46" s="59" t="str">
        <f t="shared" si="12"/>
        <v>COME</v>
      </c>
      <c r="BX46" s="4"/>
      <c r="BY46" s="119" t="s">
        <v>79</v>
      </c>
      <c r="BZ46" s="48">
        <f t="shared" si="13"/>
        <v>2.3501343479311552</v>
      </c>
      <c r="CA46" s="48">
        <f t="shared" si="14"/>
        <v>4.2611227528119233</v>
      </c>
      <c r="CB46" s="48" t="str">
        <f t="shared" si="15"/>
        <v>-</v>
      </c>
      <c r="CC46" s="130"/>
      <c r="CD46" s="119" t="s">
        <v>79</v>
      </c>
      <c r="CE46" s="129">
        <v>2.3501343479311552</v>
      </c>
      <c r="CF46" s="119">
        <v>4.2611227528119233</v>
      </c>
      <c r="CG46" s="119" t="s">
        <v>49</v>
      </c>
      <c r="CN46" s="121"/>
    </row>
    <row r="47" spans="1:140" s="120" customFormat="1" ht="11.25" customHeight="1" x14ac:dyDescent="0.2">
      <c r="A47" s="288" t="str">
        <f t="shared" si="11"/>
        <v>PETR</v>
      </c>
      <c r="B47" s="288"/>
      <c r="C47" s="289">
        <f>+VLOOKUP(A47,[1]ARS!A:EL,MATCH("Last",[1]ARS!$4:$4,0),FALSE)</f>
        <v>104.5</v>
      </c>
      <c r="D47" s="289"/>
      <c r="E47" s="117">
        <f>+VLOOKUP(A47,'[1]Market Cap'!I:J,2,FALSE)</f>
        <v>1</v>
      </c>
      <c r="F47" s="290">
        <f>IFERROR(IF(VLOOKUP(A47,[1]ARS!A:EL,MATCH("Total Debt To Total Equity, Percent FQ0",[1]ARS!$4:$4,0),FALSE)="NULL",IF(VLOOKUP(A47,[1]ARS!A:EL,MATCH("Total Debt To Total Equity, Percent FQ-1",[1]ARS!$4:$4,0),FALSE)="NULL","-",VLOOKUP(A47,[1]ARS!A:EL,MATCH("Total Debt To Total Equity, Percent FQ-1",[1]ARS!$4:$4,0))),VLOOKUP(A47,[1]ARS!A:EL,MATCH("Total Debt To Total Equity, Percent FQ0",[1]ARS!$4:$4,0),FALSE))/100,"-")</f>
        <v>1.33453978752</v>
      </c>
      <c r="G47" s="291"/>
      <c r="H47" s="292"/>
      <c r="I47" s="281">
        <f>IFERROR(VLOOKUP(A47,[1]ARS!A:EC,MATCH("Financial Leverage",[1]ARS!$4:$4,0),FALSE),"-")</f>
        <v>3.2291437732479835</v>
      </c>
      <c r="J47" s="281"/>
      <c r="K47" s="281"/>
      <c r="L47" s="282">
        <f>+IFERROR(IF(VLOOKUP(A47,[1]ARS!A:EL,MATCH("Curr Ratio FQ0",[1]ARS!$4:$4,0),FALSE)="NULL",IF(VLOOKUP(A47,[1]ARS!A:EL,MATCH("Curr Ratio FQ-1",[1]ARS!$4:$4,0),FALSE)="NULL","-",VLOOKUP(A47,[1]ARS!A:EL,MATCH("Curr Ratio FQ-1",[1]ARS!$4:$4,0),FALSE)),VLOOKUP(A47,[1]ARS!A:EL,MATCH("Curr Ratio FQ0",[1]ARS!$4:$4,0),FALSE)),"-")</f>
        <v>0.87694000000000005</v>
      </c>
      <c r="M47" s="293"/>
      <c r="N47" s="294"/>
      <c r="O47" s="282">
        <f>+IFERROR(IF(VLOOKUP(A47,[1]ARS!A:EL,MATCH("Quick Ratio FQ0",[1]ARS!$4:$4,0),FALSE)="NULL",IF(VLOOKUP(A47,[1]ARS!A:EL,MATCH("Quick Ratio FQ-1",[1]ARS!$4:$4,0),FALSE)="NULL","-",VLOOKUP(A47,[1]ARS!A:EL,MATCH("Quick Ratio FQ-1",[1]ARS!$4:$4,0),FALSE)),VLOOKUP(A47,[1]ARS!A:EL,MATCH("Quick Ratio FQ0",[1]ARS!$4:$4,0),FALSE)),"-")</f>
        <v>0.87434000000000001</v>
      </c>
      <c r="P47" s="293"/>
      <c r="Q47" s="294"/>
      <c r="R47" s="295" t="str">
        <f>+IFERROR(IF(VLOOKUP(A47,[1]ARS!$A:$EL,MATCH("Dividend yield",[1]ARS!$4:$4,0),FALSE)="NULL","-",VLOOKUP(A47,[1]ARS!$A:$EL,MATCH("Dividend Yield",[1]ARS!$4:$4,0),FALSE)/100),"-")</f>
        <v>-</v>
      </c>
      <c r="S47" s="296"/>
      <c r="T47" s="297"/>
      <c r="U47" s="281">
        <f>IF(IFERROR(VLOOKUP(A47,[1]ARS!A:EL,MATCH("Asset Turnover",[1]ARS!$4:$4,0),FALSE),"-")=0,"-",IFERROR(VLOOKUP(A47,[1]ARS!A:EL,MATCH("Asset Turnover",[1]ARS!$4:$4,0),FALSE),"-"))</f>
        <v>0.74483525937901496</v>
      </c>
      <c r="V47" s="281"/>
      <c r="W47" s="281"/>
      <c r="X47" s="284" t="str">
        <f>IFERROR(VLOOKUP(A47,[1]ARS!A:EL,MATCH("CCC",[1]ARS!$4:$4,0),FALSE),"-")</f>
        <v>-</v>
      </c>
      <c r="Y47" s="284"/>
      <c r="Z47" s="284"/>
      <c r="AA47" s="283">
        <f>IF(IFERROR(VLOOKUP(A47,[1]ARS!A:EL,MATCH("Gross Margin, Percent",[1]ARS!$4:$4,0),FALSE)/100,"-")&lt;0,"-",IFERROR(VLOOKUP(A47,[1]ARS!A:EL,MATCH("Gross Margin, Percent",[1]ARS!$4:$4,0),FALSE)/100,"-"))</f>
        <v>0.38062069999999998</v>
      </c>
      <c r="AB47" s="283"/>
      <c r="AC47" s="283"/>
      <c r="AD47" s="380">
        <f>IF(IFERROR(VLOOKUP(A47,[1]ARS!A:EL,MATCH("Operating Margin, Percent",[1]ARS!$4:$4,0),FALSE)/100,"-")&lt;0,"-",IFERROR(VLOOKUP(A47,[1]ARS!A:EL,MATCH("Operating Margin, Percent",[1]ARS!$4:$4,0),FALSE)/100,"-"))</f>
        <v>0.52886029999999995</v>
      </c>
      <c r="AE47" s="381"/>
      <c r="AF47" s="382"/>
      <c r="AG47" s="283">
        <f>IF(IFERROR(VLOOKUP(A47,[1]ARS!A:EL,MATCH("Net Profit Margin",[1]ARS!$4:$4,0),FALSE),"-")&lt;0,"-",IFERROR(VLOOKUP(A47,[1]ARS!A:EL,MATCH("Net Profit Margin",[1]ARS!$4:$4,0),FALSE),"-"))</f>
        <v>0.24120863341921028</v>
      </c>
      <c r="AH47" s="283"/>
      <c r="AI47" s="283"/>
      <c r="AJ47" s="283">
        <f>IFERROR(VLOOKUP(A47,[1]ARS!A:EL,MATCH("FCF/Revenue",[1]ARS!$4:$4,0),FALSE),"-")</f>
        <v>-8.239512457696116E-2</v>
      </c>
      <c r="AK47" s="283"/>
      <c r="AL47" s="283"/>
      <c r="AM47" s="283">
        <f>IFERROR(IF(VLOOKUP(A47,[1]ARS!A:EL,MATCH("ROE",[1]ARS!$4:$4,0),FALSE)&lt;-5,"-",VLOOKUP(A47,[1]ARS!A:EL,MATCH("ROE",[1]ARS!$4:$4,0),FALSE)),"-")</f>
        <v>0.59738566608292576</v>
      </c>
      <c r="AN47" s="283"/>
      <c r="AO47" s="283"/>
      <c r="AP47" s="283">
        <f>IFERROR(VLOOKUP(A47,[1]ARS!A:EL,MATCH("ROA",[1]ARS!$4:$4,0),FALSE),"-")</f>
        <v>0.14372880055438397</v>
      </c>
      <c r="AQ47" s="283"/>
      <c r="AR47" s="283"/>
      <c r="AS47" s="40">
        <f>+VLOOKUP(A47,[1]ARS!$A$5:$EL$85,MATCH("Last Q y/y",[1]ARS!$4:$4,0),FALSE)</f>
        <v>1.0631154810962973</v>
      </c>
      <c r="AT47" s="40">
        <f>+VLOOKUP(A47,[1]ARS!$A$5:$EL$99,MATCH("Last 5 yrs - Annual",[1]ARS!$4:$4,0),FALSE)</f>
        <v>1.8492862386063826</v>
      </c>
      <c r="AU47" s="41">
        <f>+VLOOKUP(A47,[1]ARS!$A$5:$EL$84,MATCH("Desvio",[1]ARS!$4:$4,0),FALSE)</f>
        <v>2.1125207981636858</v>
      </c>
      <c r="AV47" s="42">
        <f>+IFERROR(VLOOKUP(A47,'[1]Prom. Vtas Ult 5 años'!$A$3:$D$81,3,FALSE),"-")</f>
        <v>64.296293684210525</v>
      </c>
      <c r="AW47" s="40">
        <f>+IFERROR(VLOOKUP(A47,'[1]Prom. Vtas Ult 5 años'!$A$3:$D$81,4,FALSE),"-")</f>
        <v>6.9514857139706514</v>
      </c>
      <c r="AX47" s="281">
        <f>IFERROR((VLOOKUP(A47,[1]ARS!A:EL,MATCH("Enterprise Value (Daily Time Series)",[1]ARS!$4:$4,0),FALSE)/1000000000),"-")</f>
        <v>14.96604059</v>
      </c>
      <c r="AY47" s="281"/>
      <c r="AZ47" s="281"/>
      <c r="BA47" s="281">
        <f>IFERROR((VLOOKUP(A47,[1]ARS!A:EL,MATCH("Company Market Cap",[1]ARS!$4:$4,0),FALSE)/1000000000),"-")</f>
        <v>12.405659999999999</v>
      </c>
      <c r="BB47" s="281"/>
      <c r="BC47" s="281"/>
      <c r="BD47" s="282">
        <f>IF(VLOOKUP(A47,[1]ARS!A:EL,MATCH("Enterprise Value To EBITDA (Daily Time Series Ratio)",[1]ARS!$4:$4,0),FALSE)="NULL","-",VLOOKUP(A47,[1]ARS!A:EL,MATCH("Enterprise Value To EBITDA (Daily Time Series Ratio)",[1]ARS!$4:$4,0),FALSE))</f>
        <v>5.4057028746460896</v>
      </c>
      <c r="BE47" s="293"/>
      <c r="BF47" s="294"/>
      <c r="BG47" s="281">
        <f>IF(OR(IFERROR(VLOOKUP(A47,[1]ARS!A:EL,MATCH("Price To Tangible Book Value",[1]ARS!$4:$4,0),FALSE),"-")&lt;0,IFERROR(VLOOKUP(A47,[1]ARS!A:EL,MATCH("Price To Tangible Book Value",[1]ARS!$4:$4,0),FALSE),"-")&gt;100),"-",IFERROR(VLOOKUP(A47,[1]ARS!A:EL,MATCH("Price To Tangible Book Value",[1]ARS!$4:$4,0),FALSE),"-"))</f>
        <v>6.3325432512791862</v>
      </c>
      <c r="BH47" s="281"/>
      <c r="BI47" s="281"/>
      <c r="BJ47" s="281">
        <f>IF(OR(IFERROR(VLOOKUP(A47,[1]ARS!A:EL,MATCH("P/E (Daily Time Series Ratio)",[1]ARS!$4:$4,0),FALSE),"-")&lt;0,IFERROR(VLOOKUP(A47,[1]ARS!A:EL,MATCH("P/E (Daily Time Series Ratio)",[1]ARS!$4:$4,0),FALSE),"-")&gt;500),"-",IFERROR(VLOOKUP(A47,[1]ARS!A:EL,MATCH("P/E (Daily Time Series Ratio)",[1]ARS!$4:$4,0),FALSE),"-"))</f>
        <v>13.736227624408158</v>
      </c>
      <c r="BK47" s="281"/>
      <c r="BL47" s="281"/>
      <c r="BM47" s="281">
        <f>IF(OR(IFERROR(VLOOKUP(A47,[1]ARS!A:EC,MATCH("Price To Sales",[1]ARS!$4:$4,0),FALSE),"-")&lt;0,IFERROR(VLOOKUP(A47,[1]ARS!A:EC,MATCH("Price To Sales",[1]ARS!$4:$4,0),FALSE),"-")&gt;100),"-",IFERROR(VLOOKUP(A47,[1]ARS!A:EC,MATCH("Price To Sales",[1]ARS!$4:$4,0),FALSE),"-"))</f>
        <v>3.2942694917052475</v>
      </c>
      <c r="BN47" s="281"/>
      <c r="BO47" s="281"/>
      <c r="BP47" s="281">
        <f>+IFERROR(IF(VLOOKUP(A47,[1]ARS!A:EO,MATCH("Price to Free Cash Flow",[1]ARS!$4:$4,0),FALSE)="NULL","-",VLOOKUP(A47,[1]ARS!A:EO,MATCH("Price to Free Cash Flow",[1]ARS!$4:$4,0),FALSE)),"-")</f>
        <v>14.7519343836</v>
      </c>
      <c r="BQ47" s="281"/>
      <c r="BR47" s="282"/>
      <c r="BS47" s="43">
        <f>IF(VLOOKUP(A47,[1]ARS!A:EE,MATCH("Daily Beta - 180 Day",[1]ARS!$4:$4,0),FALSE)="NULL","-",VLOOKUP(A47,[1]ARS!A:EE,MATCH("Daily Beta - 180 Day",[1]ARS!$4:$4,0),FALSE))</f>
        <v>0.96419232818832801</v>
      </c>
      <c r="BT47" s="40" t="str">
        <f>+VLOOKUP(A47,[1]ARS!$A:$EH,MATCH("Volatilidad histórica",[1]ARS!$4:$4,0),FALSE)</f>
        <v>-</v>
      </c>
      <c r="BU47" s="44" t="str">
        <f>+VLOOKUP(A47,[1]ARS!$A$5:$EM$85,MATCH("Rto Medio",[1]ARS!$4:$4,0),FALSE)</f>
        <v>-</v>
      </c>
      <c r="BV47" s="45">
        <f>+IF(VLOOKUP(Template!A47,[1]ARS!A:AA,MATCH("Period End Date",[1]ARS!$3:$3,0),FALSE)="","-",VLOOKUP(Template!A47,[1]ARS!A:AA,MATCH("Period End Date",[1]ARS!$3:$3,0),FALSE))</f>
        <v>43008</v>
      </c>
      <c r="BW47" s="46" t="str">
        <f t="shared" si="12"/>
        <v>PETR</v>
      </c>
      <c r="BX47" s="4"/>
      <c r="BY47" s="119" t="s">
        <v>80</v>
      </c>
      <c r="BZ47" s="48">
        <f t="shared" si="13"/>
        <v>3.2942694917052475</v>
      </c>
      <c r="CA47" s="48">
        <f t="shared" si="14"/>
        <v>6.3325432512791862</v>
      </c>
      <c r="CB47" s="48">
        <f t="shared" si="15"/>
        <v>13.736227624408158</v>
      </c>
      <c r="CC47" s="128"/>
      <c r="CD47" s="119" t="s">
        <v>80</v>
      </c>
      <c r="CE47" s="129">
        <v>3.2942694917052475</v>
      </c>
      <c r="CF47" s="119">
        <v>6.3325432512791862</v>
      </c>
      <c r="CG47" s="119">
        <v>13.67050404725788</v>
      </c>
      <c r="CN47" s="121"/>
    </row>
    <row r="48" spans="1:140" s="120" customFormat="1" ht="11.25" customHeight="1" x14ac:dyDescent="0.2">
      <c r="A48" s="330" t="str">
        <f t="shared" si="11"/>
        <v>TS</v>
      </c>
      <c r="B48" s="330"/>
      <c r="C48" s="331">
        <f>+VLOOKUP(A48,[1]ARS!A:EL,MATCH("Last",[1]ARS!$4:$4,0),FALSE)</f>
        <v>319.95</v>
      </c>
      <c r="D48" s="331"/>
      <c r="E48" s="74">
        <f>+VLOOKUP(A48,'[1]Market Cap'!I:J,2,FALSE)</f>
        <v>1</v>
      </c>
      <c r="F48" s="371">
        <f>IFERROR(IF(VLOOKUP(A48,[1]ARS!A:EL,MATCH("Total Debt To Total Equity, Percent FQ0",[1]ARS!$4:$4,0),FALSE)="NULL",IF(VLOOKUP(A48,[1]ARS!A:EL,MATCH("Total Debt To Total Equity, Percent FQ-1",[1]ARS!$4:$4,0),FALSE)="NULL","-",VLOOKUP(A48,[1]ARS!A:EL,MATCH("Total Debt To Total Equity, Percent FQ-1",[1]ARS!$4:$4,0))),VLOOKUP(A48,[1]ARS!A:EL,MATCH("Total Debt To Total Equity, Percent FQ0",[1]ARS!$4:$4,0),FALSE))/100,"-")</f>
        <v>7.2334056469999991E-2</v>
      </c>
      <c r="G48" s="372"/>
      <c r="H48" s="373"/>
      <c r="I48" s="324">
        <f>IFERROR(VLOOKUP(A48,[1]ARS!A:EC,MATCH("Financial Leverage",[1]ARS!$4:$4,0),FALSE),"-")</f>
        <v>1.2491873288984705</v>
      </c>
      <c r="J48" s="324"/>
      <c r="K48" s="324"/>
      <c r="L48" s="325">
        <f>+IFERROR(IF(VLOOKUP(A48,[1]ARS!A:EL,MATCH("Curr Ratio FQ0",[1]ARS!$4:$4,0),FALSE)="NULL",IF(VLOOKUP(A48,[1]ARS!A:EL,MATCH("Curr Ratio FQ-1",[1]ARS!$4:$4,0),FALSE)="NULL","-",VLOOKUP(A48,[1]ARS!A:EL,MATCH("Curr Ratio FQ-1",[1]ARS!$4:$4,0),FALSE)),VLOOKUP(A48,[1]ARS!A:EL,MATCH("Curr Ratio FQ0",[1]ARS!$4:$4,0),FALSE)),"-")</f>
        <v>2.6588699999999998</v>
      </c>
      <c r="M48" s="333"/>
      <c r="N48" s="334"/>
      <c r="O48" s="325">
        <f>+IFERROR(IF(VLOOKUP(A48,[1]ARS!A:EL,MATCH("Quick Ratio FQ0",[1]ARS!$4:$4,0),FALSE)="NULL",IF(VLOOKUP(A48,[1]ARS!A:EL,MATCH("Quick Ratio FQ-1",[1]ARS!$4:$4,0),FALSE)="NULL","-",VLOOKUP(A48,[1]ARS!A:EL,MATCH("Quick Ratio FQ-1",[1]ARS!$4:$4,0),FALSE)),VLOOKUP(A48,[1]ARS!A:EL,MATCH("Quick Ratio FQ0",[1]ARS!$4:$4,0),FALSE)),"-")</f>
        <v>1.53677</v>
      </c>
      <c r="P48" s="333"/>
      <c r="Q48" s="334"/>
      <c r="R48" s="335">
        <f>+IFERROR(IF(VLOOKUP(A48,[1]ARS!$A:$EL,MATCH("Dividend yield",[1]ARS!$4:$4,0),FALSE)="NULL","-",VLOOKUP(A48,[1]ARS!$A:$EL,MATCH("Dividend Yield",[1]ARS!$4:$4,0),FALSE)/100),"-")</f>
        <v>2.6465348512083101E-2</v>
      </c>
      <c r="S48" s="336"/>
      <c r="T48" s="337"/>
      <c r="U48" s="324">
        <f>IF(IFERROR(VLOOKUP(A48,[1]ARS!A:EL,MATCH("Asset Turnover",[1]ARS!$4:$4,0),FALSE),"-")=0,"-",IFERROR(VLOOKUP(A48,[1]ARS!A:EL,MATCH("Asset Turnover",[1]ARS!$4:$4,0),FALSE),"-"))</f>
        <v>0.40361841831996015</v>
      </c>
      <c r="V48" s="324"/>
      <c r="W48" s="324"/>
      <c r="X48" s="328">
        <f>IFERROR(VLOOKUP(A48,[1]ARS!A:EL,MATCH("CCC",[1]ARS!$4:$4,0),FALSE),"-")</f>
        <v>198.68616721096313</v>
      </c>
      <c r="Y48" s="328"/>
      <c r="Z48" s="328"/>
      <c r="AA48" s="327">
        <f>IF(IFERROR(VLOOKUP(A48,[1]ARS!A:EL,MATCH("Gross Margin, Percent",[1]ARS!$4:$4,0),FALSE)/100,"-")&lt;0,"-",IFERROR(VLOOKUP(A48,[1]ARS!A:EL,MATCH("Gross Margin, Percent",[1]ARS!$4:$4,0),FALSE)/100,"-"))</f>
        <v>0.26269570000000003</v>
      </c>
      <c r="AB48" s="327"/>
      <c r="AC48" s="327"/>
      <c r="AD48" s="383" t="str">
        <f>IF(IFERROR(VLOOKUP(A48,[1]ARS!A:EL,MATCH("Operating Margin, Percent",[1]ARS!$4:$4,0),FALSE)/100,"-")&lt;0,"-",IFERROR(VLOOKUP(A48,[1]ARS!A:EL,MATCH("Operating Margin, Percent",[1]ARS!$4:$4,0),FALSE)/100,"-"))</f>
        <v>-</v>
      </c>
      <c r="AE48" s="384"/>
      <c r="AF48" s="385"/>
      <c r="AG48" s="327">
        <f>IF(IFERROR(VLOOKUP(A48,[1]ARS!A:EL,MATCH("Net Profit Margin",[1]ARS!$4:$4,0),FALSE),"-")&lt;0,"-",IFERROR(VLOOKUP(A48,[1]ARS!A:EL,MATCH("Net Profit Margin",[1]ARS!$4:$4,0),FALSE),"-"))</f>
        <v>6.2633440841442733E-2</v>
      </c>
      <c r="AH48" s="327"/>
      <c r="AI48" s="327"/>
      <c r="AJ48" s="327">
        <f>IFERROR(VLOOKUP(A48,[1]ARS!A:EL,MATCH("FCF/Revenue",[1]ARS!$4:$4,0),FALSE),"-")</f>
        <v>-0.19099336291020075</v>
      </c>
      <c r="AK48" s="327"/>
      <c r="AL48" s="327"/>
      <c r="AM48" s="327">
        <f>IFERROR(IF(VLOOKUP(A48,[1]ARS!A:EL,MATCH("ROE",[1]ARS!$4:$4,0),FALSE)&lt;-5,"-",VLOOKUP(A48,[1]ARS!A:EL,MATCH("ROE",[1]ARS!$4:$4,0),FALSE)),"-")</f>
        <v>2.5161572023295595E-2</v>
      </c>
      <c r="AN48" s="327"/>
      <c r="AO48" s="327"/>
      <c r="AP48" s="327">
        <f>IFERROR(VLOOKUP(A48,[1]ARS!A:EL,MATCH("ROA",[1]ARS!$4:$4,0),FALSE),"-")</f>
        <v>2.0224009201735751E-2</v>
      </c>
      <c r="AQ48" s="327"/>
      <c r="AR48" s="327"/>
      <c r="AS48" s="53">
        <f>+VLOOKUP(A48,[1]ARS!$A$5:$EL$85,MATCH("Last Q y/y",[1]ARS!$4:$4,0),FALSE)</f>
        <v>24.449710598500747</v>
      </c>
      <c r="AT48" s="53">
        <f>+VLOOKUP(A48,[1]ARS!$A$5:$EL$99,MATCH("Last 5 yrs - Annual",[1]ARS!$4:$4,0),FALSE)</f>
        <v>0.13537515051002974</v>
      </c>
      <c r="AU48" s="54">
        <f>+VLOOKUP(A48,[1]ARS!$A$5:$EL$84,MATCH("Desvio",[1]ARS!$4:$4,0),FALSE)</f>
        <v>0.83893977331388958</v>
      </c>
      <c r="AV48" s="55">
        <f>+IFERROR(VLOOKUP(A48,'[1]Prom. Vtas Ult 5 años'!$A$3:$D$81,3,FALSE),"-")</f>
        <v>186.61794736842106</v>
      </c>
      <c r="AW48" s="56">
        <f>+IFERROR(VLOOKUP(A48,'[1]Prom. Vtas Ult 5 años'!$A$3:$D$81,4,FALSE),"-")</f>
        <v>5.0308026677807423</v>
      </c>
      <c r="AX48" s="324">
        <f>IFERROR((VLOOKUP(A48,[1]ARS!A:EL,MATCH("Enterprise Value (Daily Time Series)",[1]ARS!$4:$4,0),FALSE)/1000000000),"-")</f>
        <v>354.70604007176098</v>
      </c>
      <c r="AY48" s="324"/>
      <c r="AZ48" s="324"/>
      <c r="BA48" s="324">
        <f>IFERROR((VLOOKUP(A48,[1]ARS!A:EL,MATCH("Company Market Cap",[1]ARS!$4:$4,0),FALSE)/1000000000),"-")</f>
        <v>385.38624815349999</v>
      </c>
      <c r="BB48" s="324"/>
      <c r="BC48" s="324"/>
      <c r="BD48" s="325">
        <f>IF(VLOOKUP(A48,[1]ARS!A:EL,MATCH("Enterprise Value To EBITDA (Daily Time Series Ratio)",[1]ARS!$4:$4,0),FALSE)="NULL","-",VLOOKUP(A48,[1]ARS!A:EL,MATCH("Enterprise Value To EBITDA (Daily Time Series Ratio)",[1]ARS!$4:$4,0),FALSE))</f>
        <v>24.245660002589201</v>
      </c>
      <c r="BE48" s="333"/>
      <c r="BF48" s="334"/>
      <c r="BG48" s="324">
        <f>IF(OR(IFERROR(VLOOKUP(A48,[1]ARS!A:EL,MATCH("Price To Tangible Book Value",[1]ARS!$4:$4,0),FALSE),"-")&lt;0,IFERROR(VLOOKUP(A48,[1]ARS!A:EL,MATCH("Price To Tangible Book Value",[1]ARS!$4:$4,0),FALSE),"-")&gt;100),"-",IFERROR(VLOOKUP(A48,[1]ARS!A:EL,MATCH("Price To Tangible Book Value",[1]ARS!$4:$4,0),FALSE),"-"))</f>
        <v>2.2824139382318673</v>
      </c>
      <c r="BH48" s="324"/>
      <c r="BI48" s="324"/>
      <c r="BJ48" s="324">
        <f>IF(OR(IFERROR(VLOOKUP(A48,[1]ARS!A:EL,MATCH("P/E (Daily Time Series Ratio)",[1]ARS!$4:$4,0),FALSE),"-")&lt;0,IFERROR(VLOOKUP(A48,[1]ARS!A:EL,MATCH("P/E (Daily Time Series Ratio)",[1]ARS!$4:$4,0),FALSE),"-")&gt;500),"-",IFERROR(VLOOKUP(A48,[1]ARS!A:EL,MATCH("P/E (Daily Time Series Ratio)",[1]ARS!$4:$4,0),FALSE),"-"))</f>
        <v>80.792465020227411</v>
      </c>
      <c r="BK48" s="324"/>
      <c r="BL48" s="324"/>
      <c r="BM48" s="324">
        <f>IF(OR(IFERROR(VLOOKUP(A48,[1]ARS!A:EC,MATCH("Price To Sales",[1]ARS!$4:$4,0),FALSE),"-")&lt;0,IFERROR(VLOOKUP(A48,[1]ARS!A:EC,MATCH("Price To Sales",[1]ARS!$4:$4,0),FALSE),"-")&gt;100),"-",IFERROR(VLOOKUP(A48,[1]ARS!A:EC,MATCH("Price To Sales",[1]ARS!$4:$4,0),FALSE),"-"))</f>
        <v>5.1630436504454504</v>
      </c>
      <c r="BN48" s="324"/>
      <c r="BO48" s="324"/>
      <c r="BP48" s="324">
        <f>+IFERROR(IF(VLOOKUP(A48,[1]ARS!A:EO,MATCH("Price to Free Cash Flow",[1]ARS!$4:$4,0),FALSE)="NULL","-",VLOOKUP(A48,[1]ARS!A:EO,MATCH("Price to Free Cash Flow",[1]ARS!$4:$4,0),FALSE)),"-")</f>
        <v>274.39504363050003</v>
      </c>
      <c r="BQ48" s="324"/>
      <c r="BR48" s="325"/>
      <c r="BS48" s="57">
        <f>IF(VLOOKUP(A48,[1]ARS!A:EE,MATCH("Daily Beta - 180 Day",[1]ARS!$4:$4,0),FALSE)="NULL","-",VLOOKUP(A48,[1]ARS!A:EE,MATCH("Daily Beta - 180 Day",[1]ARS!$4:$4,0),FALSE))</f>
        <v>0.37497958279812599</v>
      </c>
      <c r="BT48" s="53">
        <f>+VLOOKUP(A48,[1]ARS!$A:$EH,MATCH("Volatilidad histórica",[1]ARS!$4:$4,0),FALSE)</f>
        <v>0.41468322509761862</v>
      </c>
      <c r="BU48" s="56">
        <f>+VLOOKUP(A48,[1]ARS!$A$5:$EM$85,MATCH("Rto Medio",[1]ARS!$4:$4,0),FALSE)</f>
        <v>-2.0659610213477064E-3</v>
      </c>
      <c r="BV48" s="58">
        <f>+IF(VLOOKUP(Template!A48,[1]ARS!A:AA,MATCH("Period End Date",[1]ARS!$3:$3,0),FALSE)="","-",VLOOKUP(Template!A48,[1]ARS!A:AA,MATCH("Period End Date",[1]ARS!$3:$3,0),FALSE))</f>
        <v>43008</v>
      </c>
      <c r="BW48" s="59" t="str">
        <f t="shared" si="12"/>
        <v>TS</v>
      </c>
      <c r="BX48" s="4"/>
      <c r="BY48" s="119" t="s">
        <v>81</v>
      </c>
      <c r="BZ48" s="48">
        <f t="shared" si="13"/>
        <v>5.1630436504454504</v>
      </c>
      <c r="CA48" s="48">
        <f t="shared" si="14"/>
        <v>2.2824139382318673</v>
      </c>
      <c r="CB48" s="48">
        <f t="shared" si="15"/>
        <v>80.792465020227411</v>
      </c>
      <c r="CC48" s="128"/>
      <c r="CD48" s="119" t="s">
        <v>81</v>
      </c>
      <c r="CE48" s="129">
        <v>5.1630436504454504</v>
      </c>
      <c r="CF48" s="119">
        <v>2.2824139382318673</v>
      </c>
      <c r="CG48" s="119">
        <v>80.56520070230836</v>
      </c>
      <c r="CN48" s="121"/>
    </row>
    <row r="49" spans="1:92" s="120" customFormat="1" ht="11.25" customHeight="1" x14ac:dyDescent="0.2">
      <c r="A49" s="288" t="str">
        <f t="shared" si="11"/>
        <v>TGSU2</v>
      </c>
      <c r="B49" s="288"/>
      <c r="C49" s="289">
        <f>+VLOOKUP(A49,[1]ARS!A:EL,MATCH("Last",[1]ARS!$4:$4,0),FALSE)</f>
        <v>85.850000000000009</v>
      </c>
      <c r="D49" s="289"/>
      <c r="E49" s="117">
        <f>+VLOOKUP(A49,'[1]Market Cap'!I:J,2,FALSE)</f>
        <v>1</v>
      </c>
      <c r="F49" s="290">
        <f>IFERROR(IF(VLOOKUP(A49,[1]ARS!A:EL,MATCH("Total Debt To Total Equity, Percent FQ0",[1]ARS!$4:$4,0),FALSE)="NULL",IF(VLOOKUP(A49,[1]ARS!A:EL,MATCH("Total Debt To Total Equity, Percent FQ-1",[1]ARS!$4:$4,0),FALSE)="NULL","-",VLOOKUP(A49,[1]ARS!A:EL,MATCH("Total Debt To Total Equity, Percent FQ-1",[1]ARS!$4:$4,0))),VLOOKUP(A49,[1]ARS!A:EL,MATCH("Total Debt To Total Equity, Percent FQ0",[1]ARS!$4:$4,0),FALSE))/100,"-")</f>
        <v>0.95640015797999989</v>
      </c>
      <c r="G49" s="291"/>
      <c r="H49" s="292"/>
      <c r="I49" s="281">
        <f>IFERROR(VLOOKUP(A49,[1]ARS!A:EC,MATCH("Financial Leverage",[1]ARS!$4:$4,0),FALSE),"-")</f>
        <v>2.6226698096445413</v>
      </c>
      <c r="J49" s="281"/>
      <c r="K49" s="281"/>
      <c r="L49" s="282">
        <f>+IFERROR(IF(VLOOKUP(A49,[1]ARS!A:EL,MATCH("Curr Ratio FQ0",[1]ARS!$4:$4,0),FALSE)="NULL",IF(VLOOKUP(A49,[1]ARS!A:EL,MATCH("Curr Ratio FQ-1",[1]ARS!$4:$4,0),FALSE)="NULL","-",VLOOKUP(A49,[1]ARS!A:EL,MATCH("Curr Ratio FQ-1",[1]ARS!$4:$4,0),FALSE)),VLOOKUP(A49,[1]ARS!A:EL,MATCH("Curr Ratio FQ0",[1]ARS!$4:$4,0),FALSE)),"-")</f>
        <v>1.5530200000000001</v>
      </c>
      <c r="M49" s="293"/>
      <c r="N49" s="294"/>
      <c r="O49" s="282">
        <f>+IFERROR(IF(VLOOKUP(A49,[1]ARS!A:EL,MATCH("Quick Ratio FQ0",[1]ARS!$4:$4,0),FALSE)="NULL",IF(VLOOKUP(A49,[1]ARS!A:EL,MATCH("Quick Ratio FQ-1",[1]ARS!$4:$4,0),FALSE)="NULL","-",VLOOKUP(A49,[1]ARS!A:EL,MATCH("Quick Ratio FQ-1",[1]ARS!$4:$4,0),FALSE)),VLOOKUP(A49,[1]ARS!A:EL,MATCH("Quick Ratio FQ0",[1]ARS!$4:$4,0),FALSE)),"-")</f>
        <v>1.49247</v>
      </c>
      <c r="P49" s="293"/>
      <c r="Q49" s="294"/>
      <c r="R49" s="295">
        <f>+IFERROR(IF(VLOOKUP(A49,[1]ARS!$A:$EL,MATCH("Dividend yield",[1]ARS!$4:$4,0),FALSE)="NULL","-",VLOOKUP(A49,[1]ARS!$A:$EL,MATCH("Dividend Yield",[1]ARS!$4:$4,0),FALSE)/100),"-")</f>
        <v>0</v>
      </c>
      <c r="S49" s="296"/>
      <c r="T49" s="297"/>
      <c r="U49" s="281">
        <f>IF(IFERROR(VLOOKUP(A49,[1]ARS!A:EL,MATCH("Asset Turnover",[1]ARS!$4:$4,0),FALSE),"-")=0,"-",IFERROR(VLOOKUP(A49,[1]ARS!A:EL,MATCH("Asset Turnover",[1]ARS!$4:$4,0),FALSE),"-"))</f>
        <v>1.3094346401267685</v>
      </c>
      <c r="V49" s="281"/>
      <c r="W49" s="281"/>
      <c r="X49" s="284" t="str">
        <f>IFERROR(VLOOKUP(A49,[1]ARS!A:EL,MATCH("CCC",[1]ARS!$4:$4,0),FALSE),"-")</f>
        <v>-</v>
      </c>
      <c r="Y49" s="284"/>
      <c r="Z49" s="284"/>
      <c r="AA49" s="283">
        <f>IF(IFERROR(VLOOKUP(A49,[1]ARS!A:EL,MATCH("Gross Margin, Percent",[1]ARS!$4:$4,0),FALSE)/100,"-")&lt;0,"-",IFERROR(VLOOKUP(A49,[1]ARS!A:EL,MATCH("Gross Margin, Percent",[1]ARS!$4:$4,0),FALSE)/100,"-"))</f>
        <v>0.40069629999999995</v>
      </c>
      <c r="AB49" s="283"/>
      <c r="AC49" s="283"/>
      <c r="AD49" s="380">
        <f>IF(IFERROR(VLOOKUP(A49,[1]ARS!A:EL,MATCH("Operating Margin, Percent",[1]ARS!$4:$4,0),FALSE)/100,"-")&lt;0,"-",IFERROR(VLOOKUP(A49,[1]ARS!A:EL,MATCH("Operating Margin, Percent",[1]ARS!$4:$4,0),FALSE)/100,"-"))</f>
        <v>0.30150890000000002</v>
      </c>
      <c r="AE49" s="381"/>
      <c r="AF49" s="382"/>
      <c r="AG49" s="283">
        <f>IF(IFERROR(VLOOKUP(A49,[1]ARS!A:EL,MATCH("Net Profit Margin",[1]ARS!$4:$4,0),FALSE),"-")&lt;0,"-",IFERROR(VLOOKUP(A49,[1]ARS!A:EL,MATCH("Net Profit Margin",[1]ARS!$4:$4,0),FALSE),"-"))</f>
        <v>0.21442596334542502</v>
      </c>
      <c r="AH49" s="283"/>
      <c r="AI49" s="283"/>
      <c r="AJ49" s="283">
        <f>IFERROR(VLOOKUP(A49,[1]ARS!A:EL,MATCH("FCF/Revenue",[1]ARS!$4:$4,0),FALSE),"-")</f>
        <v>0.12157436987285522</v>
      </c>
      <c r="AK49" s="283"/>
      <c r="AL49" s="283"/>
      <c r="AM49" s="283">
        <f>IFERROR(IF(VLOOKUP(A49,[1]ARS!A:EL,MATCH("ROE",[1]ARS!$4:$4,0),FALSE)&lt;-5,"-",VLOOKUP(A49,[1]ARS!A:EL,MATCH("ROE",[1]ARS!$4:$4,0),FALSE)),"-")</f>
        <v>0.65678303851043884</v>
      </c>
      <c r="AN49" s="283"/>
      <c r="AO49" s="283"/>
      <c r="AP49" s="283">
        <f>IFERROR(VLOOKUP(A49,[1]ARS!A:EL,MATCH("ROA",[1]ARS!$4:$4,0),FALSE),"-")</f>
        <v>0.22462166519319776</v>
      </c>
      <c r="AQ49" s="283"/>
      <c r="AR49" s="283"/>
      <c r="AS49" s="40">
        <f>+VLOOKUP(A49,[1]ARS!$A$5:$EL$85,MATCH("Last Q y/y",[1]ARS!$4:$4,0),FALSE)</f>
        <v>2.4258301704643137</v>
      </c>
      <c r="AT49" s="40">
        <f>+VLOOKUP(A49,[1]ARS!$A$5:$EL$99,MATCH("Last 5 yrs - Annual",[1]ARS!$4:$4,0),FALSE)</f>
        <v>0.64309644382360698</v>
      </c>
      <c r="AU49" s="41">
        <f>+VLOOKUP(A49,[1]ARS!$A$5:$EL$84,MATCH("Desvio",[1]ARS!$4:$4,0),FALSE)</f>
        <v>3.400164641670298</v>
      </c>
      <c r="AV49" s="42">
        <f>+IFERROR(VLOOKUP(A49,'[1]Prom. Vtas Ult 5 años'!$A$3:$D$81,3,FALSE),"-")</f>
        <v>93.159578947368416</v>
      </c>
      <c r="AW49" s="40">
        <f>+IFERROR(VLOOKUP(A49,'[1]Prom. Vtas Ult 5 años'!$A$3:$D$81,4,FALSE),"-")</f>
        <v>4.7198580643084638</v>
      </c>
      <c r="AX49" s="281">
        <f>IFERROR((VLOOKUP(A49,[1]ARS!A:EL,MATCH("Enterprise Value (Daily Time Series)",[1]ARS!$4:$4,0),FALSE)/1000000000),"-")</f>
        <v>34.505251926249997</v>
      </c>
      <c r="AY49" s="281"/>
      <c r="AZ49" s="281"/>
      <c r="BA49" s="281">
        <f>IFERROR((VLOOKUP(A49,[1]ARS!A:EL,MATCH("Company Market Cap",[1]ARS!$4:$4,0),FALSE)/1000000000),"-")</f>
        <v>68.604667687049997</v>
      </c>
      <c r="BB49" s="281"/>
      <c r="BC49" s="281"/>
      <c r="BD49" s="282">
        <f>IF(VLOOKUP(A49,[1]ARS!A:EL,MATCH("Enterprise Value To EBITDA (Daily Time Series Ratio)",[1]ARS!$4:$4,0),FALSE)="NULL","-",VLOOKUP(A49,[1]ARS!A:EL,MATCH("Enterprise Value To EBITDA (Daily Time Series Ratio)",[1]ARS!$4:$4,0),FALSE))</f>
        <v>7.6945543839127497</v>
      </c>
      <c r="BE49" s="293"/>
      <c r="BF49" s="294"/>
      <c r="BG49" s="281">
        <f>IF(OR(IFERROR(VLOOKUP(A49,[1]ARS!A:EL,MATCH("Price To Tangible Book Value",[1]ARS!$4:$4,0),FALSE),"-")&lt;0,IFERROR(VLOOKUP(A49,[1]ARS!A:EL,MATCH("Price To Tangible Book Value",[1]ARS!$4:$4,0),FALSE),"-")&gt;100),"-",IFERROR(VLOOKUP(A49,[1]ARS!A:EL,MATCH("Price To Tangible Book Value",[1]ARS!$4:$4,0),FALSE),"-"))</f>
        <v>15.789612818785784</v>
      </c>
      <c r="BH49" s="281"/>
      <c r="BI49" s="281"/>
      <c r="BJ49" s="281">
        <f>IF(OR(IFERROR(VLOOKUP(A49,[1]ARS!A:EL,MATCH("P/E (Daily Time Series Ratio)",[1]ARS!$4:$4,0),FALSE),"-")&lt;0,IFERROR(VLOOKUP(A49,[1]ARS!A:EL,MATCH("P/E (Daily Time Series Ratio)",[1]ARS!$4:$4,0),FALSE),"-")&gt;500),"-",IFERROR(VLOOKUP(A49,[1]ARS!A:EL,MATCH("P/E (Daily Time Series Ratio)",[1]ARS!$4:$4,0),FALSE),"-"))</f>
        <v>29.908202546639032</v>
      </c>
      <c r="BK49" s="281"/>
      <c r="BL49" s="281"/>
      <c r="BM49" s="281">
        <f>IF(OR(IFERROR(VLOOKUP(A49,[1]ARS!A:EC,MATCH("Price To Sales",[1]ARS!$4:$4,0),FALSE),"-")&lt;0,IFERROR(VLOOKUP(A49,[1]ARS!A:EC,MATCH("Price To Sales",[1]ARS!$4:$4,0),FALSE),"-")&gt;100),"-",IFERROR(VLOOKUP(A49,[1]ARS!A:EC,MATCH("Price To Sales",[1]ARS!$4:$4,0),FALSE),"-"))</f>
        <v>6.4504315418416009</v>
      </c>
      <c r="BN49" s="281"/>
      <c r="BO49" s="281"/>
      <c r="BP49" s="281">
        <f>+IFERROR(IF(VLOOKUP(A49,[1]ARS!A:EO,MATCH("Price to Free Cash Flow",[1]ARS!$4:$4,0),FALSE)="NULL","-",VLOOKUP(A49,[1]ARS!A:EO,MATCH("Price to Free Cash Flow",[1]ARS!$4:$4,0),FALSE)),"-")</f>
        <v>0</v>
      </c>
      <c r="BQ49" s="281"/>
      <c r="BR49" s="282"/>
      <c r="BS49" s="43">
        <f>IF(VLOOKUP(A49,[1]ARS!A:EE,MATCH("Daily Beta - 180 Day",[1]ARS!$4:$4,0),FALSE)="NULL","-",VLOOKUP(A49,[1]ARS!A:EE,MATCH("Daily Beta - 180 Day",[1]ARS!$4:$4,0),FALSE))</f>
        <v>1.20791506669449</v>
      </c>
      <c r="BT49" s="40">
        <f>+VLOOKUP(A49,[1]ARS!$A:$EH,MATCH("Volatilidad histórica",[1]ARS!$4:$4,0),FALSE)</f>
        <v>0.48940972065205307</v>
      </c>
      <c r="BU49" s="44">
        <f>+VLOOKUP(A49,[1]ARS!$A$5:$EM$85,MATCH("Rto Medio",[1]ARS!$4:$4,0),FALSE)</f>
        <v>0.23739704017359609</v>
      </c>
      <c r="BV49" s="45">
        <f>+IF(VLOOKUP(Template!A49,[1]ARS!A:AA,MATCH("Period End Date",[1]ARS!$3:$3,0),FALSE)="","-",VLOOKUP(Template!A49,[1]ARS!A:AA,MATCH("Period End Date",[1]ARS!$3:$3,0),FALSE))</f>
        <v>43008</v>
      </c>
      <c r="BW49" s="46" t="str">
        <f t="shared" si="12"/>
        <v>TGSU2</v>
      </c>
      <c r="BX49" s="4"/>
      <c r="BY49" s="119" t="s">
        <v>82</v>
      </c>
      <c r="BZ49" s="48">
        <f t="shared" si="13"/>
        <v>6.4504315418416009</v>
      </c>
      <c r="CA49" s="48">
        <f t="shared" si="14"/>
        <v>15.789612818785784</v>
      </c>
      <c r="CB49" s="48">
        <f t="shared" si="15"/>
        <v>29.908202546639032</v>
      </c>
      <c r="CC49" s="128"/>
      <c r="CD49" s="119" t="s">
        <v>82</v>
      </c>
      <c r="CE49" s="129">
        <v>6.4504315418416009</v>
      </c>
      <c r="CF49" s="119">
        <v>15.789612818785784</v>
      </c>
      <c r="CG49" s="119">
        <v>29.838527060217043</v>
      </c>
      <c r="CN49" s="121"/>
    </row>
    <row r="50" spans="1:92" s="120" customFormat="1" ht="11.25" customHeight="1" x14ac:dyDescent="0.2">
      <c r="A50" s="330" t="str">
        <f t="shared" si="11"/>
        <v>TGNO4</v>
      </c>
      <c r="B50" s="330"/>
      <c r="C50" s="331">
        <f>+VLOOKUP(A50,[1]ARS!A:EL,MATCH("Last",[1]ARS!$4:$4,0),FALSE)</f>
        <v>71.400000000000006</v>
      </c>
      <c r="D50" s="331"/>
      <c r="E50" s="74">
        <f>+VLOOKUP(A50,'[1]Market Cap'!I:J,2,FALSE)</f>
        <v>1</v>
      </c>
      <c r="F50" s="371">
        <f>IFERROR(IF(VLOOKUP(A50,[1]ARS!A:EL,MATCH("Total Debt To Total Equity, Percent FQ0",[1]ARS!$4:$4,0),FALSE)="NULL",IF(VLOOKUP(A50,[1]ARS!A:EL,MATCH("Total Debt To Total Equity, Percent FQ-1",[1]ARS!$4:$4,0),FALSE)="NULL","-",VLOOKUP(A50,[1]ARS!A:EL,MATCH("Total Debt To Total Equity, Percent FQ-1",[1]ARS!$4:$4,0))),VLOOKUP(A50,[1]ARS!A:EL,MATCH("Total Debt To Total Equity, Percent FQ0",[1]ARS!$4:$4,0),FALSE))/100,"-")</f>
        <v>5.4081574530199994</v>
      </c>
      <c r="G50" s="372"/>
      <c r="H50" s="373"/>
      <c r="I50" s="324">
        <f>IFERROR(VLOOKUP(A50,[1]ARS!A:EC,MATCH("Financial Leverage",[1]ARS!$4:$4,0),FALSE),"-")</f>
        <v>8.1722718100674427</v>
      </c>
      <c r="J50" s="324"/>
      <c r="K50" s="324"/>
      <c r="L50" s="325">
        <f>+IFERROR(IF(VLOOKUP(A50,[1]ARS!A:EL,MATCH("Curr Ratio FQ0",[1]ARS!$4:$4,0),FALSE)="NULL",IF(VLOOKUP(A50,[1]ARS!A:EL,MATCH("Curr Ratio FQ-1",[1]ARS!$4:$4,0),FALSE)="NULL","-",VLOOKUP(A50,[1]ARS!A:EL,MATCH("Curr Ratio FQ-1",[1]ARS!$4:$4,0),FALSE)),VLOOKUP(A50,[1]ARS!A:EL,MATCH("Curr Ratio FQ0",[1]ARS!$4:$4,0),FALSE)),"-")</f>
        <v>0.33578999999999998</v>
      </c>
      <c r="M50" s="333"/>
      <c r="N50" s="334"/>
      <c r="O50" s="325">
        <f>+IFERROR(IF(VLOOKUP(A50,[1]ARS!A:EL,MATCH("Quick Ratio FQ0",[1]ARS!$4:$4,0),FALSE)="NULL",IF(VLOOKUP(A50,[1]ARS!A:EL,MATCH("Quick Ratio FQ-1",[1]ARS!$4:$4,0),FALSE)="NULL","-",VLOOKUP(A50,[1]ARS!A:EL,MATCH("Quick Ratio FQ-1",[1]ARS!$4:$4,0),FALSE)),VLOOKUP(A50,[1]ARS!A:EL,MATCH("Quick Ratio FQ0",[1]ARS!$4:$4,0),FALSE)),"-")</f>
        <v>0.32695000000000002</v>
      </c>
      <c r="P50" s="333"/>
      <c r="Q50" s="334"/>
      <c r="R50" s="335" t="str">
        <f>+IFERROR(IF(VLOOKUP(A50,[1]ARS!$A:$EL,MATCH("Dividend yield",[1]ARS!$4:$4,0),FALSE)="NULL","-",VLOOKUP(A50,[1]ARS!$A:$EL,MATCH("Dividend Yield",[1]ARS!$4:$4,0),FALSE)/100),"-")</f>
        <v>-</v>
      </c>
      <c r="S50" s="336"/>
      <c r="T50" s="337"/>
      <c r="U50" s="324">
        <f>IF(IFERROR(VLOOKUP(A50,[1]ARS!A:EL,MATCH("Asset Turnover",[1]ARS!$4:$4,0),FALSE),"-")=0,"-",IFERROR(VLOOKUP(A50,[1]ARS!A:EL,MATCH("Asset Turnover",[1]ARS!$4:$4,0),FALSE),"-"))</f>
        <v>0.83197082071846407</v>
      </c>
      <c r="V50" s="324"/>
      <c r="W50" s="324"/>
      <c r="X50" s="328">
        <f>IFERROR(VLOOKUP(A50,[1]ARS!A:EL,MATCH("CCC",[1]ARS!$4:$4,0),FALSE),"-")</f>
        <v>-17.907253724900812</v>
      </c>
      <c r="Y50" s="328"/>
      <c r="Z50" s="328"/>
      <c r="AA50" s="327">
        <f>IF(IFERROR(VLOOKUP(A50,[1]ARS!A:EL,MATCH("Gross Margin, Percent",[1]ARS!$4:$4,0),FALSE)/100,"-")&lt;0,"-",IFERROR(VLOOKUP(A50,[1]ARS!A:EL,MATCH("Gross Margin, Percent",[1]ARS!$4:$4,0),FALSE)/100,"-"))</f>
        <v>0.41204999999999997</v>
      </c>
      <c r="AB50" s="327"/>
      <c r="AC50" s="327"/>
      <c r="AD50" s="383">
        <f>IF(IFERROR(VLOOKUP(A50,[1]ARS!A:EL,MATCH("Operating Margin, Percent",[1]ARS!$4:$4,0),FALSE)/100,"-")&lt;0,"-",IFERROR(VLOOKUP(A50,[1]ARS!A:EL,MATCH("Operating Margin, Percent",[1]ARS!$4:$4,0),FALSE)/100,"-"))</f>
        <v>0.1133586</v>
      </c>
      <c r="AE50" s="384"/>
      <c r="AF50" s="385"/>
      <c r="AG50" s="327">
        <f>IF(IFERROR(VLOOKUP(A50,[1]ARS!A:EL,MATCH("Net Profit Margin",[1]ARS!$4:$4,0),FALSE),"-")&lt;0,"-",IFERROR(VLOOKUP(A50,[1]ARS!A:EL,MATCH("Net Profit Margin",[1]ARS!$4:$4,0),FALSE),"-"))</f>
        <v>0.18957909112118995</v>
      </c>
      <c r="AH50" s="327"/>
      <c r="AI50" s="327"/>
      <c r="AJ50" s="327">
        <f>IFERROR(VLOOKUP(A50,[1]ARS!A:EL,MATCH("FCF/Revenue",[1]ARS!$4:$4,0),FALSE),"-")</f>
        <v>0.1608161293435468</v>
      </c>
      <c r="AK50" s="327"/>
      <c r="AL50" s="327"/>
      <c r="AM50" s="329">
        <f>IFERROR(IF(VLOOKUP(A50,[1]ARS!A:EL,MATCH("ROE",[1]ARS!$4:$4,0),FALSE)&lt;-5,"-",VLOOKUP(A50,[1]ARS!A:EL,MATCH("ROE",[1]ARS!$4:$4,0),FALSE)),"-")</f>
        <v>1.8627331694542857</v>
      </c>
      <c r="AN50" s="329"/>
      <c r="AO50" s="329"/>
      <c r="AP50" s="327">
        <f>IFERROR(VLOOKUP(A50,[1]ARS!A:EL,MATCH("ROA",[1]ARS!$4:$4,0),FALSE),"-")</f>
        <v>0.12617969337448937</v>
      </c>
      <c r="AQ50" s="327"/>
      <c r="AR50" s="327"/>
      <c r="AS50" s="53">
        <f>+VLOOKUP(A50,[1]ARS!$A$5:$EL$85,MATCH("Last Q y/y",[1]ARS!$4:$4,0),FALSE)</f>
        <v>3.5631417670305656</v>
      </c>
      <c r="AT50" s="53">
        <f>+VLOOKUP(A50,[1]ARS!$A$5:$EL$99,MATCH("Last 5 yrs - Annual",[1]ARS!$4:$4,0),FALSE)</f>
        <v>-1.738187364650684</v>
      </c>
      <c r="AU50" s="54">
        <f>+VLOOKUP(A50,[1]ARS!$A$5:$EL$84,MATCH("Desvio",[1]ARS!$4:$4,0),FALSE)</f>
        <v>4.7784184577927968</v>
      </c>
      <c r="AV50" s="55">
        <f>+IFERROR(VLOOKUP(A50,'[1]Prom. Vtas Ult 5 años'!$A$3:$D$81,3,FALSE),"-")</f>
        <v>-23.968263157894732</v>
      </c>
      <c r="AW50" s="56">
        <f>+IFERROR(VLOOKUP(A50,'[1]Prom. Vtas Ult 5 años'!$A$3:$D$81,4,FALSE),"-")</f>
        <v>43.531509990178833</v>
      </c>
      <c r="AX50" s="324">
        <f>IFERROR((VLOOKUP(A50,[1]ARS!A:EL,MATCH("Enterprise Value (Daily Time Series)",[1]ARS!$4:$4,0),FALSE)/1000000000),"-")</f>
        <v>9.5669414515999911</v>
      </c>
      <c r="AY50" s="324"/>
      <c r="AZ50" s="324"/>
      <c r="BA50" s="324">
        <f>IFERROR((VLOOKUP(A50,[1]ARS!A:EL,MATCH("Company Market Cap",[1]ARS!$4:$4,0),FALSE)/1000000000),"-")</f>
        <v>31.634923608000001</v>
      </c>
      <c r="BB50" s="324"/>
      <c r="BC50" s="324"/>
      <c r="BD50" s="325">
        <f>IF(VLOOKUP(A50,[1]ARS!A:EL,MATCH("Enterprise Value To EBITDA (Daily Time Series Ratio)",[1]ARS!$4:$4,0),FALSE)="NULL","-",VLOOKUP(A50,[1]ARS!A:EL,MATCH("Enterprise Value To EBITDA (Daily Time Series Ratio)",[1]ARS!$4:$4,0),FALSE))</f>
        <v>6.2298767962856196</v>
      </c>
      <c r="BE50" s="333"/>
      <c r="BF50" s="334"/>
      <c r="BG50" s="324">
        <f>IF(OR(IFERROR(VLOOKUP(A50,[1]ARS!A:EL,MATCH("Price To Tangible Book Value",[1]ARS!$4:$4,0),FALSE),"-")&lt;0,IFERROR(VLOOKUP(A50,[1]ARS!A:EL,MATCH("Price To Tangible Book Value",[1]ARS!$4:$4,0),FALSE),"-")&gt;100),"-",IFERROR(VLOOKUP(A50,[1]ARS!A:EL,MATCH("Price To Tangible Book Value",[1]ARS!$4:$4,0),FALSE),"-"))</f>
        <v>47.923860350124528</v>
      </c>
      <c r="BH50" s="324"/>
      <c r="BI50" s="324"/>
      <c r="BJ50" s="324">
        <f>IF(OR(IFERROR(VLOOKUP(A50,[1]ARS!A:EL,MATCH("P/E (Daily Time Series Ratio)",[1]ARS!$4:$4,0),FALSE),"-")&lt;0,IFERROR(VLOOKUP(A50,[1]ARS!A:EL,MATCH("P/E (Daily Time Series Ratio)",[1]ARS!$4:$4,0),FALSE),"-")&gt;500),"-",IFERROR(VLOOKUP(A50,[1]ARS!A:EL,MATCH("P/E (Daily Time Series Ratio)",[1]ARS!$4:$4,0),FALSE),"-"))</f>
        <v>50.533646632505736</v>
      </c>
      <c r="BK50" s="324"/>
      <c r="BL50" s="324"/>
      <c r="BM50" s="324">
        <f>IF(OR(IFERROR(VLOOKUP(A50,[1]ARS!A:EC,MATCH("Price To Sales",[1]ARS!$4:$4,0),FALSE),"-")&lt;0,IFERROR(VLOOKUP(A50,[1]ARS!A:EC,MATCH("Price To Sales",[1]ARS!$4:$4,0),FALSE),"-")&gt;100),"-",IFERROR(VLOOKUP(A50,[1]ARS!A:EC,MATCH("Price To Sales",[1]ARS!$4:$4,0),FALSE),"-"))</f>
        <v>9.6606159869151558</v>
      </c>
      <c r="BN50" s="324"/>
      <c r="BO50" s="324"/>
      <c r="BP50" s="324">
        <f>+IFERROR(IF(VLOOKUP(A50,[1]ARS!A:EO,MATCH("Price to Free Cash Flow",[1]ARS!$4:$4,0),FALSE)="NULL","-",VLOOKUP(A50,[1]ARS!A:EO,MATCH("Price to Free Cash Flow",[1]ARS!$4:$4,0),FALSE)),"-")</f>
        <v>25.405994944700002</v>
      </c>
      <c r="BQ50" s="324"/>
      <c r="BR50" s="325"/>
      <c r="BS50" s="57">
        <f>IF(VLOOKUP(A50,[1]ARS!A:EE,MATCH("Daily Beta - 180 Day",[1]ARS!$4:$4,0),FALSE)="NULL","-",VLOOKUP(A50,[1]ARS!A:EE,MATCH("Daily Beta - 180 Day",[1]ARS!$4:$4,0),FALSE))</f>
        <v>1.2136424788589999</v>
      </c>
      <c r="BT50" s="53">
        <f>+VLOOKUP(A50,[1]ARS!$A:$EH,MATCH("Volatilidad histórica",[1]ARS!$4:$4,0),FALSE)</f>
        <v>0.51299330701835644</v>
      </c>
      <c r="BU50" s="56">
        <f>+VLOOKUP(A50,[1]ARS!$A$5:$EM$85,MATCH("Rto Medio",[1]ARS!$4:$4,0),FALSE)</f>
        <v>0.22387567603359826</v>
      </c>
      <c r="BV50" s="58">
        <f>+IF(VLOOKUP(Template!A50,[1]ARS!A:AA,MATCH("Period End Date",[1]ARS!$3:$3,0),FALSE)="","-",VLOOKUP(Template!A50,[1]ARS!A:AA,MATCH("Period End Date",[1]ARS!$3:$3,0),FALSE))</f>
        <v>43008</v>
      </c>
      <c r="BW50" s="59" t="str">
        <f t="shared" si="12"/>
        <v>TGNO4</v>
      </c>
      <c r="BX50" s="4"/>
      <c r="BY50" s="119" t="s">
        <v>83</v>
      </c>
      <c r="BZ50" s="48">
        <f t="shared" si="13"/>
        <v>9.6606159869151558</v>
      </c>
      <c r="CA50" s="48">
        <f t="shared" si="14"/>
        <v>47.923860350124528</v>
      </c>
      <c r="CB50" s="48">
        <f t="shared" si="15"/>
        <v>50.533646632505736</v>
      </c>
      <c r="CC50" s="128"/>
      <c r="CD50" s="119" t="s">
        <v>83</v>
      </c>
      <c r="CE50" s="129">
        <v>9.6606159869151558</v>
      </c>
      <c r="CF50" s="119">
        <v>47.923860350124528</v>
      </c>
      <c r="CG50" s="119">
        <v>50.604422047957421</v>
      </c>
      <c r="CN50" s="121"/>
    </row>
    <row r="51" spans="1:92" s="120" customFormat="1" ht="11.25" customHeight="1" x14ac:dyDescent="0.2">
      <c r="A51" s="393" t="str">
        <f t="shared" si="11"/>
        <v>PGR</v>
      </c>
      <c r="B51" s="361"/>
      <c r="C51" s="362">
        <f>+VLOOKUP(A51,[1]ARS!A:EL,MATCH("Last",[1]ARS!$4:$4,0),FALSE)</f>
        <v>8.35</v>
      </c>
      <c r="D51" s="362"/>
      <c r="E51" s="131">
        <f>+VLOOKUP(A51,'[1]Market Cap'!I:J,2,FALSE)</f>
        <v>0.1</v>
      </c>
      <c r="F51" s="363" t="str">
        <f>IFERROR(IF(VLOOKUP(A51,[1]ARS!A:EL,MATCH("Total Debt To Total Equity, Percent FQ0",[1]ARS!$4:$4,0),FALSE)="NULL",IF(VLOOKUP(A51,[1]ARS!A:EL,MATCH("Total Debt To Total Equity, Percent FQ-1",[1]ARS!$4:$4,0),FALSE)="NULL","-",VLOOKUP(A51,[1]ARS!A:EL,MATCH("Total Debt To Total Equity, Percent FQ-1",[1]ARS!$4:$4,0))),VLOOKUP(A51,[1]ARS!A:EL,MATCH("Total Debt To Total Equity, Percent FQ0",[1]ARS!$4:$4,0),FALSE))/100,"-")</f>
        <v>-</v>
      </c>
      <c r="G51" s="364"/>
      <c r="H51" s="365"/>
      <c r="I51" s="350" t="str">
        <f>IFERROR(VLOOKUP(A51,[1]ARS!A:EC,MATCH("Financial Leverage",[1]ARS!$4:$4,0),FALSE),"-")</f>
        <v>-</v>
      </c>
      <c r="J51" s="350"/>
      <c r="K51" s="350"/>
      <c r="L51" s="351" t="str">
        <f>+IFERROR(IF(VLOOKUP(A51,[1]ARS!A:EL,MATCH("Curr Ratio FQ0",[1]ARS!$4:$4,0),FALSE)="NULL",IF(VLOOKUP(A51,[1]ARS!A:EL,MATCH("Curr Ratio FQ-1",[1]ARS!$4:$4,0),FALSE)="NULL","-",VLOOKUP(A51,[1]ARS!A:EL,MATCH("Curr Ratio FQ-1",[1]ARS!$4:$4,0),FALSE)),VLOOKUP(A51,[1]ARS!A:EL,MATCH("Curr Ratio FQ0",[1]ARS!$4:$4,0),FALSE)),"-")</f>
        <v>-</v>
      </c>
      <c r="M51" s="366"/>
      <c r="N51" s="367"/>
      <c r="O51" s="351" t="str">
        <f>+IFERROR(IF(VLOOKUP(A51,[1]ARS!A:EL,MATCH("Quick Ratio FQ0",[1]ARS!$4:$4,0),FALSE)="NULL",IF(VLOOKUP(A51,[1]ARS!A:EL,MATCH("Quick Ratio FQ-1",[1]ARS!$4:$4,0),FALSE)="NULL","-",VLOOKUP(A51,[1]ARS!A:EL,MATCH("Quick Ratio FQ-1",[1]ARS!$4:$4,0),FALSE)),VLOOKUP(A51,[1]ARS!A:EL,MATCH("Quick Ratio FQ0",[1]ARS!$4:$4,0),FALSE)),"-")</f>
        <v>-</v>
      </c>
      <c r="P51" s="366"/>
      <c r="Q51" s="367"/>
      <c r="R51" s="368">
        <f>+IFERROR(IF(VLOOKUP(A51,[1]ARS!$A:$EL,MATCH("Dividend yield",[1]ARS!$4:$4,0),FALSE)="NULL","-",VLOOKUP(A51,[1]ARS!$A:$EL,MATCH("Dividend Yield",[1]ARS!$4:$4,0),FALSE)/100),"-")</f>
        <v>0</v>
      </c>
      <c r="S51" s="369"/>
      <c r="T51" s="370"/>
      <c r="U51" s="350" t="str">
        <f>IF(IFERROR(VLOOKUP(A51,[1]ARS!A:EL,MATCH("Asset Turnover",[1]ARS!$4:$4,0),FALSE),"-")=0,"-",IFERROR(VLOOKUP(A51,[1]ARS!A:EL,MATCH("Asset Turnover",[1]ARS!$4:$4,0),FALSE),"-"))</f>
        <v>-</v>
      </c>
      <c r="V51" s="350"/>
      <c r="W51" s="350"/>
      <c r="X51" s="360" t="str">
        <f>IFERROR(VLOOKUP(A51,[1]ARS!A:EL,MATCH("CCC",[1]ARS!$4:$4,0),FALSE),"-")</f>
        <v>-</v>
      </c>
      <c r="Y51" s="360"/>
      <c r="Z51" s="360"/>
      <c r="AA51" s="359">
        <f>IF(IFERROR(VLOOKUP(A51,[1]ARS!A:EL,MATCH("Gross Margin, Percent",[1]ARS!$4:$4,0),FALSE)/100,"-")&lt;0,"-",IFERROR(VLOOKUP(A51,[1]ARS!A:EL,MATCH("Gross Margin, Percent",[1]ARS!$4:$4,0),FALSE)/100,"-"))</f>
        <v>0.25961519999999999</v>
      </c>
      <c r="AB51" s="359"/>
      <c r="AC51" s="359"/>
      <c r="AD51" s="390">
        <f>IF(IFERROR(VLOOKUP(A51,[1]ARS!A:EL,MATCH("Operating Margin, Percent",[1]ARS!$4:$4,0),FALSE)/100,"-")&lt;0,"-",IFERROR(VLOOKUP(A51,[1]ARS!A:EL,MATCH("Operating Margin, Percent",[1]ARS!$4:$4,0),FALSE)/100,"-"))</f>
        <v>0.1556737</v>
      </c>
      <c r="AE51" s="391"/>
      <c r="AF51" s="392"/>
      <c r="AG51" s="359" t="str">
        <f>IF(IFERROR(VLOOKUP(A51,[1]ARS!A:EL,MATCH("Net Profit Margin",[1]ARS!$4:$4,0),FALSE),"-")&lt;0,"-",IFERROR(VLOOKUP(A51,[1]ARS!A:EL,MATCH("Net Profit Margin",[1]ARS!$4:$4,0),FALSE),"-"))</f>
        <v>-</v>
      </c>
      <c r="AH51" s="359"/>
      <c r="AI51" s="359"/>
      <c r="AJ51" s="359" t="str">
        <f>IFERROR(VLOOKUP(A51,[1]ARS!A:EL,MATCH("FCF/Revenue",[1]ARS!$4:$4,0),FALSE),"-")</f>
        <v>-</v>
      </c>
      <c r="AK51" s="359"/>
      <c r="AL51" s="359"/>
      <c r="AM51" s="359">
        <f>IFERROR(IF(VLOOKUP(A51,[1]ARS!A:EL,MATCH("ROE",[1]ARS!$4:$4,0),FALSE)&lt;-5,"-",VLOOKUP(A51,[1]ARS!A:EL,MATCH("ROE",[1]ARS!$4:$4,0),FALSE)),"-")</f>
        <v>0</v>
      </c>
      <c r="AN51" s="359"/>
      <c r="AO51" s="359"/>
      <c r="AP51" s="359" t="str">
        <f>IFERROR(VLOOKUP(A51,[1]ARS!A:EL,MATCH("ROA",[1]ARS!$4:$4,0),FALSE),"-")</f>
        <v>-</v>
      </c>
      <c r="AQ51" s="359"/>
      <c r="AR51" s="359"/>
      <c r="AS51" s="101" t="str">
        <f>+VLOOKUP(A51,[1]ARS!$A$5:$EL$85,MATCH("Last Q y/y",[1]ARS!$4:$4,0),FALSE)</f>
        <v>-</v>
      </c>
      <c r="AT51" s="101">
        <f>+VLOOKUP(A51,[1]ARS!$A$5:$EL$99,MATCH("Last 5 yrs - Annual",[1]ARS!$4:$4,0),FALSE)</f>
        <v>-6.5876581469756559</v>
      </c>
      <c r="AU51" s="102">
        <f>+VLOOKUP(A51,[1]ARS!$A$5:$EL$84,MATCH("Desvio",[1]ARS!$4:$4,0),FALSE)</f>
        <v>14.504116845457022</v>
      </c>
      <c r="AV51" s="103" t="str">
        <f>+IFERROR(VLOOKUP(A51,'[1]Prom. Vtas Ult 5 años'!$A$3:$D$81,3,FALSE),"-")</f>
        <v>-</v>
      </c>
      <c r="AW51" s="101" t="str">
        <f>+IFERROR(VLOOKUP(A51,'[1]Prom. Vtas Ult 5 años'!$A$3:$D$81,4,FALSE),"-")</f>
        <v>-</v>
      </c>
      <c r="AX51" s="350">
        <f>IFERROR((VLOOKUP(A51,[1]ARS!A:EL,MATCH("Enterprise Value (Daily Time Series)",[1]ARS!$4:$4,0),FALSE)/1000000000),"-")</f>
        <v>21.9502625149421</v>
      </c>
      <c r="AY51" s="350"/>
      <c r="AZ51" s="350"/>
      <c r="BA51" s="350" t="str">
        <f>IFERROR((VLOOKUP(A51,[1]ARS!A:EL,MATCH("Company Market Cap",[1]ARS!$4:$4,0),FALSE)/1000000000),"-")</f>
        <v>-</v>
      </c>
      <c r="BB51" s="350"/>
      <c r="BC51" s="350"/>
      <c r="BD51" s="351">
        <f>IF(VLOOKUP(A51,[1]ARS!A:EL,MATCH("Enterprise Value To EBITDA (Daily Time Series Ratio)",[1]ARS!$4:$4,0),FALSE)="NULL","-",VLOOKUP(A51,[1]ARS!A:EL,MATCH("Enterprise Value To EBITDA (Daily Time Series Ratio)",[1]ARS!$4:$4,0),FALSE))</f>
        <v>31.616355015055699</v>
      </c>
      <c r="BE51" s="366"/>
      <c r="BF51" s="367"/>
      <c r="BG51" s="350" t="str">
        <f>IF(OR(IFERROR(VLOOKUP(A51,[1]ARS!A:EL,MATCH("Price To Tangible Book Value",[1]ARS!$4:$4,0),FALSE),"-")&lt;0,IFERROR(VLOOKUP(A51,[1]ARS!A:EL,MATCH("Price To Tangible Book Value",[1]ARS!$4:$4,0),FALSE),"-")&gt;100),"-",IFERROR(VLOOKUP(A51,[1]ARS!A:EL,MATCH("Price To Tangible Book Value",[1]ARS!$4:$4,0),FALSE),"-"))</f>
        <v>-</v>
      </c>
      <c r="BH51" s="350"/>
      <c r="BI51" s="350"/>
      <c r="BJ51" s="350" t="str">
        <f>IF(OR(IFERROR(VLOOKUP(A51,[1]ARS!A:EL,MATCH("P/E (Daily Time Series Ratio)",[1]ARS!$4:$4,0),FALSE),"-")&lt;0,IFERROR(VLOOKUP(A51,[1]ARS!A:EL,MATCH("P/E (Daily Time Series Ratio)",[1]ARS!$4:$4,0),FALSE),"-")&gt;500),"-",IFERROR(VLOOKUP(A51,[1]ARS!A:EL,MATCH("P/E (Daily Time Series Ratio)",[1]ARS!$4:$4,0),FALSE),"-"))</f>
        <v>-</v>
      </c>
      <c r="BK51" s="350"/>
      <c r="BL51" s="350"/>
      <c r="BM51" s="350" t="str">
        <f>IF(OR(IFERROR(VLOOKUP(A51,[1]ARS!A:EC,MATCH("Price To Sales",[1]ARS!$4:$4,0),FALSE),"-")&lt;0,IFERROR(VLOOKUP(A51,[1]ARS!A:EC,MATCH("Price To Sales",[1]ARS!$4:$4,0),FALSE),"-")&gt;100),"-",IFERROR(VLOOKUP(A51,[1]ARS!A:EC,MATCH("Price To Sales",[1]ARS!$4:$4,0),FALSE),"-"))</f>
        <v>-</v>
      </c>
      <c r="BN51" s="350"/>
      <c r="BO51" s="350"/>
      <c r="BP51" s="350" t="str">
        <f>+IFERROR(IF(VLOOKUP(A51,[1]ARS!A:EO,MATCH("Price to Free Cash Flow",[1]ARS!$4:$4,0),FALSE)="NULL","-",VLOOKUP(A51,[1]ARS!A:EO,MATCH("Price to Free Cash Flow",[1]ARS!$4:$4,0),FALSE)),"-")</f>
        <v>-</v>
      </c>
      <c r="BQ51" s="350"/>
      <c r="BR51" s="351"/>
      <c r="BS51" s="104">
        <f>IF(VLOOKUP(A51,[1]ARS!A:EE,MATCH("Daily Beta - 180 Day",[1]ARS!$4:$4,0),FALSE)="NULL","-",VLOOKUP(A51,[1]ARS!A:EE,MATCH("Daily Beta - 180 Day",[1]ARS!$4:$4,0),FALSE))</f>
        <v>0.81759371944481996</v>
      </c>
      <c r="BT51" s="101" t="str">
        <f>+VLOOKUP(A51,[1]ARS!$A:$EH,MATCH("Volatilidad histórica",[1]ARS!$4:$4,0),FALSE)</f>
        <v>-</v>
      </c>
      <c r="BU51" s="105" t="str">
        <f>+VLOOKUP(A51,[1]ARS!$A$5:$EM$85,MATCH("Rto Medio",[1]ARS!$4:$4,0),FALSE)</f>
        <v>-</v>
      </c>
      <c r="BV51" s="106" t="str">
        <f>+IF(VLOOKUP(Template!A51,[1]ARS!A:AA,MATCH("Period End Date",[1]ARS!$3:$3,0),FALSE)="","-",VLOOKUP(Template!A51,[1]ARS!A:AA,MATCH("Period End Date",[1]ARS!$3:$3,0),FALSE))</f>
        <v>-</v>
      </c>
      <c r="BW51" s="46" t="str">
        <f t="shared" si="12"/>
        <v>PGR</v>
      </c>
      <c r="BX51" s="4"/>
      <c r="BY51" s="119" t="s">
        <v>84</v>
      </c>
      <c r="BZ51" s="48" t="str">
        <f t="shared" si="13"/>
        <v>-</v>
      </c>
      <c r="CA51" s="48" t="str">
        <f t="shared" si="14"/>
        <v>-</v>
      </c>
      <c r="CB51" s="48" t="str">
        <f t="shared" si="15"/>
        <v>-</v>
      </c>
      <c r="CC51" s="128"/>
      <c r="CD51" s="119" t="s">
        <v>84</v>
      </c>
      <c r="CE51" s="129" t="s">
        <v>49</v>
      </c>
      <c r="CF51" s="119" t="s">
        <v>49</v>
      </c>
      <c r="CG51" s="119" t="s">
        <v>49</v>
      </c>
      <c r="CN51" s="121"/>
    </row>
    <row r="52" spans="1:92" s="49" customFormat="1" ht="11.25" customHeight="1" x14ac:dyDescent="0.2">
      <c r="A52" s="352" t="s">
        <v>61</v>
      </c>
      <c r="B52" s="353"/>
      <c r="C52" s="354"/>
      <c r="D52" s="355"/>
      <c r="E52" s="108"/>
      <c r="F52" s="347">
        <f>AVERAGE(F41:H51)</f>
        <v>1.3553560459655556</v>
      </c>
      <c r="G52" s="348"/>
      <c r="H52" s="349"/>
      <c r="I52" s="347">
        <f>AVERAGE(I41:K51)</f>
        <v>2.8406227071195507</v>
      </c>
      <c r="J52" s="348"/>
      <c r="K52" s="349"/>
      <c r="L52" s="347">
        <f>AVERAGE(L41:N51)</f>
        <v>1.3042750000000001</v>
      </c>
      <c r="M52" s="348"/>
      <c r="N52" s="349"/>
      <c r="O52" s="347">
        <f>AVERAGE(O41:Q51)</f>
        <v>1.0172430000000001</v>
      </c>
      <c r="P52" s="348"/>
      <c r="Q52" s="349"/>
      <c r="R52" s="356">
        <f>AVERAGE(R41:T51)</f>
        <v>1.3232163899307843E-2</v>
      </c>
      <c r="S52" s="357"/>
      <c r="T52" s="358"/>
      <c r="U52" s="347">
        <f>AVERAGE(U41:W51)</f>
        <v>0.7921960743326435</v>
      </c>
      <c r="V52" s="348"/>
      <c r="W52" s="349"/>
      <c r="X52" s="347">
        <f>AVERAGE(X41:Z51)</f>
        <v>54.582148218599372</v>
      </c>
      <c r="Y52" s="348"/>
      <c r="Z52" s="349"/>
      <c r="AA52" s="344">
        <f>AVERAGE(AA41:AC51)</f>
        <v>0.2850937999999999</v>
      </c>
      <c r="AB52" s="345"/>
      <c r="AC52" s="346"/>
      <c r="AD52" s="344">
        <f>AVERAGE(AD41:AF51)</f>
        <v>0.17512179999999999</v>
      </c>
      <c r="AE52" s="345"/>
      <c r="AF52" s="346"/>
      <c r="AG52" s="344">
        <f>AVERAGE(AG41:AI51)</f>
        <v>0.10125118924635715</v>
      </c>
      <c r="AH52" s="345"/>
      <c r="AI52" s="346"/>
      <c r="AJ52" s="344">
        <f>AVERAGE(AJ41:AL51)</f>
        <v>-6.3039853315542543E-2</v>
      </c>
      <c r="AK52" s="345"/>
      <c r="AL52" s="346"/>
      <c r="AM52" s="344">
        <f>AVERAGE(AM41:AO51)</f>
        <v>0.35438193681994795</v>
      </c>
      <c r="AN52" s="345"/>
      <c r="AO52" s="346"/>
      <c r="AP52" s="344">
        <f>AVERAGE(AP41:AR51)</f>
        <v>2.7862412006383102E-2</v>
      </c>
      <c r="AQ52" s="345"/>
      <c r="AR52" s="346"/>
      <c r="AS52" s="109">
        <f>AVERAGE(AS41:AS51)</f>
        <v>2.388628437077315</v>
      </c>
      <c r="AT52" s="109">
        <f>AVERAGE(AT41:AT51)</f>
        <v>-0.21191984029924535</v>
      </c>
      <c r="AU52" s="110">
        <f>AVERAGE(AU41:AU51)</f>
        <v>4.3601817122201592</v>
      </c>
      <c r="AV52" s="111">
        <f>AVERAGE(AV41:AV51)</f>
        <v>74.090545494782702</v>
      </c>
      <c r="AW52" s="109">
        <f>AVERAGE(AW41:AW51)</f>
        <v>17.523340891889958</v>
      </c>
      <c r="AX52" s="341">
        <f>+AVERAGE(AX41:AZ51)</f>
        <v>439.81382060475966</v>
      </c>
      <c r="AY52" s="342"/>
      <c r="AZ52" s="343"/>
      <c r="BA52" s="341">
        <f>+AVERAGE(BA41:BC51)</f>
        <v>273.57703225382795</v>
      </c>
      <c r="BB52" s="342"/>
      <c r="BC52" s="343"/>
      <c r="BD52" s="341">
        <f>+AVERAGE(BD41:BF51)</f>
        <v>22.008862980922238</v>
      </c>
      <c r="BE52" s="342"/>
      <c r="BF52" s="343"/>
      <c r="BG52" s="341">
        <f>+AVERAGE(BG41:BI51)</f>
        <v>9.2875047918488161</v>
      </c>
      <c r="BH52" s="342"/>
      <c r="BI52" s="343"/>
      <c r="BJ52" s="341">
        <f>+AVERAGE(BJ41:BL51)</f>
        <v>46.904462805268949</v>
      </c>
      <c r="BK52" s="342"/>
      <c r="BL52" s="343"/>
      <c r="BM52" s="341">
        <f>+AVERAGE(BM41:BO51)</f>
        <v>3.400701301412167</v>
      </c>
      <c r="BN52" s="342"/>
      <c r="BO52" s="343"/>
      <c r="BP52" s="341">
        <f>+AVERAGE(BP41:BR51)</f>
        <v>58.947344598650005</v>
      </c>
      <c r="BQ52" s="342"/>
      <c r="BR52" s="343"/>
      <c r="BS52" s="112">
        <f>+AVERAGE(BS41:BS51)</f>
        <v>0.82893528663186944</v>
      </c>
      <c r="BT52" s="109">
        <f>AVERAGE(BT41:BT51)</f>
        <v>0.46954942549205125</v>
      </c>
      <c r="BU52" s="109">
        <f>AVERAGE(BU41:BU51)</f>
        <v>1.9138319614853114E-2</v>
      </c>
      <c r="BV52" s="113"/>
      <c r="BW52" s="113"/>
      <c r="BX52" s="4"/>
      <c r="BY52" s="48"/>
      <c r="BZ52" s="48"/>
      <c r="CA52" s="48"/>
      <c r="CB52" s="48"/>
      <c r="CD52" s="119"/>
      <c r="CE52" s="129"/>
      <c r="CF52" s="119"/>
      <c r="CG52" s="119"/>
      <c r="CN52" s="51"/>
    </row>
    <row r="53" spans="1:92" s="115" customFormat="1" ht="11.25" customHeight="1" x14ac:dyDescent="0.2">
      <c r="A53" s="88" t="s">
        <v>85</v>
      </c>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88"/>
      <c r="AM53" s="88"/>
      <c r="AN53" s="88"/>
      <c r="AO53" s="88"/>
      <c r="AP53" s="88"/>
      <c r="AQ53" s="88"/>
      <c r="AR53" s="88"/>
      <c r="AS53" s="88"/>
      <c r="AT53" s="88"/>
      <c r="AU53" s="88"/>
      <c r="AV53" s="88"/>
      <c r="AW53" s="90"/>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91"/>
      <c r="BW53" s="92"/>
      <c r="BX53" s="93"/>
      <c r="BY53" s="107"/>
      <c r="BZ53" s="95"/>
      <c r="CA53" s="114"/>
      <c r="CB53" s="96"/>
      <c r="CD53" s="48"/>
      <c r="CE53" s="69"/>
      <c r="CF53" s="48"/>
      <c r="CG53" s="48"/>
      <c r="CN53" s="116"/>
    </row>
    <row r="54" spans="1:92" s="120" customFormat="1" ht="11.25" customHeight="1" x14ac:dyDescent="0.2">
      <c r="A54" s="389" t="str">
        <f>BY54</f>
        <v>BYMA</v>
      </c>
      <c r="B54" s="288"/>
      <c r="C54" s="289">
        <f>+VLOOKUP(A54,[1]ARS!A:EL,MATCH("Last",[1]ARS!$4:$4,0),FALSE)</f>
        <v>315</v>
      </c>
      <c r="D54" s="289"/>
      <c r="E54" s="132">
        <f>+VLOOKUP(A54,'[1]Market Cap'!I:J,2,FALSE)</f>
        <v>1</v>
      </c>
      <c r="F54" s="326">
        <f>IFERROR(IF(VLOOKUP(A54,[1]ARS!A:EL,MATCH("Total Debt To Total Equity, Percent FQ0",[1]ARS!$4:$4,0),FALSE)="NULL",IF(VLOOKUP(A54,[1]ARS!A:EL,MATCH("Total Debt To Total Equity, Percent FQ-1",[1]ARS!$4:$4,0),FALSE)="NULL","-",VLOOKUP(A54,[1]ARS!A:EL,MATCH("Total Debt To Total Equity, Percent FQ-1",[1]ARS!$4:$4,0))),VLOOKUP(A54,[1]ARS!A:EL,MATCH("Total Debt To Total Equity, Percent FQ0",[1]ARS!$4:$4,0),FALSE))/100,"-")</f>
        <v>1.3175407836499999</v>
      </c>
      <c r="G54" s="326"/>
      <c r="H54" s="326"/>
      <c r="I54" s="281">
        <f>IFERROR(VLOOKUP(A54,[1]ARS!A:EC,MATCH("Financial Leverage",[1]ARS!$4:$4,0),FALSE),"-")</f>
        <v>4.1469937896178344</v>
      </c>
      <c r="J54" s="281"/>
      <c r="K54" s="281"/>
      <c r="L54" s="282">
        <f>+IFERROR(IF(VLOOKUP(A54,[1]ARS!A:EL,MATCH("Curr Ratio FQ0",[1]ARS!$4:$4,0),FALSE)="NULL",IF(VLOOKUP(A54,[1]ARS!A:EL,MATCH("Curr Ratio FQ-1",[1]ARS!$4:$4,0),FALSE)="NULL","-",VLOOKUP(A54,[1]ARS!A:EL,MATCH("Curr Ratio FQ-1",[1]ARS!$4:$4,0),FALSE)),VLOOKUP(A54,[1]ARS!A:EL,MATCH("Curr Ratio FQ0",[1]ARS!$4:$4,0),FALSE)),"-")</f>
        <v>1.2049700000000001</v>
      </c>
      <c r="M54" s="293"/>
      <c r="N54" s="294"/>
      <c r="O54" s="282">
        <f>+IFERROR(IF(VLOOKUP(A54,[1]ARS!A:EL,MATCH("Quick Ratio FQ0",[1]ARS!$4:$4,0),FALSE)="NULL",IF(VLOOKUP(A54,[1]ARS!A:EL,MATCH("Quick Ratio FQ-1",[1]ARS!$4:$4,0),FALSE)="NULL","-",VLOOKUP(A54,[1]ARS!A:EL,MATCH("Quick Ratio FQ-1",[1]ARS!$4:$4,0),FALSE)),VLOOKUP(A54,[1]ARS!A:EL,MATCH("Quick Ratio FQ0",[1]ARS!$4:$4,0),FALSE)),"-")</f>
        <v>1.2049700000000001</v>
      </c>
      <c r="P54" s="293"/>
      <c r="Q54" s="294"/>
      <c r="R54" s="295" t="str">
        <f>+IFERROR(IF(VLOOKUP(A54,[1]ARS!$A:$EL,MATCH("Dividend yield",[1]ARS!$4:$4,0),FALSE)="NULL","-",VLOOKUP(A54,[1]ARS!$A:$EL,MATCH("Dividend Yield",[1]ARS!$4:$4,0),FALSE)/100),"-")</f>
        <v>-</v>
      </c>
      <c r="S54" s="296"/>
      <c r="T54" s="297"/>
      <c r="U54" s="281">
        <f>IF(IFERROR(VLOOKUP(A54,[1]ARS!A:EL,MATCH("Asset Turnover",[1]ARS!$4:$4,0),FALSE),"-")=0,"-",IFERROR(VLOOKUP(A54,[1]ARS!A:EL,MATCH("Asset Turnover",[1]ARS!$4:$4,0),FALSE),"-"))</f>
        <v>5.6903565850538324E-2</v>
      </c>
      <c r="V54" s="281"/>
      <c r="W54" s="281"/>
      <c r="X54" s="284" t="str">
        <f>IFERROR(VLOOKUP(A54,[1]ARS!A:EL,MATCH("CCC",[1]ARS!$4:$4,0),FALSE),"-")</f>
        <v>-</v>
      </c>
      <c r="Y54" s="284"/>
      <c r="Z54" s="284"/>
      <c r="AA54" s="283" t="str">
        <f>IF(IFERROR(VLOOKUP(A54,[1]ARS!A:EL,MATCH("Gross Margin, Percent",[1]ARS!$4:$4,0),FALSE)/100,"-")&lt;0,"-",IFERROR(VLOOKUP(A54,[1]ARS!A:EL,MATCH("Gross Margin, Percent",[1]ARS!$4:$4,0),FALSE)/100,"-"))</f>
        <v>-</v>
      </c>
      <c r="AB54" s="283"/>
      <c r="AC54" s="283"/>
      <c r="AD54" s="380" t="str">
        <f>IF(IFERROR(VLOOKUP(A54,[1]ARS!A:EL,MATCH("Operating Margin, Percent",[1]ARS!$4:$4,0),FALSE)/100,"-")&lt;0,"-",IFERROR(VLOOKUP(A54,[1]ARS!A:EL,MATCH("Operating Margin, Percent",[1]ARS!$4:$4,0),FALSE)/100,"-"))</f>
        <v>-</v>
      </c>
      <c r="AE54" s="381"/>
      <c r="AF54" s="382"/>
      <c r="AG54" s="283">
        <f>IF(IFERROR(VLOOKUP(A54,[1]ARS!A:EL,MATCH("Net Profit Margin",[1]ARS!$4:$4,0),FALSE),"-")&lt;0,"-",IFERROR(VLOOKUP(A54,[1]ARS!A:EL,MATCH("Net Profit Margin",[1]ARS!$4:$4,0),FALSE),"-"))</f>
        <v>1.0703460793085995</v>
      </c>
      <c r="AH54" s="283"/>
      <c r="AI54" s="283"/>
      <c r="AJ54" s="283" t="str">
        <f>IFERROR(VLOOKUP(A54,[1]ARS!A:EL,MATCH("FCF/Revenue",[1]ARS!$4:$4,0),FALSE),"-")</f>
        <v>-</v>
      </c>
      <c r="AK54" s="283"/>
      <c r="AL54" s="283"/>
      <c r="AM54" s="283">
        <f>IFERROR(IF(VLOOKUP(A54,[1]ARS!A:EL,MATCH("ROE",[1]ARS!$4:$4,0),FALSE)&lt;-5,"-",VLOOKUP(A54,[1]ARS!A:EL,MATCH("ROE",[1]ARS!$4:$4,0),FALSE)),"-")</f>
        <v>0.23474057129563911</v>
      </c>
      <c r="AN54" s="283"/>
      <c r="AO54" s="283"/>
      <c r="AP54" s="283">
        <f>IFERROR(VLOOKUP(A54,[1]ARS!A:EL,MATCH("ROA",[1]ARS!$4:$4,0),FALSE),"-")</f>
        <v>4.5679924156583195E-2</v>
      </c>
      <c r="AQ54" s="283"/>
      <c r="AR54" s="283"/>
      <c r="AS54" s="40" t="str">
        <f>+VLOOKUP(A54,[1]ARS!$A$5:$EL$85,MATCH("Last Q y/y",[1]ARS!$4:$4,0),FALSE)</f>
        <v>-</v>
      </c>
      <c r="AT54" s="40" t="str">
        <f>+VLOOKUP(A54,[1]ARS!$A$5:$EL$99,MATCH("Last 5 yrs - Annual",[1]ARS!$4:$4,0),FALSE)</f>
        <v>-</v>
      </c>
      <c r="AU54" s="41" t="str">
        <f>+VLOOKUP(A54,[1]ARS!$A$5:$EL$84,MATCH("Desvio",[1]ARS!$4:$4,0),FALSE)</f>
        <v>-</v>
      </c>
      <c r="AV54" s="42">
        <f>+IFERROR(VLOOKUP(A54,'[1]Prom. Vtas Ult 5 años'!$A$3:$D$81,3,FALSE),"-")</f>
        <v>136.56607</v>
      </c>
      <c r="AW54" s="40" t="str">
        <f>+IFERROR(VLOOKUP(A54,'[1]Prom. Vtas Ult 5 años'!$A$3:$D$81,4,FALSE),"-")</f>
        <v>-</v>
      </c>
      <c r="AX54" s="281">
        <f>IFERROR((VLOOKUP(A54,[1]ARS!A:EL,MATCH("Enterprise Value (Daily Time Series)",[1]ARS!$4:$4,0),FALSE)/1000000000),"-")</f>
        <v>19.72728463</v>
      </c>
      <c r="AY54" s="281"/>
      <c r="AZ54" s="281"/>
      <c r="BA54" s="281">
        <f>IFERROR((VLOOKUP(A54,[1]ARS!A:EL,MATCH("Company Market Cap",[1]ARS!$4:$4,0),FALSE)/1000000000),"-")</f>
        <v>23.79</v>
      </c>
      <c r="BB54" s="281"/>
      <c r="BC54" s="281"/>
      <c r="BD54" s="282" t="str">
        <f>IF(VLOOKUP(A54,[1]ARS!A:EL,MATCH("Enterprise Value To EBITDA (Daily Time Series Ratio)",[1]ARS!$4:$4,0),FALSE)="NULL","-",VLOOKUP(A54,[1]ARS!A:EL,MATCH("Enterprise Value To EBITDA (Daily Time Series Ratio)",[1]ARS!$4:$4,0),FALSE))</f>
        <v>-</v>
      </c>
      <c r="BE54" s="293"/>
      <c r="BF54" s="294"/>
      <c r="BG54" s="281">
        <f>IF(OR(IFERROR(VLOOKUP(A54,[1]ARS!A:EL,MATCH("Price To Tangible Book Value",[1]ARS!$4:$4,0),FALSE),"-")&lt;0,IFERROR(VLOOKUP(A54,[1]ARS!A:EL,MATCH("Price To Tangible Book Value",[1]ARS!$4:$4,0),FALSE),"-")&gt;100),"-",IFERROR(VLOOKUP(A54,[1]ARS!A:EL,MATCH("Price To Tangible Book Value",[1]ARS!$4:$4,0),FALSE),"-"))</f>
        <v>7.8990197024361919</v>
      </c>
      <c r="BH54" s="281"/>
      <c r="BI54" s="281"/>
      <c r="BJ54" s="281">
        <f>IF(OR(IFERROR(VLOOKUP(A54,[1]ARS!A:EL,MATCH("P/E (Daily Time Series Ratio)",[1]ARS!$4:$4,0),FALSE),"-")&lt;0,IFERROR(VLOOKUP(A54,[1]ARS!A:EL,MATCH("P/E (Daily Time Series Ratio)",[1]ARS!$4:$4,0),FALSE),"-")&gt;500),"-",IFERROR(VLOOKUP(A54,[1]ARS!A:EL,MATCH("P/E (Daily Time Series Ratio)",[1]ARS!$4:$4,0),FALSE),"-"))</f>
        <v>33.067151511588726</v>
      </c>
      <c r="BK54" s="281"/>
      <c r="BL54" s="281"/>
      <c r="BM54" s="281">
        <f>IF(OR(IFERROR(VLOOKUP(A54,[1]ARS!A:EC,MATCH("Price To Sales",[1]ARS!$4:$4,0),FALSE),"-")&lt;0,IFERROR(VLOOKUP(A54,[1]ARS!A:EC,MATCH("Price To Sales",[1]ARS!$4:$4,0),FALSE),"-")&gt;100),"-",IFERROR(VLOOKUP(A54,[1]ARS!A:EC,MATCH("Price To Sales",[1]ARS!$4:$4,0),FALSE),"-"))</f>
        <v>36.348230347673805</v>
      </c>
      <c r="BN54" s="281"/>
      <c r="BO54" s="281"/>
      <c r="BP54" s="281" t="str">
        <f>+IFERROR(IF(VLOOKUP(A54,[1]ARS!A:EO,MATCH("Price to Free Cash Flow",[1]ARS!$4:$4,0),FALSE)="NULL","-",VLOOKUP(A54,[1]ARS!A:EO,MATCH("Price to Free Cash Flow",[1]ARS!$4:$4,0),FALSE)),"-")</f>
        <v>-</v>
      </c>
      <c r="BQ54" s="281"/>
      <c r="BR54" s="282"/>
      <c r="BS54" s="43">
        <f>IF(VLOOKUP(A54,[1]ARS!A:EE,MATCH("Daily Beta - 180 Day",[1]ARS!$4:$4,0),FALSE)="NULL","-",VLOOKUP(A54,[1]ARS!A:EE,MATCH("Daily Beta - 180 Day",[1]ARS!$4:$4,0),FALSE))</f>
        <v>0.68356364022786797</v>
      </c>
      <c r="BT54" s="40" t="str">
        <f>+VLOOKUP(A54,[1]ARS!$A:$EH,MATCH("Volatilidad histórica",[1]ARS!$4:$4,0),FALSE)</f>
        <v>-</v>
      </c>
      <c r="BU54" s="44" t="str">
        <f>+VLOOKUP(A54,[1]ARS!$A$5:$EM$85,MATCH("Rto Medio",[1]ARS!$4:$4,0),FALSE)</f>
        <v>-</v>
      </c>
      <c r="BV54" s="45">
        <f>+IF(VLOOKUP(Template!A54,[1]ARS!A:AA,MATCH("Period End Date",[1]ARS!$3:$3,0),FALSE)="","-",VLOOKUP(Template!A54,[1]ARS!A:AA,MATCH("Period End Date",[1]ARS!$3:$3,0),FALSE))</f>
        <v>43008</v>
      </c>
      <c r="BW54" s="46" t="str">
        <f t="shared" ref="BW54:BW62" si="16">+BY54</f>
        <v>BYMA</v>
      </c>
      <c r="BX54" s="4"/>
      <c r="BY54" s="119" t="s">
        <v>86</v>
      </c>
      <c r="BZ54" s="48" t="s">
        <v>49</v>
      </c>
      <c r="CA54" s="48">
        <v>1.7808486796091925</v>
      </c>
      <c r="CB54" s="48">
        <v>12.671719564187589</v>
      </c>
      <c r="CC54" s="128"/>
      <c r="CD54" s="119" t="s">
        <v>86</v>
      </c>
      <c r="CE54" s="119" t="s">
        <v>49</v>
      </c>
      <c r="CF54" s="129">
        <v>1.7808486796091925</v>
      </c>
      <c r="CG54" s="119">
        <v>12.671719564187589</v>
      </c>
      <c r="CN54" s="121"/>
    </row>
    <row r="55" spans="1:92" s="120" customFormat="1" ht="11.25" customHeight="1" x14ac:dyDescent="0.2">
      <c r="A55" s="330" t="str">
        <f t="shared" ref="A55:A62" si="17">BY55</f>
        <v>BHIP</v>
      </c>
      <c r="B55" s="330"/>
      <c r="C55" s="331">
        <f>+VLOOKUP(A55,[1]ARS!A:EL,MATCH("Last",[1]ARS!$4:$4,0),FALSE)</f>
        <v>17.2</v>
      </c>
      <c r="D55" s="331"/>
      <c r="E55" s="133">
        <f>+VLOOKUP(A55,'[1]Market Cap'!I:J,2,FALSE)</f>
        <v>1</v>
      </c>
      <c r="F55" s="332">
        <f>IFERROR(IF(VLOOKUP(A55,[1]ARS!A:EL,MATCH("Total Debt To Total Equity, Percent FQ0",[1]ARS!$4:$4,0),FALSE)="NULL",IF(VLOOKUP(A55,[1]ARS!A:EL,MATCH("Total Debt To Total Equity, Percent FQ-1",[1]ARS!$4:$4,0),FALSE)="NULL","-",VLOOKUP(A55,[1]ARS!A:EL,MATCH("Total Debt To Total Equity, Percent FQ-1",[1]ARS!$4:$4,0))),VLOOKUP(A55,[1]ARS!A:EL,MATCH("Total Debt To Total Equity, Percent FQ0",[1]ARS!$4:$4,0),FALSE))/100,"-")</f>
        <v>7.2536739109999998E-2</v>
      </c>
      <c r="G55" s="332"/>
      <c r="H55" s="332"/>
      <c r="I55" s="324">
        <f>IFERROR(VLOOKUP(A55,[1]ARS!A:EC,MATCH("Financial Leverage",[1]ARS!$4:$4,0),FALSE),"-")</f>
        <v>7.7363185967634145</v>
      </c>
      <c r="J55" s="324"/>
      <c r="K55" s="324"/>
      <c r="L55" s="325" t="str">
        <f>+IFERROR(IF(VLOOKUP(A55,[1]ARS!A:EL,MATCH("Curr Ratio FQ0",[1]ARS!$4:$4,0),FALSE)="NULL",IF(VLOOKUP(A55,[1]ARS!A:EL,MATCH("Curr Ratio FQ-1",[1]ARS!$4:$4,0),FALSE)="NULL","-",VLOOKUP(A55,[1]ARS!A:EL,MATCH("Curr Ratio FQ-1",[1]ARS!$4:$4,0),FALSE)),VLOOKUP(A55,[1]ARS!A:EL,MATCH("Curr Ratio FQ0",[1]ARS!$4:$4,0),FALSE)),"-")</f>
        <v>-</v>
      </c>
      <c r="M55" s="333"/>
      <c r="N55" s="334"/>
      <c r="O55" s="325" t="str">
        <f>+IFERROR(IF(VLOOKUP(A55,[1]ARS!A:EL,MATCH("Quick Ratio FQ0",[1]ARS!$4:$4,0),FALSE)="NULL",IF(VLOOKUP(A55,[1]ARS!A:EL,MATCH("Quick Ratio FQ-1",[1]ARS!$4:$4,0),FALSE)="NULL","-",VLOOKUP(A55,[1]ARS!A:EL,MATCH("Quick Ratio FQ-1",[1]ARS!$4:$4,0),FALSE)),VLOOKUP(A55,[1]ARS!A:EL,MATCH("Quick Ratio FQ0",[1]ARS!$4:$4,0),FALSE)),"-")</f>
        <v>-</v>
      </c>
      <c r="P55" s="333"/>
      <c r="Q55" s="334"/>
      <c r="R55" s="335" t="str">
        <f>+IFERROR(IF(VLOOKUP(A55,[1]ARS!$A:$EL,MATCH("Dividend yield",[1]ARS!$4:$4,0),FALSE)="NULL","-",VLOOKUP(A55,[1]ARS!$A:$EL,MATCH("Dividend Yield",[1]ARS!$4:$4,0),FALSE)/100),"-")</f>
        <v>-</v>
      </c>
      <c r="S55" s="336"/>
      <c r="T55" s="337"/>
      <c r="U55" s="324" t="str">
        <f>IF(IFERROR(VLOOKUP(A55,[1]ARS!A:EL,MATCH("Asset Turnover",[1]ARS!$4:$4,0),FALSE),"-")=0,"-",IFERROR(VLOOKUP(A55,[1]ARS!A:EL,MATCH("Asset Turnover",[1]ARS!$4:$4,0),FALSE),"-"))</f>
        <v>-</v>
      </c>
      <c r="V55" s="324"/>
      <c r="W55" s="324"/>
      <c r="X55" s="328" t="str">
        <f>IFERROR(VLOOKUP(A55,[1]ARS!A:EL,MATCH("CCC",[1]ARS!$4:$4,0),FALSE),"-")</f>
        <v>-</v>
      </c>
      <c r="Y55" s="328"/>
      <c r="Z55" s="328"/>
      <c r="AA55" s="327" t="str">
        <f>IF(IFERROR(VLOOKUP(A55,[1]ARS!A:EL,MATCH("Gross Margin, Percent",[1]ARS!$4:$4,0),FALSE)/100,"-")&lt;0,"-",IFERROR(VLOOKUP(A55,[1]ARS!A:EL,MATCH("Gross Margin, Percent",[1]ARS!$4:$4,0),FALSE)/100,"-"))</f>
        <v>-</v>
      </c>
      <c r="AB55" s="327"/>
      <c r="AC55" s="327"/>
      <c r="AD55" s="383" t="str">
        <f>IF(IFERROR(VLOOKUP(A55,[1]ARS!A:EL,MATCH("Operating Margin, Percent",[1]ARS!$4:$4,0),FALSE)/100,"-")&lt;0,"-",IFERROR(VLOOKUP(A55,[1]ARS!A:EL,MATCH("Operating Margin, Percent",[1]ARS!$4:$4,0),FALSE)/100,"-"))</f>
        <v>-</v>
      </c>
      <c r="AE55" s="384"/>
      <c r="AF55" s="385"/>
      <c r="AG55" s="327" t="str">
        <f>IF(IFERROR(VLOOKUP(A55,[1]ARS!A:EL,MATCH("Net Profit Margin",[1]ARS!$4:$4,0),FALSE),"-")&lt;0,"-",IFERROR(VLOOKUP(A55,[1]ARS!A:EL,MATCH("Net Profit Margin",[1]ARS!$4:$4,0),FALSE),"-"))</f>
        <v>-</v>
      </c>
      <c r="AH55" s="327"/>
      <c r="AI55" s="327"/>
      <c r="AJ55" s="327" t="str">
        <f>IFERROR(VLOOKUP(A55,[1]ARS!A:EL,MATCH("FCF/Revenue",[1]ARS!$4:$4,0),FALSE),"-")</f>
        <v>-</v>
      </c>
      <c r="AK55" s="327"/>
      <c r="AL55" s="327"/>
      <c r="AM55" s="329">
        <f>IFERROR(IF(VLOOKUP(A55,[1]ARS!A:EL,MATCH("ROE",[1]ARS!$4:$4,0),FALSE)&lt;-5,"-",VLOOKUP(A55,[1]ARS!A:EL,MATCH("ROE",[1]ARS!$4:$4,0),FALSE)),"-")</f>
        <v>0.19036590319957919</v>
      </c>
      <c r="AN55" s="329"/>
      <c r="AO55" s="329"/>
      <c r="AP55" s="327">
        <f>IFERROR(VLOOKUP(A55,[1]ARS!A:EL,MATCH("ROA",[1]ARS!$4:$4,0),FALSE),"-")</f>
        <v>2.2791639349641939E-2</v>
      </c>
      <c r="AQ55" s="327"/>
      <c r="AR55" s="327"/>
      <c r="AS55" s="53">
        <f>+VLOOKUP(A55,[1]ARS!$A$5:$EL$85,MATCH("Last Q y/y",[1]ARS!$4:$4,0),FALSE)</f>
        <v>3.6918875626019245</v>
      </c>
      <c r="AT55" s="53">
        <f>+VLOOKUP(A55,[1]ARS!$A$5:$EL$99,MATCH("Last 5 yrs - Annual",[1]ARS!$4:$4,0),FALSE)</f>
        <v>0.28774737979622966</v>
      </c>
      <c r="AU55" s="54">
        <f>+VLOOKUP(A55,[1]ARS!$A$5:$EL$84,MATCH("Desvio",[1]ARS!$4:$4,0),FALSE)</f>
        <v>0.50042503253677961</v>
      </c>
      <c r="AV55" s="55">
        <f>+IFERROR(VLOOKUP(A55,'[1]Prom. Vtas Ult 5 años'!$A$3:$D$81,3,FALSE),"-")</f>
        <v>164.15563157894735</v>
      </c>
      <c r="AW55" s="56">
        <f>+IFERROR(VLOOKUP(A55,'[1]Prom. Vtas Ult 5 años'!$A$3:$D$81,4,FALSE),"-")</f>
        <v>1.7026209620221235</v>
      </c>
      <c r="AX55" s="324">
        <f>IFERROR((VLOOKUP(A55,[1]ARS!A:EL,MATCH("Enterprise Value (Daily Time Series)",[1]ARS!$4:$4,0),FALSE)/1000000000),"-")</f>
        <v>8.7978983050000092</v>
      </c>
      <c r="AY55" s="324"/>
      <c r="AZ55" s="324"/>
      <c r="BA55" s="324">
        <f>IFERROR((VLOOKUP(A55,[1]ARS!A:EL,MATCH("Company Market Cap",[1]ARS!$4:$4,0),FALSE)/1000000000),"-")</f>
        <v>24.45</v>
      </c>
      <c r="BB55" s="324"/>
      <c r="BC55" s="324"/>
      <c r="BD55" s="325">
        <f>IF(VLOOKUP(A55,[1]ARS!A:EL,MATCH("Enterprise Value To EBITDA (Daily Time Series Ratio)",[1]ARS!$4:$4,0),FALSE)="NULL","-",VLOOKUP(A55,[1]ARS!A:EL,MATCH("Enterprise Value To EBITDA (Daily Time Series Ratio)",[1]ARS!$4:$4,0),FALSE))</f>
        <v>2.43231794036301</v>
      </c>
      <c r="BE55" s="333"/>
      <c r="BF55" s="334"/>
      <c r="BG55" s="324">
        <f>IF(OR(IFERROR(VLOOKUP(A55,[1]ARS!A:EL,MATCH("Price To Tangible Book Value",[1]ARS!$4:$4,0),FALSE),"-")&lt;0,IFERROR(VLOOKUP(A55,[1]ARS!A:EL,MATCH("Price To Tangible Book Value",[1]ARS!$4:$4,0),FALSE),"-")&gt;100),"-",IFERROR(VLOOKUP(A55,[1]ARS!A:EL,MATCH("Price To Tangible Book Value",[1]ARS!$4:$4,0),FALSE),"-"))</f>
        <v>3.7004032455790399</v>
      </c>
      <c r="BH55" s="324"/>
      <c r="BI55" s="324"/>
      <c r="BJ55" s="324">
        <f>IF(OR(IFERROR(VLOOKUP(A55,[1]ARS!A:EL,MATCH("P/E (Daily Time Series Ratio)",[1]ARS!$4:$4,0),FALSE),"-")&lt;0,IFERROR(VLOOKUP(A55,[1]ARS!A:EL,MATCH("P/E (Daily Time Series Ratio)",[1]ARS!$4:$4,0),FALSE),"-")&gt;500),"-",IFERROR(VLOOKUP(A55,[1]ARS!A:EL,MATCH("P/E (Daily Time Series Ratio)",[1]ARS!$4:$4,0),FALSE),"-"))</f>
        <v>20.175243099949562</v>
      </c>
      <c r="BK55" s="324"/>
      <c r="BL55" s="324"/>
      <c r="BM55" s="324" t="str">
        <f>IF(OR(IFERROR(VLOOKUP(A55,[1]ARS!A:EC,MATCH("Price To Sales",[1]ARS!$4:$4,0),FALSE),"-")&lt;0,IFERROR(VLOOKUP(A55,[1]ARS!A:EC,MATCH("Price To Sales",[1]ARS!$4:$4,0),FALSE),"-")&gt;100),"-",IFERROR(VLOOKUP(A55,[1]ARS!A:EC,MATCH("Price To Sales",[1]ARS!$4:$4,0),FALSE),"-"))</f>
        <v>-</v>
      </c>
      <c r="BN55" s="324"/>
      <c r="BO55" s="324"/>
      <c r="BP55" s="324">
        <f>+IFERROR(IF(VLOOKUP(A55,[1]ARS!A:EO,MATCH("Price to Free Cash Flow",[1]ARS!$4:$4,0),FALSE)="NULL","-",VLOOKUP(A55,[1]ARS!A:EO,MATCH("Price to Free Cash Flow",[1]ARS!$4:$4,0),FALSE)),"-")</f>
        <v>27.893061625600001</v>
      </c>
      <c r="BQ55" s="324"/>
      <c r="BR55" s="325"/>
      <c r="BS55" s="57">
        <f>IF(VLOOKUP(A55,[1]ARS!A:EE,MATCH("Daily Beta - 180 Day",[1]ARS!$4:$4,0),FALSE)="NULL","-",VLOOKUP(A55,[1]ARS!A:EE,MATCH("Daily Beta - 180 Day",[1]ARS!$4:$4,0),FALSE))</f>
        <v>1.0394296319117899</v>
      </c>
      <c r="BT55" s="53">
        <f>+VLOOKUP(A55,[1]ARS!$A:$EH,MATCH("Volatilidad histórica",[1]ARS!$4:$4,0),FALSE)</f>
        <v>0.52798765582341256</v>
      </c>
      <c r="BU55" s="56">
        <f>+VLOOKUP(A55,[1]ARS!$A$5:$EM$85,MATCH("Rto Medio",[1]ARS!$4:$4,0),FALSE)</f>
        <v>4.850738737404936E-2</v>
      </c>
      <c r="BV55" s="58">
        <f>+IF(VLOOKUP(Template!A55,[1]ARS!A:AA,MATCH("Period End Date",[1]ARS!$3:$3,0),FALSE)="","-",VLOOKUP(Template!A55,[1]ARS!A:AA,MATCH("Period End Date",[1]ARS!$3:$3,0),FALSE))</f>
        <v>43008</v>
      </c>
      <c r="BW55" s="59" t="str">
        <f t="shared" si="16"/>
        <v>BHIP</v>
      </c>
      <c r="BX55" s="4"/>
      <c r="BY55" s="119" t="s">
        <v>87</v>
      </c>
      <c r="BZ55" s="48" t="s">
        <v>49</v>
      </c>
      <c r="CA55" s="48">
        <v>3.5144911752944745</v>
      </c>
      <c r="CB55" s="48">
        <v>9.8350434893329304</v>
      </c>
      <c r="CC55" s="128"/>
      <c r="CD55" s="119" t="s">
        <v>87</v>
      </c>
      <c r="CE55" s="119" t="s">
        <v>49</v>
      </c>
      <c r="CF55" s="129">
        <v>3.5144911752944745</v>
      </c>
      <c r="CG55" s="119">
        <v>9.8350434893329304</v>
      </c>
      <c r="CN55" s="121"/>
    </row>
    <row r="56" spans="1:92" s="120" customFormat="1" ht="11.25" customHeight="1" x14ac:dyDescent="0.2">
      <c r="A56" s="288" t="str">
        <f t="shared" si="17"/>
        <v>BPAT</v>
      </c>
      <c r="B56" s="288"/>
      <c r="C56" s="289">
        <f>+VLOOKUP(A56,[1]ARS!A:EL,MATCH("Last",[1]ARS!$4:$4,0),FALSE)</f>
        <v>63.1</v>
      </c>
      <c r="D56" s="289"/>
      <c r="E56" s="132">
        <f>+VLOOKUP(A56,'[1]Market Cap'!I:J,2,FALSE)</f>
        <v>1</v>
      </c>
      <c r="F56" s="326">
        <f>IFERROR(IF(VLOOKUP(A56,[1]ARS!A:EL,MATCH("Total Debt To Total Equity, Percent FQ0",[1]ARS!$4:$4,0),FALSE)="NULL",IF(VLOOKUP(A56,[1]ARS!A:EL,MATCH("Total Debt To Total Equity, Percent FQ-1",[1]ARS!$4:$4,0),FALSE)="NULL","-",VLOOKUP(A56,[1]ARS!A:EL,MATCH("Total Debt To Total Equity, Percent FQ-1",[1]ARS!$4:$4,0))),VLOOKUP(A56,[1]ARS!A:EL,MATCH("Total Debt To Total Equity, Percent FQ0",[1]ARS!$4:$4,0),FALSE))/100,"-")</f>
        <v>0.92555159686999999</v>
      </c>
      <c r="G56" s="326"/>
      <c r="H56" s="326"/>
      <c r="I56" s="281">
        <f>IFERROR(VLOOKUP(A56,[1]ARS!A:EC,MATCH("Financial Leverage",[1]ARS!$4:$4,0),FALSE),"-")</f>
        <v>8.3432519248022103</v>
      </c>
      <c r="J56" s="281"/>
      <c r="K56" s="281"/>
      <c r="L56" s="282" t="str">
        <f>+IFERROR(IF(VLOOKUP(A56,[1]ARS!A:EL,MATCH("Curr Ratio FQ0",[1]ARS!$4:$4,0),FALSE)="NULL",IF(VLOOKUP(A56,[1]ARS!A:EL,MATCH("Curr Ratio FQ-1",[1]ARS!$4:$4,0),FALSE)="NULL","-",VLOOKUP(A56,[1]ARS!A:EL,MATCH("Curr Ratio FQ-1",[1]ARS!$4:$4,0),FALSE)),VLOOKUP(A56,[1]ARS!A:EL,MATCH("Curr Ratio FQ0",[1]ARS!$4:$4,0),FALSE)),"-")</f>
        <v>-</v>
      </c>
      <c r="M56" s="293"/>
      <c r="N56" s="294"/>
      <c r="O56" s="282" t="str">
        <f>+IFERROR(IF(VLOOKUP(A56,[1]ARS!A:EL,MATCH("Quick Ratio FQ0",[1]ARS!$4:$4,0),FALSE)="NULL",IF(VLOOKUP(A56,[1]ARS!A:EL,MATCH("Quick Ratio FQ-1",[1]ARS!$4:$4,0),FALSE)="NULL","-",VLOOKUP(A56,[1]ARS!A:EL,MATCH("Quick Ratio FQ-1",[1]ARS!$4:$4,0),FALSE)),VLOOKUP(A56,[1]ARS!A:EL,MATCH("Quick Ratio FQ0",[1]ARS!$4:$4,0),FALSE)),"-")</f>
        <v>-</v>
      </c>
      <c r="P56" s="293"/>
      <c r="Q56" s="294"/>
      <c r="R56" s="295" t="str">
        <f>+IFERROR(IF(VLOOKUP(A56,[1]ARS!$A:$EL,MATCH("Dividend yield",[1]ARS!$4:$4,0),FALSE)="NULL","-",VLOOKUP(A56,[1]ARS!$A:$EL,MATCH("Dividend Yield",[1]ARS!$4:$4,0),FALSE)/100),"-")</f>
        <v>-</v>
      </c>
      <c r="S56" s="296"/>
      <c r="T56" s="297"/>
      <c r="U56" s="281" t="str">
        <f>IF(IFERROR(VLOOKUP(A56,[1]ARS!A:EL,MATCH("Asset Turnover",[1]ARS!$4:$4,0),FALSE),"-")=0,"-",IFERROR(VLOOKUP(A56,[1]ARS!A:EL,MATCH("Asset Turnover",[1]ARS!$4:$4,0),FALSE),"-"))</f>
        <v>-</v>
      </c>
      <c r="V56" s="281"/>
      <c r="W56" s="281"/>
      <c r="X56" s="284" t="str">
        <f>IFERROR(VLOOKUP(A56,[1]ARS!A:EL,MATCH("CCC",[1]ARS!$4:$4,0),FALSE),"-")</f>
        <v>-</v>
      </c>
      <c r="Y56" s="284"/>
      <c r="Z56" s="284"/>
      <c r="AA56" s="283" t="str">
        <f>IF(IFERROR(VLOOKUP(A56,[1]ARS!A:EL,MATCH("Gross Margin, Percent",[1]ARS!$4:$4,0),FALSE)/100,"-")&lt;0,"-",IFERROR(VLOOKUP(A56,[1]ARS!A:EL,MATCH("Gross Margin, Percent",[1]ARS!$4:$4,0),FALSE)/100,"-"))</f>
        <v>-</v>
      </c>
      <c r="AB56" s="283"/>
      <c r="AC56" s="283"/>
      <c r="AD56" s="380" t="str">
        <f>IF(IFERROR(VLOOKUP(A56,[1]ARS!A:EL,MATCH("Operating Margin, Percent",[1]ARS!$4:$4,0),FALSE)/100,"-")&lt;0,"-",IFERROR(VLOOKUP(A56,[1]ARS!A:EL,MATCH("Operating Margin, Percent",[1]ARS!$4:$4,0),FALSE)/100,"-"))</f>
        <v>-</v>
      </c>
      <c r="AE56" s="381"/>
      <c r="AF56" s="382"/>
      <c r="AG56" s="283" t="str">
        <f>IF(IFERROR(VLOOKUP(A56,[1]ARS!A:EL,MATCH("Net Profit Margin",[1]ARS!$4:$4,0),FALSE),"-")&lt;0,"-",IFERROR(VLOOKUP(A56,[1]ARS!A:EL,MATCH("Net Profit Margin",[1]ARS!$4:$4,0),FALSE),"-"))</f>
        <v>-</v>
      </c>
      <c r="AH56" s="283"/>
      <c r="AI56" s="283"/>
      <c r="AJ56" s="283" t="str">
        <f>IFERROR(VLOOKUP(A56,[1]ARS!A:EL,MATCH("FCF/Revenue",[1]ARS!$4:$4,0),FALSE),"-")</f>
        <v>-</v>
      </c>
      <c r="AK56" s="283"/>
      <c r="AL56" s="283"/>
      <c r="AM56" s="283">
        <f>IFERROR(IF(VLOOKUP(A56,[1]ARS!A:EL,MATCH("ROE",[1]ARS!$4:$4,0),FALSE)&lt;-5,"-",VLOOKUP(A56,[1]ARS!A:EL,MATCH("ROE",[1]ARS!$4:$4,0),FALSE)),"-")</f>
        <v>0.350354853736489</v>
      </c>
      <c r="AN56" s="283"/>
      <c r="AO56" s="283"/>
      <c r="AP56" s="283">
        <f>IFERROR(VLOOKUP(A56,[1]ARS!A:EL,MATCH("ROA",[1]ARS!$4:$4,0),FALSE),"-")</f>
        <v>4.1887891723594237E-2</v>
      </c>
      <c r="AQ56" s="283"/>
      <c r="AR56" s="283"/>
      <c r="AS56" s="40">
        <f>+VLOOKUP(A56,[1]ARS!$A$5:$EL$85,MATCH("Last Q y/y",[1]ARS!$4:$4,0),FALSE)</f>
        <v>0.11845959607968082</v>
      </c>
      <c r="AT56" s="40">
        <f>+VLOOKUP(A56,[1]ARS!$A$5:$EL$99,MATCH("Last 5 yrs - Annual",[1]ARS!$4:$4,0),FALSE)</f>
        <v>0.42371143575055059</v>
      </c>
      <c r="AU56" s="41">
        <f>+VLOOKUP(A56,[1]ARS!$A$5:$EL$84,MATCH("Desvio",[1]ARS!$4:$4,0),FALSE)</f>
        <v>0.24041849682249197</v>
      </c>
      <c r="AV56" s="42">
        <f>+IFERROR(VLOOKUP(A56,'[1]Prom. Vtas Ult 5 años'!$A$3:$D$81,3,FALSE),"-")</f>
        <v>545.78952631578943</v>
      </c>
      <c r="AW56" s="40">
        <f>+IFERROR(VLOOKUP(A56,'[1]Prom. Vtas Ult 5 años'!$A$3:$D$81,4,FALSE),"-")</f>
        <v>1.0820655981295801</v>
      </c>
      <c r="AX56" s="281">
        <f>IFERROR((VLOOKUP(A56,[1]ARS!A:EL,MATCH("Enterprise Value (Daily Time Series)",[1]ARS!$4:$4,0),FALSE)/1000000000),"-")</f>
        <v>40.440822738050102</v>
      </c>
      <c r="AY56" s="281"/>
      <c r="AZ56" s="281"/>
      <c r="BA56" s="281" t="str">
        <f>IFERROR((VLOOKUP(A56,[1]ARS!A:EL,MATCH("Company Market Cap",[1]ARS!$4:$4,0),FALSE)/1000000000),"-")</f>
        <v>-</v>
      </c>
      <c r="BB56" s="281"/>
      <c r="BC56" s="281"/>
      <c r="BD56" s="282">
        <f>IF(VLOOKUP(A56,[1]ARS!A:EL,MATCH("Enterprise Value To EBITDA (Daily Time Series Ratio)",[1]ARS!$4:$4,0),FALSE)="NULL","-",VLOOKUP(A56,[1]ARS!A:EL,MATCH("Enterprise Value To EBITDA (Daily Time Series Ratio)",[1]ARS!$4:$4,0),FALSE))</f>
        <v>5.5429260651275198</v>
      </c>
      <c r="BE56" s="293"/>
      <c r="BF56" s="294"/>
      <c r="BG56" s="281" t="str">
        <f>IF(OR(IFERROR(VLOOKUP(A56,[1]ARS!A:EL,MATCH("Price To Tangible Book Value",[1]ARS!$4:$4,0),FALSE),"-")&lt;0,IFERROR(VLOOKUP(A56,[1]ARS!A:EL,MATCH("Price To Tangible Book Value",[1]ARS!$4:$4,0),FALSE),"-")&gt;100),"-",IFERROR(VLOOKUP(A56,[1]ARS!A:EL,MATCH("Price To Tangible Book Value",[1]ARS!$4:$4,0),FALSE),"-"))</f>
        <v>-</v>
      </c>
      <c r="BH56" s="281"/>
      <c r="BI56" s="281"/>
      <c r="BJ56" s="281">
        <f>IF(OR(IFERROR(VLOOKUP(A56,[1]ARS!A:EL,MATCH("P/E (Daily Time Series Ratio)",[1]ARS!$4:$4,0),FALSE),"-")&lt;0,IFERROR(VLOOKUP(A56,[1]ARS!A:EL,MATCH("P/E (Daily Time Series Ratio)",[1]ARS!$4:$4,0),FALSE),"-")&gt;500),"-",IFERROR(VLOOKUP(A56,[1]ARS!A:EL,MATCH("P/E (Daily Time Series Ratio)",[1]ARS!$4:$4,0),FALSE),"-"))</f>
        <v>13.443551995227647</v>
      </c>
      <c r="BK56" s="281"/>
      <c r="BL56" s="281"/>
      <c r="BM56" s="281" t="str">
        <f>IF(OR(IFERROR(VLOOKUP(A56,[1]ARS!A:EC,MATCH("Price To Sales",[1]ARS!$4:$4,0),FALSE),"-")&lt;0,IFERROR(VLOOKUP(A56,[1]ARS!A:EC,MATCH("Price To Sales",[1]ARS!$4:$4,0),FALSE),"-")&gt;100),"-",IFERROR(VLOOKUP(A56,[1]ARS!A:EC,MATCH("Price To Sales",[1]ARS!$4:$4,0),FALSE),"-"))</f>
        <v>-</v>
      </c>
      <c r="BN56" s="281"/>
      <c r="BO56" s="281"/>
      <c r="BP56" s="281">
        <f>+IFERROR(IF(VLOOKUP(A56,[1]ARS!A:EO,MATCH("Price to Free Cash Flow",[1]ARS!$4:$4,0),FALSE)="NULL","-",VLOOKUP(A56,[1]ARS!A:EO,MATCH("Price to Free Cash Flow",[1]ARS!$4:$4,0),FALSE)),"-")</f>
        <v>12.4450503025</v>
      </c>
      <c r="BQ56" s="281"/>
      <c r="BR56" s="282"/>
      <c r="BS56" s="43">
        <f>IF(VLOOKUP(A56,[1]ARS!A:EE,MATCH("Daily Beta - 180 Day",[1]ARS!$4:$4,0),FALSE)="NULL","-",VLOOKUP(A56,[1]ARS!A:EE,MATCH("Daily Beta - 180 Day",[1]ARS!$4:$4,0),FALSE))</f>
        <v>0.91440090094801296</v>
      </c>
      <c r="BT56" s="40">
        <f>+VLOOKUP(A56,[1]ARS!$A:$EH,MATCH("Volatilidad histórica",[1]ARS!$4:$4,0),FALSE)</f>
        <v>0.44019745811899641</v>
      </c>
      <c r="BU56" s="44">
        <f>+VLOOKUP(A56,[1]ARS!$A$5:$EM$85,MATCH("Rto Medio",[1]ARS!$4:$4,0),FALSE)</f>
        <v>0.17287419897306378</v>
      </c>
      <c r="BV56" s="45">
        <f>+IF(VLOOKUP(Template!A56,[1]ARS!A:AA,MATCH("Period End Date",[1]ARS!$3:$3,0),FALSE)="","-",VLOOKUP(Template!A56,[1]ARS!A:AA,MATCH("Period End Date",[1]ARS!$3:$3,0),FALSE))</f>
        <v>43008</v>
      </c>
      <c r="BW56" s="46" t="str">
        <f t="shared" si="16"/>
        <v>BPAT</v>
      </c>
      <c r="BX56" s="4"/>
      <c r="BY56" s="119" t="s">
        <v>88</v>
      </c>
      <c r="BZ56" s="48" t="s">
        <v>49</v>
      </c>
      <c r="CA56" s="48">
        <v>3.6677005721057552</v>
      </c>
      <c r="CB56" s="48">
        <v>17.266139347079935</v>
      </c>
      <c r="CC56" s="128"/>
      <c r="CD56" s="134" t="s">
        <v>88</v>
      </c>
      <c r="CE56" s="119" t="s">
        <v>49</v>
      </c>
      <c r="CF56" s="129">
        <v>3.6677005721057552</v>
      </c>
      <c r="CG56" s="119">
        <v>17.266139347079935</v>
      </c>
      <c r="CN56" s="121"/>
    </row>
    <row r="57" spans="1:92" s="120" customFormat="1" ht="11.25" customHeight="1" x14ac:dyDescent="0.2">
      <c r="A57" s="330" t="str">
        <f t="shared" si="17"/>
        <v>BMA</v>
      </c>
      <c r="B57" s="330"/>
      <c r="C57" s="331">
        <f>+VLOOKUP(A57,[1]ARS!A:EL,MATCH("Last",[1]ARS!$4:$4,0),FALSE)</f>
        <v>210</v>
      </c>
      <c r="D57" s="331"/>
      <c r="E57" s="133">
        <f>+VLOOKUP(A57,'[1]Market Cap'!I:J,2,FALSE)</f>
        <v>1</v>
      </c>
      <c r="F57" s="332">
        <f>IFERROR(IF(VLOOKUP(A57,[1]ARS!A:EL,MATCH("Total Debt To Total Equity, Percent FQ0",[1]ARS!$4:$4,0),FALSE)="NULL",IF(VLOOKUP(A57,[1]ARS!A:EL,MATCH("Total Debt To Total Equity, Percent FQ-1",[1]ARS!$4:$4,0),FALSE)="NULL","-",VLOOKUP(A57,[1]ARS!A:EL,MATCH("Total Debt To Total Equity, Percent FQ-1",[1]ARS!$4:$4,0))),VLOOKUP(A57,[1]ARS!A:EL,MATCH("Total Debt To Total Equity, Percent FQ0",[1]ARS!$4:$4,0),FALSE))/100,"-")</f>
        <v>0.36226686391999996</v>
      </c>
      <c r="G57" s="332"/>
      <c r="H57" s="332"/>
      <c r="I57" s="324">
        <f>IFERROR(VLOOKUP(A57,[1]ARS!A:EC,MATCH("Financial Leverage",[1]ARS!$4:$4,0),FALSE),"-")</f>
        <v>5.1433396087634211</v>
      </c>
      <c r="J57" s="324"/>
      <c r="K57" s="324"/>
      <c r="L57" s="325" t="str">
        <f>+IFERROR(IF(VLOOKUP(A57,[1]ARS!A:EL,MATCH("Curr Ratio FQ0",[1]ARS!$4:$4,0),FALSE)="NULL",IF(VLOOKUP(A57,[1]ARS!A:EL,MATCH("Curr Ratio FQ-1",[1]ARS!$4:$4,0),FALSE)="NULL","-",VLOOKUP(A57,[1]ARS!A:EL,MATCH("Curr Ratio FQ-1",[1]ARS!$4:$4,0),FALSE)),VLOOKUP(A57,[1]ARS!A:EL,MATCH("Curr Ratio FQ0",[1]ARS!$4:$4,0),FALSE)),"-")</f>
        <v>-</v>
      </c>
      <c r="M57" s="333"/>
      <c r="N57" s="334"/>
      <c r="O57" s="325" t="str">
        <f>+IFERROR(IF(VLOOKUP(A57,[1]ARS!A:EL,MATCH("Quick Ratio FQ0",[1]ARS!$4:$4,0),FALSE)="NULL",IF(VLOOKUP(A57,[1]ARS!A:EL,MATCH("Quick Ratio FQ-1",[1]ARS!$4:$4,0),FALSE)="NULL","-",VLOOKUP(A57,[1]ARS!A:EL,MATCH("Quick Ratio FQ-1",[1]ARS!$4:$4,0),FALSE)),VLOOKUP(A57,[1]ARS!A:EL,MATCH("Quick Ratio FQ0",[1]ARS!$4:$4,0),FALSE)),"-")</f>
        <v>-</v>
      </c>
      <c r="P57" s="333"/>
      <c r="Q57" s="334"/>
      <c r="R57" s="335">
        <f>+IFERROR(IF(VLOOKUP(A57,[1]ARS!$A:$EL,MATCH("Dividend yield",[1]ARS!$4:$4,0),FALSE)="NULL","-",VLOOKUP(A57,[1]ARS!$A:$EL,MATCH("Dividend Yield",[1]ARS!$4:$4,0),FALSE)/100),"-")</f>
        <v>6.9689336690176296E-3</v>
      </c>
      <c r="S57" s="336"/>
      <c r="T57" s="337"/>
      <c r="U57" s="324" t="str">
        <f>IF(IFERROR(VLOOKUP(A57,[1]ARS!A:EL,MATCH("Asset Turnover",[1]ARS!$4:$4,0),FALSE),"-")=0,"-",IFERROR(VLOOKUP(A57,[1]ARS!A:EL,MATCH("Asset Turnover",[1]ARS!$4:$4,0),FALSE),"-"))</f>
        <v>-</v>
      </c>
      <c r="V57" s="324"/>
      <c r="W57" s="324"/>
      <c r="X57" s="328" t="str">
        <f>IFERROR(VLOOKUP(A57,[1]ARS!A:EL,MATCH("CCC",[1]ARS!$4:$4,0),FALSE),"-")</f>
        <v>-</v>
      </c>
      <c r="Y57" s="328"/>
      <c r="Z57" s="328"/>
      <c r="AA57" s="327" t="str">
        <f>IF(IFERROR(VLOOKUP(A57,[1]ARS!A:EL,MATCH("Gross Margin, Percent",[1]ARS!$4:$4,0),FALSE)/100,"-")&lt;0,"-",IFERROR(VLOOKUP(A57,[1]ARS!A:EL,MATCH("Gross Margin, Percent",[1]ARS!$4:$4,0),FALSE)/100,"-"))</f>
        <v>-</v>
      </c>
      <c r="AB57" s="327"/>
      <c r="AC57" s="327"/>
      <c r="AD57" s="383" t="str">
        <f>IF(IFERROR(VLOOKUP(A57,[1]ARS!A:EL,MATCH("Operating Margin, Percent",[1]ARS!$4:$4,0),FALSE)/100,"-")&lt;0,"-",IFERROR(VLOOKUP(A57,[1]ARS!A:EL,MATCH("Operating Margin, Percent",[1]ARS!$4:$4,0),FALSE)/100,"-"))</f>
        <v>-</v>
      </c>
      <c r="AE57" s="384"/>
      <c r="AF57" s="385"/>
      <c r="AG57" s="327" t="str">
        <f>IF(IFERROR(VLOOKUP(A57,[1]ARS!A:EL,MATCH("Net Profit Margin",[1]ARS!$4:$4,0),FALSE),"-")&lt;0,"-",IFERROR(VLOOKUP(A57,[1]ARS!A:EL,MATCH("Net Profit Margin",[1]ARS!$4:$4,0),FALSE),"-"))</f>
        <v>-</v>
      </c>
      <c r="AH57" s="327"/>
      <c r="AI57" s="327"/>
      <c r="AJ57" s="327" t="str">
        <f>IFERROR(VLOOKUP(A57,[1]ARS!A:EL,MATCH("FCF/Revenue",[1]ARS!$4:$4,0),FALSE),"-")</f>
        <v>-</v>
      </c>
      <c r="AK57" s="327"/>
      <c r="AL57" s="327"/>
      <c r="AM57" s="329">
        <f>IFERROR(IF(VLOOKUP(A57,[1]ARS!A:EL,MATCH("ROE",[1]ARS!$4:$4,0),FALSE)&lt;-5,"-",VLOOKUP(A57,[1]ARS!A:EL,MATCH("ROE",[1]ARS!$4:$4,0),FALSE)),"-")</f>
        <v>0.26483675116372085</v>
      </c>
      <c r="AN57" s="329"/>
      <c r="AO57" s="329"/>
      <c r="AP57" s="327">
        <f>IFERROR(VLOOKUP(A57,[1]ARS!A:EL,MATCH("ROA",[1]ARS!$4:$4,0),FALSE),"-")</f>
        <v>4.5090497240302237E-2</v>
      </c>
      <c r="AQ57" s="327"/>
      <c r="AR57" s="327"/>
      <c r="AS57" s="53">
        <f>+VLOOKUP(A57,[1]ARS!$A$5:$EL$85,MATCH("Last Q y/y",[1]ARS!$4:$4,0),FALSE)</f>
        <v>0.59112067677185909</v>
      </c>
      <c r="AT57" s="53">
        <f>+VLOOKUP(A57,[1]ARS!$A$5:$EL$99,MATCH("Last 5 yrs - Annual",[1]ARS!$4:$4,0),FALSE)</f>
        <v>0.41506816328875662</v>
      </c>
      <c r="AU57" s="54">
        <f>+VLOOKUP(A57,[1]ARS!$A$5:$EL$84,MATCH("Desvio",[1]ARS!$4:$4,0),FALSE)</f>
        <v>0.14365027145992709</v>
      </c>
      <c r="AV57" s="55">
        <f>+IFERROR(VLOOKUP(A57,'[1]Prom. Vtas Ult 5 años'!$A$3:$D$81,3,FALSE),"-")</f>
        <v>1319.2117894736846</v>
      </c>
      <c r="AW57" s="56">
        <f>+IFERROR(VLOOKUP(A57,'[1]Prom. Vtas Ult 5 años'!$A$3:$D$81,4,FALSE),"-")</f>
        <v>1.4689329709518919</v>
      </c>
      <c r="AX57" s="324">
        <f>IFERROR((VLOOKUP(A57,[1]ARS!A:EL,MATCH("Enterprise Value (Daily Time Series)",[1]ARS!$4:$4,0),FALSE)/1000000000),"-")</f>
        <v>117.05383766849999</v>
      </c>
      <c r="AY57" s="324"/>
      <c r="AZ57" s="324"/>
      <c r="BA57" s="324">
        <f>IFERROR((VLOOKUP(A57,[1]ARS!A:EL,MATCH("Company Market Cap",[1]ARS!$4:$4,0),FALSE)/1000000000),"-")</f>
        <v>134.20046940839998</v>
      </c>
      <c r="BB57" s="324"/>
      <c r="BC57" s="324"/>
      <c r="BD57" s="325">
        <f>IF(VLOOKUP(A57,[1]ARS!A:EL,MATCH("Enterprise Value To EBITDA (Daily Time Series Ratio)",[1]ARS!$4:$4,0),FALSE)="NULL","-",VLOOKUP(A57,[1]ARS!A:EL,MATCH("Enterprise Value To EBITDA (Daily Time Series Ratio)",[1]ARS!$4:$4,0),FALSE))</f>
        <v>6.8866273945762799</v>
      </c>
      <c r="BE57" s="333"/>
      <c r="BF57" s="334"/>
      <c r="BG57" s="324">
        <f>IF(OR(IFERROR(VLOOKUP(A57,[1]ARS!A:EL,MATCH("Price To Tangible Book Value",[1]ARS!$4:$4,0),FALSE),"-")&lt;0,IFERROR(VLOOKUP(A57,[1]ARS!A:EL,MATCH("Price To Tangible Book Value",[1]ARS!$4:$4,0),FALSE),"-")&gt;100),"-",IFERROR(VLOOKUP(A57,[1]ARS!A:EL,MATCH("Price To Tangible Book Value",[1]ARS!$4:$4,0),FALSE),"-"))</f>
        <v>3.4162830275299769</v>
      </c>
      <c r="BH57" s="324"/>
      <c r="BI57" s="324"/>
      <c r="BJ57" s="324">
        <f>IF(OR(IFERROR(VLOOKUP(A57,[1]ARS!A:EL,MATCH("P/E (Daily Time Series Ratio)",[1]ARS!$4:$4,0),FALSE),"-")&lt;0,IFERROR(VLOOKUP(A57,[1]ARS!A:EL,MATCH("P/E (Daily Time Series Ratio)",[1]ARS!$4:$4,0),FALSE),"-")&gt;500),"-",IFERROR(VLOOKUP(A57,[1]ARS!A:EL,MATCH("P/E (Daily Time Series Ratio)",[1]ARS!$4:$4,0),FALSE),"-"))</f>
        <v>16.903408290558321</v>
      </c>
      <c r="BK57" s="324"/>
      <c r="BL57" s="324"/>
      <c r="BM57" s="324" t="str">
        <f>IF(OR(IFERROR(VLOOKUP(A57,[1]ARS!A:EC,MATCH("Price To Sales",[1]ARS!$4:$4,0),FALSE),"-")&lt;0,IFERROR(VLOOKUP(A57,[1]ARS!A:EC,MATCH("Price To Sales",[1]ARS!$4:$4,0),FALSE),"-")&gt;100),"-",IFERROR(VLOOKUP(A57,[1]ARS!A:EC,MATCH("Price To Sales",[1]ARS!$4:$4,0),FALSE),"-"))</f>
        <v>-</v>
      </c>
      <c r="BN57" s="324"/>
      <c r="BO57" s="324"/>
      <c r="BP57" s="324">
        <f>+IFERROR(IF(VLOOKUP(A57,[1]ARS!A:EO,MATCH("Price to Free Cash Flow",[1]ARS!$4:$4,0),FALSE)="NULL","-",VLOOKUP(A57,[1]ARS!A:EO,MATCH("Price to Free Cash Flow",[1]ARS!$4:$4,0),FALSE)),"-")</f>
        <v>14.6430285193</v>
      </c>
      <c r="BQ57" s="324"/>
      <c r="BR57" s="325"/>
      <c r="BS57" s="57">
        <f>IF(VLOOKUP(A57,[1]ARS!A:EE,MATCH("Daily Beta - 180 Day",[1]ARS!$4:$4,0),FALSE)="NULL","-",VLOOKUP(A57,[1]ARS!A:EE,MATCH("Daily Beta - 180 Day",[1]ARS!$4:$4,0),FALSE))</f>
        <v>0.93298162380522498</v>
      </c>
      <c r="BT57" s="53">
        <f>+VLOOKUP(A57,[1]ARS!$A:$EH,MATCH("Volatilidad histórica",[1]ARS!$4:$4,0),FALSE)</f>
        <v>0.47093706519264589</v>
      </c>
      <c r="BU57" s="56">
        <f>+VLOOKUP(A57,[1]ARS!$A$5:$EM$85,MATCH("Rto Medio",[1]ARS!$4:$4,0),FALSE)</f>
        <v>0.17836131538959465</v>
      </c>
      <c r="BV57" s="58">
        <f>+IF(VLOOKUP(Template!A57,[1]ARS!A:AA,MATCH("Period End Date",[1]ARS!$3:$3,0),FALSE)="","-",VLOOKUP(Template!A57,[1]ARS!A:AA,MATCH("Period End Date",[1]ARS!$3:$3,0),FALSE))</f>
        <v>43008</v>
      </c>
      <c r="BW57" s="59" t="str">
        <f t="shared" si="16"/>
        <v>BMA</v>
      </c>
      <c r="BX57" s="4"/>
      <c r="BY57" s="119" t="s">
        <v>89</v>
      </c>
      <c r="BZ57" s="48" t="s">
        <v>49</v>
      </c>
      <c r="CA57" s="48">
        <v>3.8040873161444133</v>
      </c>
      <c r="CB57" s="48">
        <v>14.238555760807253</v>
      </c>
      <c r="CC57" s="128"/>
      <c r="CD57" s="107" t="s">
        <v>89</v>
      </c>
      <c r="CE57" s="107" t="s">
        <v>49</v>
      </c>
      <c r="CF57" s="107">
        <v>3.8040873161444133</v>
      </c>
      <c r="CG57" s="107">
        <v>14.238555760807253</v>
      </c>
      <c r="CN57" s="121"/>
    </row>
    <row r="58" spans="1:92" s="120" customFormat="1" ht="11.25" customHeight="1" x14ac:dyDescent="0.2">
      <c r="A58" s="288" t="str">
        <f t="shared" si="17"/>
        <v>BRIO</v>
      </c>
      <c r="B58" s="288"/>
      <c r="C58" s="289">
        <f>+VLOOKUP(A58,[1]ARS!A:EL,MATCH("Last",[1]ARS!$4:$4,0),FALSE)</f>
        <v>52.4</v>
      </c>
      <c r="D58" s="289"/>
      <c r="E58" s="132">
        <f>+VLOOKUP(A58,'[1]Market Cap'!I:J,2,FALSE)</f>
        <v>1</v>
      </c>
      <c r="F58" s="326">
        <f>IFERROR(IF(VLOOKUP(A58,[1]ARS!A:EL,MATCH("Total Debt To Total Equity, Percent FQ0",[1]ARS!$4:$4,0),FALSE)="NULL",IF(VLOOKUP(A58,[1]ARS!A:EL,MATCH("Total Debt To Total Equity, Percent FQ-1",[1]ARS!$4:$4,0),FALSE)="NULL","-",VLOOKUP(A58,[1]ARS!A:EL,MATCH("Total Debt To Total Equity, Percent FQ-1",[1]ARS!$4:$4,0))),VLOOKUP(A58,[1]ARS!A:EL,MATCH("Total Debt To Total Equity, Percent FQ0",[1]ARS!$4:$4,0),FALSE))/100,"-")</f>
        <v>1.23637631226</v>
      </c>
      <c r="G58" s="326"/>
      <c r="H58" s="326"/>
      <c r="I58" s="281">
        <f>IFERROR(VLOOKUP(A58,[1]ARS!A:EC,MATCH("Financial Leverage",[1]ARS!$4:$4,0),FALSE),"-")</f>
        <v>12.139348840264079</v>
      </c>
      <c r="J58" s="281"/>
      <c r="K58" s="281"/>
      <c r="L58" s="282" t="str">
        <f>+IFERROR(IF(VLOOKUP(A58,[1]ARS!A:EL,MATCH("Curr Ratio FQ0",[1]ARS!$4:$4,0),FALSE)="NULL",IF(VLOOKUP(A58,[1]ARS!A:EL,MATCH("Curr Ratio FQ-1",[1]ARS!$4:$4,0),FALSE)="NULL","-",VLOOKUP(A58,[1]ARS!A:EL,MATCH("Curr Ratio FQ-1",[1]ARS!$4:$4,0),FALSE)),VLOOKUP(A58,[1]ARS!A:EL,MATCH("Curr Ratio FQ0",[1]ARS!$4:$4,0),FALSE)),"-")</f>
        <v>-</v>
      </c>
      <c r="M58" s="293"/>
      <c r="N58" s="294"/>
      <c r="O58" s="282" t="str">
        <f>+IFERROR(IF(VLOOKUP(A58,[1]ARS!A:EL,MATCH("Quick Ratio FQ0",[1]ARS!$4:$4,0),FALSE)="NULL",IF(VLOOKUP(A58,[1]ARS!A:EL,MATCH("Quick Ratio FQ-1",[1]ARS!$4:$4,0),FALSE)="NULL","-",VLOOKUP(A58,[1]ARS!A:EL,MATCH("Quick Ratio FQ-1",[1]ARS!$4:$4,0),FALSE)),VLOOKUP(A58,[1]ARS!A:EL,MATCH("Quick Ratio FQ0",[1]ARS!$4:$4,0),FALSE)),"-")</f>
        <v>-</v>
      </c>
      <c r="P58" s="293"/>
      <c r="Q58" s="294"/>
      <c r="R58" s="295">
        <f>+IFERROR(IF(VLOOKUP(A58,[1]ARS!$A:$EL,MATCH("Dividend yield",[1]ARS!$4:$4,0),FALSE)="NULL","-",VLOOKUP(A58,[1]ARS!$A:$EL,MATCH("Dividend Yield",[1]ARS!$4:$4,0),FALSE)/100),"-")</f>
        <v>1.48004094165814E-2</v>
      </c>
      <c r="S58" s="296"/>
      <c r="T58" s="297"/>
      <c r="U58" s="281" t="str">
        <f>IF(IFERROR(VLOOKUP(A58,[1]ARS!A:EL,MATCH("Asset Turnover",[1]ARS!$4:$4,0),FALSE),"-")=0,"-",IFERROR(VLOOKUP(A58,[1]ARS!A:EL,MATCH("Asset Turnover",[1]ARS!$4:$4,0),FALSE),"-"))</f>
        <v>-</v>
      </c>
      <c r="V58" s="281"/>
      <c r="W58" s="281"/>
      <c r="X58" s="284" t="str">
        <f>IFERROR(VLOOKUP(A58,[1]ARS!A:EL,MATCH("CCC",[1]ARS!$4:$4,0),FALSE),"-")</f>
        <v>-</v>
      </c>
      <c r="Y58" s="284"/>
      <c r="Z58" s="284"/>
      <c r="AA58" s="283" t="str">
        <f>IF(IFERROR(VLOOKUP(A58,[1]ARS!A:EL,MATCH("Gross Margin, Percent",[1]ARS!$4:$4,0),FALSE)/100,"-")&lt;0,"-",IFERROR(VLOOKUP(A58,[1]ARS!A:EL,MATCH("Gross Margin, Percent",[1]ARS!$4:$4,0),FALSE)/100,"-"))</f>
        <v>-</v>
      </c>
      <c r="AB58" s="283"/>
      <c r="AC58" s="283"/>
      <c r="AD58" s="380" t="str">
        <f>IF(IFERROR(VLOOKUP(A58,[1]ARS!A:EL,MATCH("Operating Margin, Percent",[1]ARS!$4:$4,0),FALSE)/100,"-")&lt;0,"-",IFERROR(VLOOKUP(A58,[1]ARS!A:EL,MATCH("Operating Margin, Percent",[1]ARS!$4:$4,0),FALSE)/100,"-"))</f>
        <v>-</v>
      </c>
      <c r="AE58" s="381"/>
      <c r="AF58" s="382"/>
      <c r="AG58" s="283" t="str">
        <f>IF(IFERROR(VLOOKUP(A58,[1]ARS!A:EL,MATCH("Net Profit Margin",[1]ARS!$4:$4,0),FALSE),"-")&lt;0,"-",IFERROR(VLOOKUP(A58,[1]ARS!A:EL,MATCH("Net Profit Margin",[1]ARS!$4:$4,0),FALSE),"-"))</f>
        <v>-</v>
      </c>
      <c r="AH58" s="283"/>
      <c r="AI58" s="283"/>
      <c r="AJ58" s="283" t="str">
        <f>IFERROR(VLOOKUP(A58,[1]ARS!A:EL,MATCH("FCF/Revenue",[1]ARS!$4:$4,0),FALSE),"-")</f>
        <v>-</v>
      </c>
      <c r="AK58" s="283"/>
      <c r="AL58" s="283"/>
      <c r="AM58" s="283">
        <f>IFERROR(IF(VLOOKUP(A58,[1]ARS!A:EL,MATCH("ROE",[1]ARS!$4:$4,0),FALSE)&lt;-5,"-",VLOOKUP(A58,[1]ARS!A:EL,MATCH("ROE",[1]ARS!$4:$4,0),FALSE)),"-")</f>
        <v>0.24649531749546108</v>
      </c>
      <c r="AN58" s="283"/>
      <c r="AO58" s="283"/>
      <c r="AP58" s="283">
        <f>IFERROR(VLOOKUP(A58,[1]ARS!A:EL,MATCH("ROA",[1]ARS!$4:$4,0),FALSE),"-")</f>
        <v>2.2146379851737664E-2</v>
      </c>
      <c r="AQ58" s="283"/>
      <c r="AR58" s="283"/>
      <c r="AS58" s="40">
        <f>+VLOOKUP(A58,[1]ARS!$A$5:$EL$85,MATCH("Last Q y/y",[1]ARS!$4:$4,0),FALSE)</f>
        <v>-5.9435718502436119E-2</v>
      </c>
      <c r="AT58" s="40">
        <f>+VLOOKUP(A58,[1]ARS!$A$5:$EL$99,MATCH("Last 5 yrs - Annual",[1]ARS!$4:$4,0),FALSE)</f>
        <v>0.25662107532228789</v>
      </c>
      <c r="AU58" s="41">
        <f>+VLOOKUP(A58,[1]ARS!$A$5:$EL$84,MATCH("Desvio",[1]ARS!$4:$4,0),FALSE)</f>
        <v>0.1028319276658559</v>
      </c>
      <c r="AV58" s="42">
        <f>+IFERROR(VLOOKUP(A58,'[1]Prom. Vtas Ult 5 años'!$A$3:$D$81,3,FALSE),"-")</f>
        <v>923.15442105263162</v>
      </c>
      <c r="AW58" s="40">
        <f>+IFERROR(VLOOKUP(A58,'[1]Prom. Vtas Ult 5 años'!$A$3:$D$81,4,FALSE),"-")</f>
        <v>0.54683306175145985</v>
      </c>
      <c r="AX58" s="281">
        <f>IFERROR((VLOOKUP(A58,[1]ARS!A:EL,MATCH("Enterprise Value (Daily Time Series)",[1]ARS!$4:$4,0),FALSE)/1000000000),"-")</f>
        <v>69.731182507949995</v>
      </c>
      <c r="AY58" s="281"/>
      <c r="AZ58" s="281"/>
      <c r="BA58" s="281">
        <f>IFERROR((VLOOKUP(A58,[1]ARS!A:EL,MATCH("Company Market Cap",[1]ARS!$4:$4,0),FALSE)/1000000000),"-")</f>
        <v>112.1840031966</v>
      </c>
      <c r="BB58" s="281"/>
      <c r="BC58" s="281"/>
      <c r="BD58" s="282">
        <f>IF(VLOOKUP(A58,[1]ARS!A:EL,MATCH("Enterprise Value To EBITDA (Daily Time Series Ratio)",[1]ARS!$4:$4,0),FALSE)="NULL","-",VLOOKUP(A58,[1]ARS!A:EL,MATCH("Enterprise Value To EBITDA (Daily Time Series Ratio)",[1]ARS!$4:$4,0),FALSE))</f>
        <v>5.6682870697655696</v>
      </c>
      <c r="BE58" s="293"/>
      <c r="BF58" s="294"/>
      <c r="BG58" s="281">
        <f>IF(OR(IFERROR(VLOOKUP(A58,[1]ARS!A:EL,MATCH("Price To Tangible Book Value",[1]ARS!$4:$4,0),FALSE),"-")&lt;0,IFERROR(VLOOKUP(A58,[1]ARS!A:EL,MATCH("Price To Tangible Book Value",[1]ARS!$4:$4,0),FALSE),"-")&gt;100),"-",IFERROR(VLOOKUP(A58,[1]ARS!A:EL,MATCH("Price To Tangible Book Value",[1]ARS!$4:$4,0),FALSE),"-"))</f>
        <v>5.42417084399949</v>
      </c>
      <c r="BH58" s="281"/>
      <c r="BI58" s="281"/>
      <c r="BJ58" s="281">
        <f>IF(OR(IFERROR(VLOOKUP(A58,[1]ARS!A:EL,MATCH("P/E (Daily Time Series Ratio)",[1]ARS!$4:$4,0),FALSE),"-")&lt;0,IFERROR(VLOOKUP(A58,[1]ARS!A:EL,MATCH("P/E (Daily Time Series Ratio)",[1]ARS!$4:$4,0),FALSE),"-")&gt;500),"-",IFERROR(VLOOKUP(A58,[1]ARS!A:EL,MATCH("P/E (Daily Time Series Ratio)",[1]ARS!$4:$4,0),FALSE),"-"))</f>
        <v>19.906394359348408</v>
      </c>
      <c r="BK58" s="281"/>
      <c r="BL58" s="281"/>
      <c r="BM58" s="281" t="str">
        <f>IF(OR(IFERROR(VLOOKUP(A58,[1]ARS!A:EC,MATCH("Price To Sales",[1]ARS!$4:$4,0),FALSE),"-")&lt;0,IFERROR(VLOOKUP(A58,[1]ARS!A:EC,MATCH("Price To Sales",[1]ARS!$4:$4,0),FALSE),"-")&gt;100),"-",IFERROR(VLOOKUP(A58,[1]ARS!A:EC,MATCH("Price To Sales",[1]ARS!$4:$4,0),FALSE),"-"))</f>
        <v>-</v>
      </c>
      <c r="BN58" s="281"/>
      <c r="BO58" s="281"/>
      <c r="BP58" s="281">
        <f>+IFERROR(IF(VLOOKUP(A58,[1]ARS!A:EO,MATCH("Price to Free Cash Flow",[1]ARS!$4:$4,0),FALSE)="NULL","-",VLOOKUP(A58,[1]ARS!A:EO,MATCH("Price to Free Cash Flow",[1]ARS!$4:$4,0),FALSE)),"-")</f>
        <v>22.814738595400001</v>
      </c>
      <c r="BQ58" s="281"/>
      <c r="BR58" s="282"/>
      <c r="BS58" s="43">
        <f>IF(VLOOKUP(A58,[1]ARS!A:EE,MATCH("Daily Beta - 180 Day",[1]ARS!$4:$4,0),FALSE)="NULL","-",VLOOKUP(A58,[1]ARS!A:EE,MATCH("Daily Beta - 180 Day",[1]ARS!$4:$4,0),FALSE))</f>
        <v>0.73692979758250299</v>
      </c>
      <c r="BT58" s="40">
        <f>+VLOOKUP(A58,[1]ARS!$A:$EH,MATCH("Volatilidad histórica",[1]ARS!$4:$4,0),FALSE)</f>
        <v>0.43815885884424949</v>
      </c>
      <c r="BU58" s="44">
        <f>+VLOOKUP(A58,[1]ARS!$A$5:$EM$85,MATCH("Rto Medio",[1]ARS!$4:$4,0),FALSE)</f>
        <v>0.17940575144801785</v>
      </c>
      <c r="BV58" s="45">
        <f>+IF(VLOOKUP(Template!A58,[1]ARS!A:AA,MATCH("Period End Date",[1]ARS!$3:$3,0),FALSE)="","-",VLOOKUP(Template!A58,[1]ARS!A:AA,MATCH("Period End Date",[1]ARS!$3:$3,0),FALSE))</f>
        <v>43008</v>
      </c>
      <c r="BW58" s="46" t="str">
        <f t="shared" si="16"/>
        <v>BRIO</v>
      </c>
      <c r="BX58" s="4"/>
      <c r="BY58" s="119" t="s">
        <v>90</v>
      </c>
      <c r="BZ58" s="48" t="s">
        <v>49</v>
      </c>
      <c r="CA58" s="48">
        <v>4.1876925184394809</v>
      </c>
      <c r="CB58" s="48">
        <v>21.678596831065846</v>
      </c>
      <c r="CC58" s="128"/>
      <c r="CD58" s="119" t="s">
        <v>90</v>
      </c>
      <c r="CE58" s="119" t="s">
        <v>49</v>
      </c>
      <c r="CF58" s="129">
        <v>4.1876925184394809</v>
      </c>
      <c r="CG58" s="119">
        <v>21.678596831065846</v>
      </c>
      <c r="CN58" s="121"/>
    </row>
    <row r="59" spans="1:92" s="120" customFormat="1" ht="11.25" customHeight="1" x14ac:dyDescent="0.2">
      <c r="A59" s="330" t="str">
        <f t="shared" si="17"/>
        <v>FRAN</v>
      </c>
      <c r="B59" s="330"/>
      <c r="C59" s="331">
        <f>+VLOOKUP(A59,[1]ARS!A:EL,MATCH("Last",[1]ARS!$4:$4,0),FALSE)</f>
        <v>162</v>
      </c>
      <c r="D59" s="331"/>
      <c r="E59" s="133">
        <f>+VLOOKUP(A59,'[1]Market Cap'!I:J,2,FALSE)</f>
        <v>1</v>
      </c>
      <c r="F59" s="332">
        <f>IFERROR(IF(VLOOKUP(A59,[1]ARS!A:EL,MATCH("Total Debt To Total Equity, Percent FQ0",[1]ARS!$4:$4,0),FALSE)="NULL",IF(VLOOKUP(A59,[1]ARS!A:EL,MATCH("Total Debt To Total Equity, Percent FQ-1",[1]ARS!$4:$4,0),FALSE)="NULL","-",VLOOKUP(A59,[1]ARS!A:EL,MATCH("Total Debt To Total Equity, Percent FQ-1",[1]ARS!$4:$4,0))),VLOOKUP(A59,[1]ARS!A:EL,MATCH("Total Debt To Total Equity, Percent FQ0",[1]ARS!$4:$4,0),FALSE))/100,"-")</f>
        <v>0.10946518038000001</v>
      </c>
      <c r="G59" s="332"/>
      <c r="H59" s="332"/>
      <c r="I59" s="324">
        <f>IFERROR(VLOOKUP(A59,[1]ARS!A:EC,MATCH("Financial Leverage",[1]ARS!$4:$4,0),FALSE),"-")</f>
        <v>8.1195843371019674</v>
      </c>
      <c r="J59" s="324"/>
      <c r="K59" s="324"/>
      <c r="L59" s="325" t="str">
        <f>+IFERROR(IF(VLOOKUP(A59,[1]ARS!A:EL,MATCH("Curr Ratio FQ0",[1]ARS!$4:$4,0),FALSE)="NULL",IF(VLOOKUP(A59,[1]ARS!A:EL,MATCH("Curr Ratio FQ-1",[1]ARS!$4:$4,0),FALSE)="NULL","-",VLOOKUP(A59,[1]ARS!A:EL,MATCH("Curr Ratio FQ-1",[1]ARS!$4:$4,0),FALSE)),VLOOKUP(A59,[1]ARS!A:EL,MATCH("Curr Ratio FQ0",[1]ARS!$4:$4,0),FALSE)),"-")</f>
        <v>-</v>
      </c>
      <c r="M59" s="333"/>
      <c r="N59" s="334"/>
      <c r="O59" s="325" t="str">
        <f>+IFERROR(IF(VLOOKUP(A59,[1]ARS!A:EL,MATCH("Quick Ratio FQ0",[1]ARS!$4:$4,0),FALSE)="NULL",IF(VLOOKUP(A59,[1]ARS!A:EL,MATCH("Quick Ratio FQ-1",[1]ARS!$4:$4,0),FALSE)="NULL","-",VLOOKUP(A59,[1]ARS!A:EL,MATCH("Quick Ratio FQ-1",[1]ARS!$4:$4,0),FALSE)),VLOOKUP(A59,[1]ARS!A:EL,MATCH("Quick Ratio FQ0",[1]ARS!$4:$4,0),FALSE)),"-")</f>
        <v>-</v>
      </c>
      <c r="P59" s="333"/>
      <c r="Q59" s="334"/>
      <c r="R59" s="335">
        <f>+IFERROR(IF(VLOOKUP(A59,[1]ARS!$A:$EL,MATCH("Dividend yield",[1]ARS!$4:$4,0),FALSE)="NULL","-",VLOOKUP(A59,[1]ARS!$A:$EL,MATCH("Dividend Yield",[1]ARS!$4:$4,0),FALSE)/100),"-")</f>
        <v>1.0013194545454501E-2</v>
      </c>
      <c r="S59" s="336"/>
      <c r="T59" s="337"/>
      <c r="U59" s="324" t="str">
        <f>IF(IFERROR(VLOOKUP(A59,[1]ARS!A:EL,MATCH("Asset Turnover",[1]ARS!$4:$4,0),FALSE),"-")=0,"-",IFERROR(VLOOKUP(A59,[1]ARS!A:EL,MATCH("Asset Turnover",[1]ARS!$4:$4,0),FALSE),"-"))</f>
        <v>-</v>
      </c>
      <c r="V59" s="324"/>
      <c r="W59" s="324"/>
      <c r="X59" s="328" t="str">
        <f>IFERROR(VLOOKUP(A59,[1]ARS!A:EL,MATCH("CCC",[1]ARS!$4:$4,0),FALSE),"-")</f>
        <v>-</v>
      </c>
      <c r="Y59" s="328"/>
      <c r="Z59" s="328"/>
      <c r="AA59" s="327" t="str">
        <f>IF(IFERROR(VLOOKUP(A59,[1]ARS!A:EL,MATCH("Gross Margin, Percent",[1]ARS!$4:$4,0),FALSE)/100,"-")&lt;0,"-",IFERROR(VLOOKUP(A59,[1]ARS!A:EL,MATCH("Gross Margin, Percent",[1]ARS!$4:$4,0),FALSE)/100,"-"))</f>
        <v>-</v>
      </c>
      <c r="AB59" s="327"/>
      <c r="AC59" s="327"/>
      <c r="AD59" s="383" t="str">
        <f>IF(IFERROR(VLOOKUP(A59,[1]ARS!A:EL,MATCH("Operating Margin, Percent",[1]ARS!$4:$4,0),FALSE)/100,"-")&lt;0,"-",IFERROR(VLOOKUP(A59,[1]ARS!A:EL,MATCH("Operating Margin, Percent",[1]ARS!$4:$4,0),FALSE)/100,"-"))</f>
        <v>-</v>
      </c>
      <c r="AE59" s="384"/>
      <c r="AF59" s="385"/>
      <c r="AG59" s="327" t="str">
        <f>IF(IFERROR(VLOOKUP(A59,[1]ARS!A:EL,MATCH("Net Profit Margin",[1]ARS!$4:$4,0),FALSE),"-")&lt;0,"-",IFERROR(VLOOKUP(A59,[1]ARS!A:EL,MATCH("Net Profit Margin",[1]ARS!$4:$4,0),FALSE),"-"))</f>
        <v>-</v>
      </c>
      <c r="AH59" s="327"/>
      <c r="AI59" s="327"/>
      <c r="AJ59" s="327" t="str">
        <f>IFERROR(VLOOKUP(A59,[1]ARS!A:EL,MATCH("FCF/Revenue",[1]ARS!$4:$4,0),FALSE),"-")</f>
        <v>-</v>
      </c>
      <c r="AK59" s="327"/>
      <c r="AL59" s="327"/>
      <c r="AM59" s="329">
        <f>IFERROR(IF(VLOOKUP(A59,[1]ARS!A:EL,MATCH("ROE",[1]ARS!$4:$4,0),FALSE)&lt;-5,"-",VLOOKUP(A59,[1]ARS!A:EL,MATCH("ROE",[1]ARS!$4:$4,0),FALSE)),"-")</f>
        <v>0.16184978669415703</v>
      </c>
      <c r="AN59" s="329"/>
      <c r="AO59" s="329"/>
      <c r="AP59" s="327">
        <f>IFERROR(VLOOKUP(A59,[1]ARS!A:EL,MATCH("ROA",[1]ARS!$4:$4,0),FALSE),"-")</f>
        <v>1.715871937347305E-2</v>
      </c>
      <c r="AQ59" s="327"/>
      <c r="AR59" s="327"/>
      <c r="AS59" s="53">
        <f>+VLOOKUP(A59,[1]ARS!$A$5:$EL$85,MATCH("Last Q y/y",[1]ARS!$4:$4,0),FALSE)</f>
        <v>0.21615349572580866</v>
      </c>
      <c r="AT59" s="53">
        <f>+VLOOKUP(A59,[1]ARS!$A$5:$EL$99,MATCH("Last 5 yrs - Annual",[1]ARS!$4:$4,0),FALSE)</f>
        <v>0.31707575914450759</v>
      </c>
      <c r="AU59" s="54">
        <f>+VLOOKUP(A59,[1]ARS!$A$5:$EL$84,MATCH("Desvio",[1]ARS!$4:$4,0),FALSE)</f>
        <v>0.27364967958342684</v>
      </c>
      <c r="AV59" s="55">
        <f>AVERAGE(AV48:AV58)</f>
        <v>379.86413856374787</v>
      </c>
      <c r="AW59" s="56">
        <f>AVERAGE(AW48:AW58)</f>
        <v>9.4507455258766306</v>
      </c>
      <c r="AX59" s="324">
        <f>IFERROR((VLOOKUP(A59,[1]ARS!A:EL,MATCH("Enterprise Value (Daily Time Series)",[1]ARS!$4:$4,0),FALSE)/1000000000),"-")</f>
        <v>70.918202242999897</v>
      </c>
      <c r="AY59" s="324"/>
      <c r="AZ59" s="324"/>
      <c r="BA59" s="324">
        <f>IFERROR((VLOOKUP(A59,[1]ARS!A:EL,MATCH("Company Market Cap",[1]ARS!$4:$4,0),FALSE)/1000000000),"-")</f>
        <v>97.382249460100013</v>
      </c>
      <c r="BB59" s="324"/>
      <c r="BC59" s="324"/>
      <c r="BD59" s="325">
        <f>IF(VLOOKUP(A59,[1]ARS!A:EL,MATCH("Enterprise Value To EBITDA (Daily Time Series Ratio)",[1]ARS!$4:$4,0),FALSE)="NULL","-",VLOOKUP(A59,[1]ARS!A:EL,MATCH("Enterprise Value To EBITDA (Daily Time Series Ratio)",[1]ARS!$4:$4,0),FALSE))</f>
        <v>9.1144332795518306</v>
      </c>
      <c r="BE59" s="333"/>
      <c r="BF59" s="334"/>
      <c r="BG59" s="324">
        <f>IF(OR(IFERROR(VLOOKUP(A59,[1]ARS!A:EL,MATCH("Price To Tangible Book Value",[1]ARS!$4:$4,0),FALSE),"-")&lt;0,IFERROR(VLOOKUP(A59,[1]ARS!A:EL,MATCH("Price To Tangible Book Value",[1]ARS!$4:$4,0),FALSE),"-")&gt;100),"-",IFERROR(VLOOKUP(A59,[1]ARS!A:EL,MATCH("Price To Tangible Book Value",[1]ARS!$4:$4,0),FALSE),"-"))</f>
        <v>4.0189039070453703</v>
      </c>
      <c r="BH59" s="324"/>
      <c r="BI59" s="324"/>
      <c r="BJ59" s="324">
        <f>IF(OR(IFERROR(VLOOKUP(A59,[1]ARS!A:EL,MATCH("P/E (Daily Time Series Ratio)",[1]ARS!$4:$4,0),FALSE),"-")&lt;0,IFERROR(VLOOKUP(A59,[1]ARS!A:EL,MATCH("P/E (Daily Time Series Ratio)",[1]ARS!$4:$4,0),FALSE),"-")&gt;500),"-",IFERROR(VLOOKUP(A59,[1]ARS!A:EL,MATCH("P/E (Daily Time Series Ratio)",[1]ARS!$4:$4,0),FALSE),"-"))</f>
        <v>29.997111389273623</v>
      </c>
      <c r="BK59" s="324"/>
      <c r="BL59" s="324"/>
      <c r="BM59" s="324" t="str">
        <f>IF(OR(IFERROR(VLOOKUP(A59,[1]ARS!A:EC,MATCH("Price To Sales",[1]ARS!$4:$4,0),FALSE),"-")&lt;0,IFERROR(VLOOKUP(A59,[1]ARS!A:EC,MATCH("Price To Sales",[1]ARS!$4:$4,0),FALSE),"-")&gt;100),"-",IFERROR(VLOOKUP(A59,[1]ARS!A:EC,MATCH("Price To Sales",[1]ARS!$4:$4,0),FALSE),"-"))</f>
        <v>-</v>
      </c>
      <c r="BN59" s="324"/>
      <c r="BO59" s="324"/>
      <c r="BP59" s="324">
        <f>+IFERROR(IF(VLOOKUP(A59,[1]ARS!A:EO,MATCH("Price to Free Cash Flow",[1]ARS!$4:$4,0),FALSE)="NULL","-",VLOOKUP(A59,[1]ARS!A:EO,MATCH("Price to Free Cash Flow",[1]ARS!$4:$4,0),FALSE)),"-")</f>
        <v>45.862658081100001</v>
      </c>
      <c r="BQ59" s="324"/>
      <c r="BR59" s="325"/>
      <c r="BS59" s="57">
        <f>IF(VLOOKUP(A59,[1]ARS!A:EE,MATCH("Daily Beta - 180 Day",[1]ARS!$4:$4,0),FALSE)="NULL","-",VLOOKUP(A59,[1]ARS!A:EE,MATCH("Daily Beta - 180 Day",[1]ARS!$4:$4,0),FALSE))</f>
        <v>0.96794027393598703</v>
      </c>
      <c r="BT59" s="53">
        <f>+VLOOKUP(A59,[1]ARS!$A:$EH,MATCH("Volatilidad histórica",[1]ARS!$4:$4,0),FALSE)</f>
        <v>0.47661843902732504</v>
      </c>
      <c r="BU59" s="56">
        <f>+VLOOKUP(A59,[1]ARS!$A$5:$EM$85,MATCH("Rto Medio",[1]ARS!$4:$4,0),FALSE)</f>
        <v>0.16372646066112462</v>
      </c>
      <c r="BV59" s="58">
        <f>+IF(VLOOKUP(Template!A59,[1]ARS!A:AA,MATCH("Period End Date",[1]ARS!$3:$3,0),FALSE)="","-",VLOOKUP(Template!A59,[1]ARS!A:AA,MATCH("Period End Date",[1]ARS!$3:$3,0),FALSE))</f>
        <v>43008</v>
      </c>
      <c r="BW59" s="59" t="str">
        <f t="shared" si="16"/>
        <v>FRAN</v>
      </c>
      <c r="BX59" s="4"/>
      <c r="BY59" s="119" t="s">
        <v>91</v>
      </c>
      <c r="BZ59" s="48">
        <v>27.259013008825683</v>
      </c>
      <c r="CA59" s="48">
        <v>4.9121073196621552</v>
      </c>
      <c r="CB59" s="48">
        <v>34.425187443039526</v>
      </c>
      <c r="CC59" s="128"/>
      <c r="CD59" s="119" t="s">
        <v>91</v>
      </c>
      <c r="CE59" s="119">
        <v>27.259013008825683</v>
      </c>
      <c r="CF59" s="129">
        <v>4.9121073196621552</v>
      </c>
      <c r="CG59" s="119">
        <v>34.425187443039526</v>
      </c>
      <c r="CN59" s="121"/>
    </row>
    <row r="60" spans="1:92" s="120" customFormat="1" ht="11.25" customHeight="1" x14ac:dyDescent="0.2">
      <c r="A60" s="288" t="str">
        <f t="shared" si="17"/>
        <v>SUPV</v>
      </c>
      <c r="B60" s="288"/>
      <c r="C60" s="289">
        <f>+VLOOKUP(A60,[1]ARS!A:EL,MATCH("Last",[1]ARS!$4:$4,0),FALSE)</f>
        <v>127.5</v>
      </c>
      <c r="D60" s="289"/>
      <c r="E60" s="132">
        <f>+VLOOKUP(A60,'[1]Market Cap'!I:J,2,FALSE)</f>
        <v>1</v>
      </c>
      <c r="F60" s="326">
        <f>IFERROR(IF(VLOOKUP(A60,[1]ARS!A:EL,MATCH("Total Debt To Total Equity, Percent FQ0",[1]ARS!$4:$4,0),FALSE)="NULL",IF(VLOOKUP(A60,[1]ARS!A:EL,MATCH("Total Debt To Total Equity, Percent FQ-1",[1]ARS!$4:$4,0),FALSE)="NULL","-",VLOOKUP(A60,[1]ARS!A:EL,MATCH("Total Debt To Total Equity, Percent FQ-1",[1]ARS!$4:$4,0))),VLOOKUP(A60,[1]ARS!A:EL,MATCH("Total Debt To Total Equity, Percent FQ0",[1]ARS!$4:$4,0),FALSE))/100,"-")</f>
        <v>0.71142428534000002</v>
      </c>
      <c r="G60" s="326"/>
      <c r="H60" s="326"/>
      <c r="I60" s="281">
        <f>IFERROR(VLOOKUP(A60,[1]ARS!A:EC,MATCH("Financial Leverage",[1]ARS!$4:$4,0),FALSE),"-")</f>
        <v>5.5214799227250051</v>
      </c>
      <c r="J60" s="281"/>
      <c r="K60" s="281"/>
      <c r="L60" s="282" t="str">
        <f>+IFERROR(IF(VLOOKUP(A60,[1]ARS!A:EL,MATCH("Curr Ratio FQ0",[1]ARS!$4:$4,0),FALSE)="NULL",IF(VLOOKUP(A60,[1]ARS!A:EL,MATCH("Curr Ratio FQ-1",[1]ARS!$4:$4,0),FALSE)="NULL","-",VLOOKUP(A60,[1]ARS!A:EL,MATCH("Curr Ratio FQ-1",[1]ARS!$4:$4,0),FALSE)),VLOOKUP(A60,[1]ARS!A:EL,MATCH("Curr Ratio FQ0",[1]ARS!$4:$4,0),FALSE)),"-")</f>
        <v>-</v>
      </c>
      <c r="M60" s="293"/>
      <c r="N60" s="294"/>
      <c r="O60" s="282" t="str">
        <f>+IFERROR(IF(VLOOKUP(A60,[1]ARS!A:EL,MATCH("Quick Ratio FQ0",[1]ARS!$4:$4,0),FALSE)="NULL",IF(VLOOKUP(A60,[1]ARS!A:EL,MATCH("Quick Ratio FQ-1",[1]ARS!$4:$4,0),FALSE)="NULL","-",VLOOKUP(A60,[1]ARS!A:EL,MATCH("Quick Ratio FQ-1",[1]ARS!$4:$4,0),FALSE)),VLOOKUP(A60,[1]ARS!A:EL,MATCH("Quick Ratio FQ0",[1]ARS!$4:$4,0),FALSE)),"-")</f>
        <v>-</v>
      </c>
      <c r="P60" s="293"/>
      <c r="Q60" s="294"/>
      <c r="R60" s="295">
        <f>+IFERROR(IF(VLOOKUP(A60,[1]ARS!$A:$EL,MATCH("Dividend yield",[1]ARS!$4:$4,0),FALSE)="NULL","-",VLOOKUP(A60,[1]ARS!$A:$EL,MATCH("Dividend Yield",[1]ARS!$4:$4,0),FALSE)/100),"-")</f>
        <v>1.5317316818375202E-3</v>
      </c>
      <c r="S60" s="296"/>
      <c r="T60" s="297"/>
      <c r="U60" s="281" t="str">
        <f>IF(IFERROR(VLOOKUP(A60,[1]ARS!A:EL,MATCH("Asset Turnover",[1]ARS!$4:$4,0),FALSE),"-")=0,"-",IFERROR(VLOOKUP(A60,[1]ARS!A:EL,MATCH("Asset Turnover",[1]ARS!$4:$4,0),FALSE),"-"))</f>
        <v>-</v>
      </c>
      <c r="V60" s="281"/>
      <c r="W60" s="281"/>
      <c r="X60" s="284" t="str">
        <f>IFERROR(VLOOKUP(A60,[1]ARS!A:EL,MATCH("CCC",[1]ARS!$4:$4,0),FALSE),"-")</f>
        <v>-</v>
      </c>
      <c r="Y60" s="284"/>
      <c r="Z60" s="284"/>
      <c r="AA60" s="283" t="str">
        <f>IF(IFERROR(VLOOKUP(A60,[1]ARS!A:EL,MATCH("Gross Margin, Percent",[1]ARS!$4:$4,0),FALSE)/100,"-")&lt;0,"-",IFERROR(VLOOKUP(A60,[1]ARS!A:EL,MATCH("Gross Margin, Percent",[1]ARS!$4:$4,0),FALSE)/100,"-"))</f>
        <v>-</v>
      </c>
      <c r="AB60" s="283"/>
      <c r="AC60" s="283"/>
      <c r="AD60" s="380" t="str">
        <f>IF(IFERROR(VLOOKUP(A60,[1]ARS!A:EL,MATCH("Operating Margin, Percent",[1]ARS!$4:$4,0),FALSE)/100,"-")&lt;0,"-",IFERROR(VLOOKUP(A60,[1]ARS!A:EL,MATCH("Operating Margin, Percent",[1]ARS!$4:$4,0),FALSE)/100,"-"))</f>
        <v>-</v>
      </c>
      <c r="AE60" s="381"/>
      <c r="AF60" s="382"/>
      <c r="AG60" s="283" t="str">
        <f>IF(IFERROR(VLOOKUP(A60,[1]ARS!A:EL,MATCH("Net Profit Margin",[1]ARS!$4:$4,0),FALSE),"-")&lt;0,"-",IFERROR(VLOOKUP(A60,[1]ARS!A:EL,MATCH("Net Profit Margin",[1]ARS!$4:$4,0),FALSE),"-"))</f>
        <v>-</v>
      </c>
      <c r="AH60" s="283"/>
      <c r="AI60" s="283"/>
      <c r="AJ60" s="283" t="str">
        <f>IFERROR(VLOOKUP(A60,[1]ARS!A:EL,MATCH("FCF/Revenue",[1]ARS!$4:$4,0),FALSE),"-")</f>
        <v>-</v>
      </c>
      <c r="AK60" s="283"/>
      <c r="AL60" s="283"/>
      <c r="AM60" s="283">
        <f>IFERROR(IF(VLOOKUP(A60,[1]ARS!A:EL,MATCH("ROE",[1]ARS!$4:$4,0),FALSE)&lt;-5,"-",VLOOKUP(A60,[1]ARS!A:EL,MATCH("ROE",[1]ARS!$4:$4,0),FALSE)),"-")</f>
        <v>0.23291667943951944</v>
      </c>
      <c r="AN60" s="283"/>
      <c r="AO60" s="283"/>
      <c r="AP60" s="283">
        <f>IFERROR(VLOOKUP(A60,[1]ARS!A:EL,MATCH("ROA",[1]ARS!$4:$4,0),FALSE),"-")</f>
        <v>3.2106491622272769E-2</v>
      </c>
      <c r="AQ60" s="283"/>
      <c r="AR60" s="283"/>
      <c r="AS60" s="40">
        <f>+VLOOKUP(A60,[1]ARS!$A$5:$EL$85,MATCH("Last Q y/y",[1]ARS!$4:$4,0),FALSE)</f>
        <v>0.42997530049536481</v>
      </c>
      <c r="AT60" s="40">
        <f>+VLOOKUP(A60,[1]ARS!$A$5:$EL$99,MATCH("Last 5 yrs - Annual",[1]ARS!$4:$4,0),FALSE)</f>
        <v>0.59190040369282504</v>
      </c>
      <c r="AU60" s="41">
        <f>+VLOOKUP(A60,[1]ARS!$A$5:$EL$84,MATCH("Desvio",[1]ARS!$4:$4,0),FALSE)</f>
        <v>0.53777584306432835</v>
      </c>
      <c r="AV60" s="42">
        <f>+IFERROR(VLOOKUP(A60,'[1]Prom. Vtas Ult 5 años'!$A$3:$D$81,3,FALSE),"-")</f>
        <v>220.36841666666666</v>
      </c>
      <c r="AW60" s="40">
        <f>+IFERROR(VLOOKUP(A60,'[1]Prom. Vtas Ult 5 años'!$A$3:$D$81,4,FALSE),"-")</f>
        <v>2.824410922647858</v>
      </c>
      <c r="AX60" s="281">
        <f>IFERROR((VLOOKUP(A60,[1]ARS!A:EL,MATCH("Enterprise Value (Daily Time Series)",[1]ARS!$4:$4,0),FALSE)/1000000000),"-")</f>
        <v>34.839283951700104</v>
      </c>
      <c r="AY60" s="281"/>
      <c r="AZ60" s="281"/>
      <c r="BA60" s="281">
        <f>IFERROR((VLOOKUP(A60,[1]ARS!A:EL,MATCH("Company Market Cap",[1]ARS!$4:$4,0),FALSE)/1000000000),"-")</f>
        <v>55.948484444999998</v>
      </c>
      <c r="BB60" s="281"/>
      <c r="BC60" s="281"/>
      <c r="BD60" s="282">
        <f>IF(VLOOKUP(A60,[1]ARS!A:EL,MATCH("Enterprise Value To EBITDA (Daily Time Series Ratio)",[1]ARS!$4:$4,0),FALSE)="NULL","-",VLOOKUP(A60,[1]ARS!A:EL,MATCH("Enterprise Value To EBITDA (Daily Time Series Ratio)",[1]ARS!$4:$4,0),FALSE))</f>
        <v>9.1965604451870995</v>
      </c>
      <c r="BE60" s="293"/>
      <c r="BF60" s="294"/>
      <c r="BG60" s="281">
        <f>IF(OR(IFERROR(VLOOKUP(A60,[1]ARS!A:EL,MATCH("Price To Tangible Book Value",[1]ARS!$4:$4,0),FALSE),"-")&lt;0,IFERROR(VLOOKUP(A60,[1]ARS!A:EL,MATCH("Price To Tangible Book Value",[1]ARS!$4:$4,0),FALSE),"-")&gt;100),"-",IFERROR(VLOOKUP(A60,[1]ARS!A:EL,MATCH("Price To Tangible Book Value",[1]ARS!$4:$4,0),FALSE),"-"))</f>
        <v>3.9879317031623978</v>
      </c>
      <c r="BH60" s="281"/>
      <c r="BI60" s="281"/>
      <c r="BJ60" s="281">
        <f>IF(OR(IFERROR(VLOOKUP(A60,[1]ARS!A:EL,MATCH("P/E (Daily Time Series Ratio)",[1]ARS!$4:$4,0),FALSE),"-")&lt;0,IFERROR(VLOOKUP(A60,[1]ARS!A:EL,MATCH("P/E (Daily Time Series Ratio)",[1]ARS!$4:$4,0),FALSE),"-")&gt;500),"-",IFERROR(VLOOKUP(A60,[1]ARS!A:EL,MATCH("P/E (Daily Time Series Ratio)",[1]ARS!$4:$4,0),FALSE),"-"))</f>
        <v>23.296266385040692</v>
      </c>
      <c r="BK60" s="281"/>
      <c r="BL60" s="281"/>
      <c r="BM60" s="281" t="str">
        <f>IF(OR(IFERROR(VLOOKUP(A60,[1]ARS!A:EC,MATCH("Price To Sales",[1]ARS!$4:$4,0),FALSE),"-")&lt;0,IFERROR(VLOOKUP(A60,[1]ARS!A:EC,MATCH("Price To Sales",[1]ARS!$4:$4,0),FALSE),"-")&gt;100),"-",IFERROR(VLOOKUP(A60,[1]ARS!A:EC,MATCH("Price To Sales",[1]ARS!$4:$4,0),FALSE),"-"))</f>
        <v>-</v>
      </c>
      <c r="BN60" s="281"/>
      <c r="BO60" s="281"/>
      <c r="BP60" s="281">
        <f>+IFERROR(IF(VLOOKUP(A60,[1]ARS!A:EO,MATCH("Price to Free Cash Flow",[1]ARS!$4:$4,0),FALSE)="NULL","-",VLOOKUP(A60,[1]ARS!A:EO,MATCH("Price to Free Cash Flow",[1]ARS!$4:$4,0),FALSE)),"-")</f>
        <v>20.352728834800001</v>
      </c>
      <c r="BQ60" s="281"/>
      <c r="BR60" s="282"/>
      <c r="BS60" s="43">
        <f>IF(VLOOKUP(A60,[1]ARS!A:EE,MATCH("Daily Beta - 180 Day",[1]ARS!$4:$4,0),FALSE)="NULL","-",VLOOKUP(A60,[1]ARS!A:EE,MATCH("Daily Beta - 180 Day",[1]ARS!$4:$4,0),FALSE))</f>
        <v>0.91847154811668796</v>
      </c>
      <c r="BT60" s="40" t="str">
        <f>+VLOOKUP(A60,[1]ARS!$A:$EH,MATCH("Volatilidad histórica",[1]ARS!$4:$4,0),FALSE)</f>
        <v>-</v>
      </c>
      <c r="BU60" s="44" t="str">
        <f>+VLOOKUP(A60,[1]ARS!$A$5:$EM$85,MATCH("Rto Medio",[1]ARS!$4:$4,0),FALSE)</f>
        <v>-</v>
      </c>
      <c r="BV60" s="45">
        <f>+IF(VLOOKUP(Template!A60,[1]ARS!A:AA,MATCH("Period End Date",[1]ARS!$3:$3,0),FALSE)="","-",VLOOKUP(Template!A60,[1]ARS!A:AA,MATCH("Period End Date",[1]ARS!$3:$3,0),FALSE))</f>
        <v>43008</v>
      </c>
      <c r="BW60" s="46" t="str">
        <f t="shared" si="16"/>
        <v>SUPV</v>
      </c>
      <c r="BX60" s="4"/>
      <c r="BY60" s="119" t="s">
        <v>92</v>
      </c>
      <c r="BZ60" s="48" t="s">
        <v>49</v>
      </c>
      <c r="CA60" s="48">
        <v>4.9548824615053455</v>
      </c>
      <c r="CB60" s="48">
        <v>15.472320376914016</v>
      </c>
      <c r="CC60" s="128"/>
      <c r="CD60" s="119" t="s">
        <v>92</v>
      </c>
      <c r="CE60" s="119" t="s">
        <v>49</v>
      </c>
      <c r="CF60" s="129">
        <v>4.9548824615053455</v>
      </c>
      <c r="CG60" s="119">
        <v>15.472320376914016</v>
      </c>
      <c r="CN60" s="121"/>
    </row>
    <row r="61" spans="1:92" s="120" customFormat="1" ht="11.25" customHeight="1" x14ac:dyDescent="0.2">
      <c r="A61" s="330" t="str">
        <f t="shared" si="17"/>
        <v>GGAL</v>
      </c>
      <c r="B61" s="330"/>
      <c r="C61" s="331">
        <f>+VLOOKUP(A61,[1]ARS!A:EL,MATCH("Last",[1]ARS!$4:$4,0),FALSE)</f>
        <v>132.94999999999999</v>
      </c>
      <c r="D61" s="331"/>
      <c r="E61" s="133">
        <f>+VLOOKUP(A61,'[1]Market Cap'!I:J,2,FALSE)</f>
        <v>1</v>
      </c>
      <c r="F61" s="332">
        <f>IFERROR(IF(VLOOKUP(A61,[1]ARS!A:EL,MATCH("Total Debt To Total Equity, Percent FQ0",[1]ARS!$4:$4,0),FALSE)="NULL",IF(VLOOKUP(A61,[1]ARS!A:EL,MATCH("Total Debt To Total Equity, Percent FQ-1",[1]ARS!$4:$4,0),FALSE)="NULL","-",VLOOKUP(A61,[1]ARS!A:EL,MATCH("Total Debt To Total Equity, Percent FQ-1",[1]ARS!$4:$4,0))),VLOOKUP(A61,[1]ARS!A:EL,MATCH("Total Debt To Total Equity, Percent FQ0",[1]ARS!$4:$4,0),FALSE))/100,"-")</f>
        <v>0.74335015195999998</v>
      </c>
      <c r="G61" s="332"/>
      <c r="H61" s="332"/>
      <c r="I61" s="324">
        <f>IFERROR(VLOOKUP(A61,[1]ARS!A:EC,MATCH("Financial Leverage",[1]ARS!$4:$4,0),FALSE),"-")</f>
        <v>7.7966891278048172</v>
      </c>
      <c r="J61" s="324"/>
      <c r="K61" s="324"/>
      <c r="L61" s="325" t="str">
        <f>+IFERROR(IF(VLOOKUP(A61,[1]ARS!A:EL,MATCH("Curr Ratio FQ0",[1]ARS!$4:$4,0),FALSE)="NULL",IF(VLOOKUP(A61,[1]ARS!A:EL,MATCH("Curr Ratio FQ-1",[1]ARS!$4:$4,0),FALSE)="NULL","-",VLOOKUP(A61,[1]ARS!A:EL,MATCH("Curr Ratio FQ-1",[1]ARS!$4:$4,0),FALSE)),VLOOKUP(A61,[1]ARS!A:EL,MATCH("Curr Ratio FQ0",[1]ARS!$4:$4,0),FALSE)),"-")</f>
        <v>-</v>
      </c>
      <c r="M61" s="333"/>
      <c r="N61" s="334"/>
      <c r="O61" s="325" t="str">
        <f>+IFERROR(IF(VLOOKUP(A61,[1]ARS!A:EL,MATCH("Quick Ratio FQ0",[1]ARS!$4:$4,0),FALSE)="NULL",IF(VLOOKUP(A61,[1]ARS!A:EL,MATCH("Quick Ratio FQ-1",[1]ARS!$4:$4,0),FALSE)="NULL","-",VLOOKUP(A61,[1]ARS!A:EL,MATCH("Quick Ratio FQ-1",[1]ARS!$4:$4,0),FALSE)),VLOOKUP(A61,[1]ARS!A:EL,MATCH("Quick Ratio FQ0",[1]ARS!$4:$4,0),FALSE)),"-")</f>
        <v>-</v>
      </c>
      <c r="P61" s="333"/>
      <c r="Q61" s="334"/>
      <c r="R61" s="335">
        <f>+IFERROR(IF(VLOOKUP(A61,[1]ARS!$A:$EL,MATCH("Dividend yield",[1]ARS!$4:$4,0),FALSE)="NULL","-",VLOOKUP(A61,[1]ARS!$A:$EL,MATCH("Dividend Yield",[1]ARS!$4:$4,0),FALSE)/100),"-")</f>
        <v>1.4819575752709798E-3</v>
      </c>
      <c r="S61" s="336"/>
      <c r="T61" s="337"/>
      <c r="U61" s="324" t="str">
        <f>IF(IFERROR(VLOOKUP(A61,[1]ARS!A:EL,MATCH("Asset Turnover",[1]ARS!$4:$4,0),FALSE),"-")=0,"-",IFERROR(VLOOKUP(A61,[1]ARS!A:EL,MATCH("Asset Turnover",[1]ARS!$4:$4,0),FALSE),"-"))</f>
        <v>-</v>
      </c>
      <c r="V61" s="324"/>
      <c r="W61" s="324"/>
      <c r="X61" s="328" t="str">
        <f>IFERROR(VLOOKUP(A61,[1]ARS!A:EL,MATCH("CCC",[1]ARS!$4:$4,0),FALSE),"-")</f>
        <v>-</v>
      </c>
      <c r="Y61" s="328"/>
      <c r="Z61" s="328"/>
      <c r="AA61" s="327" t="str">
        <f>IF(IFERROR(VLOOKUP(A61,[1]ARS!A:EL,MATCH("Gross Margin, Percent",[1]ARS!$4:$4,0),FALSE)/100,"-")&lt;0,"-",IFERROR(VLOOKUP(A61,[1]ARS!A:EL,MATCH("Gross Margin, Percent",[1]ARS!$4:$4,0),FALSE)/100,"-"))</f>
        <v>-</v>
      </c>
      <c r="AB61" s="327"/>
      <c r="AC61" s="327"/>
      <c r="AD61" s="383" t="str">
        <f>IF(IFERROR(VLOOKUP(A61,[1]ARS!A:EL,MATCH("Operating Margin, Percent",[1]ARS!$4:$4,0),FALSE)/100,"-")&lt;0,"-",IFERROR(VLOOKUP(A61,[1]ARS!A:EL,MATCH("Operating Margin, Percent",[1]ARS!$4:$4,0),FALSE)/100,"-"))</f>
        <v>-</v>
      </c>
      <c r="AE61" s="384"/>
      <c r="AF61" s="385"/>
      <c r="AG61" s="327" t="str">
        <f>IF(IFERROR(VLOOKUP(A61,[1]ARS!A:EL,MATCH("Net Profit Margin",[1]ARS!$4:$4,0),FALSE),"-")&lt;0,"-",IFERROR(VLOOKUP(A61,[1]ARS!A:EL,MATCH("Net Profit Margin",[1]ARS!$4:$4,0),FALSE),"-"))</f>
        <v>-</v>
      </c>
      <c r="AH61" s="327"/>
      <c r="AI61" s="327"/>
      <c r="AJ61" s="327" t="str">
        <f>IFERROR(VLOOKUP(A61,[1]ARS!A:EL,MATCH("FCF/Revenue",[1]ARS!$4:$4,0),FALSE),"-")</f>
        <v>-</v>
      </c>
      <c r="AK61" s="327"/>
      <c r="AL61" s="327"/>
      <c r="AM61" s="329">
        <f>IFERROR(IF(VLOOKUP(A61,[1]ARS!A:EL,MATCH("ROE",[1]ARS!$4:$4,0),FALSE)&lt;-5,"-",VLOOKUP(A61,[1]ARS!A:EL,MATCH("ROE",[1]ARS!$4:$4,0),FALSE)),"-")</f>
        <v>0.29393063984807349</v>
      </c>
      <c r="AN61" s="329"/>
      <c r="AO61" s="329"/>
      <c r="AP61" s="327">
        <f>IFERROR(VLOOKUP(A61,[1]ARS!A:EL,MATCH("ROA",[1]ARS!$4:$4,0),FALSE),"-")</f>
        <v>2.8953084853006624E-2</v>
      </c>
      <c r="AQ61" s="327"/>
      <c r="AR61" s="327"/>
      <c r="AS61" s="53">
        <f>+VLOOKUP(A61,[1]ARS!$A$5:$EL$85,MATCH("Last Q y/y",[1]ARS!$4:$4,0),FALSE)</f>
        <v>0.45606498635937953</v>
      </c>
      <c r="AT61" s="53">
        <f>+VLOOKUP(A61,[1]ARS!$A$5:$EL$99,MATCH("Last 5 yrs - Annual",[1]ARS!$4:$4,0),FALSE)</f>
        <v>0.41781800621622167</v>
      </c>
      <c r="AU61" s="54">
        <f>+VLOOKUP(A61,[1]ARS!$A$5:$EL$84,MATCH("Desvio",[1]ARS!$4:$4,0),FALSE)</f>
        <v>0.24093684589067174</v>
      </c>
      <c r="AV61" s="55">
        <f>AVERAGE(AV50:AV60)</f>
        <v>415.47025288759505</v>
      </c>
      <c r="AW61" s="56">
        <f>AVERAGE(AW50:AW60)</f>
        <v>9.766307490431041</v>
      </c>
      <c r="AX61" s="324">
        <f>IFERROR((VLOOKUP(A61,[1]ARS!A:EL,MATCH("Enterprise Value (Daily Time Series)",[1]ARS!$4:$4,0),FALSE)/1000000000),"-")</f>
        <v>131.62796304885001</v>
      </c>
      <c r="AY61" s="324"/>
      <c r="AZ61" s="324"/>
      <c r="BA61" s="324">
        <f>IFERROR((VLOOKUP(A61,[1]ARS!A:EL,MATCH("Company Market Cap",[1]ARS!$4:$4,0),FALSE)/1000000000),"-")</f>
        <v>181.62713319810001</v>
      </c>
      <c r="BB61" s="324"/>
      <c r="BC61" s="324"/>
      <c r="BD61" s="325">
        <f>IF(VLOOKUP(A61,[1]ARS!A:EL,MATCH("Enterprise Value To EBITDA (Daily Time Series Ratio)",[1]ARS!$4:$4,0),FALSE)="NULL","-",VLOOKUP(A61,[1]ARS!A:EL,MATCH("Enterprise Value To EBITDA (Daily Time Series Ratio)",[1]ARS!$4:$4,0),FALSE))</f>
        <v>7.1072293594965998</v>
      </c>
      <c r="BE61" s="333"/>
      <c r="BF61" s="334"/>
      <c r="BG61" s="324">
        <f>IF(OR(IFERROR(VLOOKUP(A61,[1]ARS!A:EL,MATCH("Price To Tangible Book Value",[1]ARS!$4:$4,0),FALSE),"-")&lt;0,IFERROR(VLOOKUP(A61,[1]ARS!A:EL,MATCH("Price To Tangible Book Value",[1]ARS!$4:$4,0),FALSE),"-")&gt;100),"-",IFERROR(VLOOKUP(A61,[1]ARS!A:EL,MATCH("Price To Tangible Book Value",[1]ARS!$4:$4,0),FALSE),"-"))</f>
        <v>5.6610199321695447</v>
      </c>
      <c r="BH61" s="324"/>
      <c r="BI61" s="324"/>
      <c r="BJ61" s="324">
        <f>IF(OR(IFERROR(VLOOKUP(A61,[1]ARS!A:EL,MATCH("P/E (Daily Time Series Ratio)",[1]ARS!$4:$4,0),FALSE),"-")&lt;0,IFERROR(VLOOKUP(A61,[1]ARS!A:EL,MATCH("P/E (Daily Time Series Ratio)",[1]ARS!$4:$4,0),FALSE),"-")&gt;500),"-",IFERROR(VLOOKUP(A61,[1]ARS!A:EL,MATCH("P/E (Daily Time Series Ratio)",[1]ARS!$4:$4,0),FALSE),"-"))</f>
        <v>23.293789082142361</v>
      </c>
      <c r="BK61" s="324"/>
      <c r="BL61" s="324"/>
      <c r="BM61" s="324" t="str">
        <f>IF(OR(IFERROR(VLOOKUP(A61,[1]ARS!A:EC,MATCH("Price To Sales",[1]ARS!$4:$4,0),FALSE),"-")&lt;0,IFERROR(VLOOKUP(A61,[1]ARS!A:EC,MATCH("Price To Sales",[1]ARS!$4:$4,0),FALSE),"-")&gt;100),"-",IFERROR(VLOOKUP(A61,[1]ARS!A:EC,MATCH("Price To Sales",[1]ARS!$4:$4,0),FALSE),"-"))</f>
        <v>-</v>
      </c>
      <c r="BN61" s="324"/>
      <c r="BO61" s="324"/>
      <c r="BP61" s="324">
        <f>+IFERROR(IF(VLOOKUP(A61,[1]ARS!A:EO,MATCH("Price to Free Cash Flow",[1]ARS!$4:$4,0),FALSE)="NULL","-",VLOOKUP(A61,[1]ARS!A:EO,MATCH("Price to Free Cash Flow",[1]ARS!$4:$4,0),FALSE)),"-")</f>
        <v>17.121421172400002</v>
      </c>
      <c r="BQ61" s="324"/>
      <c r="BR61" s="325"/>
      <c r="BS61" s="57">
        <f>IF(VLOOKUP(A61,[1]ARS!A:EE,MATCH("Daily Beta - 180 Day",[1]ARS!$4:$4,0),FALSE)="NULL","-",VLOOKUP(A61,[1]ARS!A:EE,MATCH("Daily Beta - 180 Day",[1]ARS!$4:$4,0),FALSE))</f>
        <v>1.1155728945660499</v>
      </c>
      <c r="BT61" s="53">
        <f>+VLOOKUP(A61,[1]ARS!$A:$EH,MATCH("Volatilidad histórica",[1]ARS!$4:$4,0),FALSE)</f>
        <v>0.47134928658885794</v>
      </c>
      <c r="BU61" s="56">
        <f>+VLOOKUP(A61,[1]ARS!$A$5:$EM$85,MATCH("Rto Medio",[1]ARS!$4:$4,0),FALSE)</f>
        <v>0.25053857986712225</v>
      </c>
      <c r="BV61" s="58">
        <f>+IF(VLOOKUP(Template!A61,[1]ARS!A:AA,MATCH("Period End Date",[1]ARS!$3:$3,0),FALSE)="","-",VLOOKUP(Template!A61,[1]ARS!A:AA,MATCH("Period End Date",[1]ARS!$3:$3,0),FALSE))</f>
        <v>43008</v>
      </c>
      <c r="BW61" s="59" t="str">
        <f t="shared" si="16"/>
        <v>GGAL</v>
      </c>
      <c r="BX61" s="4"/>
      <c r="BY61" s="119" t="s">
        <v>93</v>
      </c>
      <c r="BZ61" s="48" t="s">
        <v>49</v>
      </c>
      <c r="CA61" s="48">
        <v>6.0612032712548318</v>
      </c>
      <c r="CB61" s="48">
        <v>17.163675982251004</v>
      </c>
      <c r="CC61" s="128"/>
      <c r="CD61" s="119" t="s">
        <v>93</v>
      </c>
      <c r="CE61" s="119" t="s">
        <v>49</v>
      </c>
      <c r="CF61" s="129">
        <v>6.0612032712548318</v>
      </c>
      <c r="CG61" s="119">
        <v>17.163675982251004</v>
      </c>
      <c r="CN61" s="121"/>
    </row>
    <row r="62" spans="1:92" s="120" customFormat="1" ht="11.25" customHeight="1" x14ac:dyDescent="0.2">
      <c r="A62" s="288" t="str">
        <f t="shared" si="17"/>
        <v>STD</v>
      </c>
      <c r="B62" s="288"/>
      <c r="C62" s="289">
        <f>+VLOOKUP(A62,[1]ARS!A:EL,MATCH("Last",[1]ARS!$4:$4,0),FALSE)</f>
        <v>139</v>
      </c>
      <c r="D62" s="289"/>
      <c r="E62" s="132">
        <f>+VLOOKUP(A62,'[1]Market Cap'!I:J,2,FALSE)</f>
        <v>0.5</v>
      </c>
      <c r="F62" s="326" t="str">
        <f>IFERROR(IF(VLOOKUP(A62,[1]ARS!A:EL,MATCH("Total Debt To Total Equity, Percent FQ0",[1]ARS!$4:$4,0),FALSE)="NULL",IF(VLOOKUP(A62,[1]ARS!A:EL,MATCH("Total Debt To Total Equity, Percent FQ-1",[1]ARS!$4:$4,0),FALSE)="NULL","-",VLOOKUP(A62,[1]ARS!A:EL,MATCH("Total Debt To Total Equity, Percent FQ-1",[1]ARS!$4:$4,0))),VLOOKUP(A62,[1]ARS!A:EL,MATCH("Total Debt To Total Equity, Percent FQ0",[1]ARS!$4:$4,0),FALSE))/100,"-")</f>
        <v>-</v>
      </c>
      <c r="G62" s="326"/>
      <c r="H62" s="326"/>
      <c r="I62" s="281" t="str">
        <f>IFERROR(VLOOKUP(A62,[1]ARS!A:EC,MATCH("Financial Leverage",[1]ARS!$4:$4,0),FALSE),"-")</f>
        <v>-</v>
      </c>
      <c r="J62" s="281"/>
      <c r="K62" s="281"/>
      <c r="L62" s="282" t="str">
        <f>+IFERROR(IF(VLOOKUP(A62,[1]ARS!A:EL,MATCH("Curr Ratio FQ0",[1]ARS!$4:$4,0),FALSE)="NULL",IF(VLOOKUP(A62,[1]ARS!A:EL,MATCH("Curr Ratio FQ-1",[1]ARS!$4:$4,0),FALSE)="NULL","-",VLOOKUP(A62,[1]ARS!A:EL,MATCH("Curr Ratio FQ-1",[1]ARS!$4:$4,0),FALSE)),VLOOKUP(A62,[1]ARS!A:EL,MATCH("Curr Ratio FQ0",[1]ARS!$4:$4,0),FALSE)),"-")</f>
        <v>-</v>
      </c>
      <c r="M62" s="293"/>
      <c r="N62" s="294"/>
      <c r="O62" s="282" t="str">
        <f>+IFERROR(IF(VLOOKUP(A62,[1]ARS!A:EL,MATCH("Quick Ratio FQ0",[1]ARS!$4:$4,0),FALSE)="NULL",IF(VLOOKUP(A62,[1]ARS!A:EL,MATCH("Quick Ratio FQ-1",[1]ARS!$4:$4,0),FALSE)="NULL","-",VLOOKUP(A62,[1]ARS!A:EL,MATCH("Quick Ratio FQ-1",[1]ARS!$4:$4,0),FALSE)),VLOOKUP(A62,[1]ARS!A:EL,MATCH("Quick Ratio FQ0",[1]ARS!$4:$4,0),FALSE)),"-")</f>
        <v>-</v>
      </c>
      <c r="P62" s="293"/>
      <c r="Q62" s="294"/>
      <c r="R62" s="295">
        <f>+IFERROR(IF(VLOOKUP(A62,[1]ARS!$A:$EL,MATCH("Dividend yield",[1]ARS!$4:$4,0),FALSE)="NULL","-",VLOOKUP(A62,[1]ARS!$A:$EL,MATCH("Dividend Yield",[1]ARS!$4:$4,0),FALSE)/100),"-")</f>
        <v>3.7180526446358601E-2</v>
      </c>
      <c r="S62" s="296"/>
      <c r="T62" s="297"/>
      <c r="U62" s="281" t="str">
        <f>IF(IFERROR(VLOOKUP(A62,[1]ARS!A:EL,MATCH("Asset Turnover",[1]ARS!$4:$4,0),FALSE),"-")=0,"-",IFERROR(VLOOKUP(A62,[1]ARS!A:EL,MATCH("Asset Turnover",[1]ARS!$4:$4,0),FALSE),"-"))</f>
        <v>-</v>
      </c>
      <c r="V62" s="281"/>
      <c r="W62" s="281"/>
      <c r="X62" s="284" t="str">
        <f>IFERROR(VLOOKUP(A62,[1]ARS!A:EL,MATCH("CCC",[1]ARS!$4:$4,0),FALSE),"-")</f>
        <v>-</v>
      </c>
      <c r="Y62" s="284"/>
      <c r="Z62" s="284"/>
      <c r="AA62" s="283" t="str">
        <f>IF(IFERROR(VLOOKUP(A62,[1]ARS!A:EL,MATCH("Gross Margin, Percent",[1]ARS!$4:$4,0),FALSE)/100,"-")&lt;0,"-",IFERROR(VLOOKUP(A62,[1]ARS!A:EL,MATCH("Gross Margin, Percent",[1]ARS!$4:$4,0),FALSE)/100,"-"))</f>
        <v>-</v>
      </c>
      <c r="AB62" s="283"/>
      <c r="AC62" s="283"/>
      <c r="AD62" s="380" t="str">
        <f>IF(IFERROR(VLOOKUP(A62,[1]ARS!A:EL,MATCH("Operating Margin, Percent",[1]ARS!$4:$4,0),FALSE)/100,"-")&lt;0,"-",IFERROR(VLOOKUP(A62,[1]ARS!A:EL,MATCH("Operating Margin, Percent",[1]ARS!$4:$4,0),FALSE)/100,"-"))</f>
        <v>-</v>
      </c>
      <c r="AE62" s="381"/>
      <c r="AF62" s="382"/>
      <c r="AG62" s="283" t="str">
        <f>IF(IFERROR(VLOOKUP(A62,[1]ARS!A:EL,MATCH("Net Profit Margin",[1]ARS!$4:$4,0),FALSE),"-")&lt;0,"-",IFERROR(VLOOKUP(A62,[1]ARS!A:EL,MATCH("Net Profit Margin",[1]ARS!$4:$4,0),FALSE),"-"))</f>
        <v>-</v>
      </c>
      <c r="AH62" s="283"/>
      <c r="AI62" s="283"/>
      <c r="AJ62" s="283" t="str">
        <f>IFERROR(VLOOKUP(A62,[1]ARS!A:EL,MATCH("FCF/Revenue",[1]ARS!$4:$4,0),FALSE),"-")</f>
        <v>-</v>
      </c>
      <c r="AK62" s="283"/>
      <c r="AL62" s="283"/>
      <c r="AM62" s="283">
        <f>IFERROR(IF(VLOOKUP(A62,[1]ARS!A:EL,MATCH("ROE",[1]ARS!$4:$4,0),FALSE)&lt;-5,"-",VLOOKUP(A62,[1]ARS!A:EL,MATCH("ROE",[1]ARS!$4:$4,0),FALSE)),"-")</f>
        <v>8.16766880684653E-2</v>
      </c>
      <c r="AN62" s="283"/>
      <c r="AO62" s="283"/>
      <c r="AP62" s="283">
        <f>IFERROR(VLOOKUP(A62,[1]ARS!A:EL,MATCH("ROA",[1]ARS!$4:$4,0),FALSE),"-")</f>
        <v>2.7224993460265596E-3</v>
      </c>
      <c r="AQ62" s="283"/>
      <c r="AR62" s="283"/>
      <c r="AS62" s="40" t="str">
        <f>+VLOOKUP(A62,[1]ARS!$A$5:$EL$85,MATCH("Last Q y/y",[1]ARS!$4:$4,0),FALSE)</f>
        <v>-</v>
      </c>
      <c r="AT62" s="40">
        <f>+VLOOKUP(A62,[1]ARS!$A$5:$EL$99,MATCH("Last 5 yrs - Annual",[1]ARS!$4:$4,0),FALSE)</f>
        <v>0.65471904538243175</v>
      </c>
      <c r="AU62" s="41">
        <f>+VLOOKUP(A62,[1]ARS!$A$5:$EL$84,MATCH("Desvio",[1]ARS!$4:$4,0),FALSE)</f>
        <v>0.55326285764565264</v>
      </c>
      <c r="AV62" s="42">
        <f>+IFERROR(VLOOKUP(A62,'[1]Prom. Vtas Ult 5 años'!$A$3:$D$81,3,FALSE),"-")</f>
        <v>3542.0588235294117</v>
      </c>
      <c r="AW62" s="40">
        <f>+IFERROR(VLOOKUP(A62,'[1]Prom. Vtas Ult 5 años'!$A$3:$D$81,4,FALSE),"-")</f>
        <v>11.717536717160607</v>
      </c>
      <c r="AX62" s="281">
        <f>IFERROR((VLOOKUP(A62,[1]ARS!A:EL,MATCH("Enterprise Value (Daily Time Series)",[1]ARS!$4:$4,0),FALSE)/1000000000),"-")</f>
        <v>3459.76841920275</v>
      </c>
      <c r="AY62" s="281"/>
      <c r="AZ62" s="281"/>
      <c r="BA62" s="281">
        <f>IFERROR((VLOOKUP(A62,[1]ARS!A:EL,MATCH("Company Market Cap",[1]ARS!$4:$4,0),FALSE)/1000000000),"-")</f>
        <v>2261.7208558860002</v>
      </c>
      <c r="BB62" s="281"/>
      <c r="BC62" s="281"/>
      <c r="BD62" s="282">
        <f>IF(VLOOKUP(A62,[1]ARS!A:EL,MATCH("Enterprise Value To EBITDA (Daily Time Series Ratio)",[1]ARS!$4:$4,0),FALSE)="NULL","-",VLOOKUP(A62,[1]ARS!A:EL,MATCH("Enterprise Value To EBITDA (Daily Time Series Ratio)",[1]ARS!$4:$4,0),FALSE))</f>
        <v>8.8706723320287004</v>
      </c>
      <c r="BE62" s="293"/>
      <c r="BF62" s="294"/>
      <c r="BG62" s="281" t="str">
        <f>IF(OR(IFERROR(VLOOKUP(A62,[1]ARS!A:EL,MATCH("Price To Tangible Book Value",[1]ARS!$4:$4,0),FALSE),"-")&lt;0,IFERROR(VLOOKUP(A62,[1]ARS!A:EL,MATCH("Price To Tangible Book Value",[1]ARS!$4:$4,0),FALSE),"-")&gt;100),"-",IFERROR(VLOOKUP(A62,[1]ARS!A:EL,MATCH("Price To Tangible Book Value",[1]ARS!$4:$4,0),FALSE),"-"))</f>
        <v>-</v>
      </c>
      <c r="BH62" s="281"/>
      <c r="BI62" s="281"/>
      <c r="BJ62" s="281">
        <f>IF(OR(IFERROR(VLOOKUP(A62,[1]ARS!A:EL,MATCH("P/E (Daily Time Series Ratio)",[1]ARS!$4:$4,0),FALSE),"-")&lt;0,IFERROR(VLOOKUP(A62,[1]ARS!A:EL,MATCH("P/E (Daily Time Series Ratio)",[1]ARS!$4:$4,0),FALSE),"-")&gt;500),"-",IFERROR(VLOOKUP(A62,[1]ARS!A:EL,MATCH("P/E (Daily Time Series Ratio)",[1]ARS!$4:$4,0),FALSE),"-"))</f>
        <v>35.563675889556109</v>
      </c>
      <c r="BK62" s="281"/>
      <c r="BL62" s="281"/>
      <c r="BM62" s="281" t="str">
        <f>IF(OR(IFERROR(VLOOKUP(A62,[1]ARS!A:EC,MATCH("Price To Sales",[1]ARS!$4:$4,0),FALSE),"-")&lt;0,IFERROR(VLOOKUP(A62,[1]ARS!A:EC,MATCH("Price To Sales",[1]ARS!$4:$4,0),FALSE),"-")&gt;100),"-",IFERROR(VLOOKUP(A62,[1]ARS!A:EC,MATCH("Price To Sales",[1]ARS!$4:$4,0),FALSE),"-"))</f>
        <v>-</v>
      </c>
      <c r="BN62" s="281"/>
      <c r="BO62" s="281"/>
      <c r="BP62" s="281" t="str">
        <f>+IFERROR(IF(VLOOKUP(A62,[1]ARS!A:EO,MATCH("Price to Free Cash Flow",[1]ARS!$4:$4,0),FALSE)="NULL","-",VLOOKUP(A62,[1]ARS!A:EO,MATCH("Price to Free Cash Flow",[1]ARS!$4:$4,0),FALSE)),"-")</f>
        <v>-</v>
      </c>
      <c r="BQ62" s="281"/>
      <c r="BR62" s="282"/>
      <c r="BS62" s="43">
        <f>IF(VLOOKUP(A62,[1]ARS!A:EE,MATCH("Daily Beta - 180 Day",[1]ARS!$4:$4,0),FALSE)="NULL","-",VLOOKUP(A62,[1]ARS!A:EE,MATCH("Daily Beta - 180 Day",[1]ARS!$4:$4,0),FALSE))</f>
        <v>0.10767939454363699</v>
      </c>
      <c r="BT62" s="40">
        <f>+VLOOKUP(A62,[1]ARS!$A:$EH,MATCH("Volatilidad histórica",[1]ARS!$4:$4,0),FALSE)</f>
        <v>0.47049249639562463</v>
      </c>
      <c r="BU62" s="44">
        <f>+VLOOKUP(A62,[1]ARS!$A$5:$EM$85,MATCH("Rto Medio",[1]ARS!$4:$4,0),FALSE)</f>
        <v>-5.0145772035455671E-2</v>
      </c>
      <c r="BV62" s="45" t="str">
        <f>+IF(VLOOKUP(Template!A62,[1]ARS!A:AA,MATCH("Period End Date",[1]ARS!$3:$3,0),FALSE)="","-",VLOOKUP(Template!A62,[1]ARS!A:AA,MATCH("Period End Date",[1]ARS!$3:$3,0),FALSE))</f>
        <v>-</v>
      </c>
      <c r="BW62" s="46" t="str">
        <f t="shared" si="16"/>
        <v>STD</v>
      </c>
      <c r="BX62" s="4"/>
      <c r="BY62" s="134" t="s">
        <v>94</v>
      </c>
      <c r="BZ62" s="48" t="s">
        <v>49</v>
      </c>
      <c r="CA62" s="48" t="s">
        <v>49</v>
      </c>
      <c r="CB62" s="48">
        <v>29.511460348504386</v>
      </c>
      <c r="CC62" s="128"/>
      <c r="CD62" s="119" t="s">
        <v>94</v>
      </c>
      <c r="CE62" s="119" t="s">
        <v>49</v>
      </c>
      <c r="CF62" s="129" t="s">
        <v>49</v>
      </c>
      <c r="CG62" s="119">
        <v>29.511460348504386</v>
      </c>
      <c r="CN62" s="121"/>
    </row>
    <row r="63" spans="1:92" s="120" customFormat="1" ht="11.25" customHeight="1" x14ac:dyDescent="0.2">
      <c r="A63" s="352" t="s">
        <v>61</v>
      </c>
      <c r="B63" s="353"/>
      <c r="C63" s="354"/>
      <c r="D63" s="355"/>
      <c r="E63" s="108"/>
      <c r="F63" s="347">
        <f>AVERAGE(F54:H62)</f>
        <v>0.68481398918624992</v>
      </c>
      <c r="G63" s="348"/>
      <c r="H63" s="349"/>
      <c r="I63" s="347">
        <f>AVERAGE(I54:K62)</f>
        <v>7.3683757684803437</v>
      </c>
      <c r="J63" s="348"/>
      <c r="K63" s="349"/>
      <c r="L63" s="347"/>
      <c r="M63" s="348"/>
      <c r="N63" s="349"/>
      <c r="O63" s="347"/>
      <c r="P63" s="348"/>
      <c r="Q63" s="349"/>
      <c r="R63" s="356">
        <f>AVERAGE(R54:T62)</f>
        <v>1.199612555575344E-2</v>
      </c>
      <c r="S63" s="357"/>
      <c r="T63" s="358"/>
      <c r="U63" s="347"/>
      <c r="V63" s="348"/>
      <c r="W63" s="349"/>
      <c r="X63" s="347"/>
      <c r="Y63" s="348"/>
      <c r="Z63" s="349"/>
      <c r="AA63" s="344"/>
      <c r="AB63" s="345"/>
      <c r="AC63" s="346"/>
      <c r="AD63" s="344"/>
      <c r="AE63" s="345"/>
      <c r="AF63" s="346"/>
      <c r="AG63" s="344"/>
      <c r="AH63" s="345"/>
      <c r="AI63" s="346"/>
      <c r="AJ63" s="344"/>
      <c r="AK63" s="345"/>
      <c r="AL63" s="346"/>
      <c r="AM63" s="344">
        <f>AVERAGE(AM54:AO62)</f>
        <v>0.22857413232678939</v>
      </c>
      <c r="AN63" s="345"/>
      <c r="AO63" s="346"/>
      <c r="AP63" s="344">
        <f>AVERAGE(AP54:AR62)</f>
        <v>2.8726347501848701E-2</v>
      </c>
      <c r="AQ63" s="345"/>
      <c r="AR63" s="346"/>
      <c r="AS63" s="109">
        <f>AVERAGE(AS54:AS62)</f>
        <v>0.7777465570759402</v>
      </c>
      <c r="AT63" s="109">
        <f>AVERAGE(AT54:AT62)</f>
        <v>0.42058265857422633</v>
      </c>
      <c r="AU63" s="110">
        <f>AVERAGE(AU54:AU62)</f>
        <v>0.32411886933364176</v>
      </c>
      <c r="AV63" s="111">
        <f>AVERAGE(AV54:AV62)</f>
        <v>849.62656334094163</v>
      </c>
      <c r="AW63" s="109">
        <f>AVERAGE(AW54:AW62)</f>
        <v>4.8199316561213985</v>
      </c>
      <c r="AX63" s="341">
        <f>+AVERAGE(AX54:AZ62)</f>
        <v>439.21165492175555</v>
      </c>
      <c r="AY63" s="342"/>
      <c r="AZ63" s="343"/>
      <c r="BA63" s="341">
        <f>+AVERAGE(BA54:BC62)</f>
        <v>361.41289944927502</v>
      </c>
      <c r="BB63" s="342"/>
      <c r="BC63" s="343"/>
      <c r="BD63" s="341">
        <f>+AVERAGE(BD54:BF62)</f>
        <v>6.8523817357620764</v>
      </c>
      <c r="BE63" s="342"/>
      <c r="BF63" s="343"/>
      <c r="BG63" s="341">
        <f>+AVERAGE(BG54:BI62)</f>
        <v>4.8725331945602877</v>
      </c>
      <c r="BH63" s="342"/>
      <c r="BI63" s="343"/>
      <c r="BJ63" s="341">
        <f>+AVERAGE(BJ54:BL62)</f>
        <v>23.960732444742828</v>
      </c>
      <c r="BK63" s="342"/>
      <c r="BL63" s="343"/>
      <c r="BM63" s="341"/>
      <c r="BN63" s="342"/>
      <c r="BO63" s="343"/>
      <c r="BP63" s="341">
        <f>+AVERAGE(BP54:BR62)</f>
        <v>23.018955304442859</v>
      </c>
      <c r="BQ63" s="342"/>
      <c r="BR63" s="343"/>
      <c r="BS63" s="112">
        <f>+AVERAGE(BS54:BS62)</f>
        <v>0.82410774507086237</v>
      </c>
      <c r="BT63" s="109">
        <f>AVERAGE(BT54:BT62)</f>
        <v>0.47082017999873033</v>
      </c>
      <c r="BU63" s="109">
        <f>AVERAGE(BU54:BU62)</f>
        <v>0.13475256023964527</v>
      </c>
      <c r="BV63" s="113"/>
      <c r="BW63" s="113"/>
      <c r="BX63" s="4"/>
      <c r="BY63" s="134"/>
      <c r="BZ63" s="48"/>
      <c r="CA63" s="48"/>
      <c r="CB63" s="48"/>
      <c r="CC63" s="128"/>
      <c r="CD63" s="119"/>
      <c r="CE63" s="119"/>
      <c r="CF63" s="129"/>
      <c r="CG63" s="119"/>
      <c r="CN63" s="121"/>
    </row>
    <row r="64" spans="1:92" s="115" customFormat="1" ht="11.25" customHeight="1" x14ac:dyDescent="0.2">
      <c r="A64" s="88" t="s">
        <v>95</v>
      </c>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88"/>
      <c r="AV64" s="88"/>
      <c r="AW64" s="90"/>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91"/>
      <c r="BW64" s="92"/>
      <c r="BX64" s="93"/>
      <c r="BY64" s="107"/>
      <c r="BZ64" s="95"/>
      <c r="CA64" s="114"/>
      <c r="CB64" s="96"/>
      <c r="CD64" s="134"/>
      <c r="CE64" s="119"/>
      <c r="CF64" s="129"/>
      <c r="CG64" s="119"/>
      <c r="CN64" s="116"/>
    </row>
    <row r="65" spans="1:92" s="120" customFormat="1" ht="11.25" customHeight="1" x14ac:dyDescent="0.2">
      <c r="A65" s="288" t="str">
        <f>BY65</f>
        <v>INAG</v>
      </c>
      <c r="B65" s="288"/>
      <c r="C65" s="289">
        <f>+VLOOKUP(A65,[1]ARS!A:EL,MATCH("Last",[1]ARS!$4:$4,0),FALSE)</f>
        <v>32</v>
      </c>
      <c r="D65" s="289"/>
      <c r="E65" s="117">
        <f>+VLOOKUP(A65,'[1]Market Cap'!I:J,2,FALSE)</f>
        <v>0.1</v>
      </c>
      <c r="F65" s="290">
        <f>IFERROR(IF(VLOOKUP(A65,[1]ARS!A:EL,MATCH("Total Debt To Total Equity, Percent FQ0",[1]ARS!$4:$4,0),FALSE)="NULL",IF(VLOOKUP(A65,[1]ARS!A:EL,MATCH("Total Debt To Total Equity, Percent FQ-1",[1]ARS!$4:$4,0),FALSE)="NULL","-",VLOOKUP(A65,[1]ARS!A:EL,MATCH("Total Debt To Total Equity, Percent FQ-1",[1]ARS!$4:$4,0))),VLOOKUP(A65,[1]ARS!A:EL,MATCH("Total Debt To Total Equity, Percent FQ0",[1]ARS!$4:$4,0),FALSE))/100,"-")</f>
        <v>4.3015786961000002E-2</v>
      </c>
      <c r="G65" s="291"/>
      <c r="H65" s="292"/>
      <c r="I65" s="281">
        <f>IFERROR(VLOOKUP(A65,[1]ARS!A:EC,MATCH("Financial Leverage",[1]ARS!$4:$4,0),FALSE),"-")</f>
        <v>13.275185772288255</v>
      </c>
      <c r="J65" s="281"/>
      <c r="K65" s="281"/>
      <c r="L65" s="282">
        <f>+IFERROR(IF(VLOOKUP(A65,[1]ARS!A:EL,MATCH("Curr Ratio FQ0",[1]ARS!$4:$4,0),FALSE)="NULL",IF(VLOOKUP(A65,[1]ARS!A:EL,MATCH("Curr Ratio FQ-1",[1]ARS!$4:$4,0),FALSE)="NULL","-",VLOOKUP(A65,[1]ARS!A:EL,MATCH("Curr Ratio FQ-1",[1]ARS!$4:$4,0),FALSE)),VLOOKUP(A65,[1]ARS!A:EL,MATCH("Curr Ratio FQ0",[1]ARS!$4:$4,0),FALSE)),"-")</f>
        <v>1.21167</v>
      </c>
      <c r="M65" s="293"/>
      <c r="N65" s="294"/>
      <c r="O65" s="282">
        <f>+IFERROR(IF(VLOOKUP(A65,[1]ARS!A:EL,MATCH("Quick Ratio FQ0",[1]ARS!$4:$4,0),FALSE)="NULL",IF(VLOOKUP(A65,[1]ARS!A:EL,MATCH("Quick Ratio FQ-1",[1]ARS!$4:$4,0),FALSE)="NULL","-",VLOOKUP(A65,[1]ARS!A:EL,MATCH("Quick Ratio FQ-1",[1]ARS!$4:$4,0),FALSE)),VLOOKUP(A65,[1]ARS!A:EL,MATCH("Quick Ratio FQ0",[1]ARS!$4:$4,0),FALSE)),"-")</f>
        <v>0.68615999999999999</v>
      </c>
      <c r="P65" s="293"/>
      <c r="Q65" s="294"/>
      <c r="R65" s="295">
        <f>+IFERROR(IF(VLOOKUP(A65,[1]ARS!$A:$EL,MATCH("Dividend yield",[1]ARS!$4:$4,0),FALSE)="NULL","-",VLOOKUP(A65,[1]ARS!$A:$EL,MATCH("Dividend Yield",[1]ARS!$4:$4,0),FALSE)/100),"-")</f>
        <v>4.6728971962616802E-3</v>
      </c>
      <c r="S65" s="296"/>
      <c r="T65" s="297"/>
      <c r="U65" s="281">
        <f>IF(IFERROR(VLOOKUP(A65,[1]ARS!A:EL,MATCH("Asset Turnover",[1]ARS!$4:$4,0),FALSE),"-")=0,"-",IFERROR(VLOOKUP(A65,[1]ARS!A:EL,MATCH("Asset Turnover",[1]ARS!$4:$4,0),FALSE),"-"))</f>
        <v>1.1467850240318271</v>
      </c>
      <c r="V65" s="281"/>
      <c r="W65" s="281"/>
      <c r="X65" s="284">
        <f>IFERROR(VLOOKUP(A65,[1]ARS!A:EL,MATCH("CCC",[1]ARS!$4:$4,0),FALSE),"-")</f>
        <v>416.49481637443091</v>
      </c>
      <c r="Y65" s="284"/>
      <c r="Z65" s="284"/>
      <c r="AA65" s="283">
        <f>IF(IFERROR(VLOOKUP(A65,[1]ARS!A:EL,MATCH("Gross Margin, Percent",[1]ARS!$4:$4,0),FALSE)/100,"-")&lt;0,"-",IFERROR(VLOOKUP(A65,[1]ARS!A:EL,MATCH("Gross Margin, Percent",[1]ARS!$4:$4,0),FALSE)/100,"-"))</f>
        <v>0.2136448</v>
      </c>
      <c r="AB65" s="283"/>
      <c r="AC65" s="283"/>
      <c r="AD65" s="283">
        <f>IF(IFERROR(VLOOKUP(A65,[1]ARS!A:EL,MATCH("Operating Margin, Percent",[1]ARS!$4:$4,0),FALSE)/100,"-")&lt;0,"-",IFERROR(VLOOKUP(A65,[1]ARS!A:EL,MATCH("Operating Margin, Percent",[1]ARS!$4:$4,0),FALSE)/100,"-"))</f>
        <v>5.0478599999999998E-2</v>
      </c>
      <c r="AE65" s="283"/>
      <c r="AF65" s="283"/>
      <c r="AG65" s="283">
        <f>IF(IFERROR(VLOOKUP(A65,[1]ARS!A:EL,MATCH("Net Profit Margin",[1]ARS!$4:$4,0),FALSE),"-")&lt;0,"-",IFERROR(VLOOKUP(A65,[1]ARS!A:EL,MATCH("Net Profit Margin",[1]ARS!$4:$4,0),FALSE),"-"))</f>
        <v>2.9679413762041779E-2</v>
      </c>
      <c r="AH65" s="283"/>
      <c r="AI65" s="283"/>
      <c r="AJ65" s="380">
        <f>IFERROR(VLOOKUP(A65,[1]ARS!A:EL,MATCH("FCF/Revenue",[1]ARS!$4:$4,0),FALSE),"-")</f>
        <v>1.4559978819488344E-3</v>
      </c>
      <c r="AK65" s="381"/>
      <c r="AL65" s="382"/>
      <c r="AM65" s="380">
        <f>IFERROR(IF(VLOOKUP(A65,[1]ARS!A:EL,MATCH("ROE",[1]ARS!$4:$4,0),FALSE)&lt;-5,"-",VLOOKUP(A65,[1]ARS!A:EL,MATCH("ROE",[1]ARS!$4:$4,0),FALSE)),"-")</f>
        <v>0.33253768254078897</v>
      </c>
      <c r="AN65" s="381"/>
      <c r="AO65" s="382"/>
      <c r="AP65" s="380">
        <f>IFERROR(VLOOKUP(A65,[1]ARS!A:EL,MATCH("ROA",[1]ARS!$4:$4,0),FALSE),"-")</f>
        <v>2.722945230799247E-2</v>
      </c>
      <c r="AQ65" s="381"/>
      <c r="AR65" s="382"/>
      <c r="AS65" s="40">
        <f>+VLOOKUP(A65,[1]ARS!$A$5:$EL$85,MATCH("Last Q y/y",[1]ARS!$4:$4,0),FALSE)</f>
        <v>-8.9642374834493888E-2</v>
      </c>
      <c r="AT65" s="40">
        <f>+VLOOKUP(A65,[1]ARS!$A$5:$EL$99,MATCH("Last 5 yrs - Annual",[1]ARS!$4:$4,0),FALSE)</f>
        <v>0.34270439253761231</v>
      </c>
      <c r="AU65" s="41">
        <f>+VLOOKUP(A65,[1]ARS!$A$5:$EL$84,MATCH("Desvio",[1]ARS!$4:$4,0),FALSE)</f>
        <v>0.77316789712304979</v>
      </c>
      <c r="AV65" s="42">
        <f>+IFERROR(VLOOKUP(A65,'[1]Prom. Vtas Ult 5 años'!$A$3:$D$81,3,FALSE),"-")</f>
        <v>1.3830550000000001</v>
      </c>
      <c r="AW65" s="40">
        <f>+IFERROR(VLOOKUP(A65,'[1]Prom. Vtas Ult 5 años'!$A$3:$D$81,4,FALSE),"-")</f>
        <v>6.114819140917664</v>
      </c>
      <c r="AX65" s="282">
        <f>IFERROR((VLOOKUP(A65,[1]ARS!A:EL,MATCH("Enterprise Value (Daily Time Series)",[1]ARS!$4:$4,0),FALSE)/1000000000),"-")</f>
        <v>0.70522026000000093</v>
      </c>
      <c r="AY65" s="293"/>
      <c r="AZ65" s="294"/>
      <c r="BA65" s="282">
        <f>IFERROR((VLOOKUP(A65,[1]ARS!A:EL,MATCH("Company Market Cap",[1]ARS!$4:$4,0),FALSE)/1000000000),"-")</f>
        <v>0.20069036400000001</v>
      </c>
      <c r="BB65" s="293"/>
      <c r="BC65" s="294"/>
      <c r="BD65" s="282">
        <f>IF(VLOOKUP(A65,[1]ARS!A:EL,MATCH("Enterprise Value To EBITDA (Daily Time Series Ratio)",[1]ARS!$4:$4,0),FALSE)="NULL","-",VLOOKUP(A65,[1]ARS!A:EL,MATCH("Enterprise Value To EBITDA (Daily Time Series Ratio)",[1]ARS!$4:$4,0),FALSE))</f>
        <v>19.356644995825199</v>
      </c>
      <c r="BE65" s="293"/>
      <c r="BF65" s="294"/>
      <c r="BG65" s="282">
        <f>IF(OR(IFERROR(VLOOKUP(A65,[1]ARS!A:EL,MATCH("Price To Tangible Book Value",[1]ARS!$4:$4,0),FALSE),"-")&lt;0,IFERROR(VLOOKUP(A65,[1]ARS!A:EL,MATCH("Price To Tangible Book Value",[1]ARS!$4:$4,0),FALSE),"-")&gt;100),"-",IFERROR(VLOOKUP(A65,[1]ARS!A:EL,MATCH("Price To Tangible Book Value",[1]ARS!$4:$4,0),FALSE),"-"))</f>
        <v>6.1309696653649572</v>
      </c>
      <c r="BH65" s="293"/>
      <c r="BI65" s="294"/>
      <c r="BJ65" s="282">
        <f>IF(OR(IFERROR(VLOOKUP(A65,[1]ARS!A:EL,MATCH("P/E (Daily Time Series Ratio)",[1]ARS!$4:$4,0),FALSE),"-")&lt;0,IFERROR(VLOOKUP(A65,[1]ARS!A:EL,MATCH("P/E (Daily Time Series Ratio)",[1]ARS!$4:$4,0),FALSE),"-")&gt;500),"-",IFERROR(VLOOKUP(A65,[1]ARS!A:EL,MATCH("P/E (Daily Time Series Ratio)",[1]ARS!$4:$4,0),FALSE),"-"))</f>
        <v>64.160401002506276</v>
      </c>
      <c r="BK65" s="293"/>
      <c r="BL65" s="294"/>
      <c r="BM65" s="282">
        <f>IF(OR(IFERROR(VLOOKUP(A65,[1]ARS!A:EC,MATCH("Price To Sales",[1]ARS!$4:$4,0),FALSE),"-")&lt;0,IFERROR(VLOOKUP(A65,[1]ARS!A:EC,MATCH("Price To Sales",[1]ARS!$4:$4,0),FALSE),"-")&gt;100),"-",IFERROR(VLOOKUP(A65,[1]ARS!A:EC,MATCH("Price To Sales",[1]ARS!$4:$4,0),FALSE),"-"))</f>
        <v>0.54284897248930031</v>
      </c>
      <c r="BN65" s="293"/>
      <c r="BO65" s="294"/>
      <c r="BP65" s="282">
        <f>+IFERROR(IF(VLOOKUP(A65,[1]ARS!A:EO,MATCH("Price to Free Cash Flow",[1]ARS!$4:$4,0),FALSE)="NULL","-",VLOOKUP(A65,[1]ARS!A:EO,MATCH("Price to Free Cash Flow",[1]ARS!$4:$4,0),FALSE)),"-")</f>
        <v>68.493881426599998</v>
      </c>
      <c r="BQ65" s="293"/>
      <c r="BR65" s="294"/>
      <c r="BS65" s="43" t="str">
        <f>IF(VLOOKUP(A65,[1]ARS!A:EE,MATCH("Daily Beta - 180 Day",[1]ARS!$4:$4,0),FALSE)="NULL","-",VLOOKUP(A65,[1]ARS!A:EE,MATCH("Daily Beta - 180 Day",[1]ARS!$4:$4,0),FALSE))</f>
        <v>-</v>
      </c>
      <c r="BT65" s="40">
        <f>+VLOOKUP(A65,[1]ARS!$A:$EH,MATCH("Volatilidad histórica",[1]ARS!$4:$4,0),FALSE)</f>
        <v>0.3475091913222822</v>
      </c>
      <c r="BU65" s="44">
        <f>+VLOOKUP(A65,[1]ARS!$A$5:$EM$85,MATCH("Rto Medio",[1]ARS!$4:$4,0),FALSE)</f>
        <v>4.2886042272715086E-2</v>
      </c>
      <c r="BV65" s="45">
        <f>+IF(VLOOKUP(Template!A65,[1]ARS!A:AA,MATCH("Period End Date",[1]ARS!$3:$3,0),FALSE)="","-",VLOOKUP(Template!A65,[1]ARS!A:AA,MATCH("Period End Date",[1]ARS!$3:$3,0),FALSE))</f>
        <v>43008</v>
      </c>
      <c r="BW65" s="46" t="str">
        <f t="shared" ref="BW65:BW74" si="18">+BY65</f>
        <v>INAG</v>
      </c>
      <c r="BX65" s="4"/>
      <c r="BY65" s="119" t="s">
        <v>96</v>
      </c>
      <c r="BZ65" s="48">
        <v>0.90258681394644147</v>
      </c>
      <c r="CA65" s="48">
        <v>4.1892697054402577</v>
      </c>
      <c r="CB65" s="48">
        <v>8.3464342852780007</v>
      </c>
      <c r="CD65" s="119" t="s">
        <v>96</v>
      </c>
      <c r="CE65" s="119">
        <v>0.90258681394644147</v>
      </c>
      <c r="CF65" s="119">
        <v>4.1892697054402577</v>
      </c>
      <c r="CG65" s="129">
        <v>8.3464342852780007</v>
      </c>
      <c r="CN65" s="121"/>
    </row>
    <row r="66" spans="1:92" s="120" customFormat="1" ht="11.25" customHeight="1" x14ac:dyDescent="0.2">
      <c r="A66" s="330" t="str">
        <f t="shared" ref="A66:A74" si="19">BY66</f>
        <v>GARO</v>
      </c>
      <c r="B66" s="330"/>
      <c r="C66" s="331">
        <f>+VLOOKUP(A66,[1]ARS!A:EL,MATCH("Last",[1]ARS!$4:$4,0),FALSE)</f>
        <v>13.6</v>
      </c>
      <c r="D66" s="331"/>
      <c r="E66" s="74">
        <f>+VLOOKUP(A66,'[1]Market Cap'!I:J,2,FALSE)</f>
        <v>1</v>
      </c>
      <c r="F66" s="371">
        <f>IFERROR(IF(VLOOKUP(A66,[1]ARS!A:EL,MATCH("Total Debt To Total Equity, Percent FQ0",[1]ARS!$4:$4,0),FALSE)="NULL",IF(VLOOKUP(A66,[1]ARS!A:EL,MATCH("Total Debt To Total Equity, Percent FQ-1",[1]ARS!$4:$4,0),FALSE)="NULL","-",VLOOKUP(A66,[1]ARS!A:EL,MATCH("Total Debt To Total Equity, Percent FQ-1",[1]ARS!$4:$4,0))),VLOOKUP(A66,[1]ARS!A:EL,MATCH("Total Debt To Total Equity, Percent FQ0",[1]ARS!$4:$4,0),FALSE))/100,"-")</f>
        <v>0.47556147546799998</v>
      </c>
      <c r="G66" s="372"/>
      <c r="H66" s="373"/>
      <c r="I66" s="324">
        <f>IFERROR(VLOOKUP(A66,[1]ARS!A:EC,MATCH("Financial Leverage",[1]ARS!$4:$4,0),FALSE),"-")</f>
        <v>3.4569817813816095</v>
      </c>
      <c r="J66" s="324"/>
      <c r="K66" s="324"/>
      <c r="L66" s="325">
        <f>+IFERROR(IF(VLOOKUP(A66,[1]ARS!A:EL,MATCH("Curr Ratio FQ0",[1]ARS!$4:$4,0),FALSE)="NULL",IF(VLOOKUP(A66,[1]ARS!A:EL,MATCH("Curr Ratio FQ-1",[1]ARS!$4:$4,0),FALSE)="NULL","-",VLOOKUP(A66,[1]ARS!A:EL,MATCH("Curr Ratio FQ-1",[1]ARS!$4:$4,0),FALSE)),VLOOKUP(A66,[1]ARS!A:EL,MATCH("Curr Ratio FQ0",[1]ARS!$4:$4,0),FALSE)),"-")</f>
        <v>1.4226000000000001</v>
      </c>
      <c r="M66" s="333"/>
      <c r="N66" s="334"/>
      <c r="O66" s="325">
        <f>+IFERROR(IF(VLOOKUP(A66,[1]ARS!A:EL,MATCH("Quick Ratio FQ0",[1]ARS!$4:$4,0),FALSE)="NULL",IF(VLOOKUP(A66,[1]ARS!A:EL,MATCH("Quick Ratio FQ-1",[1]ARS!$4:$4,0),FALSE)="NULL","-",VLOOKUP(A66,[1]ARS!A:EL,MATCH("Quick Ratio FQ-1",[1]ARS!$4:$4,0),FALSE)),VLOOKUP(A66,[1]ARS!A:EL,MATCH("Quick Ratio FQ0",[1]ARS!$4:$4,0),FALSE)),"-")</f>
        <v>0.90039000000000002</v>
      </c>
      <c r="P66" s="333"/>
      <c r="Q66" s="334"/>
      <c r="R66" s="335">
        <f>+IFERROR(IF(VLOOKUP(A66,[1]ARS!$A:$EL,MATCH("Dividend yield",[1]ARS!$4:$4,0),FALSE)="NULL","-",VLOOKUP(A66,[1]ARS!$A:$EL,MATCH("Dividend Yield",[1]ARS!$4:$4,0),FALSE)/100),"-")</f>
        <v>1.27620288673835E-2</v>
      </c>
      <c r="S66" s="336"/>
      <c r="T66" s="337"/>
      <c r="U66" s="324">
        <f>IF(IFERROR(VLOOKUP(A66,[1]ARS!A:EL,MATCH("Asset Turnover",[1]ARS!$4:$4,0),FALSE),"-")=0,"-",IFERROR(VLOOKUP(A66,[1]ARS!A:EL,MATCH("Asset Turnover",[1]ARS!$4:$4,0),FALSE),"-"))</f>
        <v>2.3863893650379464</v>
      </c>
      <c r="V66" s="324"/>
      <c r="W66" s="324"/>
      <c r="X66" s="328">
        <f>IFERROR(VLOOKUP(A66,[1]ARS!A:EL,MATCH("CCC",[1]ARS!$4:$4,0),FALSE),"-")</f>
        <v>52.749380403002718</v>
      </c>
      <c r="Y66" s="328"/>
      <c r="Z66" s="328"/>
      <c r="AA66" s="327">
        <f>IF(IFERROR(VLOOKUP(A66,[1]ARS!A:EL,MATCH("Gross Margin, Percent",[1]ARS!$4:$4,0),FALSE)/100,"-")&lt;0,"-",IFERROR(VLOOKUP(A66,[1]ARS!A:EL,MATCH("Gross Margin, Percent",[1]ARS!$4:$4,0),FALSE)/100,"-"))</f>
        <v>0.35204979999999997</v>
      </c>
      <c r="AB66" s="327"/>
      <c r="AC66" s="327"/>
      <c r="AD66" s="327">
        <f>IF(IFERROR(VLOOKUP(A66,[1]ARS!A:EL,MATCH("Operating Margin, Percent",[1]ARS!$4:$4,0),FALSE)/100,"-")&lt;0,"-",IFERROR(VLOOKUP(A66,[1]ARS!A:EL,MATCH("Operating Margin, Percent",[1]ARS!$4:$4,0),FALSE)/100,"-"))</f>
        <v>0.12574439999999998</v>
      </c>
      <c r="AE66" s="327"/>
      <c r="AF66" s="327"/>
      <c r="AG66" s="327" t="str">
        <f>IF(IFERROR(VLOOKUP(A66,[1]ARS!A:EL,MATCH("Net Profit Margin",[1]ARS!$4:$4,0),FALSE),"-")&lt;0,"-",IFERROR(VLOOKUP(A66,[1]ARS!A:EL,MATCH("Net Profit Margin",[1]ARS!$4:$4,0),FALSE),"-"))</f>
        <v>-</v>
      </c>
      <c r="AH66" s="327"/>
      <c r="AI66" s="327"/>
      <c r="AJ66" s="383">
        <f>IFERROR(VLOOKUP(A66,[1]ARS!A:EL,MATCH("FCF/Revenue",[1]ARS!$4:$4,0),FALSE),"-")</f>
        <v>-8.7507470768112706E-3</v>
      </c>
      <c r="AK66" s="384"/>
      <c r="AL66" s="385"/>
      <c r="AM66" s="386">
        <f>IFERROR(IF(VLOOKUP(A66,[1]ARS!A:EL,MATCH("ROE",[1]ARS!$4:$4,0),FALSE)&lt;-5,"-",VLOOKUP(A66,[1]ARS!A:EL,MATCH("ROE",[1]ARS!$4:$4,0),FALSE)),"-")</f>
        <v>-5.7270265516670742E-2</v>
      </c>
      <c r="AN66" s="387"/>
      <c r="AO66" s="388"/>
      <c r="AP66" s="383">
        <f>IFERROR(VLOOKUP(A66,[1]ARS!A:EL,MATCH("ROA",[1]ARS!$4:$4,0),FALSE),"-")</f>
        <v>-1.622703825936183E-2</v>
      </c>
      <c r="AQ66" s="384"/>
      <c r="AR66" s="385"/>
      <c r="AS66" s="53">
        <f>+VLOOKUP(A66,[1]ARS!$A$5:$EL$85,MATCH("Last Q y/y",[1]ARS!$4:$4,0),FALSE)</f>
        <v>0.33108889453871448</v>
      </c>
      <c r="AT66" s="53">
        <f>+VLOOKUP(A66,[1]ARS!$A$5:$EL$99,MATCH("Last 5 yrs - Annual",[1]ARS!$4:$4,0),FALSE)</f>
        <v>0.45792441166253794</v>
      </c>
      <c r="AU66" s="54">
        <f>+VLOOKUP(A66,[1]ARS!$A$5:$EL$84,MATCH("Desvio",[1]ARS!$4:$4,0),FALSE)</f>
        <v>2.2392683078560869</v>
      </c>
      <c r="AV66" s="55">
        <f>+IFERROR(VLOOKUP(A66,'[1]Prom. Vtas Ult 5 años'!$A$3:$D$81,3,FALSE),"-")</f>
        <v>10.349137894736845</v>
      </c>
      <c r="AW66" s="56">
        <f>+IFERROR(VLOOKUP(A66,'[1]Prom. Vtas Ult 5 años'!$A$3:$D$81,4,FALSE),"-")</f>
        <v>62.706916143918626</v>
      </c>
      <c r="AX66" s="325">
        <f>IFERROR((VLOOKUP(A66,[1]ARS!A:EL,MATCH("Enterprise Value (Daily Time Series)",[1]ARS!$4:$4,0),FALSE)/1000000000),"-")</f>
        <v>0.74224480000000004</v>
      </c>
      <c r="AY66" s="333"/>
      <c r="AZ66" s="334"/>
      <c r="BA66" s="325">
        <f>IFERROR((VLOOKUP(A66,[1]ARS!A:EL,MATCH("Company Market Cap",[1]ARS!$4:$4,0),FALSE)/1000000000),"-")</f>
        <v>0.58079999999999998</v>
      </c>
      <c r="BB66" s="333"/>
      <c r="BC66" s="334"/>
      <c r="BD66" s="325">
        <f>IF(VLOOKUP(A66,[1]ARS!A:EL,MATCH("Enterprise Value To EBITDA (Daily Time Series Ratio)",[1]ARS!$4:$4,0),FALSE)="NULL","-",VLOOKUP(A66,[1]ARS!A:EL,MATCH("Enterprise Value To EBITDA (Daily Time Series Ratio)",[1]ARS!$4:$4,0),FALSE))</f>
        <v>4.2912524208383402</v>
      </c>
      <c r="BE66" s="333"/>
      <c r="BF66" s="334"/>
      <c r="BG66" s="325">
        <f>IF(OR(IFERROR(VLOOKUP(A66,[1]ARS!A:EL,MATCH("Price To Tangible Book Value",[1]ARS!$4:$4,0),FALSE),"-")&lt;0,IFERROR(VLOOKUP(A66,[1]ARS!A:EL,MATCH("Price To Tangible Book Value",[1]ARS!$4:$4,0),FALSE),"-")&gt;100),"-",IFERROR(VLOOKUP(A66,[1]ARS!A:EL,MATCH("Price To Tangible Book Value",[1]ARS!$4:$4,0),FALSE),"-"))</f>
        <v>3.5629079929927023</v>
      </c>
      <c r="BH66" s="333"/>
      <c r="BI66" s="334"/>
      <c r="BJ66" s="325" t="str">
        <f>IF(OR(IFERROR(VLOOKUP(A66,[1]ARS!A:EL,MATCH("P/E (Daily Time Series Ratio)",[1]ARS!$4:$4,0),FALSE),"-")&lt;0,IFERROR(VLOOKUP(A66,[1]ARS!A:EL,MATCH("P/E (Daily Time Series Ratio)",[1]ARS!$4:$4,0),FALSE),"-")&gt;500),"-",IFERROR(VLOOKUP(A66,[1]ARS!A:EL,MATCH("P/E (Daily Time Series Ratio)",[1]ARS!$4:$4,0),FALSE),"-"))</f>
        <v>-</v>
      </c>
      <c r="BK66" s="333"/>
      <c r="BL66" s="334"/>
      <c r="BM66" s="325">
        <f>IF(OR(IFERROR(VLOOKUP(A66,[1]ARS!A:EC,MATCH("Price To Sales",[1]ARS!$4:$4,0),FALSE),"-")&lt;0,IFERROR(VLOOKUP(A66,[1]ARS!A:EC,MATCH("Price To Sales",[1]ARS!$4:$4,0),FALSE),"-")&gt;100),"-",IFERROR(VLOOKUP(A66,[1]ARS!A:EC,MATCH("Price To Sales",[1]ARS!$4:$4,0),FALSE),"-"))</f>
        <v>0.51514739561726108</v>
      </c>
      <c r="BN66" s="333"/>
      <c r="BO66" s="334"/>
      <c r="BP66" s="325" t="str">
        <f>+IFERROR(IF(VLOOKUP(A66,[1]ARS!A:EO,MATCH("Price to Free Cash Flow",[1]ARS!$4:$4,0),FALSE)="NULL","-",VLOOKUP(A66,[1]ARS!A:EO,MATCH("Price to Free Cash Flow",[1]ARS!$4:$4,0),FALSE)),"-")</f>
        <v>-</v>
      </c>
      <c r="BQ66" s="333"/>
      <c r="BR66" s="334"/>
      <c r="BS66" s="57">
        <f>IF(VLOOKUP(A66,[1]ARS!A:EE,MATCH("Daily Beta - 180 Day",[1]ARS!$4:$4,0),FALSE)="NULL","-",VLOOKUP(A66,[1]ARS!A:EE,MATCH("Daily Beta - 180 Day",[1]ARS!$4:$4,0),FALSE))</f>
        <v>0.68574838206817701</v>
      </c>
      <c r="BT66" s="53">
        <f>+VLOOKUP(A66,[1]ARS!$A:$EH,MATCH("Volatilidad histórica",[1]ARS!$4:$4,0),FALSE)</f>
        <v>0.45145776617747541</v>
      </c>
      <c r="BU66" s="56">
        <f>+VLOOKUP(A66,[1]ARS!$A$5:$EM$85,MATCH("Rto Medio",[1]ARS!$4:$4,0),FALSE)</f>
        <v>0.14430146062015603</v>
      </c>
      <c r="BV66" s="58">
        <f>+IF(VLOOKUP(Template!A66,[1]ARS!A:AA,MATCH("Period End Date",[1]ARS!$3:$3,0),FALSE)="","-",VLOOKUP(Template!A66,[1]ARS!A:AA,MATCH("Period End Date",[1]ARS!$3:$3,0),FALSE))</f>
        <v>43100</v>
      </c>
      <c r="BW66" s="59" t="str">
        <f t="shared" si="18"/>
        <v>GARO</v>
      </c>
      <c r="BX66" s="4"/>
      <c r="BY66" s="119" t="s">
        <v>97</v>
      </c>
      <c r="BZ66" s="48">
        <v>0.62032396350068941</v>
      </c>
      <c r="CA66" s="48">
        <v>3.4362492092649677</v>
      </c>
      <c r="CB66" s="48">
        <v>18.489830593173757</v>
      </c>
      <c r="CD66" s="119" t="s">
        <v>97</v>
      </c>
      <c r="CE66" s="119">
        <v>0.62032396350068941</v>
      </c>
      <c r="CF66" s="119">
        <v>3.4362492092649677</v>
      </c>
      <c r="CG66" s="129">
        <v>18.489830593173757</v>
      </c>
      <c r="CN66" s="121"/>
    </row>
    <row r="67" spans="1:92" s="120" customFormat="1" ht="11.25" customHeight="1" x14ac:dyDescent="0.2">
      <c r="A67" s="288" t="str">
        <f t="shared" si="19"/>
        <v>DYCA</v>
      </c>
      <c r="B67" s="288"/>
      <c r="C67" s="289">
        <f>+VLOOKUP(A67,[1]ARS!A:EL,MATCH("Last",[1]ARS!$4:$4,0),FALSE)</f>
        <v>49.25</v>
      </c>
      <c r="D67" s="289"/>
      <c r="E67" s="135">
        <f>+VLOOKUP(A67,'[1]Market Cap'!I:J,2,FALSE)</f>
        <v>1</v>
      </c>
      <c r="F67" s="290">
        <f>IFERROR(IF(VLOOKUP(A67,[1]ARS!A:EL,MATCH("Total Debt To Total Equity, Percent FQ0",[1]ARS!$4:$4,0),FALSE)="NULL",IF(VLOOKUP(A67,[1]ARS!A:EL,MATCH("Total Debt To Total Equity, Percent FQ-1",[1]ARS!$4:$4,0),FALSE)="NULL","-",VLOOKUP(A67,[1]ARS!A:EL,MATCH("Total Debt To Total Equity, Percent FQ-1",[1]ARS!$4:$4,0))),VLOOKUP(A67,[1]ARS!A:EL,MATCH("Total Debt To Total Equity, Percent FQ0",[1]ARS!$4:$4,0),FALSE))/100,"-")</f>
        <v>0.26180391571</v>
      </c>
      <c r="G67" s="291"/>
      <c r="H67" s="292"/>
      <c r="I67" s="281">
        <f>IFERROR(VLOOKUP(A67,[1]ARS!A:EC,MATCH("Financial Leverage",[1]ARS!$4:$4,0),FALSE),"-")</f>
        <v>4.7523380163174389</v>
      </c>
      <c r="J67" s="281"/>
      <c r="K67" s="281"/>
      <c r="L67" s="282">
        <f>+IFERROR(IF(VLOOKUP(A67,[1]ARS!A:EL,MATCH("Curr Ratio FQ0",[1]ARS!$4:$4,0),FALSE)="NULL",IF(VLOOKUP(A67,[1]ARS!A:EL,MATCH("Curr Ratio FQ-1",[1]ARS!$4:$4,0),FALSE)="NULL","-",VLOOKUP(A67,[1]ARS!A:EL,MATCH("Curr Ratio FQ-1",[1]ARS!$4:$4,0),FALSE)),VLOOKUP(A67,[1]ARS!A:EL,MATCH("Curr Ratio FQ0",[1]ARS!$4:$4,0),FALSE)),"-")</f>
        <v>1.2762</v>
      </c>
      <c r="M67" s="293"/>
      <c r="N67" s="294"/>
      <c r="O67" s="282">
        <f>+IFERROR(IF(VLOOKUP(A67,[1]ARS!A:EL,MATCH("Quick Ratio FQ0",[1]ARS!$4:$4,0),FALSE)="NULL",IF(VLOOKUP(A67,[1]ARS!A:EL,MATCH("Quick Ratio FQ-1",[1]ARS!$4:$4,0),FALSE)="NULL","-",VLOOKUP(A67,[1]ARS!A:EL,MATCH("Quick Ratio FQ-1",[1]ARS!$4:$4,0),FALSE)),VLOOKUP(A67,[1]ARS!A:EL,MATCH("Quick Ratio FQ0",[1]ARS!$4:$4,0),FALSE)),"-")</f>
        <v>1.2234400000000001</v>
      </c>
      <c r="P67" s="293"/>
      <c r="Q67" s="294"/>
      <c r="R67" s="295" t="str">
        <f>+IFERROR(IF(VLOOKUP(A67,[1]ARS!$A:$EL,MATCH("Dividend yield",[1]ARS!$4:$4,0),FALSE)="NULL","-",VLOOKUP(A67,[1]ARS!$A:$EL,MATCH("Dividend Yield",[1]ARS!$4:$4,0),FALSE)/100),"-")</f>
        <v>-</v>
      </c>
      <c r="S67" s="296"/>
      <c r="T67" s="297"/>
      <c r="U67" s="281">
        <f>IF(IFERROR(VLOOKUP(A67,[1]ARS!A:EL,MATCH("Asset Turnover",[1]ARS!$4:$4,0),FALSE),"-")=0,"-",IFERROR(VLOOKUP(A67,[1]ARS!A:EL,MATCH("Asset Turnover",[1]ARS!$4:$4,0),FALSE),"-"))</f>
        <v>1.7450654241802741</v>
      </c>
      <c r="V67" s="281"/>
      <c r="W67" s="281"/>
      <c r="X67" s="284">
        <f>IFERROR(VLOOKUP(A67,[1]ARS!A:EL,MATCH("CCC",[1]ARS!$4:$4,0),FALSE),"-")</f>
        <v>37.577050566498713</v>
      </c>
      <c r="Y67" s="284"/>
      <c r="Z67" s="284"/>
      <c r="AA67" s="283">
        <f>IF(IFERROR(VLOOKUP(A67,[1]ARS!A:EL,MATCH("Gross Margin, Percent",[1]ARS!$4:$4,0),FALSE)/100,"-")&lt;0,"-",IFERROR(VLOOKUP(A67,[1]ARS!A:EL,MATCH("Gross Margin, Percent",[1]ARS!$4:$4,0),FALSE)/100,"-"))</f>
        <v>0.12709870000000001</v>
      </c>
      <c r="AB67" s="283"/>
      <c r="AC67" s="283"/>
      <c r="AD67" s="283">
        <f>IF(IFERROR(VLOOKUP(A67,[1]ARS!A:EL,MATCH("Operating Margin, Percent",[1]ARS!$4:$4,0),FALSE)/100,"-")&lt;0,"-",IFERROR(VLOOKUP(A67,[1]ARS!A:EL,MATCH("Operating Margin, Percent",[1]ARS!$4:$4,0),FALSE)/100,"-"))</f>
        <v>8.558099999999999E-3</v>
      </c>
      <c r="AE67" s="283"/>
      <c r="AF67" s="283"/>
      <c r="AG67" s="283">
        <f>IF(IFERROR(VLOOKUP(A67,[1]ARS!A:EL,MATCH("Net Profit Margin",[1]ARS!$4:$4,0),FALSE),"-")&lt;0,"-",IFERROR(VLOOKUP(A67,[1]ARS!A:EL,MATCH("Net Profit Margin",[1]ARS!$4:$4,0),FALSE),"-"))</f>
        <v>3.7297627413617425E-2</v>
      </c>
      <c r="AH67" s="283"/>
      <c r="AI67" s="283"/>
      <c r="AJ67" s="380">
        <f>IFERROR(VLOOKUP(A67,[1]ARS!A:EL,MATCH("FCF/Revenue",[1]ARS!$4:$4,0),FALSE),"-")</f>
        <v>-9.8065763400031244E-2</v>
      </c>
      <c r="AK67" s="381"/>
      <c r="AL67" s="382"/>
      <c r="AM67" s="380">
        <f>IFERROR(IF(VLOOKUP(A67,[1]ARS!A:EL,MATCH("ROE",[1]ARS!$4:$4,0),FALSE)&lt;-5,"-",VLOOKUP(A67,[1]ARS!A:EL,MATCH("ROE",[1]ARS!$4:$4,0),FALSE)),"-")</f>
        <v>0.25291008027499312</v>
      </c>
      <c r="AN67" s="381"/>
      <c r="AO67" s="382"/>
      <c r="AP67" s="380">
        <f>IFERROR(VLOOKUP(A67,[1]ARS!A:EL,MATCH("ROA",[1]ARS!$4:$4,0),FALSE),"-")</f>
        <v>5.2069823866415899E-2</v>
      </c>
      <c r="AQ67" s="381"/>
      <c r="AR67" s="382"/>
      <c r="AS67" s="40">
        <f>+VLOOKUP(A67,[1]ARS!$A$5:$EL$85,MATCH("Last Q y/y",[1]ARS!$4:$4,0),FALSE)</f>
        <v>1.2996073126279992</v>
      </c>
      <c r="AT67" s="40">
        <f>+VLOOKUP(A67,[1]ARS!$A$5:$EL$99,MATCH("Last 5 yrs - Annual",[1]ARS!$4:$4,0),FALSE)</f>
        <v>1.4760781453120972</v>
      </c>
      <c r="AU67" s="41">
        <f>+VLOOKUP(A67,[1]ARS!$A$5:$EL$84,MATCH("Desvio",[1]ARS!$4:$4,0),FALSE)</f>
        <v>2.8047314072371656</v>
      </c>
      <c r="AV67" s="42">
        <f>+IFERROR(VLOOKUP(A67,'[1]Prom. Vtas Ult 5 años'!$A$3:$D$81,3,FALSE),"-")</f>
        <v>3.942854210526316</v>
      </c>
      <c r="AW67" s="40">
        <f>+IFERROR(VLOOKUP(A67,'[1]Prom. Vtas Ult 5 años'!$A$3:$D$81,4,FALSE),"-")</f>
        <v>39.877008588429838</v>
      </c>
      <c r="AX67" s="282">
        <f>IFERROR((VLOOKUP(A67,[1]ARS!A:EL,MATCH("Enterprise Value (Daily Time Series)",[1]ARS!$4:$4,0),FALSE)/1000000000),"-")</f>
        <v>1.29905296</v>
      </c>
      <c r="AY67" s="293"/>
      <c r="AZ67" s="294"/>
      <c r="BA67" s="282">
        <f>IFERROR((VLOOKUP(A67,[1]ARS!A:EL,MATCH("Company Market Cap",[1]ARS!$4:$4,0),FALSE)/1000000000),"-")</f>
        <v>1.494</v>
      </c>
      <c r="BB67" s="293"/>
      <c r="BC67" s="294"/>
      <c r="BD67" s="282">
        <f>IF(VLOOKUP(A67,[1]ARS!A:EL,MATCH("Enterprise Value To EBITDA (Daily Time Series Ratio)",[1]ARS!$4:$4,0),FALSE)="NULL","-",VLOOKUP(A67,[1]ARS!A:EL,MATCH("Enterprise Value To EBITDA (Daily Time Series Ratio)",[1]ARS!$4:$4,0),FALSE))</f>
        <v>11.1319732027738</v>
      </c>
      <c r="BE67" s="293"/>
      <c r="BF67" s="294"/>
      <c r="BG67" s="282">
        <f>IF(OR(IFERROR(VLOOKUP(A67,[1]ARS!A:EL,MATCH("Price To Tangible Book Value",[1]ARS!$4:$4,0),FALSE),"-")&lt;0,IFERROR(VLOOKUP(A67,[1]ARS!A:EL,MATCH("Price To Tangible Book Value",[1]ARS!$4:$4,0),FALSE),"-")&gt;100),"-",IFERROR(VLOOKUP(A67,[1]ARS!A:EL,MATCH("Price To Tangible Book Value",[1]ARS!$4:$4,0),FALSE),"-"))</f>
        <v>4.5351515223265144</v>
      </c>
      <c r="BH67" s="293"/>
      <c r="BI67" s="294"/>
      <c r="BJ67" s="282">
        <f>IF(OR(IFERROR(VLOOKUP(A67,[1]ARS!A:EL,MATCH("P/E (Daily Time Series Ratio)",[1]ARS!$4:$4,0),FALSE),"-")&lt;0,IFERROR(VLOOKUP(A67,[1]ARS!A:EL,MATCH("P/E (Daily Time Series Ratio)",[1]ARS!$4:$4,0),FALSE),"-")&gt;500),"-",IFERROR(VLOOKUP(A67,[1]ARS!A:EL,MATCH("P/E (Daily Time Series Ratio)",[1]ARS!$4:$4,0),FALSE),"-"))</f>
        <v>19.455714054333786</v>
      </c>
      <c r="BK67" s="293"/>
      <c r="BL67" s="294"/>
      <c r="BM67" s="282">
        <f>IF(OR(IFERROR(VLOOKUP(A67,[1]ARS!A:EC,MATCH("Price To Sales",[1]ARS!$4:$4,0),FALSE),"-")&lt;0,IFERROR(VLOOKUP(A67,[1]ARS!A:EC,MATCH("Price To Sales",[1]ARS!$4:$4,0),FALSE),"-")&gt;100),"-",IFERROR(VLOOKUP(A67,[1]ARS!A:EC,MATCH("Price To Sales",[1]ARS!$4:$4,0),FALSE),"-"))</f>
        <v>0.73375405893934975</v>
      </c>
      <c r="BN67" s="293"/>
      <c r="BO67" s="294"/>
      <c r="BP67" s="282">
        <f>+IFERROR(IF(VLOOKUP(A67,[1]ARS!A:EO,MATCH("Price to Free Cash Flow",[1]ARS!$4:$4,0),FALSE)="NULL","-",VLOOKUP(A67,[1]ARS!A:EO,MATCH("Price to Free Cash Flow",[1]ARS!$4:$4,0),FALSE)),"-")</f>
        <v>36.593432167899998</v>
      </c>
      <c r="BQ67" s="293"/>
      <c r="BR67" s="294"/>
      <c r="BS67" s="43">
        <f>IF(VLOOKUP(A67,[1]ARS!A:EE,MATCH("Daily Beta - 180 Day",[1]ARS!$4:$4,0),FALSE)="NULL","-",VLOOKUP(A67,[1]ARS!A:EE,MATCH("Daily Beta - 180 Day",[1]ARS!$4:$4,0),FALSE))</f>
        <v>0.78624714806742402</v>
      </c>
      <c r="BT67" s="40">
        <f>+VLOOKUP(A67,[1]ARS!$A:$EH,MATCH("Volatilidad histórica",[1]ARS!$4:$4,0),FALSE)</f>
        <v>0.4252274575920445</v>
      </c>
      <c r="BU67" s="44">
        <f>+VLOOKUP(A67,[1]ARS!$A$5:$EM$85,MATCH("Rto Medio",[1]ARS!$4:$4,0),FALSE)</f>
        <v>7.4653150782704403E-2</v>
      </c>
      <c r="BV67" s="45">
        <f>+IF(VLOOKUP(Template!A67,[1]ARS!A:AA,MATCH("Period End Date",[1]ARS!$3:$3,0),FALSE)="","-",VLOOKUP(Template!A67,[1]ARS!A:AA,MATCH("Period End Date",[1]ARS!$3:$3,0),FALSE))</f>
        <v>43008</v>
      </c>
      <c r="BW67" s="46" t="str">
        <f t="shared" si="18"/>
        <v>DYCA</v>
      </c>
      <c r="BX67" s="4"/>
      <c r="BY67" s="119" t="s">
        <v>98</v>
      </c>
      <c r="BZ67" s="48">
        <v>3.6552927379586282</v>
      </c>
      <c r="CA67" s="48">
        <v>25.913866250301606</v>
      </c>
      <c r="CB67" s="48">
        <v>22.65978530698936</v>
      </c>
      <c r="CD67" s="119" t="s">
        <v>98</v>
      </c>
      <c r="CE67" s="119">
        <v>3.6552927379586282</v>
      </c>
      <c r="CF67" s="119">
        <v>25.913866250301606</v>
      </c>
      <c r="CG67" s="129">
        <v>22.65978530698936</v>
      </c>
      <c r="CN67" s="121"/>
    </row>
    <row r="68" spans="1:92" s="120" customFormat="1" ht="11.25" customHeight="1" x14ac:dyDescent="0.2">
      <c r="A68" s="330" t="str">
        <f t="shared" si="19"/>
        <v>CAPU</v>
      </c>
      <c r="B68" s="330"/>
      <c r="C68" s="331">
        <f>+VLOOKUP(A68,[1]ARS!A:EL,MATCH("Last",[1]ARS!$4:$4,0),FALSE)</f>
        <v>14.85</v>
      </c>
      <c r="D68" s="331"/>
      <c r="E68" s="74">
        <f>+VLOOKUP(A68,'[1]Market Cap'!I:J,2,FALSE)</f>
        <v>1</v>
      </c>
      <c r="F68" s="371">
        <f>IFERROR(IF(VLOOKUP(A68,[1]ARS!A:EL,MATCH("Total Debt To Total Equity, Percent FQ0",[1]ARS!$4:$4,0),FALSE)="NULL",IF(VLOOKUP(A68,[1]ARS!A:EL,MATCH("Total Debt To Total Equity, Percent FQ-1",[1]ARS!$4:$4,0),FALSE)="NULL","-",VLOOKUP(A68,[1]ARS!A:EL,MATCH("Total Debt To Total Equity, Percent FQ-1",[1]ARS!$4:$4,0))),VLOOKUP(A68,[1]ARS!A:EL,MATCH("Total Debt To Total Equity, Percent FQ0",[1]ARS!$4:$4,0),FALSE))/100,"-")</f>
        <v>0.23523961559000001</v>
      </c>
      <c r="G68" s="372"/>
      <c r="H68" s="373"/>
      <c r="I68" s="324">
        <f>IFERROR(VLOOKUP(A68,[1]ARS!A:EC,MATCH("Financial Leverage",[1]ARS!$4:$4,0),FALSE),"-")</f>
        <v>2.6550241460636301</v>
      </c>
      <c r="J68" s="324"/>
      <c r="K68" s="324"/>
      <c r="L68" s="325">
        <f>+IFERROR(IF(VLOOKUP(A68,[1]ARS!A:EL,MATCH("Curr Ratio FQ0",[1]ARS!$4:$4,0),FALSE)="NULL",IF(VLOOKUP(A68,[1]ARS!A:EL,MATCH("Curr Ratio FQ-1",[1]ARS!$4:$4,0),FALSE)="NULL","-",VLOOKUP(A68,[1]ARS!A:EL,MATCH("Curr Ratio FQ-1",[1]ARS!$4:$4,0),FALSE)),VLOOKUP(A68,[1]ARS!A:EL,MATCH("Curr Ratio FQ0",[1]ARS!$4:$4,0),FALSE)),"-")</f>
        <v>1.1707099999999999</v>
      </c>
      <c r="M68" s="333"/>
      <c r="N68" s="334"/>
      <c r="O68" s="325">
        <f>+IFERROR(IF(VLOOKUP(A68,[1]ARS!A:EL,MATCH("Quick Ratio FQ0",[1]ARS!$4:$4,0),FALSE)="NULL",IF(VLOOKUP(A68,[1]ARS!A:EL,MATCH("Quick Ratio FQ-1",[1]ARS!$4:$4,0),FALSE)="NULL","-",VLOOKUP(A68,[1]ARS!A:EL,MATCH("Quick Ratio FQ-1",[1]ARS!$4:$4,0),FALSE)),VLOOKUP(A68,[1]ARS!A:EL,MATCH("Quick Ratio FQ0",[1]ARS!$4:$4,0),FALSE)),"-")</f>
        <v>1.17052</v>
      </c>
      <c r="P68" s="333"/>
      <c r="Q68" s="334"/>
      <c r="R68" s="335">
        <f>+IFERROR(IF(VLOOKUP(A68,[1]ARS!$A:$EL,MATCH("Dividend yield",[1]ARS!$4:$4,0),FALSE)="NULL","-",VLOOKUP(A68,[1]ARS!$A:$EL,MATCH("Dividend Yield",[1]ARS!$4:$4,0),FALSE)/100),"-")</f>
        <v>1.1987579530201299E-2</v>
      </c>
      <c r="S68" s="336"/>
      <c r="T68" s="337"/>
      <c r="U68" s="324">
        <f>IF(IFERROR(VLOOKUP(A68,[1]ARS!A:EL,MATCH("Asset Turnover",[1]ARS!$4:$4,0),FALSE),"-")=0,"-",IFERROR(VLOOKUP(A68,[1]ARS!A:EL,MATCH("Asset Turnover",[1]ARS!$4:$4,0),FALSE),"-"))</f>
        <v>2.2563043007320971</v>
      </c>
      <c r="V68" s="324"/>
      <c r="W68" s="324"/>
      <c r="X68" s="328">
        <f>IFERROR(VLOOKUP(A68,[1]ARS!A:EL,MATCH("CCC",[1]ARS!$4:$4,0),FALSE),"-")</f>
        <v>62.052633465013621</v>
      </c>
      <c r="Y68" s="328"/>
      <c r="Z68" s="328"/>
      <c r="AA68" s="327">
        <f>IF(IFERROR(VLOOKUP(A68,[1]ARS!A:EL,MATCH("Gross Margin, Percent",[1]ARS!$4:$4,0),FALSE)/100,"-")&lt;0,"-",IFERROR(VLOOKUP(A68,[1]ARS!A:EL,MATCH("Gross Margin, Percent",[1]ARS!$4:$4,0),FALSE)/100,"-"))</f>
        <v>0.1559777</v>
      </c>
      <c r="AB68" s="327"/>
      <c r="AC68" s="327"/>
      <c r="AD68" s="327">
        <f>IF(IFERROR(VLOOKUP(A68,[1]ARS!A:EL,MATCH("Operating Margin, Percent",[1]ARS!$4:$4,0),FALSE)/100,"-")&lt;0,"-",IFERROR(VLOOKUP(A68,[1]ARS!A:EL,MATCH("Operating Margin, Percent",[1]ARS!$4:$4,0),FALSE)/100,"-"))</f>
        <v>0.1190441</v>
      </c>
      <c r="AE68" s="327"/>
      <c r="AF68" s="327"/>
      <c r="AG68" s="327">
        <f>IF(IFERROR(VLOOKUP(A68,[1]ARS!A:EL,MATCH("Net Profit Margin",[1]ARS!$4:$4,0),FALSE),"-")&lt;0,"-",IFERROR(VLOOKUP(A68,[1]ARS!A:EL,MATCH("Net Profit Margin",[1]ARS!$4:$4,0),FALSE),"-"))</f>
        <v>0.11365751677553683</v>
      </c>
      <c r="AH68" s="327"/>
      <c r="AI68" s="327"/>
      <c r="AJ68" s="383">
        <f>IFERROR(VLOOKUP(A68,[1]ARS!A:EL,MATCH("FCF/Revenue",[1]ARS!$4:$4,0),FALSE),"-")</f>
        <v>3.4325110708601329E-2</v>
      </c>
      <c r="AK68" s="384"/>
      <c r="AL68" s="385"/>
      <c r="AM68" s="386">
        <f>IFERROR(IF(VLOOKUP(A68,[1]ARS!A:EL,MATCH("ROE",[1]ARS!$4:$4,0),FALSE)&lt;-5,"-",VLOOKUP(A68,[1]ARS!A:EL,MATCH("ROE",[1]ARS!$4:$4,0),FALSE)),"-")</f>
        <v>0.56913145929441444</v>
      </c>
      <c r="AN68" s="387"/>
      <c r="AO68" s="388"/>
      <c r="AP68" s="383">
        <f>IFERROR(VLOOKUP(A68,[1]ARS!A:EL,MATCH("ROA",[1]ARS!$4:$4,0),FALSE),"-")</f>
        <v>0.20515864012616522</v>
      </c>
      <c r="AQ68" s="384"/>
      <c r="AR68" s="385"/>
      <c r="AS68" s="53">
        <f>+VLOOKUP(A68,[1]ARS!$A$5:$EL$85,MATCH("Last Q y/y",[1]ARS!$4:$4,0),FALSE)</f>
        <v>-4.3244347589212695E-2</v>
      </c>
      <c r="AT68" s="53">
        <f>+VLOOKUP(A68,[1]ARS!$A$5:$EL$99,MATCH("Last 5 yrs - Annual",[1]ARS!$4:$4,0),FALSE)</f>
        <v>0.49142566808242261</v>
      </c>
      <c r="AU68" s="54">
        <f>+VLOOKUP(A68,[1]ARS!$A$5:$EL$84,MATCH("Desvio",[1]ARS!$4:$4,0),FALSE)</f>
        <v>0.73333688129214036</v>
      </c>
      <c r="AV68" s="55">
        <f>+IFERROR(VLOOKUP(A68,'[1]Prom. Vtas Ult 5 años'!$A$3:$D$81,3,FALSE),"-")</f>
        <v>20.254080000000002</v>
      </c>
      <c r="AW68" s="56">
        <f>+IFERROR(VLOOKUP(A68,'[1]Prom. Vtas Ult 5 años'!$A$3:$D$81,4,FALSE),"-")</f>
        <v>2.3390464762466792</v>
      </c>
      <c r="AX68" s="325">
        <f>IFERROR((VLOOKUP(A68,[1]ARS!A:EL,MATCH("Enterprise Value (Daily Time Series)",[1]ARS!$4:$4,0),FALSE)/1000000000),"-")</f>
        <v>2.4475032919999999</v>
      </c>
      <c r="AY68" s="333"/>
      <c r="AZ68" s="334"/>
      <c r="BA68" s="325">
        <f>IFERROR((VLOOKUP(A68,[1]ARS!A:EL,MATCH("Company Market Cap",[1]ARS!$4:$4,0),FALSE)/1000000000),"-")</f>
        <v>2.5025902919999998</v>
      </c>
      <c r="BB68" s="333"/>
      <c r="BC68" s="334"/>
      <c r="BD68" s="325">
        <f>IF(VLOOKUP(A68,[1]ARS!A:EL,MATCH("Enterprise Value To EBITDA (Daily Time Series Ratio)",[1]ARS!$4:$4,0),FALSE)="NULL","-",VLOOKUP(A68,[1]ARS!A:EL,MATCH("Enterprise Value To EBITDA (Daily Time Series Ratio)",[1]ARS!$4:$4,0),FALSE))</f>
        <v>15.790649444828</v>
      </c>
      <c r="BE68" s="333"/>
      <c r="BF68" s="334"/>
      <c r="BG68" s="325">
        <f>IF(OR(IFERROR(VLOOKUP(A68,[1]ARS!A:EL,MATCH("Price To Tangible Book Value",[1]ARS!$4:$4,0),FALSE),"-")&lt;0,IFERROR(VLOOKUP(A68,[1]ARS!A:EL,MATCH("Price To Tangible Book Value",[1]ARS!$4:$4,0),FALSE),"-")&gt;100),"-",IFERROR(VLOOKUP(A68,[1]ARS!A:EL,MATCH("Price To Tangible Book Value",[1]ARS!$4:$4,0),FALSE),"-"))</f>
        <v>5.0322541111178136</v>
      </c>
      <c r="BH68" s="333"/>
      <c r="BI68" s="334"/>
      <c r="BJ68" s="325">
        <f>IF(OR(IFERROR(VLOOKUP(A68,[1]ARS!A:EL,MATCH("P/E (Daily Time Series Ratio)",[1]ARS!$4:$4,0),FALSE),"-")&lt;0,IFERROR(VLOOKUP(A68,[1]ARS!A:EL,MATCH("P/E (Daily Time Series Ratio)",[1]ARS!$4:$4,0),FALSE),"-")&gt;500),"-",IFERROR(VLOOKUP(A68,[1]ARS!A:EL,MATCH("P/E (Daily Time Series Ratio)",[1]ARS!$4:$4,0),FALSE),"-"))</f>
        <v>10.389047076025436</v>
      </c>
      <c r="BK68" s="333"/>
      <c r="BL68" s="334"/>
      <c r="BM68" s="325">
        <f>IF(OR(IFERROR(VLOOKUP(A68,[1]ARS!A:EC,MATCH("Price To Sales",[1]ARS!$4:$4,0),FALSE),"-")&lt;0,IFERROR(VLOOKUP(A68,[1]ARS!A:EC,MATCH("Price To Sales",[1]ARS!$4:$4,0),FALSE),"-")&gt;100),"-",IFERROR(VLOOKUP(A68,[1]ARS!A:EC,MATCH("Price To Sales",[1]ARS!$4:$4,0),FALSE),"-"))</f>
        <v>1.1847691722111706</v>
      </c>
      <c r="BN68" s="333"/>
      <c r="BO68" s="334"/>
      <c r="BP68" s="325">
        <f>+IFERROR(IF(VLOOKUP(A68,[1]ARS!A:EO,MATCH("Price to Free Cash Flow",[1]ARS!$4:$4,0),FALSE)="NULL","-",VLOOKUP(A68,[1]ARS!A:EO,MATCH("Price to Free Cash Flow",[1]ARS!$4:$4,0),FALSE)),"-")</f>
        <v>10.2580731176</v>
      </c>
      <c r="BQ68" s="333"/>
      <c r="BR68" s="334"/>
      <c r="BS68" s="57">
        <f>IF(VLOOKUP(A68,[1]ARS!A:EE,MATCH("Daily Beta - 180 Day",[1]ARS!$4:$4,0),FALSE)="NULL","-",VLOOKUP(A68,[1]ARS!A:EE,MATCH("Daily Beta - 180 Day",[1]ARS!$4:$4,0),FALSE))</f>
        <v>0.89847504596168803</v>
      </c>
      <c r="BT68" s="53">
        <f>+VLOOKUP(A68,[1]ARS!$A:$EH,MATCH("Volatilidad histórica",[1]ARS!$4:$4,0),FALSE)</f>
        <v>0.54474977032376781</v>
      </c>
      <c r="BU68" s="56">
        <f>+VLOOKUP(A68,[1]ARS!$A$5:$EM$85,MATCH("Rto Medio",[1]ARS!$4:$4,0),FALSE)</f>
        <v>0.26602594005104763</v>
      </c>
      <c r="BV68" s="58">
        <f>+IF(VLOOKUP(Template!A68,[1]ARS!A:AA,MATCH("Period End Date",[1]ARS!$3:$3,0),FALSE)="","-",VLOOKUP(Template!A68,[1]ARS!A:AA,MATCH("Period End Date",[1]ARS!$3:$3,0),FALSE))</f>
        <v>43008</v>
      </c>
      <c r="BW68" s="59" t="str">
        <f t="shared" si="18"/>
        <v>CAPU</v>
      </c>
      <c r="BX68" s="4"/>
      <c r="BY68" s="119" t="s">
        <v>99</v>
      </c>
      <c r="BZ68" s="48">
        <v>2.4490080810050125</v>
      </c>
      <c r="CA68" s="48">
        <v>10.385532918369027</v>
      </c>
      <c r="CB68" s="48">
        <v>28.307497431857325</v>
      </c>
      <c r="CD68" s="119" t="s">
        <v>99</v>
      </c>
      <c r="CE68" s="107">
        <v>2.4490080810050125</v>
      </c>
      <c r="CF68" s="107">
        <v>10.385532918369027</v>
      </c>
      <c r="CG68" s="107">
        <v>28.307497431857325</v>
      </c>
      <c r="CN68" s="121"/>
    </row>
    <row r="69" spans="1:92" s="120" customFormat="1" ht="11.25" customHeight="1" x14ac:dyDescent="0.2">
      <c r="A69" s="288" t="str">
        <f t="shared" si="19"/>
        <v>FERR</v>
      </c>
      <c r="B69" s="288"/>
      <c r="C69" s="289">
        <f>+VLOOKUP(A69,[1]ARS!A:EL,MATCH("Last",[1]ARS!$4:$4,0),FALSE)</f>
        <v>9.2900000000000009</v>
      </c>
      <c r="D69" s="289"/>
      <c r="E69" s="117">
        <f>+VLOOKUP(A69,'[1]Market Cap'!I:J,2,FALSE)</f>
        <v>0.1</v>
      </c>
      <c r="F69" s="290">
        <f>IFERROR(IF(VLOOKUP(A69,[1]ARS!A:EL,MATCH("Total Debt To Total Equity, Percent FQ0",[1]ARS!$4:$4,0),FALSE)="NULL",IF(VLOOKUP(A69,[1]ARS!A:EL,MATCH("Total Debt To Total Equity, Percent FQ-1",[1]ARS!$4:$4,0),FALSE)="NULL","-",VLOOKUP(A69,[1]ARS!A:EL,MATCH("Total Debt To Total Equity, Percent FQ-1",[1]ARS!$4:$4,0))),VLOOKUP(A69,[1]ARS!A:EL,MATCH("Total Debt To Total Equity, Percent FQ0",[1]ARS!$4:$4,0),FALSE))/100,"-")</f>
        <v>0.27408718986000002</v>
      </c>
      <c r="G69" s="291"/>
      <c r="H69" s="292"/>
      <c r="I69" s="281">
        <f>IFERROR(VLOOKUP(A69,[1]ARS!A:EC,MATCH("Financial Leverage",[1]ARS!$4:$4,0),FALSE),"-")</f>
        <v>1.7543372131586363</v>
      </c>
      <c r="J69" s="281"/>
      <c r="K69" s="281"/>
      <c r="L69" s="282">
        <f>+IFERROR(IF(VLOOKUP(A69,[1]ARS!A:EL,MATCH("Curr Ratio FQ0",[1]ARS!$4:$4,0),FALSE)="NULL",IF(VLOOKUP(A69,[1]ARS!A:EL,MATCH("Curr Ratio FQ-1",[1]ARS!$4:$4,0),FALSE)="NULL","-",VLOOKUP(A69,[1]ARS!A:EL,MATCH("Curr Ratio FQ-1",[1]ARS!$4:$4,0),FALSE)),VLOOKUP(A69,[1]ARS!A:EL,MATCH("Curr Ratio FQ0",[1]ARS!$4:$4,0),FALSE)),"-")</f>
        <v>2.0032100000000002</v>
      </c>
      <c r="M69" s="293"/>
      <c r="N69" s="294"/>
      <c r="O69" s="282">
        <f>+IFERROR(IF(VLOOKUP(A69,[1]ARS!A:EL,MATCH("Quick Ratio FQ0",[1]ARS!$4:$4,0),FALSE)="NULL",IF(VLOOKUP(A69,[1]ARS!A:EL,MATCH("Quick Ratio FQ-1",[1]ARS!$4:$4,0),FALSE)="NULL","-",VLOOKUP(A69,[1]ARS!A:EL,MATCH("Quick Ratio FQ-1",[1]ARS!$4:$4,0),FALSE)),VLOOKUP(A69,[1]ARS!A:EL,MATCH("Quick Ratio FQ0",[1]ARS!$4:$4,0),FALSE)),"-")</f>
        <v>0.89400999999999997</v>
      </c>
      <c r="P69" s="293"/>
      <c r="Q69" s="294"/>
      <c r="R69" s="295">
        <f>+IFERROR(IF(VLOOKUP(A69,[1]ARS!$A:$EL,MATCH("Dividend yield",[1]ARS!$4:$4,0),FALSE)="NULL","-",VLOOKUP(A69,[1]ARS!$A:$EL,MATCH("Dividend Yield",[1]ARS!$4:$4,0),FALSE)/100),"-")</f>
        <v>7.5640147150259009E-4</v>
      </c>
      <c r="S69" s="296"/>
      <c r="T69" s="297"/>
      <c r="U69" s="281">
        <f>IF(IFERROR(VLOOKUP(A69,[1]ARS!A:EL,MATCH("Asset Turnover",[1]ARS!$4:$4,0),FALSE),"-")=0,"-",IFERROR(VLOOKUP(A69,[1]ARS!A:EL,MATCH("Asset Turnover",[1]ARS!$4:$4,0),FALSE),"-"))</f>
        <v>1.7607242374316874</v>
      </c>
      <c r="V69" s="281"/>
      <c r="W69" s="281"/>
      <c r="X69" s="284">
        <f>IFERROR(VLOOKUP(A69,[1]ARS!A:EL,MATCH("CCC",[1]ARS!$4:$4,0),FALSE),"-")</f>
        <v>172.27231704050811</v>
      </c>
      <c r="Y69" s="284"/>
      <c r="Z69" s="284"/>
      <c r="AA69" s="283">
        <f>IF(IFERROR(VLOOKUP(A69,[1]ARS!A:EL,MATCH("Gross Margin, Percent",[1]ARS!$4:$4,0),FALSE)/100,"-")&lt;0,"-",IFERROR(VLOOKUP(A69,[1]ARS!A:EL,MATCH("Gross Margin, Percent",[1]ARS!$4:$4,0),FALSE)/100,"-"))</f>
        <v>0.35846299999999998</v>
      </c>
      <c r="AB69" s="283"/>
      <c r="AC69" s="283"/>
      <c r="AD69" s="283">
        <f>IF(IFERROR(VLOOKUP(A69,[1]ARS!A:EL,MATCH("Operating Margin, Percent",[1]ARS!$4:$4,0),FALSE)/100,"-")&lt;0,"-",IFERROR(VLOOKUP(A69,[1]ARS!A:EL,MATCH("Operating Margin, Percent",[1]ARS!$4:$4,0),FALSE)/100,"-"))</f>
        <v>7.0296799999999993E-2</v>
      </c>
      <c r="AE69" s="283"/>
      <c r="AF69" s="283"/>
      <c r="AG69" s="283">
        <f>IF(IFERROR(VLOOKUP(A69,[1]ARS!A:EL,MATCH("Net Profit Margin",[1]ARS!$4:$4,0),FALSE),"-")&lt;0,"-",IFERROR(VLOOKUP(A69,[1]ARS!A:EL,MATCH("Net Profit Margin",[1]ARS!$4:$4,0),FALSE),"-"))</f>
        <v>3.7349961451486051E-2</v>
      </c>
      <c r="AH69" s="283"/>
      <c r="AI69" s="283"/>
      <c r="AJ69" s="380">
        <f>IFERROR(VLOOKUP(A69,[1]ARS!A:EL,MATCH("FCF/Revenue",[1]ARS!$4:$4,0),FALSE),"-")</f>
        <v>-4.6909221652463404E-2</v>
      </c>
      <c r="AK69" s="381"/>
      <c r="AL69" s="382"/>
      <c r="AM69" s="380">
        <f>IFERROR(IF(VLOOKUP(A69,[1]ARS!A:EL,MATCH("ROE",[1]ARS!$4:$4,0),FALSE)&lt;-5,"-",VLOOKUP(A69,[1]ARS!A:EL,MATCH("ROE",[1]ARS!$4:$4,0),FALSE)),"-")</f>
        <v>8.9114573486930942E-2</v>
      </c>
      <c r="AN69" s="381"/>
      <c r="AO69" s="382"/>
      <c r="AP69" s="380">
        <f>IFERROR(VLOOKUP(A69,[1]ARS!A:EL,MATCH("ROA",[1]ARS!$4:$4,0),FALSE),"-")</f>
        <v>5.2610749975335484E-2</v>
      </c>
      <c r="AQ69" s="381"/>
      <c r="AR69" s="382"/>
      <c r="AS69" s="40">
        <f>+VLOOKUP(A69,[1]ARS!$A$5:$EL$85,MATCH("Last Q y/y",[1]ARS!$4:$4,0),FALSE)</f>
        <v>-0.27495493305961982</v>
      </c>
      <c r="AT69" s="40">
        <f>+VLOOKUP(A69,[1]ARS!$A$5:$EL$99,MATCH("Last 5 yrs - Annual",[1]ARS!$4:$4,0),FALSE)</f>
        <v>0.3359834213615101</v>
      </c>
      <c r="AU69" s="41">
        <f>+VLOOKUP(A69,[1]ARS!$A$5:$EL$84,MATCH("Desvio",[1]ARS!$4:$4,0),FALSE)</f>
        <v>0.59165128585079774</v>
      </c>
      <c r="AV69" s="42">
        <f>+IFERROR(VLOOKUP(A69,'[1]Prom. Vtas Ult 5 años'!$A$3:$D$81,3,FALSE),"-")</f>
        <v>34.496291499999998</v>
      </c>
      <c r="AW69" s="40">
        <f>+IFERROR(VLOOKUP(A69,'[1]Prom. Vtas Ult 5 años'!$A$3:$D$81,4,FALSE),"-")</f>
        <v>1.5390810945340569</v>
      </c>
      <c r="AX69" s="282">
        <f>IFERROR((VLOOKUP(A69,[1]ARS!A:EL,MATCH("Enterprise Value (Daily Time Series)",[1]ARS!$4:$4,0),FALSE)/1000000000),"-")</f>
        <v>39.706511450000001</v>
      </c>
      <c r="AY69" s="293"/>
      <c r="AZ69" s="294"/>
      <c r="BA69" s="282">
        <f>IFERROR((VLOOKUP(A69,[1]ARS!A:EL,MATCH("Company Market Cap",[1]ARS!$4:$4,0),FALSE)/1000000000),"-")</f>
        <v>3.6579000000000002</v>
      </c>
      <c r="BB69" s="293"/>
      <c r="BC69" s="294"/>
      <c r="BD69" s="282">
        <f>IF(VLOOKUP(A69,[1]ARS!A:EL,MATCH("Enterprise Value To EBITDA (Daily Time Series Ratio)",[1]ARS!$4:$4,0),FALSE)="NULL","-",VLOOKUP(A69,[1]ARS!A:EL,MATCH("Enterprise Value To EBITDA (Daily Time Series Ratio)",[1]ARS!$4:$4,0),FALSE))</f>
        <v>215.45741596490399</v>
      </c>
      <c r="BE69" s="293"/>
      <c r="BF69" s="294"/>
      <c r="BG69" s="282">
        <f>IF(OR(IFERROR(VLOOKUP(A69,[1]ARS!A:EL,MATCH("Price To Tangible Book Value",[1]ARS!$4:$4,0),FALSE),"-")&lt;0,IFERROR(VLOOKUP(A69,[1]ARS!A:EL,MATCH("Price To Tangible Book Value",[1]ARS!$4:$4,0),FALSE),"-")&gt;100),"-",IFERROR(VLOOKUP(A69,[1]ARS!A:EL,MATCH("Price To Tangible Book Value",[1]ARS!$4:$4,0),FALSE),"-"))</f>
        <v>3.8875408063454051</v>
      </c>
      <c r="BH69" s="293"/>
      <c r="BI69" s="294"/>
      <c r="BJ69" s="282">
        <f>IF(OR(IFERROR(VLOOKUP(A69,[1]ARS!A:EL,MATCH("P/E (Daily Time Series Ratio)",[1]ARS!$4:$4,0),FALSE),"-")&lt;0,IFERROR(VLOOKUP(A69,[1]ARS!A:EL,MATCH("P/E (Daily Time Series Ratio)",[1]ARS!$4:$4,0),FALSE),"-")&gt;500),"-",IFERROR(VLOOKUP(A69,[1]ARS!A:EL,MATCH("P/E (Daily Time Series Ratio)",[1]ARS!$4:$4,0),FALSE),"-"))</f>
        <v>466.83417085427141</v>
      </c>
      <c r="BK69" s="293"/>
      <c r="BL69" s="294"/>
      <c r="BM69" s="282">
        <f>IF(OR(IFERROR(VLOOKUP(A69,[1]ARS!A:EC,MATCH("Price To Sales",[1]ARS!$4:$4,0),FALSE),"-")&lt;0,IFERROR(VLOOKUP(A69,[1]ARS!A:EC,MATCH("Price To Sales",[1]ARS!$4:$4,0),FALSE),"-")&gt;100),"-",IFERROR(VLOOKUP(A69,[1]ARS!A:EC,MATCH("Price To Sales",[1]ARS!$4:$4,0),FALSE),"-"))</f>
        <v>1.6713181954217413</v>
      </c>
      <c r="BN69" s="293"/>
      <c r="BO69" s="294"/>
      <c r="BP69" s="282">
        <f>+IFERROR(IF(VLOOKUP(A69,[1]ARS!A:EO,MATCH("Price to Free Cash Flow",[1]ARS!$4:$4,0),FALSE)="NULL","-",VLOOKUP(A69,[1]ARS!A:EO,MATCH("Price to Free Cash Flow",[1]ARS!$4:$4,0),FALSE)),"-")</f>
        <v>682.99971913000002</v>
      </c>
      <c r="BQ69" s="293"/>
      <c r="BR69" s="294"/>
      <c r="BS69" s="43">
        <f>IF(VLOOKUP(A69,[1]ARS!A:EE,MATCH("Daily Beta - 180 Day",[1]ARS!$4:$4,0),FALSE)="NULL","-",VLOOKUP(A69,[1]ARS!A:EE,MATCH("Daily Beta - 180 Day",[1]ARS!$4:$4,0),FALSE))</f>
        <v>0.87853300804041801</v>
      </c>
      <c r="BT69" s="40">
        <f>+VLOOKUP(A69,[1]ARS!$A:$EH,MATCH("Volatilidad histórica",[1]ARS!$4:$4,0),FALSE)</f>
        <v>0.43752987932354742</v>
      </c>
      <c r="BU69" s="44">
        <f>+VLOOKUP(A69,[1]ARS!$A$5:$EM$85,MATCH("Rto Medio",[1]ARS!$4:$4,0),FALSE)</f>
        <v>0.10460234209314723</v>
      </c>
      <c r="BV69" s="45">
        <f>+IF(VLOOKUP(Template!A69,[1]ARS!A:AA,MATCH("Period End Date",[1]ARS!$3:$3,0),FALSE)="","-",VLOOKUP(Template!A69,[1]ARS!A:AA,MATCH("Period End Date",[1]ARS!$3:$3,0),FALSE))</f>
        <v>43008</v>
      </c>
      <c r="BW69" s="46" t="str">
        <f t="shared" si="18"/>
        <v>FERR</v>
      </c>
      <c r="BX69" s="4"/>
      <c r="BY69" s="119" t="s">
        <v>100</v>
      </c>
      <c r="BZ69" s="48">
        <v>4.7827295989931917</v>
      </c>
      <c r="CA69" s="48" t="s">
        <v>49</v>
      </c>
      <c r="CB69" s="48">
        <v>30.290558008032651</v>
      </c>
      <c r="CD69" s="119" t="s">
        <v>100</v>
      </c>
      <c r="CE69" s="119">
        <v>4.7827295989931917</v>
      </c>
      <c r="CF69" s="119" t="s">
        <v>49</v>
      </c>
      <c r="CG69" s="129">
        <v>30.290558008032651</v>
      </c>
      <c r="CN69" s="121"/>
    </row>
    <row r="70" spans="1:92" s="120" customFormat="1" ht="11.25" customHeight="1" x14ac:dyDescent="0.2">
      <c r="A70" s="330" t="str">
        <f t="shared" si="19"/>
        <v>AGRO</v>
      </c>
      <c r="B70" s="330"/>
      <c r="C70" s="331">
        <f>+VLOOKUP(A70,[1]ARS!A:EL,MATCH("Last",[1]ARS!$4:$4,0),FALSE)</f>
        <v>22.6</v>
      </c>
      <c r="D70" s="331"/>
      <c r="E70" s="74">
        <f>+VLOOKUP(A70,'[1]Market Cap'!I:J,2,FALSE)</f>
        <v>1</v>
      </c>
      <c r="F70" s="371">
        <f>IFERROR(IF(VLOOKUP(A70,[1]ARS!A:EL,MATCH("Total Debt To Total Equity, Percent FQ0",[1]ARS!$4:$4,0),FALSE)="NULL",IF(VLOOKUP(A70,[1]ARS!A:EL,MATCH("Total Debt To Total Equity, Percent FQ-1",[1]ARS!$4:$4,0),FALSE)="NULL","-",VLOOKUP(A70,[1]ARS!A:EL,MATCH("Total Debt To Total Equity, Percent FQ-1",[1]ARS!$4:$4,0))),VLOOKUP(A70,[1]ARS!A:EL,MATCH("Total Debt To Total Equity, Percent FQ0",[1]ARS!$4:$4,0),FALSE))/100,"-")</f>
        <v>0.93646222902000009</v>
      </c>
      <c r="G70" s="372"/>
      <c r="H70" s="373"/>
      <c r="I70" s="324">
        <f>IFERROR(VLOOKUP(A70,[1]ARS!A:EC,MATCH("Financial Leverage",[1]ARS!$4:$4,0),FALSE),"-")</f>
        <v>3.2521637631915068</v>
      </c>
      <c r="J70" s="324"/>
      <c r="K70" s="324"/>
      <c r="L70" s="325">
        <f>+IFERROR(IF(VLOOKUP(A70,[1]ARS!A:EL,MATCH("Curr Ratio FQ0",[1]ARS!$4:$4,0),FALSE)="NULL",IF(VLOOKUP(A70,[1]ARS!A:EL,MATCH("Curr Ratio FQ-1",[1]ARS!$4:$4,0),FALSE)="NULL","-",VLOOKUP(A70,[1]ARS!A:EL,MATCH("Curr Ratio FQ-1",[1]ARS!$4:$4,0),FALSE)),VLOOKUP(A70,[1]ARS!A:EL,MATCH("Curr Ratio FQ0",[1]ARS!$4:$4,0),FALSE)),"-")</f>
        <v>1.6366400000000001</v>
      </c>
      <c r="M70" s="333"/>
      <c r="N70" s="334"/>
      <c r="O70" s="325">
        <f>+IFERROR(IF(VLOOKUP(A70,[1]ARS!A:EL,MATCH("Quick Ratio FQ0",[1]ARS!$4:$4,0),FALSE)="NULL",IF(VLOOKUP(A70,[1]ARS!A:EL,MATCH("Quick Ratio FQ-1",[1]ARS!$4:$4,0),FALSE)="NULL","-",VLOOKUP(A70,[1]ARS!A:EL,MATCH("Quick Ratio FQ-1",[1]ARS!$4:$4,0),FALSE)),VLOOKUP(A70,[1]ARS!A:EL,MATCH("Quick Ratio FQ0",[1]ARS!$4:$4,0),FALSE)),"-")</f>
        <v>1.0911500000000001</v>
      </c>
      <c r="P70" s="333"/>
      <c r="Q70" s="334"/>
      <c r="R70" s="335">
        <f>+IFERROR(IF(VLOOKUP(A70,[1]ARS!$A:$EL,MATCH("Dividend yield",[1]ARS!$4:$4,0),FALSE)="NULL","-",VLOOKUP(A70,[1]ARS!$A:$EL,MATCH("Dividend Yield",[1]ARS!$4:$4,0),FALSE)/100),"-")</f>
        <v>0</v>
      </c>
      <c r="S70" s="336"/>
      <c r="T70" s="337"/>
      <c r="U70" s="324">
        <f>IF(IFERROR(VLOOKUP(A70,[1]ARS!A:EL,MATCH("Asset Turnover",[1]ARS!$4:$4,0),FALSE),"-")=0,"-",IFERROR(VLOOKUP(A70,[1]ARS!A:EL,MATCH("Asset Turnover",[1]ARS!$4:$4,0),FALSE),"-"))</f>
        <v>1.9019444607348155</v>
      </c>
      <c r="V70" s="324"/>
      <c r="W70" s="324"/>
      <c r="X70" s="328">
        <f>IFERROR(VLOOKUP(A70,[1]ARS!A:EL,MATCH("CCC",[1]ARS!$4:$4,0),FALSE),"-")</f>
        <v>66.380999643077587</v>
      </c>
      <c r="Y70" s="328"/>
      <c r="Z70" s="328"/>
      <c r="AA70" s="327">
        <f>IF(IFERROR(VLOOKUP(A70,[1]ARS!A:EL,MATCH("Gross Margin, Percent",[1]ARS!$4:$4,0),FALSE)/100,"-")&lt;0,"-",IFERROR(VLOOKUP(A70,[1]ARS!A:EL,MATCH("Gross Margin, Percent",[1]ARS!$4:$4,0),FALSE)/100,"-"))</f>
        <v>0.28870809999999997</v>
      </c>
      <c r="AB70" s="327"/>
      <c r="AC70" s="327"/>
      <c r="AD70" s="327">
        <f>IF(IFERROR(VLOOKUP(A70,[1]ARS!A:EL,MATCH("Operating Margin, Percent",[1]ARS!$4:$4,0),FALSE)/100,"-")&lt;0,"-",IFERROR(VLOOKUP(A70,[1]ARS!A:EL,MATCH("Operating Margin, Percent",[1]ARS!$4:$4,0),FALSE)/100,"-"))</f>
        <v>0.17141079999999997</v>
      </c>
      <c r="AE70" s="327"/>
      <c r="AF70" s="327"/>
      <c r="AG70" s="327">
        <f>IF(IFERROR(VLOOKUP(A70,[1]ARS!A:EL,MATCH("Net Profit Margin",[1]ARS!$4:$4,0),FALSE),"-")&lt;0,"-",IFERROR(VLOOKUP(A70,[1]ARS!A:EL,MATCH("Net Profit Margin",[1]ARS!$4:$4,0),FALSE),"-"))</f>
        <v>0.10641376963646286</v>
      </c>
      <c r="AH70" s="327"/>
      <c r="AI70" s="327"/>
      <c r="AJ70" s="383">
        <f>IFERROR(VLOOKUP(A70,[1]ARS!A:EL,MATCH("FCF/Revenue",[1]ARS!$4:$4,0),FALSE),"-")</f>
        <v>-0.15972590828593752</v>
      </c>
      <c r="AK70" s="384"/>
      <c r="AL70" s="385"/>
      <c r="AM70" s="386">
        <f>IFERROR(IF(VLOOKUP(A70,[1]ARS!A:EL,MATCH("ROE",[1]ARS!$4:$4,0),FALSE)&lt;-5,"-",VLOOKUP(A70,[1]ARS!A:EL,MATCH("ROE",[1]ARS!$4:$4,0),FALSE)),"-")</f>
        <v>0.51050665695826791</v>
      </c>
      <c r="AN70" s="387"/>
      <c r="AO70" s="388"/>
      <c r="AP70" s="383">
        <f>IFERROR(VLOOKUP(A70,[1]ARS!A:EL,MATCH("ROA",[1]ARS!$4:$4,0),FALSE),"-")</f>
        <v>0.16191777879666289</v>
      </c>
      <c r="AQ70" s="384"/>
      <c r="AR70" s="385"/>
      <c r="AS70" s="53">
        <f>+VLOOKUP(A70,[1]ARS!$A$5:$EL$85,MATCH("Last Q y/y",[1]ARS!$4:$4,0),FALSE)</f>
        <v>1.0737883364628407</v>
      </c>
      <c r="AT70" s="53">
        <f>+VLOOKUP(A70,[1]ARS!$A$5:$EL$99,MATCH("Last 5 yrs - Annual",[1]ARS!$4:$4,0),FALSE)</f>
        <v>1.0218342001485241</v>
      </c>
      <c r="AU70" s="54">
        <f>+VLOOKUP(A70,[1]ARS!$A$5:$EL$84,MATCH("Desvio",[1]ARS!$4:$4,0),FALSE)</f>
        <v>5.6800755701743313</v>
      </c>
      <c r="AV70" s="55">
        <f>AVERAGE(AV58:AV69)</f>
        <v>581.90618496784157</v>
      </c>
      <c r="AW70" s="56">
        <f>AVERAGE(AW58:AW69)</f>
        <v>13.791148801639624</v>
      </c>
      <c r="AX70" s="325">
        <f>IFERROR((VLOOKUP(A70,[1]ARS!A:EL,MATCH("Enterprise Value (Daily Time Series)",[1]ARS!$4:$4,0),FALSE)/1000000000),"-")</f>
        <v>1.8258292599999999</v>
      </c>
      <c r="AY70" s="333"/>
      <c r="AZ70" s="334"/>
      <c r="BA70" s="325">
        <f>IFERROR((VLOOKUP(A70,[1]ARS!A:EL,MATCH("Company Market Cap",[1]ARS!$4:$4,0),FALSE)/1000000000),"-")</f>
        <v>1.7137500000000001</v>
      </c>
      <c r="BB70" s="333"/>
      <c r="BC70" s="334"/>
      <c r="BD70" s="325">
        <f>IF(VLOOKUP(A70,[1]ARS!A:EL,MATCH("Enterprise Value To EBITDA (Daily Time Series Ratio)",[1]ARS!$4:$4,0),FALSE)="NULL","-",VLOOKUP(A70,[1]ARS!A:EL,MATCH("Enterprise Value To EBITDA (Daily Time Series Ratio)",[1]ARS!$4:$4,0),FALSE))</f>
        <v>12.1601759487589</v>
      </c>
      <c r="BE70" s="333"/>
      <c r="BF70" s="334"/>
      <c r="BG70" s="325">
        <f>IF(OR(IFERROR(VLOOKUP(A70,[1]ARS!A:EL,MATCH("Price To Tangible Book Value",[1]ARS!$4:$4,0),FALSE),"-")&lt;0,IFERROR(VLOOKUP(A70,[1]ARS!A:EL,MATCH("Price To Tangible Book Value",[1]ARS!$4:$4,0),FALSE),"-")&gt;100),"-",IFERROR(VLOOKUP(A70,[1]ARS!A:EL,MATCH("Price To Tangible Book Value",[1]ARS!$4:$4,0),FALSE),"-"))</f>
        <v>8.2559394709926384</v>
      </c>
      <c r="BH70" s="333"/>
      <c r="BI70" s="334"/>
      <c r="BJ70" s="325">
        <f>IF(OR(IFERROR(VLOOKUP(A70,[1]ARS!A:EL,MATCH("P/E (Daily Time Series Ratio)",[1]ARS!$4:$4,0),FALSE),"-")&lt;0,IFERROR(VLOOKUP(A70,[1]ARS!A:EL,MATCH("P/E (Daily Time Series Ratio)",[1]ARS!$4:$4,0),FALSE),"-")&gt;500),"-",IFERROR(VLOOKUP(A70,[1]ARS!A:EL,MATCH("P/E (Daily Time Series Ratio)",[1]ARS!$4:$4,0),FALSE),"-"))</f>
        <v>20.048969163620885</v>
      </c>
      <c r="BK70" s="333"/>
      <c r="BL70" s="334"/>
      <c r="BM70" s="325">
        <f>IF(OR(IFERROR(VLOOKUP(A70,[1]ARS!A:EC,MATCH("Price To Sales",[1]ARS!$4:$4,0),FALSE),"-")&lt;0,IFERROR(VLOOKUP(A70,[1]ARS!A:EC,MATCH("Price To Sales",[1]ARS!$4:$4,0),FALSE),"-")&gt;100),"-",IFERROR(VLOOKUP(A70,[1]ARS!A:EC,MATCH("Price To Sales",[1]ARS!$4:$4,0),FALSE),"-"))</f>
        <v>2.1446852540640142</v>
      </c>
      <c r="BN70" s="333"/>
      <c r="BO70" s="334"/>
      <c r="BP70" s="325">
        <f>+IFERROR(IF(VLOOKUP(A70,[1]ARS!A:EO,MATCH("Price to Free Cash Flow",[1]ARS!$4:$4,0),FALSE)="NULL","-",VLOOKUP(A70,[1]ARS!A:EO,MATCH("Price to Free Cash Flow",[1]ARS!$4:$4,0),FALSE)),"-")</f>
        <v>20.8148011215</v>
      </c>
      <c r="BQ70" s="333"/>
      <c r="BR70" s="334"/>
      <c r="BS70" s="57">
        <f>IF(VLOOKUP(A70,[1]ARS!A:EE,MATCH("Daily Beta - 180 Day",[1]ARS!$4:$4,0),FALSE)="NULL","-",VLOOKUP(A70,[1]ARS!A:EE,MATCH("Daily Beta - 180 Day",[1]ARS!$4:$4,0),FALSE))</f>
        <v>1.3822960331304099</v>
      </c>
      <c r="BT70" s="53">
        <f>+VLOOKUP(A70,[1]ARS!$A:$EH,MATCH("Volatilidad histórica",[1]ARS!$4:$4,0),FALSE)</f>
        <v>0.48018596608089803</v>
      </c>
      <c r="BU70" s="56">
        <f>+VLOOKUP(A70,[1]ARS!$A$5:$EM$85,MATCH("Rto Medio",[1]ARS!$4:$4,0),FALSE)</f>
        <v>0.12660017690424219</v>
      </c>
      <c r="BV70" s="58">
        <f>+IF(VLOOKUP(Template!A70,[1]ARS!A:AA,MATCH("Period End Date",[1]ARS!$3:$3,0),FALSE)="","-",VLOOKUP(Template!A70,[1]ARS!A:AA,MATCH("Period End Date",[1]ARS!$3:$3,0),FALSE))</f>
        <v>43008</v>
      </c>
      <c r="BW70" s="59" t="str">
        <f t="shared" si="18"/>
        <v>AGRO</v>
      </c>
      <c r="BX70" s="4"/>
      <c r="BY70" s="119" t="s">
        <v>101</v>
      </c>
      <c r="BZ70" s="48">
        <v>20.714374572370467</v>
      </c>
      <c r="CA70" s="48">
        <v>1.6955368105531479</v>
      </c>
      <c r="CB70" s="48">
        <v>69.722865585815825</v>
      </c>
      <c r="CD70" s="119" t="s">
        <v>101</v>
      </c>
      <c r="CE70" s="119">
        <v>20.714374572370467</v>
      </c>
      <c r="CF70" s="119">
        <v>1.6955368105531479</v>
      </c>
      <c r="CG70" s="129">
        <v>69.722865585815825</v>
      </c>
      <c r="CN70" s="121"/>
    </row>
    <row r="71" spans="1:92" s="120" customFormat="1" ht="11.25" customHeight="1" x14ac:dyDescent="0.2">
      <c r="A71" s="288" t="str">
        <f t="shared" si="19"/>
        <v>OEST</v>
      </c>
      <c r="B71" s="288"/>
      <c r="C71" s="289">
        <f>+VLOOKUP(A71,[1]ARS!A:EL,MATCH("Last",[1]ARS!$4:$4,0),FALSE)</f>
        <v>33.65</v>
      </c>
      <c r="D71" s="289"/>
      <c r="E71" s="117">
        <f>+VLOOKUP(A71,'[1]Market Cap'!I:J,2,FALSE)</f>
        <v>1</v>
      </c>
      <c r="F71" s="290">
        <f>IFERROR(IF(VLOOKUP(A71,[1]ARS!A:EL,MATCH("Total Debt To Total Equity, Percent FQ0",[1]ARS!$4:$4,0),FALSE)="NULL",IF(VLOOKUP(A71,[1]ARS!A:EL,MATCH("Total Debt To Total Equity, Percent FQ-1",[1]ARS!$4:$4,0),FALSE)="NULL","-",VLOOKUP(A71,[1]ARS!A:EL,MATCH("Total Debt To Total Equity, Percent FQ-1",[1]ARS!$4:$4,0))),VLOOKUP(A71,[1]ARS!A:EL,MATCH("Total Debt To Total Equity, Percent FQ0",[1]ARS!$4:$4,0),FALSE))/100,"-")</f>
        <v>0</v>
      </c>
      <c r="G71" s="291"/>
      <c r="H71" s="292"/>
      <c r="I71" s="281">
        <f>IFERROR(VLOOKUP(A71,[1]ARS!A:EC,MATCH("Financial Leverage",[1]ARS!$4:$4,0),FALSE),"-")</f>
        <v>2.8664705514616364</v>
      </c>
      <c r="J71" s="281"/>
      <c r="K71" s="281"/>
      <c r="L71" s="282">
        <f>+IFERROR(IF(VLOOKUP(A71,[1]ARS!A:EL,MATCH("Curr Ratio FQ0",[1]ARS!$4:$4,0),FALSE)="NULL",IF(VLOOKUP(A71,[1]ARS!A:EL,MATCH("Curr Ratio FQ-1",[1]ARS!$4:$4,0),FALSE)="NULL","-",VLOOKUP(A71,[1]ARS!A:EL,MATCH("Curr Ratio FQ-1",[1]ARS!$4:$4,0),FALSE)),VLOOKUP(A71,[1]ARS!A:EL,MATCH("Curr Ratio FQ0",[1]ARS!$4:$4,0),FALSE)),"-")</f>
        <v>1.4832799999999999</v>
      </c>
      <c r="M71" s="293"/>
      <c r="N71" s="294"/>
      <c r="O71" s="282">
        <f>+IFERROR(IF(VLOOKUP(A71,[1]ARS!A:EL,MATCH("Quick Ratio FQ0",[1]ARS!$4:$4,0),FALSE)="NULL",IF(VLOOKUP(A71,[1]ARS!A:EL,MATCH("Quick Ratio FQ-1",[1]ARS!$4:$4,0),FALSE)="NULL","-",VLOOKUP(A71,[1]ARS!A:EL,MATCH("Quick Ratio FQ-1",[1]ARS!$4:$4,0),FALSE)),VLOOKUP(A71,[1]ARS!A:EL,MATCH("Quick Ratio FQ0",[1]ARS!$4:$4,0),FALSE)),"-")</f>
        <v>1.4457100000000001</v>
      </c>
      <c r="P71" s="293"/>
      <c r="Q71" s="294"/>
      <c r="R71" s="295">
        <f>+IFERROR(IF(VLOOKUP(A71,[1]ARS!$A:$EL,MATCH("Dividend yield",[1]ARS!$4:$4,0),FALSE)="NULL","-",VLOOKUP(A71,[1]ARS!$A:$EL,MATCH("Dividend Yield",[1]ARS!$4:$4,0),FALSE)/100),"-")</f>
        <v>2.1342763851955299E-2</v>
      </c>
      <c r="S71" s="296"/>
      <c r="T71" s="297"/>
      <c r="U71" s="281">
        <f>IF(IFERROR(VLOOKUP(A71,[1]ARS!A:EL,MATCH("Asset Turnover",[1]ARS!$4:$4,0),FALSE),"-")=0,"-",IFERROR(VLOOKUP(A71,[1]ARS!A:EL,MATCH("Asset Turnover",[1]ARS!$4:$4,0),FALSE),"-"))</f>
        <v>2.4137155519356615</v>
      </c>
      <c r="V71" s="281"/>
      <c r="W71" s="281"/>
      <c r="X71" s="284">
        <f>IFERROR(VLOOKUP(A71,[1]ARS!A:EL,MATCH("CCC",[1]ARS!$4:$4,0),FALSE),"-")</f>
        <v>3.6486403312609532</v>
      </c>
      <c r="Y71" s="284"/>
      <c r="Z71" s="284"/>
      <c r="AA71" s="283">
        <f>IF(IFERROR(VLOOKUP(A71,[1]ARS!A:EL,MATCH("Gross Margin, Percent",[1]ARS!$4:$4,0),FALSE)/100,"-")&lt;0,"-",IFERROR(VLOOKUP(A71,[1]ARS!A:EL,MATCH("Gross Margin, Percent",[1]ARS!$4:$4,0),FALSE)/100,"-"))</f>
        <v>0.29606979999999999</v>
      </c>
      <c r="AB71" s="283"/>
      <c r="AC71" s="283"/>
      <c r="AD71" s="283">
        <f>IF(IFERROR(VLOOKUP(A71,[1]ARS!A:EL,MATCH("Operating Margin, Percent",[1]ARS!$4:$4,0),FALSE)/100,"-")&lt;0,"-",IFERROR(VLOOKUP(A71,[1]ARS!A:EL,MATCH("Operating Margin, Percent",[1]ARS!$4:$4,0),FALSE)/100,"-"))</f>
        <v>0.14451559999999999</v>
      </c>
      <c r="AE71" s="283"/>
      <c r="AF71" s="283"/>
      <c r="AG71" s="283">
        <f>IF(IFERROR(VLOOKUP(A71,[1]ARS!A:EL,MATCH("Net Profit Margin",[1]ARS!$4:$4,0),FALSE),"-")&lt;0,"-",IFERROR(VLOOKUP(A71,[1]ARS!A:EL,MATCH("Net Profit Margin",[1]ARS!$4:$4,0),FALSE),"-"))</f>
        <v>0.18141846200889469</v>
      </c>
      <c r="AH71" s="283"/>
      <c r="AI71" s="283"/>
      <c r="AJ71" s="380">
        <f>IFERROR(VLOOKUP(A71,[1]ARS!A:EL,MATCH("FCF/Revenue",[1]ARS!$4:$4,0),FALSE),"-")</f>
        <v>0.12335406811655317</v>
      </c>
      <c r="AK71" s="381"/>
      <c r="AL71" s="382"/>
      <c r="AM71" s="380">
        <f>IFERROR(IF(VLOOKUP(A71,[1]ARS!A:EL,MATCH("ROE",[1]ARS!$4:$4,0),FALSE)&lt;-5,"-",VLOOKUP(A71,[1]ARS!A:EL,MATCH("ROE",[1]ARS!$4:$4,0),FALSE)),"-")</f>
        <v>0.91500169708856349</v>
      </c>
      <c r="AN71" s="381"/>
      <c r="AO71" s="382"/>
      <c r="AP71" s="380">
        <f>IFERROR(VLOOKUP(A71,[1]ARS!A:EL,MATCH("ROA",[1]ARS!$4:$4,0),FALSE),"-")</f>
        <v>0.35031852758925397</v>
      </c>
      <c r="AQ71" s="381"/>
      <c r="AR71" s="382"/>
      <c r="AS71" s="40">
        <f>+VLOOKUP(A71,[1]ARS!$A$5:$EL$85,MATCH("Last Q y/y",[1]ARS!$4:$4,0),FALSE)</f>
        <v>1.4407627170687447</v>
      </c>
      <c r="AT71" s="40">
        <f>+VLOOKUP(A71,[1]ARS!$A$5:$EL$99,MATCH("Last 5 yrs - Annual",[1]ARS!$4:$4,0),FALSE)</f>
        <v>0.69797308676844372</v>
      </c>
      <c r="AU71" s="41">
        <f>+VLOOKUP(A71,[1]ARS!$A$5:$EL$84,MATCH("Desvio",[1]ARS!$4:$4,0),FALSE)</f>
        <v>0.8733407842892752</v>
      </c>
      <c r="AV71" s="42">
        <f>+IFERROR(VLOOKUP(A71,'[1]Prom. Vtas Ult 5 años'!$A$3:$D$81,3,FALSE),"-")</f>
        <v>22.334742631578944</v>
      </c>
      <c r="AW71" s="40">
        <f>+IFERROR(VLOOKUP(A71,'[1]Prom. Vtas Ult 5 años'!$A$3:$D$81,4,FALSE),"-")</f>
        <v>5.2073907952419276</v>
      </c>
      <c r="AX71" s="282">
        <f>IFERROR((VLOOKUP(A71,[1]ARS!A:EL,MATCH("Enterprise Value (Daily Time Series)",[1]ARS!$4:$4,0),FALSE)/1000000000),"-")</f>
        <v>5.1958494699999909</v>
      </c>
      <c r="AY71" s="293"/>
      <c r="AZ71" s="294"/>
      <c r="BA71" s="282">
        <f>IFERROR((VLOOKUP(A71,[1]ARS!A:EL,MATCH("Company Market Cap",[1]ARS!$4:$4,0),FALSE)/1000000000),"-")</f>
        <v>5.2640000000000002</v>
      </c>
      <c r="BB71" s="293"/>
      <c r="BC71" s="294"/>
      <c r="BD71" s="282">
        <f>IF(VLOOKUP(A71,[1]ARS!A:EL,MATCH("Enterprise Value To EBITDA (Daily Time Series Ratio)",[1]ARS!$4:$4,0),FALSE)="NULL","-",VLOOKUP(A71,[1]ARS!A:EL,MATCH("Enterprise Value To EBITDA (Daily Time Series Ratio)",[1]ARS!$4:$4,0),FALSE))</f>
        <v>10.659750737608</v>
      </c>
      <c r="BE71" s="293"/>
      <c r="BF71" s="294"/>
      <c r="BG71" s="282">
        <f>IF(OR(IFERROR(VLOOKUP(A71,[1]ARS!A:EL,MATCH("Price To Tangible Book Value",[1]ARS!$4:$4,0),FALSE),"-")&lt;0,IFERROR(VLOOKUP(A71,[1]ARS!A:EL,MATCH("Price To Tangible Book Value",[1]ARS!$4:$4,0),FALSE),"-")&gt;100),"-",IFERROR(VLOOKUP(A71,[1]ARS!A:EL,MATCH("Price To Tangible Book Value",[1]ARS!$4:$4,0),FALSE),"-"))</f>
        <v>30.660969302510129</v>
      </c>
      <c r="BH71" s="293"/>
      <c r="BI71" s="294"/>
      <c r="BJ71" s="282">
        <f>IF(OR(IFERROR(VLOOKUP(A71,[1]ARS!A:EL,MATCH("P/E (Daily Time Series Ratio)",[1]ARS!$4:$4,0),FALSE),"-")&lt;0,IFERROR(VLOOKUP(A71,[1]ARS!A:EL,MATCH("P/E (Daily Time Series Ratio)",[1]ARS!$4:$4,0),FALSE),"-")&gt;500),"-",IFERROR(VLOOKUP(A71,[1]ARS!A:EL,MATCH("P/E (Daily Time Series Ratio)",[1]ARS!$4:$4,0),FALSE),"-"))</f>
        <v>18.26788923090286</v>
      </c>
      <c r="BK71" s="293"/>
      <c r="BL71" s="294"/>
      <c r="BM71" s="282">
        <f>IF(OR(IFERROR(VLOOKUP(A71,[1]ARS!A:EC,MATCH("Price To Sales",[1]ARS!$4:$4,0),FALSE),"-")&lt;0,IFERROR(VLOOKUP(A71,[1]ARS!A:EC,MATCH("Price To Sales",[1]ARS!$4:$4,0),FALSE),"-")&gt;100),"-",IFERROR(VLOOKUP(A71,[1]ARS!A:EC,MATCH("Price To Sales",[1]ARS!$4:$4,0),FALSE),"-"))</f>
        <v>3.2402651300160694</v>
      </c>
      <c r="BN71" s="293"/>
      <c r="BO71" s="294"/>
      <c r="BP71" s="282">
        <f>+IFERROR(IF(VLOOKUP(A71,[1]ARS!A:EO,MATCH("Price to Free Cash Flow",[1]ARS!$4:$4,0),FALSE)="NULL","-",VLOOKUP(A71,[1]ARS!A:EO,MATCH("Price to Free Cash Flow",[1]ARS!$4:$4,0),FALSE)),"-")</f>
        <v>17.462710801699998</v>
      </c>
      <c r="BQ71" s="293"/>
      <c r="BR71" s="294"/>
      <c r="BS71" s="43">
        <f>IF(VLOOKUP(A71,[1]ARS!A:EE,MATCH("Daily Beta - 180 Day",[1]ARS!$4:$4,0),FALSE)="NULL","-",VLOOKUP(A71,[1]ARS!A:EE,MATCH("Daily Beta - 180 Day",[1]ARS!$4:$4,0),FALSE))</f>
        <v>1.0618170310985999</v>
      </c>
      <c r="BT71" s="40">
        <f>+VLOOKUP(A71,[1]ARS!$A:$EH,MATCH("Volatilidad histórica",[1]ARS!$4:$4,0),FALSE)</f>
        <v>0.40586006396372359</v>
      </c>
      <c r="BU71" s="44">
        <f>+VLOOKUP(A71,[1]ARS!$A$5:$EM$85,MATCH("Rto Medio",[1]ARS!$4:$4,0),FALSE)</f>
        <v>0.27384467186054118</v>
      </c>
      <c r="BV71" s="45">
        <f>+IF(VLOOKUP(Template!A71,[1]ARS!A:AA,MATCH("Period End Date",[1]ARS!$3:$3,0),FALSE)="","-",VLOOKUP(Template!A71,[1]ARS!A:AA,MATCH("Period End Date",[1]ARS!$3:$3,0),FALSE))</f>
        <v>43008</v>
      </c>
      <c r="BW71" s="46" t="str">
        <f t="shared" si="18"/>
        <v>OEST</v>
      </c>
      <c r="BX71" s="4"/>
      <c r="BY71" s="119" t="s">
        <v>102</v>
      </c>
      <c r="BZ71" s="48">
        <v>0.20353170326113826</v>
      </c>
      <c r="CA71" s="48">
        <v>2.2972929833213547</v>
      </c>
      <c r="CB71" s="48">
        <v>85.426277122842961</v>
      </c>
      <c r="CD71" s="119" t="s">
        <v>102</v>
      </c>
      <c r="CE71" s="119">
        <v>0.20353170326113826</v>
      </c>
      <c r="CF71" s="119">
        <v>2.2972929833213547</v>
      </c>
      <c r="CG71" s="129">
        <v>85.426277122842961</v>
      </c>
      <c r="CN71" s="121"/>
    </row>
    <row r="72" spans="1:92" s="120" customFormat="1" ht="11.25" customHeight="1" x14ac:dyDescent="0.2">
      <c r="A72" s="330" t="str">
        <f t="shared" si="19"/>
        <v>AUSO</v>
      </c>
      <c r="B72" s="330"/>
      <c r="C72" s="331">
        <f>+VLOOKUP(A72,[1]ARS!A:EL,MATCH("Last",[1]ARS!$4:$4,0),FALSE)</f>
        <v>108</v>
      </c>
      <c r="D72" s="331"/>
      <c r="E72" s="74">
        <f>+VLOOKUP(A72,'[1]Market Cap'!I:J,2,FALSE)</f>
        <v>1</v>
      </c>
      <c r="F72" s="371">
        <f>IFERROR(IF(VLOOKUP(A72,[1]ARS!A:EL,MATCH("Total Debt To Total Equity, Percent FQ0",[1]ARS!$4:$4,0),FALSE)="NULL",IF(VLOOKUP(A72,[1]ARS!A:EL,MATCH("Total Debt To Total Equity, Percent FQ-1",[1]ARS!$4:$4,0),FALSE)="NULL","-",VLOOKUP(A72,[1]ARS!A:EL,MATCH("Total Debt To Total Equity, Percent FQ-1",[1]ARS!$4:$4,0))),VLOOKUP(A72,[1]ARS!A:EL,MATCH("Total Debt To Total Equity, Percent FQ0",[1]ARS!$4:$4,0),FALSE))/100,"-")</f>
        <v>0</v>
      </c>
      <c r="G72" s="372"/>
      <c r="H72" s="373"/>
      <c r="I72" s="324">
        <f>IFERROR(VLOOKUP(A72,[1]ARS!A:EC,MATCH("Financial Leverage",[1]ARS!$4:$4,0),FALSE),"-")</f>
        <v>3.2915494056657026</v>
      </c>
      <c r="J72" s="324"/>
      <c r="K72" s="324"/>
      <c r="L72" s="325">
        <f>+IFERROR(IF(VLOOKUP(A72,[1]ARS!A:EL,MATCH("Curr Ratio FQ0",[1]ARS!$4:$4,0),FALSE)="NULL",IF(VLOOKUP(A72,[1]ARS!A:EL,MATCH("Curr Ratio FQ-1",[1]ARS!$4:$4,0),FALSE)="NULL","-",VLOOKUP(A72,[1]ARS!A:EL,MATCH("Curr Ratio FQ-1",[1]ARS!$4:$4,0),FALSE)),VLOOKUP(A72,[1]ARS!A:EL,MATCH("Curr Ratio FQ0",[1]ARS!$4:$4,0),FALSE)),"-")</f>
        <v>1.3746799999999999</v>
      </c>
      <c r="M72" s="333"/>
      <c r="N72" s="334"/>
      <c r="O72" s="325">
        <f>+IFERROR(IF(VLOOKUP(A72,[1]ARS!A:EL,MATCH("Quick Ratio FQ0",[1]ARS!$4:$4,0),FALSE)="NULL",IF(VLOOKUP(A72,[1]ARS!A:EL,MATCH("Quick Ratio FQ-1",[1]ARS!$4:$4,0),FALSE)="NULL","-",VLOOKUP(A72,[1]ARS!A:EL,MATCH("Quick Ratio FQ-1",[1]ARS!$4:$4,0),FALSE)),VLOOKUP(A72,[1]ARS!A:EL,MATCH("Quick Ratio FQ0",[1]ARS!$4:$4,0),FALSE)),"-")</f>
        <v>1.3746799999999999</v>
      </c>
      <c r="P72" s="333"/>
      <c r="Q72" s="334"/>
      <c r="R72" s="335">
        <f>+IFERROR(IF(VLOOKUP(A72,[1]ARS!$A:$EL,MATCH("Dividend yield",[1]ARS!$4:$4,0),FALSE)="NULL","-",VLOOKUP(A72,[1]ARS!$A:$EL,MATCH("Dividend Yield",[1]ARS!$4:$4,0),FALSE)/100),"-")</f>
        <v>4.3116627698334097E-2</v>
      </c>
      <c r="S72" s="336"/>
      <c r="T72" s="337"/>
      <c r="U72" s="324">
        <f>IF(IFERROR(VLOOKUP(A72,[1]ARS!A:EL,MATCH("Asset Turnover",[1]ARS!$4:$4,0),FALSE),"-")=0,"-",IFERROR(VLOOKUP(A72,[1]ARS!A:EL,MATCH("Asset Turnover",[1]ARS!$4:$4,0),FALSE),"-"))</f>
        <v>2.2550866540751588</v>
      </c>
      <c r="V72" s="324"/>
      <c r="W72" s="324"/>
      <c r="X72" s="328" t="str">
        <f>IFERROR(VLOOKUP(A72,[1]ARS!A:EL,MATCH("CCC",[1]ARS!$4:$4,0),FALSE),"-")</f>
        <v>-</v>
      </c>
      <c r="Y72" s="328"/>
      <c r="Z72" s="328"/>
      <c r="AA72" s="327">
        <f>IF(IFERROR(VLOOKUP(A72,[1]ARS!A:EL,MATCH("Gross Margin, Percent",[1]ARS!$4:$4,0),FALSE)/100,"-")&lt;0,"-",IFERROR(VLOOKUP(A72,[1]ARS!A:EL,MATCH("Gross Margin, Percent",[1]ARS!$4:$4,0),FALSE)/100,"-"))</f>
        <v>0.3529468</v>
      </c>
      <c r="AB72" s="327"/>
      <c r="AC72" s="327"/>
      <c r="AD72" s="327">
        <f>IF(IFERROR(VLOOKUP(A72,[1]ARS!A:EL,MATCH("Operating Margin, Percent",[1]ARS!$4:$4,0),FALSE)/100,"-")&lt;0,"-",IFERROR(VLOOKUP(A72,[1]ARS!A:EL,MATCH("Operating Margin, Percent",[1]ARS!$4:$4,0),FALSE)/100,"-"))</f>
        <v>0.25330140000000001</v>
      </c>
      <c r="AE72" s="327"/>
      <c r="AF72" s="327"/>
      <c r="AG72" s="327">
        <f>IF(IFERROR(VLOOKUP(A72,[1]ARS!A:EL,MATCH("Net Profit Margin",[1]ARS!$4:$4,0),FALSE),"-")&lt;0,"-",IFERROR(VLOOKUP(A72,[1]ARS!A:EL,MATCH("Net Profit Margin",[1]ARS!$4:$4,0),FALSE),"-"))</f>
        <v>0.15470841781685718</v>
      </c>
      <c r="AH72" s="327"/>
      <c r="AI72" s="327"/>
      <c r="AJ72" s="383">
        <f>IFERROR(VLOOKUP(A72,[1]ARS!A:EL,MATCH("FCF/Revenue",[1]ARS!$4:$4,0),FALSE),"-")</f>
        <v>1.8539723408020108E-2</v>
      </c>
      <c r="AK72" s="384"/>
      <c r="AL72" s="385"/>
      <c r="AM72" s="386">
        <f>IFERROR(IF(VLOOKUP(A72,[1]ARS!A:EL,MATCH("ROE",[1]ARS!$4:$4,0),FALSE)&lt;-5,"-",VLOOKUP(A72,[1]ARS!A:EL,MATCH("ROE",[1]ARS!$4:$4,0),FALSE)),"-")</f>
        <v>0.83815731586501863</v>
      </c>
      <c r="AN72" s="387"/>
      <c r="AO72" s="388"/>
      <c r="AP72" s="383">
        <f>IFERROR(VLOOKUP(A72,[1]ARS!A:EL,MATCH("ROA",[1]ARS!$4:$4,0),FALSE),"-")</f>
        <v>0.27910718007421392</v>
      </c>
      <c r="AQ72" s="384"/>
      <c r="AR72" s="385"/>
      <c r="AS72" s="53">
        <f>+VLOOKUP(A72,[1]ARS!$A$5:$EL$85,MATCH("Last Q y/y",[1]ARS!$4:$4,0),FALSE)</f>
        <v>0.11766877550109678</v>
      </c>
      <c r="AT72" s="53">
        <f>+VLOOKUP(A72,[1]ARS!$A$5:$EL$99,MATCH("Last 5 yrs - Annual",[1]ARS!$4:$4,0),FALSE)</f>
        <v>0.78909531215023887</v>
      </c>
      <c r="AU72" s="54">
        <f>+VLOOKUP(A72,[1]ARS!$A$5:$EL$84,MATCH("Desvio",[1]ARS!$4:$4,0),FALSE)</f>
        <v>3.459117636171777</v>
      </c>
      <c r="AV72" s="55">
        <f>AVERAGE(AV60:AV71)</f>
        <v>518.38094569357258</v>
      </c>
      <c r="AW72" s="56">
        <f>AVERAGE(AW60:AW71)</f>
        <v>14.60941798429903</v>
      </c>
      <c r="AX72" s="325">
        <f>IFERROR((VLOOKUP(A72,[1]ARS!A:EL,MATCH("Enterprise Value (Daily Time Series)",[1]ARS!$4:$4,0),FALSE)/1000000000),"-")</f>
        <v>2.5832680003499999</v>
      </c>
      <c r="AY72" s="333"/>
      <c r="AZ72" s="334"/>
      <c r="BA72" s="325">
        <f>IFERROR((VLOOKUP(A72,[1]ARS!A:EL,MATCH("Company Market Cap",[1]ARS!$4:$4,0),FALSE)/1000000000),"-")</f>
        <v>9.5940931866000003</v>
      </c>
      <c r="BB72" s="333"/>
      <c r="BC72" s="334"/>
      <c r="BD72" s="325">
        <f>IF(VLOOKUP(A72,[1]ARS!A:EL,MATCH("Enterprise Value To EBITDA (Daily Time Series Ratio)",[1]ARS!$4:$4,0),FALSE)="NULL","-",VLOOKUP(A72,[1]ARS!A:EL,MATCH("Enterprise Value To EBITDA (Daily Time Series Ratio)",[1]ARS!$4:$4,0),FALSE))</f>
        <v>4.3001609094600903</v>
      </c>
      <c r="BE72" s="333"/>
      <c r="BF72" s="334"/>
      <c r="BG72" s="325" t="str">
        <f>IF(OR(IFERROR(VLOOKUP(A72,[1]ARS!A:EL,MATCH("Price To Tangible Book Value",[1]ARS!$4:$4,0),FALSE),"-")&lt;0,IFERROR(VLOOKUP(A72,[1]ARS!A:EL,MATCH("Price To Tangible Book Value",[1]ARS!$4:$4,0),FALSE),"-")&gt;100),"-",IFERROR(VLOOKUP(A72,[1]ARS!A:EL,MATCH("Price To Tangible Book Value",[1]ARS!$4:$4,0),FALSE),"-"))</f>
        <v>-</v>
      </c>
      <c r="BH72" s="333"/>
      <c r="BI72" s="334"/>
      <c r="BJ72" s="325">
        <f>IF(OR(IFERROR(VLOOKUP(A72,[1]ARS!A:EL,MATCH("P/E (Daily Time Series Ratio)",[1]ARS!$4:$4,0),FALSE),"-")&lt;0,IFERROR(VLOOKUP(A72,[1]ARS!A:EL,MATCH("P/E (Daily Time Series Ratio)",[1]ARS!$4:$4,0),FALSE),"-")&gt;500),"-",IFERROR(VLOOKUP(A72,[1]ARS!A:EL,MATCH("P/E (Daily Time Series Ratio)",[1]ARS!$4:$4,0),FALSE),"-"))</f>
        <v>28.14288245656094</v>
      </c>
      <c r="BK72" s="333"/>
      <c r="BL72" s="334"/>
      <c r="BM72" s="325">
        <f>IF(OR(IFERROR(VLOOKUP(A72,[1]ARS!A:EC,MATCH("Price To Sales",[1]ARS!$4:$4,0),FALSE),"-")&lt;0,IFERROR(VLOOKUP(A72,[1]ARS!A:EC,MATCH("Price To Sales",[1]ARS!$4:$4,0),FALSE),"-")&gt;100),"-",IFERROR(VLOOKUP(A72,[1]ARS!A:EC,MATCH("Price To Sales",[1]ARS!$4:$4,0),FALSE),"-"))</f>
        <v>4.3761182587902008</v>
      </c>
      <c r="BN72" s="333"/>
      <c r="BO72" s="334"/>
      <c r="BP72" s="325">
        <f>+IFERROR(IF(VLOOKUP(A72,[1]ARS!A:EO,MATCH("Price to Free Cash Flow",[1]ARS!$4:$4,0),FALSE)="NULL","-",VLOOKUP(A72,[1]ARS!A:EO,MATCH("Price to Free Cash Flow",[1]ARS!$4:$4,0),FALSE)),"-")</f>
        <v>7.1299272429</v>
      </c>
      <c r="BQ72" s="333"/>
      <c r="BR72" s="334"/>
      <c r="BS72" s="57">
        <f>IF(VLOOKUP(A72,[1]ARS!A:EE,MATCH("Daily Beta - 180 Day",[1]ARS!$4:$4,0),FALSE)="NULL","-",VLOOKUP(A72,[1]ARS!A:EE,MATCH("Daily Beta - 180 Day",[1]ARS!$4:$4,0),FALSE))</f>
        <v>0.87782119382586798</v>
      </c>
      <c r="BT72" s="53">
        <f>+VLOOKUP(A72,[1]ARS!$A:$EH,MATCH("Volatilidad histórica",[1]ARS!$4:$4,0),FALSE)</f>
        <v>0.63480955477734169</v>
      </c>
      <c r="BU72" s="56">
        <f>+VLOOKUP(A72,[1]ARS!$A$5:$EM$85,MATCH("Rto Medio",[1]ARS!$4:$4,0),FALSE)</f>
        <v>0.27831265312485054</v>
      </c>
      <c r="BV72" s="58">
        <f>+IF(VLOOKUP(Template!A72,[1]ARS!A:AA,MATCH("Period End Date",[1]ARS!$3:$3,0),FALSE)="","-",VLOOKUP(Template!A72,[1]ARS!A:AA,MATCH("Period End Date",[1]ARS!$3:$3,0),FALSE))</f>
        <v>43008</v>
      </c>
      <c r="BW72" s="59" t="str">
        <f t="shared" si="18"/>
        <v>AUSO</v>
      </c>
      <c r="BX72" s="4"/>
      <c r="BY72" s="119" t="s">
        <v>103</v>
      </c>
      <c r="BZ72" s="48">
        <v>1.7000766153559073</v>
      </c>
      <c r="CA72" s="48">
        <v>3.6635561038677609</v>
      </c>
      <c r="CB72" s="48">
        <v>326.41854789505805</v>
      </c>
      <c r="CD72" s="119" t="s">
        <v>103</v>
      </c>
      <c r="CE72" s="119">
        <v>1.7000766153559073</v>
      </c>
      <c r="CF72" s="119">
        <v>3.6635561038677609</v>
      </c>
      <c r="CG72" s="129">
        <v>326.41854789505805</v>
      </c>
      <c r="CN72" s="121"/>
    </row>
    <row r="73" spans="1:92" s="120" customFormat="1" ht="11.25" customHeight="1" x14ac:dyDescent="0.2">
      <c r="A73" s="288" t="str">
        <f t="shared" si="19"/>
        <v>CADO</v>
      </c>
      <c r="B73" s="288"/>
      <c r="C73" s="289">
        <f>+VLOOKUP(A73,[1]ARS!A:EL,MATCH("Last",[1]ARS!$4:$4,0),FALSE)</f>
        <v>8.5500000000000007</v>
      </c>
      <c r="D73" s="289"/>
      <c r="E73" s="117">
        <f>+VLOOKUP(A73,'[1]Market Cap'!I:J,2,FALSE)</f>
        <v>1</v>
      </c>
      <c r="F73" s="290">
        <f>IFERROR(IF(VLOOKUP(A73,[1]ARS!A:EL,MATCH("Total Debt To Total Equity, Percent FQ0",[1]ARS!$4:$4,0),FALSE)="NULL",IF(VLOOKUP(A73,[1]ARS!A:EL,MATCH("Total Debt To Total Equity, Percent FQ-1",[1]ARS!$4:$4,0),FALSE)="NULL","-",VLOOKUP(A73,[1]ARS!A:EL,MATCH("Total Debt To Total Equity, Percent FQ-1",[1]ARS!$4:$4,0))),VLOOKUP(A73,[1]ARS!A:EL,MATCH("Total Debt To Total Equity, Percent FQ0",[1]ARS!$4:$4,0),FALSE))/100,"-")</f>
        <v>1.235458E-4</v>
      </c>
      <c r="G73" s="291"/>
      <c r="H73" s="292"/>
      <c r="I73" s="281">
        <f>IFERROR(VLOOKUP(A73,[1]ARS!A:EC,MATCH("Financial Leverage",[1]ARS!$4:$4,0),FALSE),"-")</f>
        <v>1.1526972469287033</v>
      </c>
      <c r="J73" s="281"/>
      <c r="K73" s="281"/>
      <c r="L73" s="282">
        <f>+IFERROR(IF(VLOOKUP(A73,[1]ARS!A:EL,MATCH("Curr Ratio FQ0",[1]ARS!$4:$4,0),FALSE)="NULL",IF(VLOOKUP(A73,[1]ARS!A:EL,MATCH("Curr Ratio FQ-1",[1]ARS!$4:$4,0),FALSE)="NULL","-",VLOOKUP(A73,[1]ARS!A:EL,MATCH("Curr Ratio FQ-1",[1]ARS!$4:$4,0),FALSE)),VLOOKUP(A73,[1]ARS!A:EL,MATCH("Curr Ratio FQ0",[1]ARS!$4:$4,0),FALSE)),"-")</f>
        <v>4.2971300000000001</v>
      </c>
      <c r="M73" s="293"/>
      <c r="N73" s="294"/>
      <c r="O73" s="282">
        <f>+IFERROR(IF(VLOOKUP(A73,[1]ARS!A:EL,MATCH("Quick Ratio FQ0",[1]ARS!$4:$4,0),FALSE)="NULL",IF(VLOOKUP(A73,[1]ARS!A:EL,MATCH("Quick Ratio FQ-1",[1]ARS!$4:$4,0),FALSE)="NULL","-",VLOOKUP(A73,[1]ARS!A:EL,MATCH("Quick Ratio FQ-1",[1]ARS!$4:$4,0),FALSE)),VLOOKUP(A73,[1]ARS!A:EL,MATCH("Quick Ratio FQ0",[1]ARS!$4:$4,0),FALSE)),"-")</f>
        <v>3.9187500000000002</v>
      </c>
      <c r="P73" s="293"/>
      <c r="Q73" s="294"/>
      <c r="R73" s="295">
        <f>+IFERROR(IF(VLOOKUP(A73,[1]ARS!$A:$EL,MATCH("Dividend yield",[1]ARS!$4:$4,0),FALSE)="NULL","-",VLOOKUP(A73,[1]ARS!$A:$EL,MATCH("Dividend Yield",[1]ARS!$4:$4,0),FALSE)/100),"-")</f>
        <v>1.8078117347796602E-2</v>
      </c>
      <c r="S73" s="296"/>
      <c r="T73" s="297"/>
      <c r="U73" s="281">
        <f>IF(IFERROR(VLOOKUP(A73,[1]ARS!A:EL,MATCH("Asset Turnover",[1]ARS!$4:$4,0),FALSE),"-")=0,"-",IFERROR(VLOOKUP(A73,[1]ARS!A:EL,MATCH("Asset Turnover",[1]ARS!$4:$4,0),FALSE),"-"))</f>
        <v>0.15849751821091945</v>
      </c>
      <c r="V73" s="281"/>
      <c r="W73" s="281"/>
      <c r="X73" s="284">
        <f>IFERROR(VLOOKUP(A73,[1]ARS!A:EL,MATCH("CCC",[1]ARS!$4:$4,0),FALSE),"-")</f>
        <v>21.589573976160651</v>
      </c>
      <c r="Y73" s="284"/>
      <c r="Z73" s="284"/>
      <c r="AA73" s="283" t="str">
        <f>IF(IFERROR(VLOOKUP(A73,[1]ARS!A:EL,MATCH("Gross Margin, Percent",[1]ARS!$4:$4,0),FALSE)/100,"-")&lt;0,"-",IFERROR(VLOOKUP(A73,[1]ARS!A:EL,MATCH("Gross Margin, Percent",[1]ARS!$4:$4,0),FALSE)/100,"-"))</f>
        <v>-</v>
      </c>
      <c r="AB73" s="283"/>
      <c r="AC73" s="283"/>
      <c r="AD73" s="283" t="str">
        <f>IF(IFERROR(VLOOKUP(A73,[1]ARS!A:EL,MATCH("Operating Margin, Percent",[1]ARS!$4:$4,0),FALSE)/100,"-")&lt;0,"-",IFERROR(VLOOKUP(A73,[1]ARS!A:EL,MATCH("Operating Margin, Percent",[1]ARS!$4:$4,0),FALSE)/100,"-"))</f>
        <v>-</v>
      </c>
      <c r="AE73" s="283"/>
      <c r="AF73" s="283"/>
      <c r="AG73" s="283">
        <f>IF(IFERROR(VLOOKUP(A73,[1]ARS!A:EL,MATCH("Net Profit Margin",[1]ARS!$4:$4,0),FALSE),"-")&lt;0,"-",IFERROR(VLOOKUP(A73,[1]ARS!A:EL,MATCH("Net Profit Margin",[1]ARS!$4:$4,0),FALSE),"-"))</f>
        <v>0.2168963920979072</v>
      </c>
      <c r="AH73" s="283"/>
      <c r="AI73" s="283"/>
      <c r="AJ73" s="380" t="str">
        <f>IFERROR(VLOOKUP(A73,[1]ARS!A:EL,MATCH("FCF/Revenue",[1]ARS!$4:$4,0),FALSE),"-")</f>
        <v>-</v>
      </c>
      <c r="AK73" s="381"/>
      <c r="AL73" s="382"/>
      <c r="AM73" s="380">
        <f>IFERROR(IF(VLOOKUP(A73,[1]ARS!A:EL,MATCH("ROE",[1]ARS!$4:$4,0),FALSE)&lt;-5,"-",VLOOKUP(A73,[1]ARS!A:EL,MATCH("ROE",[1]ARS!$4:$4,0),FALSE)),"-")</f>
        <v>3.1594147165996636E-2</v>
      </c>
      <c r="AN73" s="381"/>
      <c r="AO73" s="382"/>
      <c r="AP73" s="380">
        <f>IFERROR(VLOOKUP(A73,[1]ARS!A:EL,MATCH("ROA",[1]ARS!$4:$4,0),FALSE),"-")</f>
        <v>2.7502448320509871E-2</v>
      </c>
      <c r="AQ73" s="381"/>
      <c r="AR73" s="382"/>
      <c r="AS73" s="40">
        <f>+VLOOKUP(A73,[1]ARS!$A$5:$EL$85,MATCH("Last Q y/y",[1]ARS!$4:$4,0),FALSE)</f>
        <v>2.411962761259935</v>
      </c>
      <c r="AT73" s="40">
        <f>+VLOOKUP(A73,[1]ARS!$A$5:$EL$99,MATCH("Last 5 yrs - Annual",[1]ARS!$4:$4,0),FALSE)</f>
        <v>0.16352946935970675</v>
      </c>
      <c r="AU73" s="41">
        <f>+VLOOKUP(A73,[1]ARS!$A$5:$EL$84,MATCH("Desvio",[1]ARS!$4:$4,0),FALSE)</f>
        <v>0.61659368887160815</v>
      </c>
      <c r="AV73" s="42">
        <f>+IFERROR(VLOOKUP(A73,'[1]Prom. Vtas Ult 5 años'!$A$3:$D$81,3,FALSE),"-")</f>
        <v>18.86106736842105</v>
      </c>
      <c r="AW73" s="40">
        <f>+IFERROR(VLOOKUP(A73,'[1]Prom. Vtas Ult 5 años'!$A$3:$D$81,4,FALSE),"-")</f>
        <v>22.633358340438924</v>
      </c>
      <c r="AX73" s="282">
        <f>IFERROR((VLOOKUP(A73,[1]ARS!A:EL,MATCH("Enterprise Value (Daily Time Series)",[1]ARS!$4:$4,0),FALSE)/1000000000),"-")</f>
        <v>1.0492997500000001</v>
      </c>
      <c r="AY73" s="293"/>
      <c r="AZ73" s="294"/>
      <c r="BA73" s="282">
        <f>IFERROR((VLOOKUP(A73,[1]ARS!A:EL,MATCH("Company Market Cap",[1]ARS!$4:$4,0),FALSE)/1000000000),"-")</f>
        <v>1.06568</v>
      </c>
      <c r="BB73" s="293"/>
      <c r="BC73" s="294"/>
      <c r="BD73" s="282">
        <f>IF(VLOOKUP(A73,[1]ARS!A:EL,MATCH("Enterprise Value To EBITDA (Daily Time Series Ratio)",[1]ARS!$4:$4,0),FALSE)="NULL","-",VLOOKUP(A73,[1]ARS!A:EL,MATCH("Enterprise Value To EBITDA (Daily Time Series Ratio)",[1]ARS!$4:$4,0),FALSE))</f>
        <v>70.820872352990904</v>
      </c>
      <c r="BE73" s="293"/>
      <c r="BF73" s="294"/>
      <c r="BG73" s="282">
        <f>IF(OR(IFERROR(VLOOKUP(A73,[1]ARS!A:EL,MATCH("Price To Tangible Book Value",[1]ARS!$4:$4,0),FALSE),"-")&lt;0,IFERROR(VLOOKUP(A73,[1]ARS!A:EL,MATCH("Price To Tangible Book Value",[1]ARS!$4:$4,0),FALSE),"-")&gt;100),"-",IFERROR(VLOOKUP(A73,[1]ARS!A:EL,MATCH("Price To Tangible Book Value",[1]ARS!$4:$4,0),FALSE),"-"))</f>
        <v>1.6306698380936488</v>
      </c>
      <c r="BH73" s="293"/>
      <c r="BI73" s="294"/>
      <c r="BJ73" s="282">
        <f>IF(OR(IFERROR(VLOOKUP(A73,[1]ARS!A:EL,MATCH("P/E (Daily Time Series Ratio)",[1]ARS!$4:$4,0),FALSE),"-")&lt;0,IFERROR(VLOOKUP(A73,[1]ARS!A:EL,MATCH("P/E (Daily Time Series Ratio)",[1]ARS!$4:$4,0),FALSE),"-")&gt;500),"-",IFERROR(VLOOKUP(A73,[1]ARS!A:EL,MATCH("P/E (Daily Time Series Ratio)",[1]ARS!$4:$4,0),FALSE),"-"))</f>
        <v>62.037440139312153</v>
      </c>
      <c r="BK73" s="293"/>
      <c r="BL73" s="294"/>
      <c r="BM73" s="282">
        <f>IF(OR(IFERROR(VLOOKUP(A73,[1]ARS!A:EC,MATCH("Price To Sales",[1]ARS!$4:$4,0),FALSE),"-")&lt;0,IFERROR(VLOOKUP(A73,[1]ARS!A:EC,MATCH("Price To Sales",[1]ARS!$4:$4,0),FALSE),"-")&gt;100),"-",IFERROR(VLOOKUP(A73,[1]ARS!A:EC,MATCH("Price To Sales",[1]ARS!$4:$4,0),FALSE),"-"))</f>
        <v>11.835902028834074</v>
      </c>
      <c r="BN73" s="293"/>
      <c r="BO73" s="294"/>
      <c r="BP73" s="282">
        <f>+IFERROR(IF(VLOOKUP(A73,[1]ARS!A:EO,MATCH("Price to Free Cash Flow",[1]ARS!$4:$4,0),FALSE)="NULL","-",VLOOKUP(A73,[1]ARS!A:EO,MATCH("Price to Free Cash Flow",[1]ARS!$4:$4,0),FALSE)),"-")</f>
        <v>68.405282098399994</v>
      </c>
      <c r="BQ73" s="293"/>
      <c r="BR73" s="294"/>
      <c r="BS73" s="43">
        <f>IF(VLOOKUP(A73,[1]ARS!A:EE,MATCH("Daily Beta - 180 Day",[1]ARS!$4:$4,0),FALSE)="NULL","-",VLOOKUP(A73,[1]ARS!A:EE,MATCH("Daily Beta - 180 Day",[1]ARS!$4:$4,0),FALSE))</f>
        <v>0.505593278565037</v>
      </c>
      <c r="BT73" s="40">
        <f>+VLOOKUP(A73,[1]ARS!$A:$EH,MATCH("Volatilidad histórica",[1]ARS!$4:$4,0),FALSE)</f>
        <v>0.33431878210149468</v>
      </c>
      <c r="BU73" s="44">
        <f>+VLOOKUP(A73,[1]ARS!$A$5:$EM$85,MATCH("Rto Medio",[1]ARS!$4:$4,0),FALSE)</f>
        <v>-1.6925022751430596E-3</v>
      </c>
      <c r="BV73" s="45">
        <f>+IF(VLOOKUP(Template!A73,[1]ARS!A:AA,MATCH("Period End Date",[1]ARS!$3:$3,0),FALSE)="","-",VLOOKUP(Template!A73,[1]ARS!A:AA,MATCH("Period End Date",[1]ARS!$3:$3,0),FALSE))</f>
        <v>43008</v>
      </c>
      <c r="BW73" s="46" t="str">
        <f t="shared" si="18"/>
        <v>CADO</v>
      </c>
      <c r="BX73" s="4"/>
      <c r="BY73" s="119" t="s">
        <v>104</v>
      </c>
      <c r="BZ73" s="48">
        <v>0.32508050432216751</v>
      </c>
      <c r="CA73" s="48">
        <v>2.0449760091698468</v>
      </c>
      <c r="CB73" s="48" t="s">
        <v>49</v>
      </c>
      <c r="CD73" s="119" t="s">
        <v>104</v>
      </c>
      <c r="CE73" s="119">
        <v>0.32508050432216751</v>
      </c>
      <c r="CF73" s="119">
        <v>2.0449760091698468</v>
      </c>
      <c r="CG73" s="129" t="s">
        <v>49</v>
      </c>
      <c r="CN73" s="121"/>
    </row>
    <row r="74" spans="1:92" s="120" customFormat="1" ht="11.25" customHeight="1" x14ac:dyDescent="0.2">
      <c r="A74" s="316" t="str">
        <f t="shared" si="19"/>
        <v>POLL</v>
      </c>
      <c r="B74" s="316"/>
      <c r="C74" s="317">
        <f>+VLOOKUP(A74,[1]ARS!A:EL,MATCH("Last",[1]ARS!$4:$4,0),FALSE)</f>
        <v>9.3000000000000007</v>
      </c>
      <c r="D74" s="317"/>
      <c r="E74" s="75">
        <f>+VLOOKUP(A74,'[1]Market Cap'!I:J,2,FALSE)</f>
        <v>1</v>
      </c>
      <c r="F74" s="338" t="str">
        <f>IFERROR(IF(VLOOKUP(A74,[1]ARS!A:EL,MATCH("Total Debt To Total Equity, Percent FQ0",[1]ARS!$4:$4,0),FALSE)="NULL",IF(VLOOKUP(A74,[1]ARS!A:EL,MATCH("Total Debt To Total Equity, Percent FQ-1",[1]ARS!$4:$4,0),FALSE)="NULL","-",VLOOKUP(A74,[1]ARS!A:EL,MATCH("Total Debt To Total Equity, Percent FQ-1",[1]ARS!$4:$4,0))),VLOOKUP(A74,[1]ARS!A:EL,MATCH("Total Debt To Total Equity, Percent FQ0",[1]ARS!$4:$4,0),FALSE))/100,"-")</f>
        <v>-</v>
      </c>
      <c r="G74" s="339"/>
      <c r="H74" s="340"/>
      <c r="I74" s="304">
        <f>IFERROR(VLOOKUP(A74,[1]ARS!A:EC,MATCH("Financial Leverage",[1]ARS!$4:$4,0),FALSE),"-")</f>
        <v>-0.17806693563113052</v>
      </c>
      <c r="J74" s="304"/>
      <c r="K74" s="304"/>
      <c r="L74" s="305">
        <f>+IFERROR(IF(VLOOKUP(A74,[1]ARS!A:EL,MATCH("Curr Ratio FQ0",[1]ARS!$4:$4,0),FALSE)="NULL",IF(VLOOKUP(A74,[1]ARS!A:EL,MATCH("Curr Ratio FQ-1",[1]ARS!$4:$4,0),FALSE)="NULL","-",VLOOKUP(A74,[1]ARS!A:EL,MATCH("Curr Ratio FQ-1",[1]ARS!$4:$4,0),FALSE)),VLOOKUP(A74,[1]ARS!A:EL,MATCH("Curr Ratio FQ0",[1]ARS!$4:$4,0),FALSE)),"-")</f>
        <v>9.3090000000000006E-2</v>
      </c>
      <c r="M74" s="319"/>
      <c r="N74" s="320"/>
      <c r="O74" s="305">
        <f>+IFERROR(IF(VLOOKUP(A74,[1]ARS!A:EL,MATCH("Quick Ratio FQ0",[1]ARS!$4:$4,0),FALSE)="NULL",IF(VLOOKUP(A74,[1]ARS!A:EL,MATCH("Quick Ratio FQ-1",[1]ARS!$4:$4,0),FALSE)="NULL","-",VLOOKUP(A74,[1]ARS!A:EL,MATCH("Quick Ratio FQ-1",[1]ARS!$4:$4,0),FALSE)),VLOOKUP(A74,[1]ARS!A:EL,MATCH("Quick Ratio FQ0",[1]ARS!$4:$4,0),FALSE)),"-")</f>
        <v>9.3090000000000006E-2</v>
      </c>
      <c r="P74" s="319"/>
      <c r="Q74" s="320"/>
      <c r="R74" s="321" t="str">
        <f>+IFERROR(IF(VLOOKUP(A74,[1]ARS!$A:$EL,MATCH("Dividend yield",[1]ARS!$4:$4,0),FALSE)="NULL","-",VLOOKUP(A74,[1]ARS!$A:$EL,MATCH("Dividend Yield",[1]ARS!$4:$4,0),FALSE)/100),"-")</f>
        <v>-</v>
      </c>
      <c r="S74" s="322"/>
      <c r="T74" s="323"/>
      <c r="U74" s="304" t="str">
        <f>IF(IFERROR(VLOOKUP(A74,[1]ARS!A:EL,MATCH("Asset Turnover",[1]ARS!$4:$4,0),FALSE),"-")=0,"-",IFERROR(VLOOKUP(A74,[1]ARS!A:EL,MATCH("Asset Turnover",[1]ARS!$4:$4,0),FALSE),"-"))</f>
        <v>-</v>
      </c>
      <c r="V74" s="304"/>
      <c r="W74" s="304"/>
      <c r="X74" s="314" t="str">
        <f>IFERROR(VLOOKUP(A74,[1]ARS!A:EL,MATCH("CCC",[1]ARS!$4:$4,0),FALSE),"-")</f>
        <v>-</v>
      </c>
      <c r="Y74" s="314"/>
      <c r="Z74" s="314"/>
      <c r="AA74" s="313" t="str">
        <f>IF(IFERROR(VLOOKUP(A74,[1]ARS!A:EL,MATCH("Gross Margin, Percent",[1]ARS!$4:$4,0),FALSE)/100,"-")&lt;0,"-",IFERROR(VLOOKUP(A74,[1]ARS!A:EL,MATCH("Gross Margin, Percent",[1]ARS!$4:$4,0),FALSE)/100,"-"))</f>
        <v>-</v>
      </c>
      <c r="AB74" s="313"/>
      <c r="AC74" s="313"/>
      <c r="AD74" s="313" t="str">
        <f>IF(IFERROR(VLOOKUP(A74,[1]ARS!A:EL,MATCH("Operating Margin, Percent",[1]ARS!$4:$4,0),FALSE)/100,"-")&lt;0,"-",IFERROR(VLOOKUP(A74,[1]ARS!A:EL,MATCH("Operating Margin, Percent",[1]ARS!$4:$4,0),FALSE)/100,"-"))</f>
        <v>-</v>
      </c>
      <c r="AE74" s="313"/>
      <c r="AF74" s="313"/>
      <c r="AG74" s="313" t="str">
        <f>IF(IFERROR(VLOOKUP(A74,[1]ARS!A:EL,MATCH("Net Profit Margin",[1]ARS!$4:$4,0),FALSE),"-")&lt;0,"-",IFERROR(VLOOKUP(A74,[1]ARS!A:EL,MATCH("Net Profit Margin",[1]ARS!$4:$4,0),FALSE),"-"))</f>
        <v>-</v>
      </c>
      <c r="AH74" s="313"/>
      <c r="AI74" s="313"/>
      <c r="AJ74" s="374" t="str">
        <f>IFERROR(VLOOKUP(A74,[1]ARS!A:EL,MATCH("FCF/Revenue",[1]ARS!$4:$4,0),FALSE),"-")</f>
        <v>-</v>
      </c>
      <c r="AK74" s="375"/>
      <c r="AL74" s="376"/>
      <c r="AM74" s="377" t="str">
        <f>IFERROR(IF(VLOOKUP(A74,[1]ARS!A:EL,MATCH("ROE",[1]ARS!$4:$4,0),FALSE)&lt;-5,"-",VLOOKUP(A74,[1]ARS!A:EL,MATCH("ROE",[1]ARS!$4:$4,0),FALSE)),"-")</f>
        <v>-</v>
      </c>
      <c r="AN74" s="378"/>
      <c r="AO74" s="379"/>
      <c r="AP74" s="374">
        <f>IFERROR(VLOOKUP(A74,[1]ARS!A:EL,MATCH("ROA",[1]ARS!$4:$4,0),FALSE),"-")</f>
        <v>-1.5606683349926609</v>
      </c>
      <c r="AQ74" s="375"/>
      <c r="AR74" s="376"/>
      <c r="AS74" s="76">
        <f>+VLOOKUP(A74,[1]ARS!$A$5:$EL$85,MATCH("Last Q y/y",[1]ARS!$4:$4,0),FALSE)</f>
        <v>0.2547188118555701</v>
      </c>
      <c r="AT74" s="76">
        <f>+VLOOKUP(A74,[1]ARS!$A$5:$EL$99,MATCH("Last 5 yrs - Annual",[1]ARS!$4:$4,0),FALSE)</f>
        <v>-115.22051114294906</v>
      </c>
      <c r="AU74" s="77">
        <f>+VLOOKUP(A74,[1]ARS!$A$5:$EL$84,MATCH("Desvio",[1]ARS!$4:$4,0),FALSE)</f>
        <v>261.01500441408524</v>
      </c>
      <c r="AV74" s="78">
        <f>AVERAGE(AV63:AV73)</f>
        <v>206.15349226076191</v>
      </c>
      <c r="AW74" s="79">
        <f>AVERAGE(AW63:AW73)</f>
        <v>17.363811902178778</v>
      </c>
      <c r="AX74" s="305">
        <f>IFERROR((VLOOKUP(A74,[1]ARS!A:EL,MATCH("Enterprise Value (Daily Time Series)",[1]ARS!$4:$4,0),FALSE)/1000000000),"-")</f>
        <v>5.7635126000000002E-2</v>
      </c>
      <c r="AY74" s="319"/>
      <c r="AZ74" s="320"/>
      <c r="BA74" s="305">
        <f>IFERROR((VLOOKUP(A74,[1]ARS!A:EL,MATCH("Company Market Cap",[1]ARS!$4:$4,0),FALSE)/1000000000),"-")</f>
        <v>6.0993743000000003E-2</v>
      </c>
      <c r="BB74" s="319"/>
      <c r="BC74" s="320"/>
      <c r="BD74" s="305" t="str">
        <f>IF(VLOOKUP(A74,[1]ARS!A:EL,MATCH("Enterprise Value To EBITDA (Daily Time Series Ratio)",[1]ARS!$4:$4,0),FALSE)="NULL","-",VLOOKUP(A74,[1]ARS!A:EL,MATCH("Enterprise Value To EBITDA (Daily Time Series Ratio)",[1]ARS!$4:$4,0),FALSE))</f>
        <v>-</v>
      </c>
      <c r="BE74" s="319"/>
      <c r="BF74" s="320"/>
      <c r="BG74" s="305" t="str">
        <f>IF(OR(IFERROR(VLOOKUP(A74,[1]ARS!A:EL,MATCH("Price To Tangible Book Value",[1]ARS!$4:$4,0),FALSE),"-")&lt;0,IFERROR(VLOOKUP(A74,[1]ARS!A:EL,MATCH("Price To Tangible Book Value",[1]ARS!$4:$4,0),FALSE),"-")&gt;100),"-",IFERROR(VLOOKUP(A74,[1]ARS!A:EL,MATCH("Price To Tangible Book Value",[1]ARS!$4:$4,0),FALSE),"-"))</f>
        <v>-</v>
      </c>
      <c r="BH74" s="319"/>
      <c r="BI74" s="320"/>
      <c r="BJ74" s="305" t="str">
        <f>IF(OR(IFERROR(VLOOKUP(A74,[1]ARS!A:EL,MATCH("P/E (Daily Time Series Ratio)",[1]ARS!$4:$4,0),FALSE),"-")&lt;0,IFERROR(VLOOKUP(A74,[1]ARS!A:EL,MATCH("P/E (Daily Time Series Ratio)",[1]ARS!$4:$4,0),FALSE),"-")&gt;500),"-",IFERROR(VLOOKUP(A74,[1]ARS!A:EL,MATCH("P/E (Daily Time Series Ratio)",[1]ARS!$4:$4,0),FALSE),"-"))</f>
        <v>-</v>
      </c>
      <c r="BK74" s="319"/>
      <c r="BL74" s="320"/>
      <c r="BM74" s="305" t="str">
        <f>IF(OR(IFERROR(VLOOKUP(A74,[1]ARS!A:EC,MATCH("Price To Sales",[1]ARS!$4:$4,0),FALSE),"-")&lt;0,IFERROR(VLOOKUP(A74,[1]ARS!A:EC,MATCH("Price To Sales",[1]ARS!$4:$4,0),FALSE),"-")&gt;100),"-",IFERROR(VLOOKUP(A74,[1]ARS!A:EC,MATCH("Price To Sales",[1]ARS!$4:$4,0),FALSE),"-"))</f>
        <v>-</v>
      </c>
      <c r="BN74" s="319"/>
      <c r="BO74" s="320"/>
      <c r="BP74" s="305" t="str">
        <f>+IFERROR(IF(VLOOKUP(A74,[1]ARS!A:EO,MATCH("Price to Free Cash Flow",[1]ARS!$4:$4,0),FALSE)="NULL","-",VLOOKUP(A74,[1]ARS!A:EO,MATCH("Price to Free Cash Flow",[1]ARS!$4:$4,0),FALSE)),"-")</f>
        <v>-</v>
      </c>
      <c r="BQ74" s="319"/>
      <c r="BR74" s="320"/>
      <c r="BS74" s="80">
        <f>IF(VLOOKUP(A74,[1]ARS!A:EE,MATCH("Daily Beta - 180 Day",[1]ARS!$4:$4,0),FALSE)="NULL","-",VLOOKUP(A74,[1]ARS!A:EE,MATCH("Daily Beta - 180 Day",[1]ARS!$4:$4,0),FALSE))</f>
        <v>0.46753242096846098</v>
      </c>
      <c r="BT74" s="76">
        <f>+VLOOKUP(A74,[1]ARS!$A:$EH,MATCH("Volatilidad histórica",[1]ARS!$4:$4,0),FALSE)</f>
        <v>0.62763797852139003</v>
      </c>
      <c r="BU74" s="79">
        <f>+VLOOKUP(A74,[1]ARS!$A$5:$EM$85,MATCH("Rto Medio",[1]ARS!$4:$4,0),FALSE)</f>
        <v>-0.1827299916884586</v>
      </c>
      <c r="BV74" s="81">
        <f>+IF(VLOOKUP(Template!A74,[1]ARS!A:AA,MATCH("Period End Date",[1]ARS!$3:$3,0),FALSE)="","-",VLOOKUP(Template!A74,[1]ARS!A:AA,MATCH("Period End Date",[1]ARS!$3:$3,0),FALSE))</f>
        <v>43008</v>
      </c>
      <c r="BW74" s="59" t="str">
        <f t="shared" si="18"/>
        <v>POLL</v>
      </c>
      <c r="BX74" s="4"/>
      <c r="BY74" s="119" t="s">
        <v>105</v>
      </c>
      <c r="BZ74" s="48" t="s">
        <v>49</v>
      </c>
      <c r="CA74" s="48" t="s">
        <v>49</v>
      </c>
      <c r="CB74" s="48" t="s">
        <v>49</v>
      </c>
      <c r="CD74" s="119" t="s">
        <v>105</v>
      </c>
      <c r="CE74" s="119" t="s">
        <v>49</v>
      </c>
      <c r="CF74" s="119" t="s">
        <v>49</v>
      </c>
      <c r="CG74" s="129" t="s">
        <v>49</v>
      </c>
      <c r="CN74" s="121"/>
    </row>
    <row r="75" spans="1:92" s="120" customFormat="1" ht="11.25" customHeight="1" x14ac:dyDescent="0.2">
      <c r="A75" s="306" t="s">
        <v>61</v>
      </c>
      <c r="B75" s="307"/>
      <c r="C75" s="308"/>
      <c r="D75" s="309"/>
      <c r="E75" s="82"/>
      <c r="F75" s="301">
        <f>AVERAGE(F65:H74)</f>
        <v>0.24736597315655556</v>
      </c>
      <c r="G75" s="302"/>
      <c r="H75" s="303"/>
      <c r="I75" s="301">
        <f>AVERAGE(I65:K74)</f>
        <v>3.6278680960825995</v>
      </c>
      <c r="J75" s="302"/>
      <c r="K75" s="303"/>
      <c r="L75" s="301">
        <f>AVERAGE(L65:N74)</f>
        <v>1.596921</v>
      </c>
      <c r="M75" s="302"/>
      <c r="N75" s="303"/>
      <c r="O75" s="301">
        <f>AVERAGE(O65:Q74)</f>
        <v>1.2797899999999998</v>
      </c>
      <c r="P75" s="302"/>
      <c r="Q75" s="303"/>
      <c r="R75" s="310">
        <f>AVERAGE(R65:T74)</f>
        <v>1.4089551995429384E-2</v>
      </c>
      <c r="S75" s="311"/>
      <c r="T75" s="312"/>
      <c r="U75" s="301">
        <f>AVERAGE(U65:W74)</f>
        <v>1.7805013929300431</v>
      </c>
      <c r="V75" s="302"/>
      <c r="W75" s="303"/>
      <c r="X75" s="301">
        <f>AVERAGE(X65:Z74)</f>
        <v>104.09567647499416</v>
      </c>
      <c r="Y75" s="302"/>
      <c r="Z75" s="303"/>
      <c r="AA75" s="298">
        <f>AVERAGE(AA65:AC74)</f>
        <v>0.26811983750000001</v>
      </c>
      <c r="AB75" s="299"/>
      <c r="AC75" s="300"/>
      <c r="AD75" s="298">
        <f>AVERAGE(AD65:AF74)</f>
        <v>0.11791872499999999</v>
      </c>
      <c r="AE75" s="299"/>
      <c r="AF75" s="300"/>
      <c r="AG75" s="298">
        <f>AVERAGE(AG65:AI74)</f>
        <v>0.10967769512035051</v>
      </c>
      <c r="AH75" s="299"/>
      <c r="AI75" s="300"/>
      <c r="AJ75" s="298">
        <f>AVERAGE(AJ65:AL74)</f>
        <v>-1.6972092537514999E-2</v>
      </c>
      <c r="AK75" s="299"/>
      <c r="AL75" s="300"/>
      <c r="AM75" s="298">
        <f>AVERAGE(AM65:AO74)</f>
        <v>0.3868537052398115</v>
      </c>
      <c r="AN75" s="299"/>
      <c r="AO75" s="300"/>
      <c r="AP75" s="298">
        <f>AVERAGE(AP65:AR74)</f>
        <v>-4.2098077219547281E-2</v>
      </c>
      <c r="AQ75" s="299"/>
      <c r="AR75" s="300"/>
      <c r="AS75" s="83">
        <f>AVERAGE(AS65:AS74)</f>
        <v>0.65217559538315739</v>
      </c>
      <c r="AT75" s="83">
        <f>AVERAGE(AT65:AT74)</f>
        <v>-10.944396303556598</v>
      </c>
      <c r="AU75" s="84">
        <f>AVERAGE(AU65:AU74)</f>
        <v>27.878628787295145</v>
      </c>
      <c r="AV75" s="85">
        <f>AVERAGE(AV65:AV74)</f>
        <v>141.80618515274392</v>
      </c>
      <c r="AW75" s="83">
        <f>AVERAGE(AW65:AW74)</f>
        <v>18.618199926784513</v>
      </c>
      <c r="AX75" s="285">
        <f>+AVERAGE(AX65:AZ74)</f>
        <v>5.5612414368349992</v>
      </c>
      <c r="AY75" s="286"/>
      <c r="AZ75" s="287"/>
      <c r="BA75" s="285">
        <f>+AVERAGE(BA65:BC74)</f>
        <v>2.6134497585599998</v>
      </c>
      <c r="BB75" s="286"/>
      <c r="BC75" s="287"/>
      <c r="BD75" s="285">
        <f>+AVERAGE(BD65:BF74)</f>
        <v>40.440988441998584</v>
      </c>
      <c r="BE75" s="286"/>
      <c r="BF75" s="287"/>
      <c r="BG75" s="285">
        <f>+AVERAGE(BG65:BI74)</f>
        <v>7.962050338717976</v>
      </c>
      <c r="BH75" s="286"/>
      <c r="BI75" s="287"/>
      <c r="BJ75" s="285">
        <f>+AVERAGE(BJ65:BL74)</f>
        <v>86.167064247191718</v>
      </c>
      <c r="BK75" s="286"/>
      <c r="BL75" s="287"/>
      <c r="BM75" s="285">
        <f>+AVERAGE(BM65:BO74)</f>
        <v>2.916089829598131</v>
      </c>
      <c r="BN75" s="286"/>
      <c r="BO75" s="287"/>
      <c r="BP75" s="285">
        <f>+AVERAGE(BP65:BR74)</f>
        <v>114.01972838832499</v>
      </c>
      <c r="BQ75" s="286"/>
      <c r="BR75" s="287"/>
      <c r="BS75" s="86">
        <f>+AVERAGE(BS65:BS74)</f>
        <v>0.83822928241400918</v>
      </c>
      <c r="BT75" s="83">
        <f>AVERAGE(BT65:BT74)</f>
        <v>0.46892864101839649</v>
      </c>
      <c r="BU75" s="83">
        <f>AVERAGE(BU65:BU74)</f>
        <v>0.11268039437458026</v>
      </c>
      <c r="BV75" s="87"/>
      <c r="BW75" s="87"/>
      <c r="BX75" s="4"/>
      <c r="BY75" s="119"/>
      <c r="BZ75" s="48"/>
      <c r="CA75" s="48"/>
      <c r="CB75" s="48"/>
      <c r="CD75" s="119"/>
      <c r="CE75" s="119"/>
      <c r="CF75" s="119"/>
      <c r="CG75" s="129"/>
      <c r="CN75" s="121"/>
    </row>
    <row r="76" spans="1:92" s="115" customFormat="1" ht="11.25" customHeight="1" x14ac:dyDescent="0.2">
      <c r="A76" s="88" t="s">
        <v>106</v>
      </c>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90"/>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91"/>
      <c r="BW76" s="92"/>
      <c r="BX76" s="93"/>
      <c r="BY76" s="107"/>
      <c r="BZ76" s="95"/>
      <c r="CA76" s="114"/>
      <c r="CB76" s="96"/>
      <c r="CD76" s="119"/>
      <c r="CE76" s="119"/>
      <c r="CF76" s="119"/>
      <c r="CG76" s="129"/>
      <c r="CN76" s="116"/>
    </row>
    <row r="77" spans="1:92" s="115" customFormat="1" ht="11.25" customHeight="1" x14ac:dyDescent="0.2">
      <c r="A77" s="330" t="str">
        <f t="shared" ref="A77:A84" si="20">BY77</f>
        <v>INDU</v>
      </c>
      <c r="B77" s="330"/>
      <c r="C77" s="331">
        <f>+VLOOKUP(A77,[1]ARS!A:EL,MATCH("Last",[1]ARS!$4:$4,0),FALSE)</f>
        <v>18</v>
      </c>
      <c r="D77" s="331"/>
      <c r="E77" s="74">
        <f>+VLOOKUP(A77,'[1]Market Cap'!I:J,2,FALSE)</f>
        <v>1</v>
      </c>
      <c r="F77" s="371">
        <f>IFERROR(IF(VLOOKUP(A77,[1]ARS!A:EL,MATCH("Total Debt To Total Equity, Percent FQ0",[1]ARS!$4:$4,0),FALSE)="NULL",IF(VLOOKUP(A77,[1]ARS!A:EL,MATCH("Total Debt To Total Equity, Percent FQ-1",[1]ARS!$4:$4,0),FALSE)="NULL","-",VLOOKUP(A77,[1]ARS!A:EL,MATCH("Total Debt To Total Equity, Percent FQ-1",[1]ARS!$4:$4,0))),VLOOKUP(A77,[1]ARS!A:EL,MATCH("Total Debt To Total Equity, Percent FQ0",[1]ARS!$4:$4,0),FALSE))/100,"-")</f>
        <v>1.9693744359900001</v>
      </c>
      <c r="G77" s="372"/>
      <c r="H77" s="373"/>
      <c r="I77" s="324">
        <f>IFERROR(VLOOKUP(A77,[1]ARS!A:EC,MATCH("Financial Leverage",[1]ARS!$4:$4,0),FALSE),"-")</f>
        <v>4.463178638582737</v>
      </c>
      <c r="J77" s="324"/>
      <c r="K77" s="324"/>
      <c r="L77" s="325">
        <f>+IFERROR(IF(VLOOKUP(A77,[1]ARS!A:EL,MATCH("Curr Ratio FQ0",[1]ARS!$4:$4,0),FALSE)="NULL",IF(VLOOKUP(A77,[1]ARS!A:EL,MATCH("Curr Ratio FQ-1",[1]ARS!$4:$4,0),FALSE)="NULL","-",VLOOKUP(A77,[1]ARS!A:EL,MATCH("Curr Ratio FQ-1",[1]ARS!$4:$4,0),FALSE)),VLOOKUP(A77,[1]ARS!A:EL,MATCH("Curr Ratio FQ0",[1]ARS!$4:$4,0),FALSE)),"-")</f>
        <v>1.1442600000000001</v>
      </c>
      <c r="M77" s="333"/>
      <c r="N77" s="334"/>
      <c r="O77" s="325">
        <f>+IFERROR(IF(VLOOKUP(A77,[1]ARS!A:EL,MATCH("Quick Ratio FQ0",[1]ARS!$4:$4,0),FALSE)="NULL",IF(VLOOKUP(A77,[1]ARS!A:EL,MATCH("Quick Ratio FQ-1",[1]ARS!$4:$4,0),FALSE)="NULL","-",VLOOKUP(A77,[1]ARS!A:EL,MATCH("Quick Ratio FQ-1",[1]ARS!$4:$4,0),FALSE)),VLOOKUP(A77,[1]ARS!A:EL,MATCH("Quick Ratio FQ0",[1]ARS!$4:$4,0),FALSE)),"-")</f>
        <v>0.92201999999999995</v>
      </c>
      <c r="P77" s="333"/>
      <c r="Q77" s="334"/>
      <c r="R77" s="335" t="str">
        <f>+IFERROR(IF(VLOOKUP(A77,[1]ARS!$A:$EL,MATCH("Dividend yield",[1]ARS!$4:$4,0),FALSE)="NULL","-",VLOOKUP(A77,[1]ARS!$A:$EL,MATCH("Dividend Yield",[1]ARS!$4:$4,0),FALSE)/100),"-")</f>
        <v>-</v>
      </c>
      <c r="S77" s="336"/>
      <c r="T77" s="337"/>
      <c r="U77" s="324">
        <f>IF(IFERROR(VLOOKUP(A77,[1]ARS!A:EL,MATCH("Asset Turnover",[1]ARS!$4:$4,0),FALSE),"-")=0,"-",IFERROR(VLOOKUP(A77,[1]ARS!A:EL,MATCH("Asset Turnover",[1]ARS!$4:$4,0),FALSE),"-"))</f>
        <v>1.7576286409103314</v>
      </c>
      <c r="V77" s="324"/>
      <c r="W77" s="324"/>
      <c r="X77" s="328">
        <f>IFERROR(VLOOKUP(A77,[1]ARS!A:EL,MATCH("CCC",[1]ARS!$4:$4,0),FALSE),"-")</f>
        <v>21.968138262448363</v>
      </c>
      <c r="Y77" s="328"/>
      <c r="Z77" s="328"/>
      <c r="AA77" s="327">
        <f>IF(IFERROR(VLOOKUP(A77,[1]ARS!A:EL,MATCH("Gross Margin, Percent",[1]ARS!$4:$4,0),FALSE)/100,"-")&lt;0,"-",IFERROR(VLOOKUP(A77,[1]ARS!A:EL,MATCH("Gross Margin, Percent",[1]ARS!$4:$4,0),FALSE)/100,"-"))</f>
        <v>0.14762819999999999</v>
      </c>
      <c r="AB77" s="327"/>
      <c r="AC77" s="327"/>
      <c r="AD77" s="327">
        <f>IF(IFERROR(VLOOKUP(A77,[1]ARS!A:EL,MATCH("Operating Margin, Percent",[1]ARS!$4:$4,0),FALSE)/100,"-")&lt;0,"-",IFERROR(VLOOKUP(A77,[1]ARS!A:EL,MATCH("Operating Margin, Percent",[1]ARS!$4:$4,0),FALSE)/100,"-"))</f>
        <v>1.0839399999999999E-2</v>
      </c>
      <c r="AE77" s="327"/>
      <c r="AF77" s="327"/>
      <c r="AG77" s="327">
        <f>IF(IFERROR(VLOOKUP(A77,[1]ARS!A:EL,MATCH("Net Profit Margin",[1]ARS!$4:$4,0),FALSE),"-")&lt;0,"-",IFERROR(VLOOKUP(A77,[1]ARS!A:EL,MATCH("Net Profit Margin",[1]ARS!$4:$4,0),FALSE),"-"))</f>
        <v>1.214986252683993E-2</v>
      </c>
      <c r="AH77" s="327"/>
      <c r="AI77" s="327"/>
      <c r="AJ77" s="327">
        <f>IFERROR(VLOOKUP(A77,[1]ARS!A:EL,MATCH("FCF/Revenue",[1]ARS!$4:$4,0),FALSE),"-")</f>
        <v>-6.8984996945989042E-3</v>
      </c>
      <c r="AK77" s="327"/>
      <c r="AL77" s="327"/>
      <c r="AM77" s="329">
        <f>IFERROR(IF(VLOOKUP(A77,[1]ARS!A:EL,MATCH("ROE",[1]ARS!$4:$4,0),FALSE)&lt;-5,"-",VLOOKUP(A77,[1]ARS!A:EL,MATCH("ROE",[1]ARS!$4:$4,0),FALSE)),"-")</f>
        <v>8.2475806015606695E-2</v>
      </c>
      <c r="AN77" s="329"/>
      <c r="AO77" s="329"/>
      <c r="AP77" s="327">
        <f>IFERROR(VLOOKUP(A77,[1]ARS!A:EL,MATCH("ROA",[1]ARS!$4:$4,0),FALSE),"-")</f>
        <v>1.708398157747856E-2</v>
      </c>
      <c r="AQ77" s="327"/>
      <c r="AR77" s="327"/>
      <c r="AS77" s="53">
        <f>+VLOOKUP(A77,[1]ARS!$A$5:$EL$85,MATCH("Last Q y/y",[1]ARS!$4:$4,0),FALSE)</f>
        <v>131.19766309639726</v>
      </c>
      <c r="AT77" s="53">
        <f>+VLOOKUP(A77,[1]ARS!$A$5:$EL$99,MATCH("Last 5 yrs - Annual",[1]ARS!$4:$4,0),FALSE)</f>
        <v>-2.0723843978669096</v>
      </c>
      <c r="AU77" s="54">
        <f>+VLOOKUP(A77,[1]ARS!$A$5:$EL$84,MATCH("Desvio",[1]ARS!$4:$4,0),FALSE)</f>
        <v>3.5001906218445633</v>
      </c>
      <c r="AV77" s="55">
        <f>+IFERROR(VLOOKUP(A77,'[1]Prom. Vtas Ult 5 años'!$A$3:$D$81,3,FALSE),"-")</f>
        <v>-104.45605555555557</v>
      </c>
      <c r="AW77" s="56">
        <f>+IFERROR(VLOOKUP(A77,'[1]Prom. Vtas Ult 5 años'!$A$3:$D$81,4,FALSE),"-")</f>
        <v>91.86845803487887</v>
      </c>
      <c r="AX77" s="324">
        <f>IFERROR((VLOOKUP(A77,[1]ARS!A:EL,MATCH("Enterprise Value (Daily Time Series)",[1]ARS!$4:$4,0),FALSE)/1000000000),"-")</f>
        <v>9.8599033212999991</v>
      </c>
      <c r="AY77" s="324"/>
      <c r="AZ77" s="324"/>
      <c r="BA77" s="324">
        <f>IFERROR((VLOOKUP(A77,[1]ARS!A:EL,MATCH("Company Market Cap",[1]ARS!$4:$4,0),FALSE)/1000000000),"-")</f>
        <v>7.1463849584999997</v>
      </c>
      <c r="BB77" s="324"/>
      <c r="BC77" s="324"/>
      <c r="BD77" s="324">
        <f>IF(VLOOKUP(A77,[1]ARS!A:EL,MATCH("Enterprise Value To EBITDA (Daily Time Series Ratio)",[1]ARS!$4:$4,0),FALSE)="NULL","-",VLOOKUP(A77,[1]ARS!A:EL,MATCH("Enterprise Value To EBITDA (Daily Time Series Ratio)",[1]ARS!$4:$4,0),FALSE))</f>
        <v>10.969122974753001</v>
      </c>
      <c r="BE77" s="324"/>
      <c r="BF77" s="324"/>
      <c r="BG77" s="324">
        <f>IF(OR(IFERROR(VLOOKUP(A77,[1]ARS!A:EL,MATCH("Price To Tangible Book Value",[1]ARS!$4:$4,0),FALSE),"-")&lt;0,IFERROR(VLOOKUP(A77,[1]ARS!A:EL,MATCH("Price To Tangible Book Value",[1]ARS!$4:$4,0),FALSE),"-")&gt;100),"-",IFERROR(VLOOKUP(A77,[1]ARS!A:EL,MATCH("Price To Tangible Book Value",[1]ARS!$4:$4,0),FALSE),"-"))</f>
        <v>3.890112134634395</v>
      </c>
      <c r="BH77" s="324"/>
      <c r="BI77" s="324"/>
      <c r="BJ77" s="324">
        <f>IF(OR(IFERROR(VLOOKUP(A77,[1]ARS!A:EL,MATCH("P/E (Daily Time Series Ratio)",[1]ARS!$4:$4,0),FALSE),"-")&lt;0,IFERROR(VLOOKUP(A77,[1]ARS!A:EL,MATCH("P/E (Daily Time Series Ratio)",[1]ARS!$4:$4,0),FALSE),"-")&gt;500),"-",IFERROR(VLOOKUP(A77,[1]ARS!A:EL,MATCH("P/E (Daily Time Series Ratio)",[1]ARS!$4:$4,0),FALSE),"-"))</f>
        <v>58.194044809414486</v>
      </c>
      <c r="BK77" s="324"/>
      <c r="BL77" s="324"/>
      <c r="BM77" s="324">
        <f>IF(OR(IFERROR(VLOOKUP(A77,[1]ARS!A:EC,MATCH("Price To Sales",[1]ARS!$4:$4,0),FALSE),"-")&lt;0,IFERROR(VLOOKUP(A77,[1]ARS!A:EC,MATCH("Price To Sales",[1]ARS!$4:$4,0),FALSE),"-")&gt;100),"-",IFERROR(VLOOKUP(A77,[1]ARS!A:EC,MATCH("Price To Sales",[1]ARS!$4:$4,0),FALSE),"-"))</f>
        <v>0.67758888428190356</v>
      </c>
      <c r="BN77" s="324"/>
      <c r="BO77" s="324"/>
      <c r="BP77" s="324">
        <f>+IFERROR(IF(VLOOKUP(A77,[1]ARS!A:EO,MATCH("Price to Free Cash Flow",[1]ARS!$4:$4,0),FALSE)="NULL","-",VLOOKUP(A77,[1]ARS!A:EO,MATCH("Price to Free Cash Flow",[1]ARS!$4:$4,0),FALSE)),"-")</f>
        <v>63.905405011299997</v>
      </c>
      <c r="BQ77" s="324"/>
      <c r="BR77" s="325"/>
      <c r="BS77" s="57">
        <f>IF(VLOOKUP(A77,[1]ARS!A:EE,MATCH("Daily Beta - 180 Day",[1]ARS!$4:$4,0),FALSE)="NULL","-",VLOOKUP(A77,[1]ARS!A:EE,MATCH("Daily Beta - 180 Day",[1]ARS!$4:$4,0),FALSE))</f>
        <v>0.56844288581909796</v>
      </c>
      <c r="BT77" s="53">
        <f>+VLOOKUP(A77,[1]ARS!$A:$EH,MATCH("Volatilidad histórica",[1]ARS!$4:$4,0),FALSE)</f>
        <v>0.52140168583646218</v>
      </c>
      <c r="BU77" s="56">
        <f>+VLOOKUP(A77,[1]ARS!$A$5:$EM$85,MATCH("Rto Medio",[1]ARS!$4:$4,0),FALSE)</f>
        <v>-5.6103377091954676E-2</v>
      </c>
      <c r="BV77" s="58">
        <f>+IF(VLOOKUP(Template!A77,[1]ARS!A:AA,MATCH("Period End Date",[1]ARS!$3:$3,0),FALSE)="","-",VLOOKUP(Template!A77,[1]ARS!A:AA,MATCH("Period End Date",[1]ARS!$3:$3,0),FALSE))</f>
        <v>43008</v>
      </c>
      <c r="BW77" s="59" t="str">
        <f t="shared" ref="BW77:BW84" si="21">+BY77</f>
        <v>INDU</v>
      </c>
      <c r="BX77" s="93"/>
      <c r="BY77" s="107" t="s">
        <v>107</v>
      </c>
      <c r="BZ77" s="48">
        <v>0.27539883892858114</v>
      </c>
      <c r="CA77" s="48">
        <v>1.7888380559935173</v>
      </c>
      <c r="CB77" s="48" t="s">
        <v>49</v>
      </c>
      <c r="CD77" s="119" t="s">
        <v>107</v>
      </c>
      <c r="CE77" s="129">
        <v>0.27539883892858114</v>
      </c>
      <c r="CF77" s="119">
        <v>1.7888380559935173</v>
      </c>
      <c r="CG77" s="119" t="s">
        <v>49</v>
      </c>
      <c r="CN77" s="116"/>
    </row>
    <row r="78" spans="1:92" s="120" customFormat="1" ht="11.25" customHeight="1" x14ac:dyDescent="0.2">
      <c r="A78" s="288" t="str">
        <f t="shared" si="20"/>
        <v>CELU</v>
      </c>
      <c r="B78" s="288"/>
      <c r="C78" s="289">
        <f>+VLOOKUP(A78,[1]ARS!A:EL,MATCH("Last",[1]ARS!$4:$4,0),FALSE)</f>
        <v>16</v>
      </c>
      <c r="D78" s="289"/>
      <c r="E78" s="73">
        <f>+VLOOKUP(A78,'[1]Market Cap'!I:J,2,FALSE)</f>
        <v>0.01</v>
      </c>
      <c r="F78" s="290">
        <f>IFERROR(IF(VLOOKUP(A78,[1]ARS!A:EL,MATCH("Total Debt To Total Equity, Percent FQ0",[1]ARS!$4:$4,0),FALSE)="NULL",IF(VLOOKUP(A78,[1]ARS!A:EL,MATCH("Total Debt To Total Equity, Percent FQ-1",[1]ARS!$4:$4,0),FALSE)="NULL","-",VLOOKUP(A78,[1]ARS!A:EL,MATCH("Total Debt To Total Equity, Percent FQ-1",[1]ARS!$4:$4,0))),VLOOKUP(A78,[1]ARS!A:EL,MATCH("Total Debt To Total Equity, Percent FQ0",[1]ARS!$4:$4,0),FALSE))/100,"-")</f>
        <v>2.2563948478040001</v>
      </c>
      <c r="G78" s="291"/>
      <c r="H78" s="292"/>
      <c r="I78" s="281">
        <f>IFERROR(VLOOKUP(A78,[1]ARS!A:EC,MATCH("Financial Leverage",[1]ARS!$4:$4,0),FALSE),"-")</f>
        <v>4.9265612015635103</v>
      </c>
      <c r="J78" s="281"/>
      <c r="K78" s="281"/>
      <c r="L78" s="282">
        <f>+IFERROR(IF(VLOOKUP(A78,[1]ARS!A:EL,MATCH("Curr Ratio FQ0",[1]ARS!$4:$4,0),FALSE)="NULL",IF(VLOOKUP(A78,[1]ARS!A:EL,MATCH("Curr Ratio FQ-1",[1]ARS!$4:$4,0),FALSE)="NULL","-",VLOOKUP(A78,[1]ARS!A:EL,MATCH("Curr Ratio FQ-1",[1]ARS!$4:$4,0),FALSE)),VLOOKUP(A78,[1]ARS!A:EL,MATCH("Curr Ratio FQ0",[1]ARS!$4:$4,0),FALSE)),"-")</f>
        <v>0.74734999999999996</v>
      </c>
      <c r="M78" s="293"/>
      <c r="N78" s="294"/>
      <c r="O78" s="282">
        <f>+IFERROR(IF(VLOOKUP(A78,[1]ARS!A:EL,MATCH("Quick Ratio FQ0",[1]ARS!$4:$4,0),FALSE)="NULL",IF(VLOOKUP(A78,[1]ARS!A:EL,MATCH("Quick Ratio FQ-1",[1]ARS!$4:$4,0),FALSE)="NULL","-",VLOOKUP(A78,[1]ARS!A:EL,MATCH("Quick Ratio FQ-1",[1]ARS!$4:$4,0),FALSE)),VLOOKUP(A78,[1]ARS!A:EL,MATCH("Quick Ratio FQ0",[1]ARS!$4:$4,0),FALSE)),"-")</f>
        <v>0.46849000000000002</v>
      </c>
      <c r="P78" s="293"/>
      <c r="Q78" s="294"/>
      <c r="R78" s="295" t="str">
        <f>+IFERROR(IF(VLOOKUP(A78,[1]ARS!$A:$EL,MATCH("Dividend yield",[1]ARS!$4:$4,0),FALSE)="NULL","-",VLOOKUP(A78,[1]ARS!$A:$EL,MATCH("Dividend Yield",[1]ARS!$4:$4,0),FALSE)/100),"-")</f>
        <v>-</v>
      </c>
      <c r="S78" s="296"/>
      <c r="T78" s="297"/>
      <c r="U78" s="281">
        <f>IF(IFERROR(VLOOKUP(A78,[1]ARS!A:EL,MATCH("Asset Turnover",[1]ARS!$4:$4,0),FALSE),"-")=0,"-",IFERROR(VLOOKUP(A78,[1]ARS!A:EL,MATCH("Asset Turnover",[1]ARS!$4:$4,0),FALSE),"-"))</f>
        <v>0.88589430810522096</v>
      </c>
      <c r="V78" s="281"/>
      <c r="W78" s="281"/>
      <c r="X78" s="284">
        <f>IFERROR(VLOOKUP(A78,[1]ARS!A:EL,MATCH("CCC",[1]ARS!$4:$4,0),FALSE),"-")</f>
        <v>123.75413418525129</v>
      </c>
      <c r="Y78" s="284"/>
      <c r="Z78" s="284"/>
      <c r="AA78" s="283">
        <f>IF(IFERROR(VLOOKUP(A78,[1]ARS!A:EL,MATCH("Gross Margin, Percent",[1]ARS!$4:$4,0),FALSE)/100,"-")&lt;0,"-",IFERROR(VLOOKUP(A78,[1]ARS!A:EL,MATCH("Gross Margin, Percent",[1]ARS!$4:$4,0),FALSE)/100,"-"))</f>
        <v>9.8205899999999999E-2</v>
      </c>
      <c r="AB78" s="283"/>
      <c r="AC78" s="283"/>
      <c r="AD78" s="283" t="str">
        <f>IF(IFERROR(VLOOKUP(A78,[1]ARS!A:EL,MATCH("Operating Margin, Percent",[1]ARS!$4:$4,0),FALSE)/100,"-")&lt;0,"-",IFERROR(VLOOKUP(A78,[1]ARS!A:EL,MATCH("Operating Margin, Percent",[1]ARS!$4:$4,0),FALSE)/100,"-"))</f>
        <v>-</v>
      </c>
      <c r="AE78" s="283"/>
      <c r="AF78" s="283"/>
      <c r="AG78" s="283" t="str">
        <f>IF(IFERROR(VLOOKUP(A78,[1]ARS!A:EL,MATCH("Net Profit Margin",[1]ARS!$4:$4,0),FALSE),"-")&lt;0,"-",IFERROR(VLOOKUP(A78,[1]ARS!A:EL,MATCH("Net Profit Margin",[1]ARS!$4:$4,0),FALSE),"-"))</f>
        <v>-</v>
      </c>
      <c r="AH78" s="283"/>
      <c r="AI78" s="283"/>
      <c r="AJ78" s="283">
        <f>IFERROR(VLOOKUP(A78,[1]ARS!A:EL,MATCH("FCF/Revenue",[1]ARS!$4:$4,0),FALSE),"-")</f>
        <v>-2.7880013225243166E-2</v>
      </c>
      <c r="AK78" s="283"/>
      <c r="AL78" s="283"/>
      <c r="AM78" s="283">
        <f>IFERROR(IF(VLOOKUP(A78,[1]ARS!A:EL,MATCH("ROE",[1]ARS!$4:$4,0),FALSE)&lt;-5,"-",VLOOKUP(A78,[1]ARS!A:EL,MATCH("ROE",[1]ARS!$4:$4,0),FALSE)),"-")</f>
        <v>-0.84700755082307355</v>
      </c>
      <c r="AN78" s="283"/>
      <c r="AO78" s="283"/>
      <c r="AP78" s="283">
        <f>IFERROR(VLOOKUP(A78,[1]ARS!A:EL,MATCH("ROA",[1]ARS!$4:$4,0),FALSE),"-")</f>
        <v>-0.17556630779920174</v>
      </c>
      <c r="AQ78" s="283"/>
      <c r="AR78" s="283"/>
      <c r="AS78" s="40">
        <f>+VLOOKUP(A78,[1]ARS!$A$5:$EL$85,MATCH("Last Q y/y",[1]ARS!$4:$4,0),FALSE)</f>
        <v>0.7090129714346195</v>
      </c>
      <c r="AT78" s="40">
        <f>+VLOOKUP(A78,[1]ARS!$A$5:$EL$99,MATCH("Last 5 yrs - Annual",[1]ARS!$4:$4,0),FALSE)</f>
        <v>-3.4979689407344141</v>
      </c>
      <c r="AU78" s="41">
        <f>+VLOOKUP(A78,[1]ARS!$A$5:$EL$84,MATCH("Desvio",[1]ARS!$4:$4,0),FALSE)</f>
        <v>4.8375015280321598</v>
      </c>
      <c r="AV78" s="42">
        <f>+IFERROR(VLOOKUP(A78,'[1]Prom. Vtas Ult 5 años'!$A$3:$D$81,3,FALSE),"-")</f>
        <v>-33.133052631578948</v>
      </c>
      <c r="AW78" s="40">
        <f>+IFERROR(VLOOKUP(A78,'[1]Prom. Vtas Ult 5 años'!$A$3:$D$81,4,FALSE),"-")</f>
        <v>64.868410967840347</v>
      </c>
      <c r="AX78" s="281">
        <f>IFERROR((VLOOKUP(A78,[1]ARS!A:EL,MATCH("Enterprise Value (Daily Time Series)",[1]ARS!$4:$4,0),FALSE)/1000000000),"-")</f>
        <v>4.4721013559999996</v>
      </c>
      <c r="AY78" s="281"/>
      <c r="AZ78" s="281"/>
      <c r="BA78" s="281">
        <f>IFERROR((VLOOKUP(A78,[1]ARS!A:EL,MATCH("Company Market Cap",[1]ARS!$4:$4,0),FALSE)/1000000000),"-")</f>
        <v>1.6150689760100001</v>
      </c>
      <c r="BB78" s="281"/>
      <c r="BC78" s="281"/>
      <c r="BD78" s="281">
        <f>IF(VLOOKUP(A78,[1]ARS!A:EL,MATCH("Enterprise Value To EBITDA (Daily Time Series Ratio)",[1]ARS!$4:$4,0),FALSE)="NULL","-",VLOOKUP(A78,[1]ARS!A:EL,MATCH("Enterprise Value To EBITDA (Daily Time Series Ratio)",[1]ARS!$4:$4,0),FALSE))</f>
        <v>12.3587531980865</v>
      </c>
      <c r="BE78" s="281"/>
      <c r="BF78" s="281"/>
      <c r="BG78" s="281">
        <f>IF(OR(IFERROR(VLOOKUP(A78,[1]ARS!A:EL,MATCH("Price To Tangible Book Value",[1]ARS!$4:$4,0),FALSE),"-")&lt;0,IFERROR(VLOOKUP(A78,[1]ARS!A:EL,MATCH("Price To Tangible Book Value",[1]ARS!$4:$4,0),FALSE),"-")&gt;100),"-",IFERROR(VLOOKUP(A78,[1]ARS!A:EL,MATCH("Price To Tangible Book Value",[1]ARS!$4:$4,0),FALSE),"-"))</f>
        <v>1.2491493973092227</v>
      </c>
      <c r="BH78" s="281"/>
      <c r="BI78" s="281"/>
      <c r="BJ78" s="281" t="str">
        <f>IF(OR(IFERROR(VLOOKUP(A78,[1]ARS!A:EL,MATCH("P/E (Daily Time Series Ratio)",[1]ARS!$4:$4,0),FALSE),"-")&lt;0,IFERROR(VLOOKUP(A78,[1]ARS!A:EL,MATCH("P/E (Daily Time Series Ratio)",[1]ARS!$4:$4,0),FALSE),"-")&gt;500),"-",IFERROR(VLOOKUP(A78,[1]ARS!A:EL,MATCH("P/E (Daily Time Series Ratio)",[1]ARS!$4:$4,0),FALSE),"-"))</f>
        <v>-</v>
      </c>
      <c r="BK78" s="281"/>
      <c r="BL78" s="281"/>
      <c r="BM78" s="281">
        <f>IF(OR(IFERROR(VLOOKUP(A78,[1]ARS!A:EC,MATCH("Price To Sales",[1]ARS!$4:$4,0),FALSE),"-")&lt;0,IFERROR(VLOOKUP(A78,[1]ARS!A:EC,MATCH("Price To Sales",[1]ARS!$4:$4,0),FALSE),"-")&gt;100),"-",IFERROR(VLOOKUP(A78,[1]ARS!A:EC,MATCH("Price To Sales",[1]ARS!$4:$4,0),FALSE),"-"))</f>
        <v>0.37005682501367321</v>
      </c>
      <c r="BN78" s="281"/>
      <c r="BO78" s="281"/>
      <c r="BP78" s="281" t="str">
        <f>+IFERROR(IF(VLOOKUP(A78,[1]ARS!A:EO,MATCH("Price to Free Cash Flow",[1]ARS!$4:$4,0),FALSE)="NULL","-",VLOOKUP(A78,[1]ARS!A:EO,MATCH("Price to Free Cash Flow",[1]ARS!$4:$4,0),FALSE)),"-")</f>
        <v>-</v>
      </c>
      <c r="BQ78" s="281"/>
      <c r="BR78" s="282"/>
      <c r="BS78" s="43">
        <f>IF(VLOOKUP(A78,[1]ARS!A:EE,MATCH("Daily Beta - 180 Day",[1]ARS!$4:$4,0),FALSE)="NULL","-",VLOOKUP(A78,[1]ARS!A:EE,MATCH("Daily Beta - 180 Day",[1]ARS!$4:$4,0),FALSE))</f>
        <v>0.98037293704627204</v>
      </c>
      <c r="BT78" s="40">
        <f>+VLOOKUP(A78,[1]ARS!$A:$EH,MATCH("Volatilidad histórica",[1]ARS!$4:$4,0),FALSE)</f>
        <v>0.46569780873355954</v>
      </c>
      <c r="BU78" s="44">
        <f>+VLOOKUP(A78,[1]ARS!$A$5:$EM$85,MATCH("Rto Medio",[1]ARS!$4:$4,0),FALSE)</f>
        <v>-6.1291560563338066E-2</v>
      </c>
      <c r="BV78" s="45">
        <f>+IF(VLOOKUP(Template!A78,[1]ARS!A:AA,MATCH("Period End Date",[1]ARS!$3:$3,0),FALSE)="","-",VLOOKUP(Template!A78,[1]ARS!A:AA,MATCH("Period End Date",[1]ARS!$3:$3,0),FALSE))</f>
        <v>43069</v>
      </c>
      <c r="BW78" s="46" t="str">
        <f t="shared" si="21"/>
        <v>CELU</v>
      </c>
      <c r="BX78" s="4"/>
      <c r="BY78" s="119" t="s">
        <v>108</v>
      </c>
      <c r="BZ78" s="48">
        <v>0.28509900415826073</v>
      </c>
      <c r="CA78" s="48">
        <v>0.83357862231397795</v>
      </c>
      <c r="CB78" s="48" t="s">
        <v>49</v>
      </c>
      <c r="CD78" s="107" t="s">
        <v>108</v>
      </c>
      <c r="CE78" s="107">
        <v>0.28509900415826073</v>
      </c>
      <c r="CF78" s="107">
        <v>0.83357862231397795</v>
      </c>
      <c r="CG78" s="107" t="s">
        <v>49</v>
      </c>
      <c r="CN78" s="121"/>
    </row>
    <row r="79" spans="1:92" s="120" customFormat="1" ht="11.25" customHeight="1" x14ac:dyDescent="0.2">
      <c r="A79" s="330" t="str">
        <f t="shared" si="20"/>
        <v>COLO</v>
      </c>
      <c r="B79" s="330"/>
      <c r="C79" s="331">
        <f>+VLOOKUP(A79,[1]ARS!A:EL,MATCH("Last",[1]ARS!$4:$4,0),FALSE)</f>
        <v>14</v>
      </c>
      <c r="D79" s="331"/>
      <c r="E79" s="74">
        <f>+VLOOKUP(A79,'[1]Market Cap'!I:J,2,FALSE)</f>
        <v>0</v>
      </c>
      <c r="F79" s="371">
        <f>IFERROR(IF(VLOOKUP(A79,[1]ARS!A:EL,MATCH("Total Debt To Total Equity, Percent FQ0",[1]ARS!$4:$4,0),FALSE)="NULL",IF(VLOOKUP(A79,[1]ARS!A:EL,MATCH("Total Debt To Total Equity, Percent FQ-1",[1]ARS!$4:$4,0),FALSE)="NULL","-",VLOOKUP(A79,[1]ARS!A:EL,MATCH("Total Debt To Total Equity, Percent FQ-1",[1]ARS!$4:$4,0))),VLOOKUP(A79,[1]ARS!A:EL,MATCH("Total Debt To Total Equity, Percent FQ0",[1]ARS!$4:$4,0),FALSE))/100,"-")</f>
        <v>5.2297966283100008</v>
      </c>
      <c r="G79" s="372"/>
      <c r="H79" s="373"/>
      <c r="I79" s="324">
        <f>IFERROR(VLOOKUP(A79,[1]ARS!A:EC,MATCH("Financial Leverage",[1]ARS!$4:$4,0),FALSE),"-")</f>
        <v>23.396708589777898</v>
      </c>
      <c r="J79" s="324"/>
      <c r="K79" s="324"/>
      <c r="L79" s="325">
        <f>+IFERROR(IF(VLOOKUP(A79,[1]ARS!A:EL,MATCH("Curr Ratio FQ0",[1]ARS!$4:$4,0),FALSE)="NULL",IF(VLOOKUP(A79,[1]ARS!A:EL,MATCH("Curr Ratio FQ-1",[1]ARS!$4:$4,0),FALSE)="NULL","-",VLOOKUP(A79,[1]ARS!A:EL,MATCH("Curr Ratio FQ-1",[1]ARS!$4:$4,0),FALSE)),VLOOKUP(A79,[1]ARS!A:EL,MATCH("Curr Ratio FQ0",[1]ARS!$4:$4,0),FALSE)),"-")</f>
        <v>0.98006000000000004</v>
      </c>
      <c r="M79" s="333"/>
      <c r="N79" s="334"/>
      <c r="O79" s="325">
        <f>+IFERROR(IF(VLOOKUP(A79,[1]ARS!A:EL,MATCH("Quick Ratio FQ0",[1]ARS!$4:$4,0),FALSE)="NULL",IF(VLOOKUP(A79,[1]ARS!A:EL,MATCH("Quick Ratio FQ-1",[1]ARS!$4:$4,0),FALSE)="NULL","-",VLOOKUP(A79,[1]ARS!A:EL,MATCH("Quick Ratio FQ-1",[1]ARS!$4:$4,0),FALSE)),VLOOKUP(A79,[1]ARS!A:EL,MATCH("Quick Ratio FQ0",[1]ARS!$4:$4,0),FALSE)),"-")</f>
        <v>0.69096999999999997</v>
      </c>
      <c r="P79" s="333"/>
      <c r="Q79" s="334"/>
      <c r="R79" s="335" t="str">
        <f>+IFERROR(IF(VLOOKUP(A79,[1]ARS!$A:$EL,MATCH("Dividend yield",[1]ARS!$4:$4,0),FALSE)="NULL","-",VLOOKUP(A79,[1]ARS!$A:$EL,MATCH("Dividend Yield",[1]ARS!$4:$4,0),FALSE)/100),"-")</f>
        <v>-</v>
      </c>
      <c r="S79" s="336"/>
      <c r="T79" s="337"/>
      <c r="U79" s="324">
        <f>IF(IFERROR(VLOOKUP(A79,[1]ARS!A:EL,MATCH("Asset Turnover",[1]ARS!$4:$4,0),FALSE),"-")=0,"-",IFERROR(VLOOKUP(A79,[1]ARS!A:EL,MATCH("Asset Turnover",[1]ARS!$4:$4,0),FALSE),"-"))</f>
        <v>2.1619570831521937</v>
      </c>
      <c r="V79" s="324"/>
      <c r="W79" s="324"/>
      <c r="X79" s="328">
        <f>IFERROR(VLOOKUP(A79,[1]ARS!A:EL,MATCH("CCC",[1]ARS!$4:$4,0),FALSE),"-")</f>
        <v>202.86930351552962</v>
      </c>
      <c r="Y79" s="328"/>
      <c r="Z79" s="328"/>
      <c r="AA79" s="327">
        <f>IF(IFERROR(VLOOKUP(A79,[1]ARS!A:EL,MATCH("Gross Margin, Percent",[1]ARS!$4:$4,0),FALSE)/100,"-")&lt;0,"-",IFERROR(VLOOKUP(A79,[1]ARS!A:EL,MATCH("Gross Margin, Percent",[1]ARS!$4:$4,0),FALSE)/100,"-"))</f>
        <v>0.36068749999999999</v>
      </c>
      <c r="AB79" s="327"/>
      <c r="AC79" s="327"/>
      <c r="AD79" s="327" t="str">
        <f>IF(IFERROR(VLOOKUP(A79,[1]ARS!A:EL,MATCH("Operating Margin, Percent",[1]ARS!$4:$4,0),FALSE)/100,"-")&lt;0,"-",IFERROR(VLOOKUP(A79,[1]ARS!A:EL,MATCH("Operating Margin, Percent",[1]ARS!$4:$4,0),FALSE)/100,"-"))</f>
        <v>-</v>
      </c>
      <c r="AE79" s="327"/>
      <c r="AF79" s="327"/>
      <c r="AG79" s="327" t="str">
        <f>IF(IFERROR(VLOOKUP(A79,[1]ARS!A:EL,MATCH("Net Profit Margin",[1]ARS!$4:$4,0),FALSE),"-")&lt;0,"-",IFERROR(VLOOKUP(A79,[1]ARS!A:EL,MATCH("Net Profit Margin",[1]ARS!$4:$4,0),FALSE),"-"))</f>
        <v>-</v>
      </c>
      <c r="AH79" s="327"/>
      <c r="AI79" s="327"/>
      <c r="AJ79" s="327">
        <f>IFERROR(VLOOKUP(A79,[1]ARS!A:EL,MATCH("FCF/Revenue",[1]ARS!$4:$4,0),FALSE),"-")</f>
        <v>-1.5829667236473086E-2</v>
      </c>
      <c r="AK79" s="327"/>
      <c r="AL79" s="327"/>
      <c r="AM79" s="329">
        <f>IFERROR(IF(VLOOKUP(A79,[1]ARS!A:EL,MATCH("ROE",[1]ARS!$4:$4,0),FALSE)&lt;-5,"-",VLOOKUP(A79,[1]ARS!A:EL,MATCH("ROE",[1]ARS!$4:$4,0),FALSE)),"-")</f>
        <v>0</v>
      </c>
      <c r="AN79" s="329"/>
      <c r="AO79" s="329"/>
      <c r="AP79" s="327">
        <f>IFERROR(VLOOKUP(A79,[1]ARS!A:EL,MATCH("ROA",[1]ARS!$4:$4,0),FALSE),"-")</f>
        <v>-0.31063142465840593</v>
      </c>
      <c r="AQ79" s="327"/>
      <c r="AR79" s="327"/>
      <c r="AS79" s="53">
        <f>+VLOOKUP(A79,[1]ARS!$A$5:$EL$85,MATCH("Last Q y/y",[1]ARS!$4:$4,0),FALSE)</f>
        <v>-2.3889508562430288</v>
      </c>
      <c r="AT79" s="53">
        <f>+VLOOKUP(A79,[1]ARS!$A$5:$EL$99,MATCH("Last 5 yrs - Annual",[1]ARS!$4:$4,0),FALSE)</f>
        <v>-5.5773088615106303</v>
      </c>
      <c r="AU79" s="54">
        <f>+VLOOKUP(A79,[1]ARS!$A$5:$EL$84,MATCH("Desvio",[1]ARS!$4:$4,0),FALSE)</f>
        <v>14.057259997171487</v>
      </c>
      <c r="AV79" s="55">
        <f>+IFERROR(VLOOKUP(A79,'[1]Prom. Vtas Ult 5 años'!$A$3:$D$81,3,FALSE),"-")</f>
        <v>-3.2512105263157891</v>
      </c>
      <c r="AW79" s="56">
        <f>+IFERROR(VLOOKUP(A79,'[1]Prom. Vtas Ult 5 años'!$A$3:$D$81,4,FALSE),"-")</f>
        <v>128.87140775821891</v>
      </c>
      <c r="AX79" s="324">
        <f>IFERROR((VLOOKUP(A79,[1]ARS!A:EL,MATCH("Enterprise Value (Daily Time Series)",[1]ARS!$4:$4,0),FALSE)/1000000000),"-")</f>
        <v>0.26870236400000003</v>
      </c>
      <c r="AY79" s="324"/>
      <c r="AZ79" s="324"/>
      <c r="BA79" s="324">
        <f>IFERROR((VLOOKUP(A79,[1]ARS!A:EL,MATCH("Company Market Cap",[1]ARS!$4:$4,0),FALSE)/1000000000),"-")</f>
        <v>0.49938242999999999</v>
      </c>
      <c r="BB79" s="324"/>
      <c r="BC79" s="324"/>
      <c r="BD79" s="324" t="str">
        <f>IF(VLOOKUP(A79,[1]ARS!A:EL,MATCH("Enterprise Value To EBITDA (Daily Time Series Ratio)",[1]ARS!$4:$4,0),FALSE)="NULL","-",VLOOKUP(A79,[1]ARS!A:EL,MATCH("Enterprise Value To EBITDA (Daily Time Series Ratio)",[1]ARS!$4:$4,0),FALSE))</f>
        <v>-</v>
      </c>
      <c r="BE79" s="324"/>
      <c r="BF79" s="324"/>
      <c r="BG79" s="324">
        <f>IF(OR(IFERROR(VLOOKUP(A79,[1]ARS!A:EL,MATCH("Price To Tangible Book Value",[1]ARS!$4:$4,0),FALSE),"-")&lt;0,IFERROR(VLOOKUP(A79,[1]ARS!A:EL,MATCH("Price To Tangible Book Value",[1]ARS!$4:$4,0),FALSE),"-")&gt;100),"-",IFERROR(VLOOKUP(A79,[1]ARS!A:EL,MATCH("Price To Tangible Book Value",[1]ARS!$4:$4,0),FALSE),"-"))</f>
        <v>37.944109870070662</v>
      </c>
      <c r="BH79" s="324"/>
      <c r="BI79" s="324"/>
      <c r="BJ79" s="324" t="str">
        <f>IF(OR(IFERROR(VLOOKUP(A79,[1]ARS!A:EL,MATCH("P/E (Daily Time Series Ratio)",[1]ARS!$4:$4,0),FALSE),"-")&lt;0,IFERROR(VLOOKUP(A79,[1]ARS!A:EL,MATCH("P/E (Daily Time Series Ratio)",[1]ARS!$4:$4,0),FALSE),"-")&gt;500),"-",IFERROR(VLOOKUP(A79,[1]ARS!A:EL,MATCH("P/E (Daily Time Series Ratio)",[1]ARS!$4:$4,0),FALSE),"-"))</f>
        <v>-</v>
      </c>
      <c r="BK79" s="324"/>
      <c r="BL79" s="324"/>
      <c r="BM79" s="324">
        <f>IF(OR(IFERROR(VLOOKUP(A79,[1]ARS!A:EC,MATCH("Price To Sales",[1]ARS!$4:$4,0),FALSE),"-")&lt;0,IFERROR(VLOOKUP(A79,[1]ARS!A:EC,MATCH("Price To Sales",[1]ARS!$4:$4,0),FALSE),"-")&gt;100),"-",IFERROR(VLOOKUP(A79,[1]ARS!A:EC,MATCH("Price To Sales",[1]ARS!$4:$4,0),FALSE),"-"))</f>
        <v>0.85450845212856064</v>
      </c>
      <c r="BN79" s="324"/>
      <c r="BO79" s="324"/>
      <c r="BP79" s="324" t="str">
        <f>+IFERROR(IF(VLOOKUP(A79,[1]ARS!A:EO,MATCH("Price to Free Cash Flow",[1]ARS!$4:$4,0),FALSE)="NULL","-",VLOOKUP(A79,[1]ARS!A:EO,MATCH("Price to Free Cash Flow",[1]ARS!$4:$4,0),FALSE)),"-")</f>
        <v>-</v>
      </c>
      <c r="BQ79" s="324"/>
      <c r="BR79" s="325"/>
      <c r="BS79" s="57">
        <f>IF(VLOOKUP(A79,[1]ARS!A:EE,MATCH("Daily Beta - 180 Day",[1]ARS!$4:$4,0),FALSE)="NULL","-",VLOOKUP(A79,[1]ARS!A:EE,MATCH("Daily Beta - 180 Day",[1]ARS!$4:$4,0),FALSE))</f>
        <v>0.48588778086494699</v>
      </c>
      <c r="BT79" s="53">
        <f>+VLOOKUP(A79,[1]ARS!$A:$EH,MATCH("Volatilidad histórica",[1]ARS!$4:$4,0),FALSE)</f>
        <v>1.4521595203227466</v>
      </c>
      <c r="BU79" s="56">
        <f>+VLOOKUP(A79,[1]ARS!$A$5:$EM$85,MATCH("Rto Medio",[1]ARS!$4:$4,0),FALSE)</f>
        <v>9.1083231184481361E-2</v>
      </c>
      <c r="BV79" s="58">
        <f>+IF(VLOOKUP(Template!A79,[1]ARS!A:AA,MATCH("Period End Date",[1]ARS!$3:$3,0),FALSE)="","-",VLOOKUP(Template!A79,[1]ARS!A:AA,MATCH("Period End Date",[1]ARS!$3:$3,0),FALSE))</f>
        <v>43008</v>
      </c>
      <c r="BW79" s="59" t="str">
        <f t="shared" si="21"/>
        <v>COLO</v>
      </c>
      <c r="BX79" s="4"/>
      <c r="BY79" s="119" t="s">
        <v>109</v>
      </c>
      <c r="BZ79" s="48">
        <v>0.49678168980981763</v>
      </c>
      <c r="CA79" s="48">
        <v>4.4201157968926683</v>
      </c>
      <c r="CB79" s="48" t="s">
        <v>49</v>
      </c>
      <c r="CD79" s="107" t="s">
        <v>109</v>
      </c>
      <c r="CE79" s="136">
        <v>0.49678168980981763</v>
      </c>
      <c r="CF79" s="107">
        <v>4.4201157968926683</v>
      </c>
      <c r="CG79" s="107" t="s">
        <v>49</v>
      </c>
      <c r="CN79" s="121"/>
    </row>
    <row r="80" spans="1:92" s="120" customFormat="1" ht="11.25" customHeight="1" x14ac:dyDescent="0.2">
      <c r="A80" s="288" t="str">
        <f t="shared" si="20"/>
        <v>FIPL</v>
      </c>
      <c r="B80" s="288"/>
      <c r="C80" s="289">
        <f>+VLOOKUP(A80,[1]ARS!A:EL,MATCH("Last",[1]ARS!$4:$4,0),FALSE)</f>
        <v>8.1</v>
      </c>
      <c r="D80" s="289"/>
      <c r="E80" s="117">
        <f>+VLOOKUP(A80,'[1]Market Cap'!I:J,2,FALSE)</f>
        <v>1</v>
      </c>
      <c r="F80" s="290">
        <f>IFERROR(IF(VLOOKUP(A80,[1]ARS!A:EL,MATCH("Total Debt To Total Equity, Percent FQ0",[1]ARS!$4:$4,0),FALSE)="NULL",IF(VLOOKUP(A80,[1]ARS!A:EL,MATCH("Total Debt To Total Equity, Percent FQ-1",[1]ARS!$4:$4,0),FALSE)="NULL","-",VLOOKUP(A80,[1]ARS!A:EL,MATCH("Total Debt To Total Equity, Percent FQ-1",[1]ARS!$4:$4,0))),VLOOKUP(A80,[1]ARS!A:EL,MATCH("Total Debt To Total Equity, Percent FQ0",[1]ARS!$4:$4,0),FALSE))/100,"-")</f>
        <v>1.4303466924400001</v>
      </c>
      <c r="G80" s="291"/>
      <c r="H80" s="292"/>
      <c r="I80" s="281">
        <f>IFERROR(VLOOKUP(A80,[1]ARS!A:EC,MATCH("Financial Leverage",[1]ARS!$4:$4,0),FALSE),"-")</f>
        <v>3.544089878252946</v>
      </c>
      <c r="J80" s="281"/>
      <c r="K80" s="281"/>
      <c r="L80" s="282">
        <f>+IFERROR(IF(VLOOKUP(A80,[1]ARS!A:EL,MATCH("Curr Ratio FQ0",[1]ARS!$4:$4,0),FALSE)="NULL",IF(VLOOKUP(A80,[1]ARS!A:EL,MATCH("Curr Ratio FQ-1",[1]ARS!$4:$4,0),FALSE)="NULL","-",VLOOKUP(A80,[1]ARS!A:EL,MATCH("Curr Ratio FQ-1",[1]ARS!$4:$4,0),FALSE)),VLOOKUP(A80,[1]ARS!A:EL,MATCH("Curr Ratio FQ0",[1]ARS!$4:$4,0),FALSE)),"-")</f>
        <v>1.1577500000000001</v>
      </c>
      <c r="M80" s="293"/>
      <c r="N80" s="294"/>
      <c r="O80" s="282">
        <f>+IFERROR(IF(VLOOKUP(A80,[1]ARS!A:EL,MATCH("Quick Ratio FQ0",[1]ARS!$4:$4,0),FALSE)="NULL",IF(VLOOKUP(A80,[1]ARS!A:EL,MATCH("Quick Ratio FQ-1",[1]ARS!$4:$4,0),FALSE)="NULL","-",VLOOKUP(A80,[1]ARS!A:EL,MATCH("Quick Ratio FQ-1",[1]ARS!$4:$4,0),FALSE)),VLOOKUP(A80,[1]ARS!A:EL,MATCH("Quick Ratio FQ0",[1]ARS!$4:$4,0),FALSE)),"-")</f>
        <v>0.90225</v>
      </c>
      <c r="P80" s="293"/>
      <c r="Q80" s="294"/>
      <c r="R80" s="295">
        <f>+IFERROR(IF(VLOOKUP(A80,[1]ARS!$A:$EL,MATCH("Dividend yield",[1]ARS!$4:$4,0),FALSE)="NULL","-",VLOOKUP(A80,[1]ARS!$A:$EL,MATCH("Dividend Yield",[1]ARS!$4:$4,0),FALSE)/100),"-")</f>
        <v>3.55629364197531E-3</v>
      </c>
      <c r="S80" s="296"/>
      <c r="T80" s="297"/>
      <c r="U80" s="281">
        <f>IF(IFERROR(VLOOKUP(A80,[1]ARS!A:EL,MATCH("Asset Turnover",[1]ARS!$4:$4,0),FALSE),"-")=0,"-",IFERROR(VLOOKUP(A80,[1]ARS!A:EL,MATCH("Asset Turnover",[1]ARS!$4:$4,0),FALSE),"-"))</f>
        <v>1.7337408450370959</v>
      </c>
      <c r="V80" s="281"/>
      <c r="W80" s="281"/>
      <c r="X80" s="284">
        <f>IFERROR(VLOOKUP(A80,[1]ARS!A:EL,MATCH("CCC",[1]ARS!$4:$4,0),FALSE),"-")</f>
        <v>70.96608507005935</v>
      </c>
      <c r="Y80" s="284"/>
      <c r="Z80" s="284"/>
      <c r="AA80" s="283">
        <f>IF(IFERROR(VLOOKUP(A80,[1]ARS!A:EL,MATCH("Gross Margin, Percent",[1]ARS!$4:$4,0),FALSE)/100,"-")&lt;0,"-",IFERROR(VLOOKUP(A80,[1]ARS!A:EL,MATCH("Gross Margin, Percent",[1]ARS!$4:$4,0),FALSE)/100,"-"))</f>
        <v>0.18921779999999999</v>
      </c>
      <c r="AB80" s="283"/>
      <c r="AC80" s="283"/>
      <c r="AD80" s="283">
        <f>IF(IFERROR(VLOOKUP(A80,[1]ARS!A:EL,MATCH("Operating Margin, Percent",[1]ARS!$4:$4,0),FALSE)/100,"-")&lt;0,"-",IFERROR(VLOOKUP(A80,[1]ARS!A:EL,MATCH("Operating Margin, Percent",[1]ARS!$4:$4,0),FALSE)/100,"-"))</f>
        <v>6.8310300000000004E-2</v>
      </c>
      <c r="AE80" s="283"/>
      <c r="AF80" s="283"/>
      <c r="AG80" s="283">
        <f>IF(IFERROR(VLOOKUP(A80,[1]ARS!A:EL,MATCH("Net Profit Margin",[1]ARS!$4:$4,0),FALSE),"-")&lt;0,"-",IFERROR(VLOOKUP(A80,[1]ARS!A:EL,MATCH("Net Profit Margin",[1]ARS!$4:$4,0),FALSE),"-"))</f>
        <v>1.0614296062528754E-2</v>
      </c>
      <c r="AH80" s="283"/>
      <c r="AI80" s="283"/>
      <c r="AJ80" s="283">
        <f>IFERROR(VLOOKUP(A80,[1]ARS!A:EL,MATCH("FCF/Revenue",[1]ARS!$4:$4,0),FALSE),"-")</f>
        <v>-7.6908593714816564E-2</v>
      </c>
      <c r="AK80" s="283"/>
      <c r="AL80" s="283"/>
      <c r="AM80" s="283">
        <f>IFERROR(IF(VLOOKUP(A80,[1]ARS!A:EL,MATCH("ROE",[1]ARS!$4:$4,0),FALSE)&lt;-5,"-",VLOOKUP(A80,[1]ARS!A:EL,MATCH("ROE",[1]ARS!$4:$4,0),FALSE)),"-")</f>
        <v>4.7271399974316314E-2</v>
      </c>
      <c r="AN80" s="283"/>
      <c r="AO80" s="283"/>
      <c r="AP80" s="283">
        <f>IFERROR(VLOOKUP(A80,[1]ARS!A:EL,MATCH("ROA",[1]ARS!$4:$4,0),FALSE),"-")</f>
        <v>1.4722344669338059E-2</v>
      </c>
      <c r="AQ80" s="283"/>
      <c r="AR80" s="283"/>
      <c r="AS80" s="40">
        <f>+VLOOKUP(A80,[1]ARS!$A$5:$EL$85,MATCH("Last Q y/y",[1]ARS!$4:$4,0),FALSE)</f>
        <v>4.8969093845687945</v>
      </c>
      <c r="AT80" s="40">
        <f>+VLOOKUP(A80,[1]ARS!$A$5:$EL$99,MATCH("Last 5 yrs - Annual",[1]ARS!$4:$4,0),FALSE)</f>
        <v>20.557726454300884</v>
      </c>
      <c r="AU80" s="41">
        <f>+VLOOKUP(A80,[1]ARS!$A$5:$EL$84,MATCH("Desvio",[1]ARS!$4:$4,0),FALSE)</f>
        <v>47.416149135945489</v>
      </c>
      <c r="AV80" s="42">
        <f>+IFERROR(VLOOKUP(A80,'[1]Prom. Vtas Ult 5 años'!$A$3:$D$81,3,FALSE),"-")</f>
        <v>2.3709910526315792</v>
      </c>
      <c r="AW80" s="40">
        <f>+IFERROR(VLOOKUP(A80,'[1]Prom. Vtas Ult 5 años'!$A$3:$D$81,4,FALSE),"-")</f>
        <v>4.9818819853548311</v>
      </c>
      <c r="AX80" s="281">
        <f>IFERROR((VLOOKUP(A80,[1]ARS!A:EL,MATCH("Enterprise Value (Daily Time Series)",[1]ARS!$4:$4,0),FALSE)/1000000000),"-")</f>
        <v>0.70348973000000092</v>
      </c>
      <c r="AY80" s="281"/>
      <c r="AZ80" s="281"/>
      <c r="BA80" s="281">
        <f>IFERROR((VLOOKUP(A80,[1]ARS!A:EL,MATCH("Company Market Cap",[1]ARS!$4:$4,0),FALSE)/1000000000),"-")</f>
        <v>0.56238299999999997</v>
      </c>
      <c r="BB80" s="281"/>
      <c r="BC80" s="281"/>
      <c r="BD80" s="281">
        <f>IF(VLOOKUP(A80,[1]ARS!A:EL,MATCH("Enterprise Value To EBITDA (Daily Time Series Ratio)",[1]ARS!$4:$4,0),FALSE)="NULL","-",VLOOKUP(A80,[1]ARS!A:EL,MATCH("Enterprise Value To EBITDA (Daily Time Series Ratio)",[1]ARS!$4:$4,0),FALSE))</f>
        <v>13.4655109446438</v>
      </c>
      <c r="BE80" s="281"/>
      <c r="BF80" s="281"/>
      <c r="BG80" s="281">
        <f>IF(OR(IFERROR(VLOOKUP(A80,[1]ARS!A:EL,MATCH("Price To Tangible Book Value",[1]ARS!$4:$4,0),FALSE),"-")&lt;0,IFERROR(VLOOKUP(A80,[1]ARS!A:EL,MATCH("Price To Tangible Book Value",[1]ARS!$4:$4,0),FALSE),"-")&gt;100),"-",IFERROR(VLOOKUP(A80,[1]ARS!A:EL,MATCH("Price To Tangible Book Value",[1]ARS!$4:$4,0),FALSE),"-"))</f>
        <v>4.4731924860820964</v>
      </c>
      <c r="BH80" s="281"/>
      <c r="BI80" s="281"/>
      <c r="BJ80" s="281">
        <f>IF(OR(IFERROR(VLOOKUP(A80,[1]ARS!A:EL,MATCH("P/E (Daily Time Series Ratio)",[1]ARS!$4:$4,0),FALSE),"-")&lt;0,IFERROR(VLOOKUP(A80,[1]ARS!A:EL,MATCH("P/E (Daily Time Series Ratio)",[1]ARS!$4:$4,0),FALSE),"-")&gt;500),"-",IFERROR(VLOOKUP(A80,[1]ARS!A:EL,MATCH("P/E (Daily Time Series Ratio)",[1]ARS!$4:$4,0),FALSE),"-"))</f>
        <v>95.025809479117783</v>
      </c>
      <c r="BK80" s="281"/>
      <c r="BL80" s="281"/>
      <c r="BM80" s="281">
        <f>IF(OR(IFERROR(VLOOKUP(A80,[1]ARS!A:EC,MATCH("Price To Sales",[1]ARS!$4:$4,0),FALSE),"-")&lt;0,IFERROR(VLOOKUP(A80,[1]ARS!A:EC,MATCH("Price To Sales",[1]ARS!$4:$4,0),FALSE),"-")&gt;100),"-",IFERROR(VLOOKUP(A80,[1]ARS!A:EC,MATCH("Price To Sales",[1]ARS!$4:$4,0),FALSE),"-"))</f>
        <v>1.0086343250537508</v>
      </c>
      <c r="BN80" s="281"/>
      <c r="BO80" s="281"/>
      <c r="BP80" s="281" t="str">
        <f>+IFERROR(IF(VLOOKUP(A80,[1]ARS!A:EO,MATCH("Price to Free Cash Flow",[1]ARS!$4:$4,0),FALSE)="NULL","-",VLOOKUP(A80,[1]ARS!A:EO,MATCH("Price to Free Cash Flow",[1]ARS!$4:$4,0),FALSE)),"-")</f>
        <v>-</v>
      </c>
      <c r="BQ80" s="281"/>
      <c r="BR80" s="282"/>
      <c r="BS80" s="43">
        <f>IF(VLOOKUP(A80,[1]ARS!A:EE,MATCH("Daily Beta - 180 Day",[1]ARS!$4:$4,0),FALSE)="NULL","-",VLOOKUP(A80,[1]ARS!A:EE,MATCH("Daily Beta - 180 Day",[1]ARS!$4:$4,0),FALSE))</f>
        <v>0.59565246528072602</v>
      </c>
      <c r="BT80" s="40">
        <f>+VLOOKUP(A80,[1]ARS!$A:$EH,MATCH("Volatilidad histórica",[1]ARS!$4:$4,0),FALSE)</f>
        <v>0.38751136164375216</v>
      </c>
      <c r="BU80" s="44">
        <f>+VLOOKUP(A80,[1]ARS!$A$5:$EM$85,MATCH("Rto Medio",[1]ARS!$4:$4,0),FALSE)</f>
        <v>2.3043074760182414E-2</v>
      </c>
      <c r="BV80" s="45">
        <f>+IF(VLOOKUP(Template!A80,[1]ARS!A:AA,MATCH("Period End Date",[1]ARS!$3:$3,0),FALSE)="","-",VLOOKUP(Template!A80,[1]ARS!A:AA,MATCH("Period End Date",[1]ARS!$3:$3,0),FALSE))</f>
        <v>43008</v>
      </c>
      <c r="BW80" s="46" t="str">
        <f t="shared" si="21"/>
        <v>FIPL</v>
      </c>
      <c r="BX80" s="4"/>
      <c r="BY80" s="119" t="s">
        <v>110</v>
      </c>
      <c r="BZ80" s="48">
        <v>1.0072569390355131</v>
      </c>
      <c r="CA80" s="48">
        <v>4.1597171106859196</v>
      </c>
      <c r="CB80" s="48" t="s">
        <v>49</v>
      </c>
      <c r="CD80" s="119" t="s">
        <v>110</v>
      </c>
      <c r="CE80" s="129">
        <v>1.0072569390355131</v>
      </c>
      <c r="CF80" s="119">
        <v>4.1597171106859196</v>
      </c>
      <c r="CG80" s="119" t="s">
        <v>49</v>
      </c>
      <c r="CN80" s="121"/>
    </row>
    <row r="81" spans="1:92" s="120" customFormat="1" ht="11.25" customHeight="1" x14ac:dyDescent="0.2">
      <c r="A81" s="330" t="str">
        <f t="shared" si="20"/>
        <v>ERAR</v>
      </c>
      <c r="B81" s="330"/>
      <c r="C81" s="331">
        <f>+VLOOKUP(A81,[1]ARS!A:EL,MATCH("Last",[1]ARS!$4:$4,0),FALSE)</f>
        <v>15.6</v>
      </c>
      <c r="D81" s="331"/>
      <c r="E81" s="74">
        <f>+VLOOKUP(A81,'[1]Market Cap'!I:J,2,FALSE)</f>
        <v>1</v>
      </c>
      <c r="F81" s="371">
        <f>IFERROR(IF(VLOOKUP(A81,[1]ARS!A:EL,MATCH("Total Debt To Total Equity, Percent FQ0",[1]ARS!$4:$4,0),FALSE)="NULL",IF(VLOOKUP(A81,[1]ARS!A:EL,MATCH("Total Debt To Total Equity, Percent FQ-1",[1]ARS!$4:$4,0),FALSE)="NULL","-",VLOOKUP(A81,[1]ARS!A:EL,MATCH("Total Debt To Total Equity, Percent FQ-1",[1]ARS!$4:$4,0))),VLOOKUP(A81,[1]ARS!A:EL,MATCH("Total Debt To Total Equity, Percent FQ0",[1]ARS!$4:$4,0),FALSE))/100,"-")</f>
        <v>0.29473599788999999</v>
      </c>
      <c r="G81" s="372"/>
      <c r="H81" s="373"/>
      <c r="I81" s="324">
        <f>IFERROR(VLOOKUP(A81,[1]ARS!A:EC,MATCH("Financial Leverage",[1]ARS!$4:$4,0),FALSE),"-")</f>
        <v>1.4500416221516486</v>
      </c>
      <c r="J81" s="324"/>
      <c r="K81" s="324"/>
      <c r="L81" s="325">
        <f>+IFERROR(IF(VLOOKUP(A81,[1]ARS!A:EL,MATCH("Curr Ratio FQ0",[1]ARS!$4:$4,0),FALSE)="NULL",IF(VLOOKUP(A81,[1]ARS!A:EL,MATCH("Curr Ratio FQ-1",[1]ARS!$4:$4,0),FALSE)="NULL","-",VLOOKUP(A81,[1]ARS!A:EL,MATCH("Curr Ratio FQ-1",[1]ARS!$4:$4,0),FALSE)),VLOOKUP(A81,[1]ARS!A:EL,MATCH("Curr Ratio FQ0",[1]ARS!$4:$4,0),FALSE)),"-")</f>
        <v>1.27176</v>
      </c>
      <c r="M81" s="333"/>
      <c r="N81" s="334"/>
      <c r="O81" s="325">
        <f>+IFERROR(IF(VLOOKUP(A81,[1]ARS!A:EL,MATCH("Quick Ratio FQ0",[1]ARS!$4:$4,0),FALSE)="NULL",IF(VLOOKUP(A81,[1]ARS!A:EL,MATCH("Quick Ratio FQ-1",[1]ARS!$4:$4,0),FALSE)="NULL","-",VLOOKUP(A81,[1]ARS!A:EL,MATCH("Quick Ratio FQ-1",[1]ARS!$4:$4,0),FALSE)),VLOOKUP(A81,[1]ARS!A:EL,MATCH("Quick Ratio FQ0",[1]ARS!$4:$4,0),FALSE)),"-")</f>
        <v>0.41900999999999999</v>
      </c>
      <c r="P81" s="333"/>
      <c r="Q81" s="334"/>
      <c r="R81" s="335">
        <f>+IFERROR(IF(VLOOKUP(A81,[1]ARS!$A:$EL,MATCH("Dividend yield",[1]ARS!$4:$4,0),FALSE)="NULL","-",VLOOKUP(A81,[1]ARS!$A:$EL,MATCH("Dividend Yield",[1]ARS!$4:$4,0),FALSE)/100),"-")</f>
        <v>1.6729559559748398E-2</v>
      </c>
      <c r="S81" s="336"/>
      <c r="T81" s="337"/>
      <c r="U81" s="324">
        <f>IF(IFERROR(VLOOKUP(A81,[1]ARS!A:EL,MATCH("Asset Turnover",[1]ARS!$4:$4,0),FALSE),"-")=0,"-",IFERROR(VLOOKUP(A81,[1]ARS!A:EL,MATCH("Asset Turnover",[1]ARS!$4:$4,0),FALSE),"-"))</f>
        <v>0.99646918017061514</v>
      </c>
      <c r="V81" s="324"/>
      <c r="W81" s="324"/>
      <c r="X81" s="328">
        <f>IFERROR(VLOOKUP(A81,[1]ARS!A:EL,MATCH("CCC",[1]ARS!$4:$4,0),FALSE),"-")</f>
        <v>99.158028863822409</v>
      </c>
      <c r="Y81" s="328"/>
      <c r="Z81" s="328"/>
      <c r="AA81" s="327">
        <f>IF(IFERROR(VLOOKUP(A81,[1]ARS!A:EL,MATCH("Gross Margin, Percent",[1]ARS!$4:$4,0),FALSE)/100,"-")&lt;0,"-",IFERROR(VLOOKUP(A81,[1]ARS!A:EL,MATCH("Gross Margin, Percent",[1]ARS!$4:$4,0),FALSE)/100,"-"))</f>
        <v>0.27736739999999999</v>
      </c>
      <c r="AB81" s="327"/>
      <c r="AC81" s="327"/>
      <c r="AD81" s="327">
        <f>IF(IFERROR(VLOOKUP(A81,[1]ARS!A:EL,MATCH("Operating Margin, Percent",[1]ARS!$4:$4,0),FALSE)/100,"-")&lt;0,"-",IFERROR(VLOOKUP(A81,[1]ARS!A:EL,MATCH("Operating Margin, Percent",[1]ARS!$4:$4,0),FALSE)/100,"-"))</f>
        <v>0.15267630000000001</v>
      </c>
      <c r="AE81" s="327"/>
      <c r="AF81" s="327"/>
      <c r="AG81" s="327">
        <f>IF(IFERROR(VLOOKUP(A81,[1]ARS!A:EL,MATCH("Net Profit Margin",[1]ARS!$4:$4,0),FALSE),"-")&lt;0,"-",IFERROR(VLOOKUP(A81,[1]ARS!A:EL,MATCH("Net Profit Margin",[1]ARS!$4:$4,0),FALSE),"-"))</f>
        <v>0.16120743918631733</v>
      </c>
      <c r="AH81" s="327"/>
      <c r="AI81" s="327"/>
      <c r="AJ81" s="327">
        <f>IFERROR(VLOOKUP(A81,[1]ARS!A:EL,MATCH("FCF/Revenue",[1]ARS!$4:$4,0),FALSE),"-")</f>
        <v>-3.8667403730645138E-2</v>
      </c>
      <c r="AK81" s="327"/>
      <c r="AL81" s="327"/>
      <c r="AM81" s="329">
        <f>IFERROR(IF(VLOOKUP(A81,[1]ARS!A:EL,MATCH("ROE",[1]ARS!$4:$4,0),FALSE)&lt;-5,"-",VLOOKUP(A81,[1]ARS!A:EL,MATCH("ROE",[1]ARS!$4:$4,0),FALSE)),"-")</f>
        <v>0.18198219310549735</v>
      </c>
      <c r="AN81" s="329"/>
      <c r="AO81" s="329"/>
      <c r="AP81" s="327">
        <f>IFERROR(VLOOKUP(A81,[1]ARS!A:EL,MATCH("ROA",[1]ARS!$4:$4,0),FALSE),"-")</f>
        <v>0.12851062715388142</v>
      </c>
      <c r="AQ81" s="327"/>
      <c r="AR81" s="327"/>
      <c r="AS81" s="53">
        <f>+VLOOKUP(A81,[1]ARS!$A$5:$EL$85,MATCH("Last Q y/y",[1]ARS!$4:$4,0),FALSE)</f>
        <v>0.23075305118930789</v>
      </c>
      <c r="AT81" s="53">
        <f>+VLOOKUP(A81,[1]ARS!$A$5:$EL$99,MATCH("Last 5 yrs - Annual",[1]ARS!$4:$4,0),FALSE)</f>
        <v>0.65007590330536202</v>
      </c>
      <c r="AU81" s="54">
        <f>+VLOOKUP(A81,[1]ARS!$A$5:$EL$84,MATCH("Desvio",[1]ARS!$4:$4,0),FALSE)</f>
        <v>1.4132195887178733</v>
      </c>
      <c r="AV81" s="55">
        <f>AVERAGE(AV70:AV80)</f>
        <v>135.09732904141009</v>
      </c>
      <c r="AW81" s="56">
        <f>AVERAGE(AW70:AW80)</f>
        <v>38.28134864968758</v>
      </c>
      <c r="AX81" s="324">
        <f>IFERROR((VLOOKUP(A81,[1]ARS!A:EL,MATCH("Enterprise Value (Daily Time Series)",[1]ARS!$4:$4,0),FALSE)/1000000000),"-")</f>
        <v>78.857146965699997</v>
      </c>
      <c r="AY81" s="324"/>
      <c r="AZ81" s="324"/>
      <c r="BA81" s="324">
        <f>IFERROR((VLOOKUP(A81,[1]ARS!A:EL,MATCH("Company Market Cap",[1]ARS!$4:$4,0),FALSE)/1000000000),"-")</f>
        <v>70.918376161099999</v>
      </c>
      <c r="BB81" s="324"/>
      <c r="BC81" s="324"/>
      <c r="BD81" s="324">
        <f>IF(VLOOKUP(A81,[1]ARS!A:EL,MATCH("Enterprise Value To EBITDA (Daily Time Series Ratio)",[1]ARS!$4:$4,0),FALSE)="NULL","-",VLOOKUP(A81,[1]ARS!A:EL,MATCH("Enterprise Value To EBITDA (Daily Time Series Ratio)",[1]ARS!$4:$4,0),FALSE))</f>
        <v>12.9846870267152</v>
      </c>
      <c r="BE81" s="324"/>
      <c r="BF81" s="324"/>
      <c r="BG81" s="324">
        <f>IF(OR(IFERROR(VLOOKUP(A81,[1]ARS!A:EL,MATCH("Price To Tangible Book Value",[1]ARS!$4:$4,0),FALSE),"-")&lt;0,IFERROR(VLOOKUP(A81,[1]ARS!A:EL,MATCH("Price To Tangible Book Value",[1]ARS!$4:$4,0),FALSE),"-")&gt;100),"-",IFERROR(VLOOKUP(A81,[1]ARS!A:EL,MATCH("Price To Tangible Book Value",[1]ARS!$4:$4,0),FALSE),"-"))</f>
        <v>2.087857850045391</v>
      </c>
      <c r="BH81" s="324"/>
      <c r="BI81" s="324"/>
      <c r="BJ81" s="324">
        <f>IF(OR(IFERROR(VLOOKUP(A81,[1]ARS!A:EL,MATCH("P/E (Daily Time Series Ratio)",[1]ARS!$4:$4,0),FALSE),"-")&lt;0,IFERROR(VLOOKUP(A81,[1]ARS!A:EL,MATCH("P/E (Daily Time Series Ratio)",[1]ARS!$4:$4,0),FALSE),"-")&gt;500),"-",IFERROR(VLOOKUP(A81,[1]ARS!A:EL,MATCH("P/E (Daily Time Series Ratio)",[1]ARS!$4:$4,0),FALSE),"-"))</f>
        <v>12.438207622388774</v>
      </c>
      <c r="BK81" s="324"/>
      <c r="BL81" s="324"/>
      <c r="BM81" s="324">
        <f>IF(OR(IFERROR(VLOOKUP(A81,[1]ARS!A:EC,MATCH("Price To Sales",[1]ARS!$4:$4,0),FALSE),"-")&lt;0,IFERROR(VLOOKUP(A81,[1]ARS!A:EC,MATCH("Price To Sales",[1]ARS!$4:$4,0),FALSE),"-")&gt;100),"-",IFERROR(VLOOKUP(A81,[1]ARS!A:EC,MATCH("Price To Sales",[1]ARS!$4:$4,0),FALSE),"-"))</f>
        <v>2.0179922458352135</v>
      </c>
      <c r="BN81" s="324"/>
      <c r="BO81" s="324"/>
      <c r="BP81" s="324">
        <f>+IFERROR(IF(VLOOKUP(A81,[1]ARS!A:EO,MATCH("Price to Free Cash Flow",[1]ARS!$4:$4,0),FALSE)="NULL","-",VLOOKUP(A81,[1]ARS!A:EO,MATCH("Price to Free Cash Flow",[1]ARS!$4:$4,0),FALSE)),"-")</f>
        <v>14.9897493226</v>
      </c>
      <c r="BQ81" s="324"/>
      <c r="BR81" s="325"/>
      <c r="BS81" s="57">
        <f>IF(VLOOKUP(A81,[1]ARS!A:EE,MATCH("Daily Beta - 180 Day",[1]ARS!$4:$4,0),FALSE)="NULL","-",VLOOKUP(A81,[1]ARS!A:EE,MATCH("Daily Beta - 180 Day",[1]ARS!$4:$4,0),FALSE))</f>
        <v>0.90453258258098801</v>
      </c>
      <c r="BT81" s="53">
        <f>+VLOOKUP(A81,[1]ARS!$A:$EH,MATCH("Volatilidad histórica",[1]ARS!$4:$4,0),FALSE)</f>
        <v>0.4230408831773102</v>
      </c>
      <c r="BU81" s="56">
        <f>+VLOOKUP(A81,[1]ARS!$A$5:$EM$85,MATCH("Rto Medio",[1]ARS!$4:$4,0),FALSE)</f>
        <v>7.1516819903923556E-2</v>
      </c>
      <c r="BV81" s="58">
        <f>+IF(VLOOKUP(Template!A81,[1]ARS!A:AA,MATCH("Period End Date",[1]ARS!$3:$3,0),FALSE)="","-",VLOOKUP(Template!A81,[1]ARS!A:AA,MATCH("Period End Date",[1]ARS!$3:$3,0),FALSE))</f>
        <v>43008</v>
      </c>
      <c r="BW81" s="59" t="str">
        <f t="shared" si="21"/>
        <v>ERAR</v>
      </c>
      <c r="BX81" s="4"/>
      <c r="BY81" s="119" t="s">
        <v>111</v>
      </c>
      <c r="BZ81" s="48">
        <v>1.814761802333547</v>
      </c>
      <c r="CA81" s="48">
        <v>1.8244904594574471</v>
      </c>
      <c r="CB81" s="48">
        <v>10.695547452017417</v>
      </c>
      <c r="CD81" s="119" t="s">
        <v>111</v>
      </c>
      <c r="CE81" s="129">
        <v>1.814761802333547</v>
      </c>
      <c r="CF81" s="119">
        <v>1.8244904594574471</v>
      </c>
      <c r="CG81" s="119">
        <v>10.695547452017417</v>
      </c>
      <c r="CN81" s="121"/>
    </row>
    <row r="82" spans="1:92" s="120" customFormat="1" ht="11.25" customHeight="1" x14ac:dyDescent="0.2">
      <c r="A82" s="288" t="str">
        <f t="shared" si="20"/>
        <v>RIGO</v>
      </c>
      <c r="B82" s="288"/>
      <c r="C82" s="289">
        <f>+VLOOKUP(A82,[1]ARS!A:EL,MATCH("Last",[1]ARS!$4:$4,0),FALSE)</f>
        <v>61</v>
      </c>
      <c r="D82" s="289"/>
      <c r="E82" s="117">
        <f>+VLOOKUP(A82,'[1]Market Cap'!I:J,2,FALSE)</f>
        <v>1</v>
      </c>
      <c r="F82" s="290">
        <f>IFERROR(IF(VLOOKUP(A82,[1]ARS!A:EL,MATCH("Total Debt To Total Equity, Percent FQ0",[1]ARS!$4:$4,0),FALSE)="NULL",IF(VLOOKUP(A82,[1]ARS!A:EL,MATCH("Total Debt To Total Equity, Percent FQ-1",[1]ARS!$4:$4,0),FALSE)="NULL","-",VLOOKUP(A82,[1]ARS!A:EL,MATCH("Total Debt To Total Equity, Percent FQ-1",[1]ARS!$4:$4,0))),VLOOKUP(A82,[1]ARS!A:EL,MATCH("Total Debt To Total Equity, Percent FQ0",[1]ARS!$4:$4,0),FALSE))/100,"-")</f>
        <v>1.04375553928</v>
      </c>
      <c r="G82" s="291"/>
      <c r="H82" s="292"/>
      <c r="I82" s="281">
        <f>IFERROR(VLOOKUP(A82,[1]ARS!A:EC,MATCH("Financial Leverage",[1]ARS!$4:$4,0),FALSE),"-")</f>
        <v>3.2803009249956543</v>
      </c>
      <c r="J82" s="281"/>
      <c r="K82" s="281"/>
      <c r="L82" s="282">
        <f>+IFERROR(IF(VLOOKUP(A82,[1]ARS!A:EL,MATCH("Curr Ratio FQ0",[1]ARS!$4:$4,0),FALSE)="NULL",IF(VLOOKUP(A82,[1]ARS!A:EL,MATCH("Curr Ratio FQ-1",[1]ARS!$4:$4,0),FALSE)="NULL","-",VLOOKUP(A82,[1]ARS!A:EL,MATCH("Curr Ratio FQ-1",[1]ARS!$4:$4,0),FALSE)),VLOOKUP(A82,[1]ARS!A:EL,MATCH("Curr Ratio FQ0",[1]ARS!$4:$4,0),FALSE)),"-")</f>
        <v>1.2405200000000001</v>
      </c>
      <c r="M82" s="293"/>
      <c r="N82" s="294"/>
      <c r="O82" s="282">
        <f>+IFERROR(IF(VLOOKUP(A82,[1]ARS!A:EL,MATCH("Quick Ratio FQ0",[1]ARS!$4:$4,0),FALSE)="NULL",IF(VLOOKUP(A82,[1]ARS!A:EL,MATCH("Quick Ratio FQ-1",[1]ARS!$4:$4,0),FALSE)="NULL","-",VLOOKUP(A82,[1]ARS!A:EL,MATCH("Quick Ratio FQ-1",[1]ARS!$4:$4,0),FALSE)),VLOOKUP(A82,[1]ARS!A:EL,MATCH("Quick Ratio FQ0",[1]ARS!$4:$4,0),FALSE)),"-")</f>
        <v>0.58703000000000005</v>
      </c>
      <c r="P82" s="293"/>
      <c r="Q82" s="294"/>
      <c r="R82" s="295">
        <f>+IFERROR(IF(VLOOKUP(A82,[1]ARS!$A:$EL,MATCH("Dividend yield",[1]ARS!$4:$4,0),FALSE)="NULL","-",VLOOKUP(A82,[1]ARS!$A:$EL,MATCH("Dividend Yield",[1]ARS!$4:$4,0),FALSE)/100),"-")</f>
        <v>9.181969949916529E-3</v>
      </c>
      <c r="S82" s="296"/>
      <c r="T82" s="297"/>
      <c r="U82" s="281">
        <f>IF(IFERROR(VLOOKUP(A82,[1]ARS!A:EL,MATCH("Asset Turnover",[1]ARS!$4:$4,0),FALSE),"-")=0,"-",IFERROR(VLOOKUP(A82,[1]ARS!A:EL,MATCH("Asset Turnover",[1]ARS!$4:$4,0),FALSE),"-"))</f>
        <v>1.3745866327654728</v>
      </c>
      <c r="V82" s="281"/>
      <c r="W82" s="281"/>
      <c r="X82" s="284">
        <f>IFERROR(VLOOKUP(A82,[1]ARS!A:EL,MATCH("CCC",[1]ARS!$4:$4,0),FALSE),"-")</f>
        <v>177.01521510248929</v>
      </c>
      <c r="Y82" s="284"/>
      <c r="Z82" s="284"/>
      <c r="AA82" s="283">
        <f>IF(IFERROR(VLOOKUP(A82,[1]ARS!A:EL,MATCH("Gross Margin, Percent",[1]ARS!$4:$4,0),FALSE)/100,"-")&lt;0,"-",IFERROR(VLOOKUP(A82,[1]ARS!A:EL,MATCH("Gross Margin, Percent",[1]ARS!$4:$4,0),FALSE)/100,"-"))</f>
        <v>0.24057210000000001</v>
      </c>
      <c r="AB82" s="283"/>
      <c r="AC82" s="283"/>
      <c r="AD82" s="283">
        <f>IF(IFERROR(VLOOKUP(A82,[1]ARS!A:EL,MATCH("Operating Margin, Percent",[1]ARS!$4:$4,0),FALSE)/100,"-")&lt;0,"-",IFERROR(VLOOKUP(A82,[1]ARS!A:EL,MATCH("Operating Margin, Percent",[1]ARS!$4:$4,0),FALSE)/100,"-"))</f>
        <v>0.15256140000000001</v>
      </c>
      <c r="AE82" s="283"/>
      <c r="AF82" s="283"/>
      <c r="AG82" s="283">
        <f>IF(IFERROR(VLOOKUP(A82,[1]ARS!A:EL,MATCH("Net Profit Margin",[1]ARS!$4:$4,0),FALSE),"-")&lt;0,"-",IFERROR(VLOOKUP(A82,[1]ARS!A:EL,MATCH("Net Profit Margin",[1]ARS!$4:$4,0),FALSE),"-"))</f>
        <v>3.4256849770931297E-2</v>
      </c>
      <c r="AH82" s="283"/>
      <c r="AI82" s="283"/>
      <c r="AJ82" s="283">
        <f>IFERROR(VLOOKUP(A82,[1]ARS!A:EL,MATCH("FCF/Revenue",[1]ARS!$4:$4,0),FALSE),"-")</f>
        <v>-2.5823893608262405E-3</v>
      </c>
      <c r="AK82" s="283"/>
      <c r="AL82" s="283"/>
      <c r="AM82" s="283">
        <f>IFERROR(IF(VLOOKUP(A82,[1]ARS!A:EL,MATCH("ROE",[1]ARS!$4:$4,0),FALSE)&lt;-5,"-",VLOOKUP(A82,[1]ARS!A:EL,MATCH("ROE",[1]ARS!$4:$4,0),FALSE)),"-")</f>
        <v>0.11535334058703808</v>
      </c>
      <c r="AN82" s="283"/>
      <c r="AO82" s="283"/>
      <c r="AP82" s="283">
        <f>IFERROR(VLOOKUP(A82,[1]ARS!A:EL,MATCH("ROA",[1]ARS!$4:$4,0),FALSE),"-")</f>
        <v>3.7671438394777892E-2</v>
      </c>
      <c r="AQ82" s="283"/>
      <c r="AR82" s="283"/>
      <c r="AS82" s="40">
        <f>+VLOOKUP(A82,[1]ARS!$A$5:$EL$85,MATCH("Last Q y/y",[1]ARS!$4:$4,0),FALSE)</f>
        <v>-0.23250096090215788</v>
      </c>
      <c r="AT82" s="40">
        <f>+VLOOKUP(A82,[1]ARS!$A$5:$EL$99,MATCH("Last 5 yrs - Annual",[1]ARS!$4:$4,0),FALSE)</f>
        <v>0.22237495853634046</v>
      </c>
      <c r="AU82" s="41">
        <f>+VLOOKUP(A82,[1]ARS!$A$5:$EL$84,MATCH("Desvio",[1]ARS!$4:$4,0),FALSE)</f>
        <v>0.28689742204248758</v>
      </c>
      <c r="AV82" s="42">
        <f>+IFERROR(VLOOKUP(A82,'[1]Prom. Vtas Ult 5 años'!$A$3:$D$81,3,FALSE),"-")</f>
        <v>22.924651052631575</v>
      </c>
      <c r="AW82" s="40">
        <f>+IFERROR(VLOOKUP(A82,'[1]Prom. Vtas Ult 5 años'!$A$3:$D$81,4,FALSE),"-")</f>
        <v>0.96566287373705484</v>
      </c>
      <c r="AX82" s="281">
        <f>IFERROR((VLOOKUP(A82,[1]ARS!A:EL,MATCH("Enterprise Value (Daily Time Series)",[1]ARS!$4:$4,0),FALSE)/1000000000),"-")</f>
        <v>4.8118159738999999</v>
      </c>
      <c r="AY82" s="281"/>
      <c r="AZ82" s="281"/>
      <c r="BA82" s="281">
        <f>IFERROR((VLOOKUP(A82,[1]ARS!A:EL,MATCH("Company Market Cap",[1]ARS!$4:$4,0),FALSE)/1000000000),"-")</f>
        <v>4.4244618210000004</v>
      </c>
      <c r="BB82" s="281"/>
      <c r="BC82" s="281"/>
      <c r="BD82" s="281">
        <f>IF(VLOOKUP(A82,[1]ARS!A:EL,MATCH("Enterprise Value To EBITDA (Daily Time Series Ratio)",[1]ARS!$4:$4,0),FALSE)="NULL","-",VLOOKUP(A82,[1]ARS!A:EL,MATCH("Enterprise Value To EBITDA (Daily Time Series Ratio)",[1]ARS!$4:$4,0),FALSE))</f>
        <v>14.915686027370301</v>
      </c>
      <c r="BE82" s="281"/>
      <c r="BF82" s="281"/>
      <c r="BG82" s="281">
        <f>IF(OR(IFERROR(VLOOKUP(A82,[1]ARS!A:EL,MATCH("Price To Tangible Book Value",[1]ARS!$4:$4,0),FALSE),"-")&lt;0,IFERROR(VLOOKUP(A82,[1]ARS!A:EL,MATCH("Price To Tangible Book Value",[1]ARS!$4:$4,0),FALSE),"-")&gt;100),"-",IFERROR(VLOOKUP(A82,[1]ARS!A:EL,MATCH("Price To Tangible Book Value",[1]ARS!$4:$4,0),FALSE),"-"))</f>
        <v>7.6280195929990162</v>
      </c>
      <c r="BH82" s="281"/>
      <c r="BI82" s="281"/>
      <c r="BJ82" s="281">
        <f>IF(OR(IFERROR(VLOOKUP(A82,[1]ARS!A:EL,MATCH("P/E (Daily Time Series Ratio)",[1]ARS!$4:$4,0),FALSE),"-")&lt;0,IFERROR(VLOOKUP(A82,[1]ARS!A:EL,MATCH("P/E (Daily Time Series Ratio)",[1]ARS!$4:$4,0),FALSE),"-")&gt;500),"-",IFERROR(VLOOKUP(A82,[1]ARS!A:EL,MATCH("P/E (Daily Time Series Ratio)",[1]ARS!$4:$4,0),FALSE),"-"))</f>
        <v>67.369816113534711</v>
      </c>
      <c r="BK82" s="281"/>
      <c r="BL82" s="281"/>
      <c r="BM82" s="281">
        <f>IF(OR(IFERROR(VLOOKUP(A82,[1]ARS!A:EC,MATCH("Price To Sales",[1]ARS!$4:$4,0),FALSE),"-")&lt;0,IFERROR(VLOOKUP(A82,[1]ARS!A:EC,MATCH("Price To Sales",[1]ARS!$4:$4,0),FALSE),"-")&gt;100),"-",IFERROR(VLOOKUP(A82,[1]ARS!A:EC,MATCH("Price To Sales",[1]ARS!$4:$4,0),FALSE),"-"))</f>
        <v>2.3078831228452215</v>
      </c>
      <c r="BN82" s="281"/>
      <c r="BO82" s="281"/>
      <c r="BP82" s="281" t="str">
        <f>+IFERROR(IF(VLOOKUP(A82,[1]ARS!A:EO,MATCH("Price to Free Cash Flow",[1]ARS!$4:$4,0),FALSE)="NULL","-",VLOOKUP(A82,[1]ARS!A:EO,MATCH("Price to Free Cash Flow",[1]ARS!$4:$4,0),FALSE)),"-")</f>
        <v>-</v>
      </c>
      <c r="BQ82" s="281"/>
      <c r="BR82" s="282"/>
      <c r="BS82" s="43">
        <f>IF(VLOOKUP(A82,[1]ARS!A:EE,MATCH("Daily Beta - 180 Day",[1]ARS!$4:$4,0),FALSE)="NULL","-",VLOOKUP(A82,[1]ARS!A:EE,MATCH("Daily Beta - 180 Day",[1]ARS!$4:$4,0),FALSE))</f>
        <v>0.33337705512992599</v>
      </c>
      <c r="BT82" s="40">
        <f>+VLOOKUP(A82,[1]ARS!$A:$EH,MATCH("Volatilidad histórica",[1]ARS!$4:$4,0),FALSE)</f>
        <v>0.37803259386115051</v>
      </c>
      <c r="BU82" s="44">
        <f>+VLOOKUP(A82,[1]ARS!$A$5:$EM$85,MATCH("Rto Medio",[1]ARS!$4:$4,0),FALSE)</f>
        <v>0.1032373707069294</v>
      </c>
      <c r="BV82" s="45">
        <f>+IF(VLOOKUP(Template!A82,[1]ARS!A:AA,MATCH("Period End Date",[1]ARS!$3:$3,0),FALSE)="","-",VLOOKUP(Template!A82,[1]ARS!A:AA,MATCH("Period End Date",[1]ARS!$3:$3,0),FALSE))</f>
        <v>42978</v>
      </c>
      <c r="BW82" s="46" t="str">
        <f t="shared" si="21"/>
        <v>RIGO</v>
      </c>
      <c r="BX82" s="4"/>
      <c r="BY82" s="119" t="s">
        <v>112</v>
      </c>
      <c r="BZ82" s="48">
        <v>2.154226584306238</v>
      </c>
      <c r="CA82" s="48">
        <v>7.7802223864258035</v>
      </c>
      <c r="CB82" s="48">
        <v>57.726637690158334</v>
      </c>
      <c r="CD82" s="119" t="s">
        <v>112</v>
      </c>
      <c r="CE82" s="129">
        <v>2.154226584306238</v>
      </c>
      <c r="CF82" s="119">
        <v>7.7802223864258035</v>
      </c>
      <c r="CG82" s="119">
        <v>57.726637690158334</v>
      </c>
      <c r="CN82" s="121"/>
    </row>
    <row r="83" spans="1:92" s="120" customFormat="1" ht="11.25" customHeight="1" x14ac:dyDescent="0.2">
      <c r="A83" s="330" t="str">
        <f t="shared" si="20"/>
        <v>ALUA</v>
      </c>
      <c r="B83" s="330"/>
      <c r="C83" s="331">
        <f>+VLOOKUP(A83,[1]ARS!A:EL,MATCH("Last",[1]ARS!$4:$4,0),FALSE)</f>
        <v>15.05</v>
      </c>
      <c r="D83" s="331"/>
      <c r="E83" s="74">
        <f>+VLOOKUP(A83,'[1]Market Cap'!I:J,2,FALSE)</f>
        <v>1</v>
      </c>
      <c r="F83" s="371" t="str">
        <f>IFERROR(IF(VLOOKUP(A83,[1]ARS!A:EL,MATCH("Total Debt To Total Equity, Percent FQ0",[1]ARS!$4:$4,0),FALSE)="NULL",IF(VLOOKUP(A83,[1]ARS!A:EL,MATCH("Total Debt To Total Equity, Percent FQ-1",[1]ARS!$4:$4,0),FALSE)="NULL","-",VLOOKUP(A83,[1]ARS!A:EL,MATCH("Total Debt To Total Equity, Percent FQ-1",[1]ARS!$4:$4,0))),VLOOKUP(A83,[1]ARS!A:EL,MATCH("Total Debt To Total Equity, Percent FQ0",[1]ARS!$4:$4,0),FALSE))/100,"-")</f>
        <v>-</v>
      </c>
      <c r="G83" s="372"/>
      <c r="H83" s="373"/>
      <c r="I83" s="324">
        <f>IFERROR(VLOOKUP(A83,[1]ARS!A:EC,MATCH("Financial Leverage",[1]ARS!$4:$4,0),FALSE),"-")</f>
        <v>1.6838128667490762</v>
      </c>
      <c r="J83" s="324"/>
      <c r="K83" s="324"/>
      <c r="L83" s="325">
        <f>+IFERROR(IF(VLOOKUP(A83,[1]ARS!A:EL,MATCH("Curr Ratio FQ0",[1]ARS!$4:$4,0),FALSE)="NULL",IF(VLOOKUP(A83,[1]ARS!A:EL,MATCH("Curr Ratio FQ-1",[1]ARS!$4:$4,0),FALSE)="NULL","-",VLOOKUP(A83,[1]ARS!A:EL,MATCH("Curr Ratio FQ-1",[1]ARS!$4:$4,0),FALSE)),VLOOKUP(A83,[1]ARS!A:EL,MATCH("Curr Ratio FQ0",[1]ARS!$4:$4,0),FALSE)),"-")</f>
        <v>2.2769599999999999</v>
      </c>
      <c r="M83" s="333"/>
      <c r="N83" s="334"/>
      <c r="O83" s="325">
        <f>+IFERROR(IF(VLOOKUP(A83,[1]ARS!A:EL,MATCH("Quick Ratio FQ0",[1]ARS!$4:$4,0),FALSE)="NULL",IF(VLOOKUP(A83,[1]ARS!A:EL,MATCH("Quick Ratio FQ-1",[1]ARS!$4:$4,0),FALSE)="NULL","-",VLOOKUP(A83,[1]ARS!A:EL,MATCH("Quick Ratio FQ-1",[1]ARS!$4:$4,0),FALSE)),VLOOKUP(A83,[1]ARS!A:EL,MATCH("Quick Ratio FQ0",[1]ARS!$4:$4,0),FALSE)),"-")</f>
        <v>0.72323999999999999</v>
      </c>
      <c r="P83" s="333"/>
      <c r="Q83" s="334"/>
      <c r="R83" s="335">
        <f>+IFERROR(IF(VLOOKUP(A83,[1]ARS!$A:$EL,MATCH("Dividend yield",[1]ARS!$4:$4,0),FALSE)="NULL","-",VLOOKUP(A83,[1]ARS!$A:$EL,MATCH("Dividend Yield",[1]ARS!$4:$4,0),FALSE)/100),"-")</f>
        <v>1.3552769072100299E-2</v>
      </c>
      <c r="S83" s="336"/>
      <c r="T83" s="337"/>
      <c r="U83" s="324">
        <f>IF(IFERROR(VLOOKUP(A83,[1]ARS!A:EL,MATCH("Asset Turnover",[1]ARS!$4:$4,0),FALSE),"-")=0,"-",IFERROR(VLOOKUP(A83,[1]ARS!A:EL,MATCH("Asset Turnover",[1]ARS!$4:$4,0),FALSE),"-"))</f>
        <v>1.5423020844810666</v>
      </c>
      <c r="V83" s="324"/>
      <c r="W83" s="324"/>
      <c r="X83" s="328">
        <f>IFERROR(VLOOKUP(A83,[1]ARS!A:EL,MATCH("CCC",[1]ARS!$4:$4,0),FALSE),"-")</f>
        <v>185.09878618083803</v>
      </c>
      <c r="Y83" s="328"/>
      <c r="Z83" s="328"/>
      <c r="AA83" s="327">
        <f>IF(IFERROR(VLOOKUP(A83,[1]ARS!A:EL,MATCH("Gross Margin, Percent",[1]ARS!$4:$4,0),FALSE)/100,"-")&lt;0,"-",IFERROR(VLOOKUP(A83,[1]ARS!A:EL,MATCH("Gross Margin, Percent",[1]ARS!$4:$4,0),FALSE)/100,"-"))</f>
        <v>0.28514519999999999</v>
      </c>
      <c r="AB83" s="327"/>
      <c r="AC83" s="327"/>
      <c r="AD83" s="327">
        <f>IF(IFERROR(VLOOKUP(A83,[1]ARS!A:EL,MATCH("Operating Margin, Percent",[1]ARS!$4:$4,0),FALSE)/100,"-")&lt;0,"-",IFERROR(VLOOKUP(A83,[1]ARS!A:EL,MATCH("Operating Margin, Percent",[1]ARS!$4:$4,0),FALSE)/100,"-"))</f>
        <v>0.213199</v>
      </c>
      <c r="AE83" s="327"/>
      <c r="AF83" s="327"/>
      <c r="AG83" s="327">
        <f>IF(IFERROR(VLOOKUP(A83,[1]ARS!A:EL,MATCH("Net Profit Margin",[1]ARS!$4:$4,0),FALSE),"-")&lt;0,"-",IFERROR(VLOOKUP(A83,[1]ARS!A:EL,MATCH("Net Profit Margin",[1]ARS!$4:$4,0),FALSE),"-"))</f>
        <v>0.10596483351999274</v>
      </c>
      <c r="AH83" s="327"/>
      <c r="AI83" s="327"/>
      <c r="AJ83" s="327">
        <f>IFERROR(VLOOKUP(A83,[1]ARS!A:EL,MATCH("FCF/Revenue",[1]ARS!$4:$4,0),FALSE),"-")</f>
        <v>0.16276484522555651</v>
      </c>
      <c r="AK83" s="327"/>
      <c r="AL83" s="327"/>
      <c r="AM83" s="329">
        <f>IFERROR(IF(VLOOKUP(A83,[1]ARS!A:EL,MATCH("ROE",[1]ARS!$4:$4,0),FALSE)&lt;-5,"-",VLOOKUP(A83,[1]ARS!A:EL,MATCH("ROE",[1]ARS!$4:$4,0),FALSE)),"-")</f>
        <v>0.20886083572436095</v>
      </c>
      <c r="AN83" s="329"/>
      <c r="AO83" s="329"/>
      <c r="AP83" s="327">
        <f>IFERROR(VLOOKUP(A83,[1]ARS!A:EL,MATCH("ROA",[1]ARS!$4:$4,0),FALSE),"-")</f>
        <v>0.1307439240207442</v>
      </c>
      <c r="AQ83" s="327"/>
      <c r="AR83" s="327"/>
      <c r="AS83" s="53" t="str">
        <f>+VLOOKUP(A83,[1]ARS!$A$5:$EL$85,MATCH("Last Q y/y",[1]ARS!$4:$4,0),FALSE)</f>
        <v>-</v>
      </c>
      <c r="AT83" s="53">
        <f>+VLOOKUP(A83,[1]ARS!$A$5:$EL$99,MATCH("Last 5 yrs - Annual",[1]ARS!$4:$4,0),FALSE)</f>
        <v>0.6433355320352423</v>
      </c>
      <c r="AU83" s="54">
        <f>+VLOOKUP(A83,[1]ARS!$A$5:$EL$84,MATCH("Desvio",[1]ARS!$4:$4,0),FALSE)</f>
        <v>0.95046869685030333</v>
      </c>
      <c r="AV83" s="55">
        <f>AVERAGE(AV72:AV82)</f>
        <v>90.475434290872229</v>
      </c>
      <c r="AW83" s="56">
        <f>AVERAGE(AW72:AW82)</f>
        <v>40.306195842341893</v>
      </c>
      <c r="AX83" s="324">
        <f>IFERROR((VLOOKUP(A83,[1]ARS!A:EL,MATCH("Enterprise Value (Daily Time Series)",[1]ARS!$4:$4,0),FALSE)/1000000000),"-")</f>
        <v>44.834198746445097</v>
      </c>
      <c r="AY83" s="324"/>
      <c r="AZ83" s="324"/>
      <c r="BA83" s="324">
        <f>IFERROR((VLOOKUP(A83,[1]ARS!A:EL,MATCH("Company Market Cap",[1]ARS!$4:$4,0),FALSE)/1000000000),"-")</f>
        <v>42.42</v>
      </c>
      <c r="BB83" s="324"/>
      <c r="BC83" s="324"/>
      <c r="BD83" s="324">
        <f>IF(VLOOKUP(A83,[1]ARS!A:EL,MATCH("Enterprise Value To EBITDA (Daily Time Series Ratio)",[1]ARS!$4:$4,0),FALSE)="NULL","-",VLOOKUP(A83,[1]ARS!A:EL,MATCH("Enterprise Value To EBITDA (Daily Time Series Ratio)",[1]ARS!$4:$4,0),FALSE))</f>
        <v>10.7128915397239</v>
      </c>
      <c r="BE83" s="324"/>
      <c r="BF83" s="324"/>
      <c r="BG83" s="324">
        <f>IF(OR(IFERROR(VLOOKUP(A83,[1]ARS!A:EL,MATCH("Price To Tangible Book Value",[1]ARS!$4:$4,0),FALSE),"-")&lt;0,IFERROR(VLOOKUP(A83,[1]ARS!A:EL,MATCH("Price To Tangible Book Value",[1]ARS!$4:$4,0),FALSE),"-")&gt;100),"-",IFERROR(VLOOKUP(A83,[1]ARS!A:EL,MATCH("Price To Tangible Book Value",[1]ARS!$4:$4,0),FALSE),"-"))</f>
        <v>4.7341850989434811</v>
      </c>
      <c r="BH83" s="324"/>
      <c r="BI83" s="324"/>
      <c r="BJ83" s="324">
        <f>IF(OR(IFERROR(VLOOKUP(A83,[1]ARS!A:EL,MATCH("P/E (Daily Time Series Ratio)",[1]ARS!$4:$4,0),FALSE),"-")&lt;0,IFERROR(VLOOKUP(A83,[1]ARS!A:EL,MATCH("P/E (Daily Time Series Ratio)",[1]ARS!$4:$4,0),FALSE),"-")&gt;500),"-",IFERROR(VLOOKUP(A83,[1]ARS!A:EL,MATCH("P/E (Daily Time Series Ratio)",[1]ARS!$4:$4,0),FALSE),"-"))</f>
        <v>22.220909802300348</v>
      </c>
      <c r="BK83" s="324"/>
      <c r="BL83" s="324"/>
      <c r="BM83" s="324">
        <f>IF(OR(IFERROR(VLOOKUP(A83,[1]ARS!A:EC,MATCH("Price To Sales",[1]ARS!$4:$4,0),FALSE),"-")&lt;0,IFERROR(VLOOKUP(A83,[1]ARS!A:EC,MATCH("Price To Sales",[1]ARS!$4:$4,0),FALSE),"-")&gt;100),"-",IFERROR(VLOOKUP(A83,[1]ARS!A:EC,MATCH("Price To Sales",[1]ARS!$4:$4,0),FALSE),"-"))</f>
        <v>2.3703029086862029</v>
      </c>
      <c r="BN83" s="324"/>
      <c r="BO83" s="324"/>
      <c r="BP83" s="324">
        <f>+IFERROR(IF(VLOOKUP(A83,[1]ARS!A:EO,MATCH("Price to Free Cash Flow",[1]ARS!$4:$4,0),FALSE)="NULL","-",VLOOKUP(A83,[1]ARS!A:EO,MATCH("Price to Free Cash Flow",[1]ARS!$4:$4,0),FALSE)),"-")</f>
        <v>93.538742656899998</v>
      </c>
      <c r="BQ83" s="324"/>
      <c r="BR83" s="325"/>
      <c r="BS83" s="57">
        <f>IF(VLOOKUP(A83,[1]ARS!A:EE,MATCH("Daily Beta - 180 Day",[1]ARS!$4:$4,0),FALSE)="NULL","-",VLOOKUP(A83,[1]ARS!A:EE,MATCH("Daily Beta - 180 Day",[1]ARS!$4:$4,0),FALSE))</f>
        <v>0.98413231722873795</v>
      </c>
      <c r="BT83" s="53">
        <f>+VLOOKUP(A83,[1]ARS!$A:$EH,MATCH("Volatilidad histórica",[1]ARS!$4:$4,0),FALSE)</f>
        <v>0.39122953311222508</v>
      </c>
      <c r="BU83" s="56">
        <f>+VLOOKUP(A83,[1]ARS!$A$5:$EM$85,MATCH("Rto Medio",[1]ARS!$4:$4,0),FALSE)</f>
        <v>-1.1415385219383456E-2</v>
      </c>
      <c r="BV83" s="58">
        <f>+IF(VLOOKUP(Template!A83,[1]ARS!A:AA,MATCH("Period End Date",[1]ARS!$3:$3,0),FALSE)="","-",VLOOKUP(Template!A83,[1]ARS!A:AA,MATCH("Period End Date",[1]ARS!$3:$3,0),FALSE))</f>
        <v>43100</v>
      </c>
      <c r="BW83" s="59" t="str">
        <f t="shared" si="21"/>
        <v>ALUA</v>
      </c>
      <c r="BX83" s="4"/>
      <c r="BY83" s="119" t="s">
        <v>113</v>
      </c>
      <c r="BZ83" s="48">
        <v>2.4348398078423874</v>
      </c>
      <c r="CA83" s="48">
        <v>3.8191356466261102</v>
      </c>
      <c r="CB83" s="48">
        <v>18.384729184321273</v>
      </c>
      <c r="CD83" s="119" t="s">
        <v>113</v>
      </c>
      <c r="CE83" s="129">
        <v>2.4348398078423874</v>
      </c>
      <c r="CF83" s="119">
        <v>3.8191356466261102</v>
      </c>
      <c r="CG83" s="119">
        <v>18.384729184321273</v>
      </c>
      <c r="CN83" s="121"/>
    </row>
    <row r="84" spans="1:92" s="120" customFormat="1" ht="11.25" customHeight="1" x14ac:dyDescent="0.2">
      <c r="A84" s="361" t="str">
        <f t="shared" si="20"/>
        <v>JMIN</v>
      </c>
      <c r="B84" s="361"/>
      <c r="C84" s="362">
        <f>+VLOOKUP(A84,[1]ARS!A:EL,MATCH("Last",[1]ARS!$4:$4,0),FALSE)</f>
        <v>96.7</v>
      </c>
      <c r="D84" s="362"/>
      <c r="E84" s="137">
        <f>+VLOOKUP(A84,'[1]Market Cap'!I:J,2,FALSE)</f>
        <v>1</v>
      </c>
      <c r="F84" s="363">
        <f>IFERROR(IF(VLOOKUP(A84,[1]ARS!A:EL,MATCH("Total Debt To Total Equity, Percent FQ0",[1]ARS!$4:$4,0),FALSE)="NULL",IF(VLOOKUP(A84,[1]ARS!A:EL,MATCH("Total Debt To Total Equity, Percent FQ-1",[1]ARS!$4:$4,0),FALSE)="NULL","-",VLOOKUP(A84,[1]ARS!A:EL,MATCH("Total Debt To Total Equity, Percent FQ-1",[1]ARS!$4:$4,0))),VLOOKUP(A84,[1]ARS!A:EL,MATCH("Total Debt To Total Equity, Percent FQ0",[1]ARS!$4:$4,0),FALSE))/100,"-")</f>
        <v>9.5837620799999995E-2</v>
      </c>
      <c r="G84" s="364"/>
      <c r="H84" s="365"/>
      <c r="I84" s="350">
        <f>IFERROR(VLOOKUP(A84,[1]ARS!A:EC,MATCH("Financial Leverage",[1]ARS!$4:$4,0),FALSE),"-")</f>
        <v>2.1569326144554202</v>
      </c>
      <c r="J84" s="350"/>
      <c r="K84" s="350"/>
      <c r="L84" s="351">
        <f>+IFERROR(IF(VLOOKUP(A84,[1]ARS!A:EL,MATCH("Curr Ratio FQ0",[1]ARS!$4:$4,0),FALSE)="NULL",IF(VLOOKUP(A84,[1]ARS!A:EL,MATCH("Curr Ratio FQ-1",[1]ARS!$4:$4,0),FALSE)="NULL","-",VLOOKUP(A84,[1]ARS!A:EL,MATCH("Curr Ratio FQ-1",[1]ARS!$4:$4,0),FALSE)),VLOOKUP(A84,[1]ARS!A:EL,MATCH("Curr Ratio FQ0",[1]ARS!$4:$4,0),FALSE)),"-")</f>
        <v>1.0993200000000001</v>
      </c>
      <c r="M84" s="366"/>
      <c r="N84" s="367"/>
      <c r="O84" s="351">
        <f>+IFERROR(IF(VLOOKUP(A84,[1]ARS!A:EL,MATCH("Quick Ratio FQ0",[1]ARS!$4:$4,0),FALSE)="NULL",IF(VLOOKUP(A84,[1]ARS!A:EL,MATCH("Quick Ratio FQ-1",[1]ARS!$4:$4,0),FALSE)="NULL","-",VLOOKUP(A84,[1]ARS!A:EL,MATCH("Quick Ratio FQ-1",[1]ARS!$4:$4,0),FALSE)),VLOOKUP(A84,[1]ARS!A:EL,MATCH("Quick Ratio FQ0",[1]ARS!$4:$4,0),FALSE)),"-")</f>
        <v>0.81977999999999995</v>
      </c>
      <c r="P84" s="366"/>
      <c r="Q84" s="367"/>
      <c r="R84" s="368">
        <f>+IFERROR(IF(VLOOKUP(A84,[1]ARS!$A:$EL,MATCH("Dividend yield",[1]ARS!$4:$4,0),FALSE)="NULL","-",VLOOKUP(A84,[1]ARS!$A:$EL,MATCH("Dividend Yield",[1]ARS!$4:$4,0),FALSE)/100),"-")</f>
        <v>2.52969951079665E-2</v>
      </c>
      <c r="S84" s="369"/>
      <c r="T84" s="370"/>
      <c r="U84" s="350">
        <f>IF(IFERROR(VLOOKUP(A84,[1]ARS!A:EL,MATCH("Asset Turnover",[1]ARS!$4:$4,0),FALSE),"-")=0,"-",IFERROR(VLOOKUP(A84,[1]ARS!A:EL,MATCH("Asset Turnover",[1]ARS!$4:$4,0),FALSE),"-"))</f>
        <v>2.3934080140350122</v>
      </c>
      <c r="V84" s="350"/>
      <c r="W84" s="350"/>
      <c r="X84" s="360">
        <f>IFERROR(VLOOKUP(A84,[1]ARS!A:EL,MATCH("CCC",[1]ARS!$4:$4,0),FALSE),"-")</f>
        <v>9.731316128988297</v>
      </c>
      <c r="Y84" s="360"/>
      <c r="Z84" s="360"/>
      <c r="AA84" s="359">
        <f>IF(IFERROR(VLOOKUP(A84,[1]ARS!A:EL,MATCH("Gross Margin, Percent",[1]ARS!$4:$4,0),FALSE)/100,"-")&lt;0,"-",IFERROR(VLOOKUP(A84,[1]ARS!A:EL,MATCH("Gross Margin, Percent",[1]ARS!$4:$4,0),FALSE)/100,"-"))</f>
        <v>0.38209650000000006</v>
      </c>
      <c r="AB84" s="359"/>
      <c r="AC84" s="359"/>
      <c r="AD84" s="359">
        <f>IF(IFERROR(VLOOKUP(A84,[1]ARS!A:EL,MATCH("Operating Margin, Percent",[1]ARS!$4:$4,0),FALSE)/100,"-")&lt;0,"-",IFERROR(VLOOKUP(A84,[1]ARS!A:EL,MATCH("Operating Margin, Percent",[1]ARS!$4:$4,0),FALSE)/100,"-"))</f>
        <v>0.15149869999999999</v>
      </c>
      <c r="AE84" s="359"/>
      <c r="AF84" s="359"/>
      <c r="AG84" s="359">
        <f>IF(IFERROR(VLOOKUP(A84,[1]ARS!A:EL,MATCH("Net Profit Margin",[1]ARS!$4:$4,0),FALSE),"-")&lt;0,"-",IFERROR(VLOOKUP(A84,[1]ARS!A:EL,MATCH("Net Profit Margin",[1]ARS!$4:$4,0),FALSE),"-"))</f>
        <v>0.13845941713643076</v>
      </c>
      <c r="AH84" s="359"/>
      <c r="AI84" s="359"/>
      <c r="AJ84" s="359">
        <f>IFERROR(VLOOKUP(A84,[1]ARS!A:EL,MATCH("FCF/Revenue",[1]ARS!$4:$4,0),FALSE),"-")</f>
        <v>9.4853595521753875E-2</v>
      </c>
      <c r="AK84" s="359"/>
      <c r="AL84" s="359"/>
      <c r="AM84" s="359">
        <f>IFERROR(IF(VLOOKUP(A84,[1]ARS!A:EL,MATCH("ROE",[1]ARS!$4:$4,0),FALSE)&lt;-5,"-",VLOOKUP(A84,[1]ARS!A:EL,MATCH("ROE",[1]ARS!$4:$4,0),FALSE)),"-")</f>
        <v>0.55990520135104116</v>
      </c>
      <c r="AN84" s="359"/>
      <c r="AO84" s="359"/>
      <c r="AP84" s="359">
        <f>IFERROR(VLOOKUP(A84,[1]ARS!A:EL,MATCH("ROA",[1]ARS!$4:$4,0),FALSE),"-")</f>
        <v>0.26511271172454126</v>
      </c>
      <c r="AQ84" s="359"/>
      <c r="AR84" s="359"/>
      <c r="AS84" s="101">
        <f>+VLOOKUP(A84,[1]ARS!$A$5:$EL$85,MATCH("Last Q y/y",[1]ARS!$4:$4,0),FALSE)</f>
        <v>1.3065886608012103</v>
      </c>
      <c r="AT84" s="101">
        <f>+VLOOKUP(A84,[1]ARS!$A$5:$EL$99,MATCH("Last 5 yrs - Annual",[1]ARS!$4:$4,0),FALSE)</f>
        <v>1.0966277302059437</v>
      </c>
      <c r="AU84" s="102">
        <f>+VLOOKUP(A84,[1]ARS!$A$5:$EL$84,MATCH("Desvio",[1]ARS!$4:$4,0),FALSE)</f>
        <v>2.3190450484311023</v>
      </c>
      <c r="AV84" s="103">
        <f>+IFERROR(VLOOKUP(A84,'[1]Prom. Vtas Ult 5 años'!$A$3:$D$81,3,FALSE),"-")</f>
        <v>37.859548421052629</v>
      </c>
      <c r="AW84" s="101">
        <f>+IFERROR(VLOOKUP(A84,'[1]Prom. Vtas Ult 5 años'!$A$3:$D$81,4,FALSE),"-")</f>
        <v>7.1452393530924159</v>
      </c>
      <c r="AX84" s="350">
        <f>IFERROR((VLOOKUP(A84,[1]ARS!A:EL,MATCH("Enterprise Value (Daily Time Series)",[1]ARS!$4:$4,0),FALSE)/1000000000),"-")</f>
        <v>32.8702934346001</v>
      </c>
      <c r="AY84" s="350"/>
      <c r="AZ84" s="350"/>
      <c r="BA84" s="350">
        <f>IFERROR((VLOOKUP(A84,[1]ARS!A:EL,MATCH("Company Market Cap",[1]ARS!$4:$4,0),FALSE)/1000000000),"-")</f>
        <v>32.389234707999996</v>
      </c>
      <c r="BB84" s="350"/>
      <c r="BC84" s="350"/>
      <c r="BD84" s="350">
        <f>IF(VLOOKUP(A84,[1]ARS!A:EL,MATCH("Enterprise Value To EBITDA (Daily Time Series Ratio)",[1]ARS!$4:$4,0),FALSE)="NULL","-",VLOOKUP(A84,[1]ARS!A:EL,MATCH("Enterprise Value To EBITDA (Daily Time Series Ratio)",[1]ARS!$4:$4,0),FALSE))</f>
        <v>20.721926848014899</v>
      </c>
      <c r="BE84" s="350"/>
      <c r="BF84" s="350"/>
      <c r="BG84" s="350">
        <f>IF(OR(IFERROR(VLOOKUP(A84,[1]ARS!A:EL,MATCH("Price To Tangible Book Value",[1]ARS!$4:$4,0),FALSE),"-")&lt;0,IFERROR(VLOOKUP(A84,[1]ARS!A:EL,MATCH("Price To Tangible Book Value",[1]ARS!$4:$4,0),FALSE),"-")&gt;100),"-",IFERROR(VLOOKUP(A84,[1]ARS!A:EL,MATCH("Price To Tangible Book Value",[1]ARS!$4:$4,0),FALSE),"-"))</f>
        <v>17.254815508741036</v>
      </c>
      <c r="BH84" s="350"/>
      <c r="BI84" s="350"/>
      <c r="BJ84" s="350">
        <f>IF(OR(IFERROR(VLOOKUP(A84,[1]ARS!A:EL,MATCH("P/E (Daily Time Series Ratio)",[1]ARS!$4:$4,0),FALSE),"-")&lt;0,IFERROR(VLOOKUP(A84,[1]ARS!A:EL,MATCH("P/E (Daily Time Series Ratio)",[1]ARS!$4:$4,0),FALSE),"-")&gt;500),"-",IFERROR(VLOOKUP(A84,[1]ARS!A:EL,MATCH("P/E (Daily Time Series Ratio)",[1]ARS!$4:$4,0),FALSE),"-"))</f>
        <v>36.438452175944597</v>
      </c>
      <c r="BK84" s="350"/>
      <c r="BL84" s="350"/>
      <c r="BM84" s="350">
        <f>IF(OR(IFERROR(VLOOKUP(A84,[1]ARS!A:EC,MATCH("Price To Sales",[1]ARS!$4:$4,0),FALSE),"-")&lt;0,IFERROR(VLOOKUP(A84,[1]ARS!A:EC,MATCH("Price To Sales",[1]ARS!$4:$4,0),FALSE),"-")&gt;100),"-",IFERROR(VLOOKUP(A84,[1]ARS!A:EC,MATCH("Price To Sales",[1]ARS!$4:$4,0),FALSE),"-"))</f>
        <v>4.8000110620713627</v>
      </c>
      <c r="BN84" s="350"/>
      <c r="BO84" s="350"/>
      <c r="BP84" s="350">
        <f>+IFERROR(IF(VLOOKUP(A84,[1]ARS!A:EO,MATCH("Price to Free Cash Flow",[1]ARS!$4:$4,0),FALSE)="NULL","-",VLOOKUP(A84,[1]ARS!A:EO,MATCH("Price to Free Cash Flow",[1]ARS!$4:$4,0),FALSE)),"-")</f>
        <v>35.077327105599998</v>
      </c>
      <c r="BQ84" s="350"/>
      <c r="BR84" s="351"/>
      <c r="BS84" s="104">
        <f>IF(VLOOKUP(A84,[1]ARS!A:EE,MATCH("Daily Beta - 180 Day",[1]ARS!$4:$4,0),FALSE)="NULL","-",VLOOKUP(A84,[1]ARS!A:EE,MATCH("Daily Beta - 180 Day",[1]ARS!$4:$4,0),FALSE))</f>
        <v>1.0405270672789899</v>
      </c>
      <c r="BT84" s="101">
        <f>+VLOOKUP(A84,[1]ARS!$A:$EH,MATCH("Volatilidad histórica",[1]ARS!$4:$4,0),FALSE)</f>
        <v>0.45664717544476791</v>
      </c>
      <c r="BU84" s="105">
        <f>+VLOOKUP(A84,[1]ARS!$A$5:$EM$85,MATCH("Rto Medio",[1]ARS!$4:$4,0),FALSE)</f>
        <v>0.25407316945688052</v>
      </c>
      <c r="BV84" s="106">
        <f>+IF(VLOOKUP(Template!A84,[1]ARS!A:AA,MATCH("Period End Date",[1]ARS!$3:$3,0),FALSE)="","-",VLOOKUP(Template!A84,[1]ARS!A:AA,MATCH("Period End Date",[1]ARS!$3:$3,0),FALSE))</f>
        <v>43008</v>
      </c>
      <c r="BW84" s="46" t="str">
        <f t="shared" si="21"/>
        <v>JMIN</v>
      </c>
      <c r="BX84" s="4"/>
      <c r="BY84" s="119" t="s">
        <v>114</v>
      </c>
      <c r="BZ84" s="48">
        <v>2.959984193303661</v>
      </c>
      <c r="CA84" s="48">
        <v>11.73086585678414</v>
      </c>
      <c r="CB84" s="48">
        <v>26.169616839087507</v>
      </c>
      <c r="CD84" s="119" t="s">
        <v>114</v>
      </c>
      <c r="CE84" s="129">
        <v>2.959984193303661</v>
      </c>
      <c r="CF84" s="119">
        <v>11.73086585678414</v>
      </c>
      <c r="CG84" s="119">
        <v>26.169616839087507</v>
      </c>
      <c r="CN84" s="121"/>
    </row>
    <row r="85" spans="1:92" s="120" customFormat="1" ht="11.25" customHeight="1" x14ac:dyDescent="0.2">
      <c r="A85" s="352" t="s">
        <v>61</v>
      </c>
      <c r="B85" s="353"/>
      <c r="C85" s="354"/>
      <c r="D85" s="355"/>
      <c r="E85" s="108"/>
      <c r="F85" s="347">
        <f>AVERAGE(F77:H84)</f>
        <v>1.7600345375019999</v>
      </c>
      <c r="G85" s="348"/>
      <c r="H85" s="349"/>
      <c r="I85" s="347">
        <f>AVERAGE(I77:K84)</f>
        <v>5.6127032920661133</v>
      </c>
      <c r="J85" s="348"/>
      <c r="K85" s="349"/>
      <c r="L85" s="347">
        <f>AVERAGE(L77:N84)</f>
        <v>1.2397475000000002</v>
      </c>
      <c r="M85" s="348"/>
      <c r="N85" s="349"/>
      <c r="O85" s="347">
        <f>AVERAGE(O77:Q84)</f>
        <v>0.69159874999999993</v>
      </c>
      <c r="P85" s="348"/>
      <c r="Q85" s="349"/>
      <c r="R85" s="356">
        <f>AVERAGE(R77:T84)</f>
        <v>1.3663517466341406E-2</v>
      </c>
      <c r="S85" s="357"/>
      <c r="T85" s="358"/>
      <c r="U85" s="347">
        <f>AVERAGE(U77:W84)</f>
        <v>1.6057483485821262</v>
      </c>
      <c r="V85" s="348"/>
      <c r="W85" s="349"/>
      <c r="X85" s="347">
        <f>AVERAGE(X77:Z84)</f>
        <v>111.32012591367832</v>
      </c>
      <c r="Y85" s="348"/>
      <c r="Z85" s="349"/>
      <c r="AA85" s="344">
        <f>AVERAGE(AA77:AC84)</f>
        <v>0.24761507499999999</v>
      </c>
      <c r="AB85" s="345"/>
      <c r="AC85" s="346"/>
      <c r="AD85" s="344">
        <f>AVERAGE(AD77:AF84)</f>
        <v>0.12484751666666667</v>
      </c>
      <c r="AE85" s="345"/>
      <c r="AF85" s="346"/>
      <c r="AG85" s="344">
        <f>AVERAGE(AG77:AI84)</f>
        <v>7.7108783033840125E-2</v>
      </c>
      <c r="AH85" s="345"/>
      <c r="AI85" s="346"/>
      <c r="AJ85" s="344">
        <f>AVERAGE(AJ77:AL84)</f>
        <v>1.1106484223088409E-2</v>
      </c>
      <c r="AK85" s="345"/>
      <c r="AL85" s="346"/>
      <c r="AM85" s="344">
        <f>AVERAGE(AM77:AO84)</f>
        <v>4.3605153241848368E-2</v>
      </c>
      <c r="AN85" s="345"/>
      <c r="AO85" s="346"/>
      <c r="AP85" s="344">
        <f>AVERAGE(AP77:AR84)</f>
        <v>1.3455911885394217E-2</v>
      </c>
      <c r="AQ85" s="345"/>
      <c r="AR85" s="346"/>
      <c r="AS85" s="109">
        <f>AVERAGE(AS77:AS84)</f>
        <v>19.388496478177995</v>
      </c>
      <c r="AT85" s="109">
        <f>AVERAGE(AT77:AT84)</f>
        <v>1.5028097972839773</v>
      </c>
      <c r="AU85" s="110">
        <f>AVERAGE(AU77:AU84)</f>
        <v>9.3475915048794338</v>
      </c>
      <c r="AV85" s="111">
        <f>AVERAGE(AV77:AV84)</f>
        <v>18.485954393143476</v>
      </c>
      <c r="AW85" s="109">
        <f>AVERAGE(AW77:AW84)</f>
        <v>47.161075683143984</v>
      </c>
      <c r="AX85" s="341">
        <f>+AVERAGE(AX77:AZ84)</f>
        <v>22.084706486493147</v>
      </c>
      <c r="AY85" s="342"/>
      <c r="AZ85" s="343"/>
      <c r="BA85" s="341">
        <f>+AVERAGE(BA77:BC84)</f>
        <v>19.996911506826248</v>
      </c>
      <c r="BB85" s="342"/>
      <c r="BC85" s="343"/>
      <c r="BD85" s="341">
        <f>+AVERAGE(BD77:BF84)</f>
        <v>13.732654079901087</v>
      </c>
      <c r="BE85" s="342"/>
      <c r="BF85" s="343"/>
      <c r="BG85" s="341">
        <f>+AVERAGE(BG77:BI84)</f>
        <v>9.9076802423531625</v>
      </c>
      <c r="BH85" s="342"/>
      <c r="BI85" s="343"/>
      <c r="BJ85" s="341">
        <f>+AVERAGE(BJ77:BL84)</f>
        <v>48.61454000045012</v>
      </c>
      <c r="BK85" s="342"/>
      <c r="BL85" s="343"/>
      <c r="BM85" s="341">
        <f>+AVERAGE(BM77:BO84)</f>
        <v>1.8008722282394862</v>
      </c>
      <c r="BN85" s="342"/>
      <c r="BO85" s="343"/>
      <c r="BP85" s="341">
        <f>+AVERAGE(BP77:BR84)</f>
        <v>51.877806024100003</v>
      </c>
      <c r="BQ85" s="342"/>
      <c r="BR85" s="343"/>
      <c r="BS85" s="112">
        <f>+AVERAGE(BS77:BS84)</f>
        <v>0.73661563640371064</v>
      </c>
      <c r="BT85" s="109">
        <f>AVERAGE(BT77:BT84)</f>
        <v>0.55946507026649694</v>
      </c>
      <c r="BU85" s="109">
        <f>AVERAGE(BU77:BU84)</f>
        <v>5.1767917892215132E-2</v>
      </c>
      <c r="BV85" s="113"/>
      <c r="BW85" s="113"/>
      <c r="BX85" s="4"/>
      <c r="BY85" s="119"/>
      <c r="BZ85" s="48"/>
      <c r="CA85" s="48"/>
      <c r="CB85" s="48"/>
      <c r="CD85" s="119"/>
      <c r="CE85" s="129"/>
      <c r="CF85" s="119"/>
      <c r="CG85" s="119"/>
      <c r="CN85" s="121"/>
    </row>
    <row r="86" spans="1:92" s="139" customFormat="1" ht="11.25" customHeight="1" x14ac:dyDescent="0.2">
      <c r="A86" s="88" t="s">
        <v>115</v>
      </c>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c r="AQ86" s="88"/>
      <c r="AR86" s="88"/>
      <c r="AS86" s="88"/>
      <c r="AT86" s="88"/>
      <c r="AU86" s="88"/>
      <c r="AV86" s="88"/>
      <c r="AW86" s="90"/>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91"/>
      <c r="BW86" s="92"/>
      <c r="BX86" s="93"/>
      <c r="BY86" s="123"/>
      <c r="BZ86" s="95"/>
      <c r="CA86" s="138"/>
      <c r="CB86" s="96"/>
      <c r="CD86" s="119"/>
      <c r="CE86" s="129"/>
      <c r="CF86" s="119"/>
      <c r="CG86" s="119"/>
      <c r="CN86" s="140"/>
    </row>
    <row r="87" spans="1:92" s="142" customFormat="1" ht="11.25" customHeight="1" x14ac:dyDescent="0.2">
      <c r="A87" s="288" t="str">
        <f>BY87</f>
        <v>CEPU</v>
      </c>
      <c r="B87" s="288"/>
      <c r="C87" s="289">
        <f>+VLOOKUP(A87,[1]ARS!A:EL,MATCH("Last",[1]ARS!$4:$4,0),FALSE)</f>
        <v>36.200000000000003</v>
      </c>
      <c r="D87" s="289"/>
      <c r="E87" s="117">
        <f>+VLOOKUP(A87,'[1]Market Cap'!I:J,2,FALSE)</f>
        <v>1</v>
      </c>
      <c r="F87" s="290">
        <f>IFERROR(IF(VLOOKUP(A87,[1]ARS!A:EL,MATCH("Total Debt To Total Equity, Percent FQ0",[1]ARS!$4:$4,0),FALSE)="NULL",IF(VLOOKUP(A87,[1]ARS!A:EL,MATCH("Total Debt To Total Equity, Percent FQ-1",[1]ARS!$4:$4,0),FALSE)="NULL","-",VLOOKUP(A87,[1]ARS!A:EL,MATCH("Total Debt To Total Equity, Percent FQ-1",[1]ARS!$4:$4,0))),VLOOKUP(A87,[1]ARS!A:EL,MATCH("Total Debt To Total Equity, Percent FQ0",[1]ARS!$4:$4,0),FALSE))/100,"-")</f>
        <v>0.52284260820999995</v>
      </c>
      <c r="G87" s="291"/>
      <c r="H87" s="292"/>
      <c r="I87" s="281">
        <f>IFERROR(VLOOKUP(A87,[1]ARS!A:EC,MATCH("Financial Leverage",[1]ARS!$4:$4,0),FALSE),"-")</f>
        <v>2.3693311665945402</v>
      </c>
      <c r="J87" s="281"/>
      <c r="K87" s="281"/>
      <c r="L87" s="282">
        <f>+IFERROR(IF(VLOOKUP(A87,[1]ARS!A:EL,MATCH("Curr Ratio FQ0",[1]ARS!$4:$4,0),FALSE)="NULL",IF(VLOOKUP(A87,[1]ARS!A:EL,MATCH("Curr Ratio FQ-1",[1]ARS!$4:$4,0),FALSE)="NULL","-",VLOOKUP(A87,[1]ARS!A:EL,MATCH("Curr Ratio FQ-1",[1]ARS!$4:$4,0),FALSE)),VLOOKUP(A87,[1]ARS!A:EL,MATCH("Curr Ratio FQ0",[1]ARS!$4:$4,0),FALSE)),"-")</f>
        <v>0.98853000000000002</v>
      </c>
      <c r="M87" s="293"/>
      <c r="N87" s="294"/>
      <c r="O87" s="282">
        <f>+IFERROR(IF(VLOOKUP(A87,[1]ARS!A:EL,MATCH("Quick Ratio FQ0",[1]ARS!$4:$4,0),FALSE)="NULL",IF(VLOOKUP(A87,[1]ARS!A:EL,MATCH("Quick Ratio FQ-1",[1]ARS!$4:$4,0),FALSE)="NULL","-",VLOOKUP(A87,[1]ARS!A:EL,MATCH("Quick Ratio FQ-1",[1]ARS!$4:$4,0),FALSE)),VLOOKUP(A87,[1]ARS!A:EL,MATCH("Quick Ratio FQ0",[1]ARS!$4:$4,0),FALSE)),"-")</f>
        <v>0.95343</v>
      </c>
      <c r="P87" s="293"/>
      <c r="Q87" s="294"/>
      <c r="R87" s="295" t="str">
        <f>+IFERROR(IF(VLOOKUP(A87,[1]ARS!$A:$EL,MATCH("Dividend yield",[1]ARS!$4:$4,0),FALSE)="NULL","-",VLOOKUP(A87,[1]ARS!$A:$EL,MATCH("Dividend Yield",[1]ARS!$4:$4,0),FALSE)/100),"-")</f>
        <v>-</v>
      </c>
      <c r="S87" s="296"/>
      <c r="T87" s="297"/>
      <c r="U87" s="281">
        <f>IF(IFERROR(VLOOKUP(A87,[1]ARS!A:EL,MATCH("Asset Turnover",[1]ARS!$4:$4,0),FALSE),"-")=0,"-",IFERROR(VLOOKUP(A87,[1]ARS!A:EL,MATCH("Asset Turnover",[1]ARS!$4:$4,0),FALSE),"-"))</f>
        <v>0.67702028119496105</v>
      </c>
      <c r="V87" s="281"/>
      <c r="W87" s="281"/>
      <c r="X87" s="284">
        <f>IFERROR(VLOOKUP(A87,[1]ARS!A:EL,MATCH("CCC",[1]ARS!$4:$4,0),FALSE),"-")</f>
        <v>-16.563470884578486</v>
      </c>
      <c r="Y87" s="284"/>
      <c r="Z87" s="284"/>
      <c r="AA87" s="283" t="str">
        <f>IF(IFERROR(VLOOKUP(A87,[1]ARS!A:EL,MATCH("Gross Margin, Percent",[1]ARS!$4:$4,0),FALSE)/100,"-")&lt;0,"-",IFERROR(VLOOKUP(A87,[1]ARS!A:EL,MATCH("Gross Margin, Percent",[1]ARS!$4:$4,0),FALSE)/100,"-"))</f>
        <v>-</v>
      </c>
      <c r="AB87" s="283"/>
      <c r="AC87" s="283"/>
      <c r="AD87" s="283">
        <f>IF(IFERROR(VLOOKUP(A87,[1]ARS!A:EL,MATCH("Operating Margin, Percent",[1]ARS!$4:$4,0),FALSE)/100,"-")&lt;0,"-",IFERROR(VLOOKUP(A87,[1]ARS!A:EL,MATCH("Operating Margin, Percent",[1]ARS!$4:$4,0),FALSE)/100,"-"))</f>
        <v>0.52415290000000003</v>
      </c>
      <c r="AE87" s="283"/>
      <c r="AF87" s="283"/>
      <c r="AG87" s="283">
        <f>IF(IFERROR(VLOOKUP(A87,[1]ARS!A:EL,MATCH("Net Profit Margin",[1]ARS!$4:$4,0),FALSE),"-")&lt;0,"-",IFERROR(VLOOKUP(A87,[1]ARS!A:EL,MATCH("Net Profit Margin",[1]ARS!$4:$4,0),FALSE),"-"))</f>
        <v>0.34363536729637739</v>
      </c>
      <c r="AH87" s="283"/>
      <c r="AI87" s="283"/>
      <c r="AJ87" s="283">
        <f>IFERROR(VLOOKUP(A87,[1]ARS!A:EL,MATCH("FCF/Revenue",[1]ARS!$4:$4,0),FALSE),"-")</f>
        <v>0.33966333776367758</v>
      </c>
      <c r="AK87" s="283"/>
      <c r="AL87" s="283"/>
      <c r="AM87" s="283">
        <f>IFERROR(IF(VLOOKUP(A87,[1]ARS!A:EL,MATCH("ROE",[1]ARS!$4:$4,0),FALSE)&lt;-5,"-",VLOOKUP(A87,[1]ARS!A:EL,MATCH("ROE",[1]ARS!$4:$4,0),FALSE)),"-")</f>
        <v>0.43575805713017979</v>
      </c>
      <c r="AN87" s="283"/>
      <c r="AO87" s="283"/>
      <c r="AP87" s="283">
        <f>IFERROR(VLOOKUP(A87,[1]ARS!A:EL,MATCH("ROA",[1]ARS!$4:$4,0),FALSE),"-")</f>
        <v>0.1861186423375604</v>
      </c>
      <c r="AQ87" s="283"/>
      <c r="AR87" s="283"/>
      <c r="AS87" s="40">
        <f>+VLOOKUP(A87,[1]ARS!$A$5:$EL$85,MATCH("Last Q y/y",[1]ARS!$4:$4,0),FALSE)</f>
        <v>1.6597620155115478</v>
      </c>
      <c r="AT87" s="40">
        <f>+VLOOKUP(A87,[1]ARS!$A$5:$EL$99,MATCH("Last 5 yrs - Annual",[1]ARS!$4:$4,0),FALSE)</f>
        <v>1.6036660828081604</v>
      </c>
      <c r="AU87" s="41">
        <f>+VLOOKUP(A87,[1]ARS!$A$5:$EL$84,MATCH("Desvio",[1]ARS!$4:$4,0),FALSE)</f>
        <v>1.9659483831653026</v>
      </c>
      <c r="AV87" s="42">
        <f>+IFERROR(VLOOKUP(A87,'[1]Prom. Vtas Ult 5 años'!$A$3:$D$81,3,FALSE),"-")</f>
        <v>212.13794736842107</v>
      </c>
      <c r="AW87" s="40">
        <f>+IFERROR(VLOOKUP(A87,'[1]Prom. Vtas Ult 5 años'!$A$3:$D$81,4,FALSE),"-")</f>
        <v>9.9187180455369841</v>
      </c>
      <c r="AX87" s="281">
        <f>IFERROR((VLOOKUP(A87,[1]ARS!A:EL,MATCH("Enterprise Value (Daily Time Series)",[1]ARS!$4:$4,0),FALSE)/1000000000),"-")</f>
        <v>53.686866704000003</v>
      </c>
      <c r="AY87" s="281"/>
      <c r="AZ87" s="281"/>
      <c r="BA87" s="281">
        <f>IFERROR((VLOOKUP(A87,[1]ARS!A:EL,MATCH("Company Market Cap",[1]ARS!$4:$4,0),FALSE)/1000000000),"-")</f>
        <v>51.628158929599998</v>
      </c>
      <c r="BB87" s="281"/>
      <c r="BC87" s="281"/>
      <c r="BD87" s="281">
        <f>IF(VLOOKUP(A87,[1]ARS!A:EL,MATCH("Enterprise Value To EBITDA (Daily Time Series Ratio)",[1]ARS!$4:$4,0),FALSE)="NULL","-",VLOOKUP(A87,[1]ARS!A:EL,MATCH("Enterprise Value To EBITDA (Daily Time Series Ratio)",[1]ARS!$4:$4,0),FALSE))</f>
        <v>15.813272526392099</v>
      </c>
      <c r="BE87" s="281"/>
      <c r="BF87" s="281"/>
      <c r="BG87" s="281">
        <f>IF(OR(IFERROR(VLOOKUP(A87,[1]ARS!A:EL,MATCH("Price To Tangible Book Value",[1]ARS!$4:$4,0),FALSE),"-")&lt;0,IFERROR(VLOOKUP(A87,[1]ARS!A:EL,MATCH("Price To Tangible Book Value",[1]ARS!$4:$4,0),FALSE),"-")&gt;100),"-",IFERROR(VLOOKUP(A87,[1]ARS!A:EL,MATCH("Price To Tangible Book Value",[1]ARS!$4:$4,0),FALSE),"-"))</f>
        <v>9.465355879198464</v>
      </c>
      <c r="BH87" s="281"/>
      <c r="BI87" s="281"/>
      <c r="BJ87" s="281">
        <f>IF(OR(IFERROR(VLOOKUP(A87,[1]ARS!A:EL,MATCH("P/E (Daily Time Series Ratio)",[1]ARS!$4:$4,0),FALSE),"-")&lt;0,IFERROR(VLOOKUP(A87,[1]ARS!A:EL,MATCH("P/E (Daily Time Series Ratio)",[1]ARS!$4:$4,0),FALSE),"-")&gt;500),"-",IFERROR(VLOOKUP(A87,[1]ARS!A:EL,MATCH("P/E (Daily Time Series Ratio)",[1]ARS!$4:$4,0),FALSE),"-"))</f>
        <v>22.358790648837285</v>
      </c>
      <c r="BK87" s="281"/>
      <c r="BL87" s="281"/>
      <c r="BM87" s="281">
        <f>IF(OR(IFERROR(VLOOKUP(A87,[1]ARS!A:EC,MATCH("Price To Sales",[1]ARS!$4:$4,0),FALSE),"-")&lt;0,IFERROR(VLOOKUP(A87,[1]ARS!A:EC,MATCH("Price To Sales",[1]ARS!$4:$4,0),FALSE),"-")&gt;100),"-",IFERROR(VLOOKUP(A87,[1]ARS!A:EC,MATCH("Price To Sales",[1]ARS!$4:$4,0),FALSE),"-"))</f>
        <v>7.2375440102806792</v>
      </c>
      <c r="BN87" s="281"/>
      <c r="BO87" s="281"/>
      <c r="BP87" s="281">
        <f>+IFERROR(IF(VLOOKUP(A87,[1]ARS!A:EO,MATCH("Price to Free Cash Flow",[1]ARS!$4:$4,0),FALSE)="NULL","-",VLOOKUP(A87,[1]ARS!A:EO,MATCH("Price to Free Cash Flow",[1]ARS!$4:$4,0),FALSE)),"-")</f>
        <v>48.378046095499997</v>
      </c>
      <c r="BQ87" s="281"/>
      <c r="BR87" s="282"/>
      <c r="BS87" s="43">
        <f>IF(VLOOKUP(A87,[1]ARS!A:EE,MATCH("Daily Beta - 180 Day",[1]ARS!$4:$4,0),FALSE)="NULL","-",VLOOKUP(A87,[1]ARS!A:EE,MATCH("Daily Beta - 180 Day",[1]ARS!$4:$4,0),FALSE))</f>
        <v>1.24063625183304</v>
      </c>
      <c r="BT87" s="40">
        <f>+VLOOKUP(A87,[1]ARS!$A:$EH,MATCH("Volatilidad histórica",[1]ARS!$4:$4,0),FALSE)</f>
        <v>0.42237818621530399</v>
      </c>
      <c r="BU87" s="44">
        <f>+VLOOKUP(A87,[1]ARS!$A$5:$EM$85,MATCH("Rto Medio",[1]ARS!$4:$4,0),FALSE)</f>
        <v>0.27738602024053005</v>
      </c>
      <c r="BV87" s="45">
        <f>+IF(VLOOKUP(Template!A87,[1]ARS!A:AA,MATCH("Period End Date",[1]ARS!$3:$3,0),FALSE)="","-",VLOOKUP(Template!A87,[1]ARS!A:AA,MATCH("Period End Date",[1]ARS!$3:$3,0),FALSE))</f>
        <v>43008</v>
      </c>
      <c r="BW87" s="46" t="str">
        <f t="shared" ref="BW87:BW96" si="22">+BY87</f>
        <v>CEPU</v>
      </c>
      <c r="BX87" s="4"/>
      <c r="BY87" s="141" t="s">
        <v>116</v>
      </c>
      <c r="BZ87" s="48">
        <v>0.85668447573831064</v>
      </c>
      <c r="CA87" s="48">
        <v>0.92757035253730569</v>
      </c>
      <c r="CB87" s="48">
        <v>22.304081569212595</v>
      </c>
      <c r="CC87" s="128"/>
      <c r="CD87" s="123" t="s">
        <v>116</v>
      </c>
      <c r="CE87" s="123">
        <v>0.85668447573831064</v>
      </c>
      <c r="CF87" s="123">
        <v>0.92757035253730569</v>
      </c>
      <c r="CG87" s="123">
        <v>22.304081569212595</v>
      </c>
      <c r="CN87" s="143"/>
    </row>
    <row r="88" spans="1:92" s="142" customFormat="1" ht="11.25" customHeight="1" x14ac:dyDescent="0.2">
      <c r="A88" s="330" t="str">
        <f t="shared" ref="A88:A96" si="23">BY88</f>
        <v>METR</v>
      </c>
      <c r="B88" s="330"/>
      <c r="C88" s="331">
        <f>+VLOOKUP(A88,[1]ARS!A:EL,MATCH("Last",[1]ARS!$4:$4,0),FALSE)</f>
        <v>72.95</v>
      </c>
      <c r="D88" s="331"/>
      <c r="E88" s="133">
        <f>+VLOOKUP(A88,'[1]Market Cap'!I:J,2,FALSE)</f>
        <v>1</v>
      </c>
      <c r="F88" s="332">
        <f>IFERROR(IF(VLOOKUP(A88,[1]ARS!A:EL,MATCH("Total Debt To Total Equity, Percent FQ0",[1]ARS!$4:$4,0),FALSE)="NULL",IF(VLOOKUP(A88,[1]ARS!A:EL,MATCH("Total Debt To Total Equity, Percent FQ-1",[1]ARS!$4:$4,0),FALSE)="NULL","-",VLOOKUP(A88,[1]ARS!A:EL,MATCH("Total Debt To Total Equity, Percent FQ-1",[1]ARS!$4:$4,0))),VLOOKUP(A88,[1]ARS!A:EL,MATCH("Total Debt To Total Equity, Percent FQ0",[1]ARS!$4:$4,0),FALSE))/100,"-")</f>
        <v>0.38716100597999997</v>
      </c>
      <c r="G88" s="332"/>
      <c r="H88" s="332"/>
      <c r="I88" s="324">
        <f>IFERROR(VLOOKUP(A88,[1]ARS!A:EC,MATCH("Financial Leverage",[1]ARS!$4:$4,0),FALSE),"-")</f>
        <v>2.5954048115837764</v>
      </c>
      <c r="J88" s="324"/>
      <c r="K88" s="324"/>
      <c r="L88" s="325">
        <f>+IFERROR(IF(VLOOKUP(A88,[1]ARS!A:EL,MATCH("Curr Ratio FQ0",[1]ARS!$4:$4,0),FALSE)="NULL",IF(VLOOKUP(A88,[1]ARS!A:EL,MATCH("Curr Ratio FQ-1",[1]ARS!$4:$4,0),FALSE)="NULL","-",VLOOKUP(A88,[1]ARS!A:EL,MATCH("Curr Ratio FQ-1",[1]ARS!$4:$4,0),FALSE)),VLOOKUP(A88,[1]ARS!A:EL,MATCH("Curr Ratio FQ0",[1]ARS!$4:$4,0),FALSE)),"-")</f>
        <v>0.97331000000000001</v>
      </c>
      <c r="M88" s="333"/>
      <c r="N88" s="334"/>
      <c r="O88" s="325">
        <f>+IFERROR(IF(VLOOKUP(A88,[1]ARS!A:EL,MATCH("Quick Ratio FQ0",[1]ARS!$4:$4,0),FALSE)="NULL",IF(VLOOKUP(A88,[1]ARS!A:EL,MATCH("Quick Ratio FQ-1",[1]ARS!$4:$4,0),FALSE)="NULL","-",VLOOKUP(A88,[1]ARS!A:EL,MATCH("Quick Ratio FQ-1",[1]ARS!$4:$4,0),FALSE)),VLOOKUP(A88,[1]ARS!A:EL,MATCH("Quick Ratio FQ0",[1]ARS!$4:$4,0),FALSE)),"-")</f>
        <v>0.97282000000000002</v>
      </c>
      <c r="P88" s="333"/>
      <c r="Q88" s="334"/>
      <c r="R88" s="335" t="str">
        <f>+IFERROR(IF(VLOOKUP(A88,[1]ARS!$A:$EL,MATCH("Dividend yield",[1]ARS!$4:$4,0),FALSE)="NULL","-",VLOOKUP(A88,[1]ARS!$A:$EL,MATCH("Dividend Yield",[1]ARS!$4:$4,0),FALSE)/100),"-")</f>
        <v>-</v>
      </c>
      <c r="S88" s="336"/>
      <c r="T88" s="337"/>
      <c r="U88" s="324">
        <f>IF(IFERROR(VLOOKUP(A88,[1]ARS!A:EL,MATCH("Asset Turnover",[1]ARS!$4:$4,0),FALSE),"-")=0,"-",IFERROR(VLOOKUP(A88,[1]ARS!A:EL,MATCH("Asset Turnover",[1]ARS!$4:$4,0),FALSE),"-"))</f>
        <v>1.066661375211815</v>
      </c>
      <c r="V88" s="324"/>
      <c r="W88" s="324"/>
      <c r="X88" s="328">
        <f>IFERROR(VLOOKUP(A88,[1]ARS!A:EL,MATCH("CCC",[1]ARS!$4:$4,0),FALSE),"-")</f>
        <v>-71.778192774560466</v>
      </c>
      <c r="Y88" s="328"/>
      <c r="Z88" s="328"/>
      <c r="AA88" s="327" t="str">
        <f>IF(IFERROR(VLOOKUP(A88,[1]ARS!A:EL,MATCH("Gross Margin, Percent",[1]ARS!$4:$4,0),FALSE)/100,"-")&lt;0,"-",IFERROR(VLOOKUP(A88,[1]ARS!A:EL,MATCH("Gross Margin, Percent",[1]ARS!$4:$4,0),FALSE)/100,"-"))</f>
        <v>-</v>
      </c>
      <c r="AB88" s="327"/>
      <c r="AC88" s="327"/>
      <c r="AD88" s="327">
        <f>IF(IFERROR(VLOOKUP(A88,[1]ARS!A:EL,MATCH("Operating Margin, Percent",[1]ARS!$4:$4,0),FALSE)/100,"-")&lt;0,"-",IFERROR(VLOOKUP(A88,[1]ARS!A:EL,MATCH("Operating Margin, Percent",[1]ARS!$4:$4,0),FALSE)/100,"-"))</f>
        <v>4.6944800000000002E-2</v>
      </c>
      <c r="AE88" s="327"/>
      <c r="AF88" s="327"/>
      <c r="AG88" s="327">
        <f>IF(IFERROR(VLOOKUP(A88,[1]ARS!A:EL,MATCH("Net Profit Margin",[1]ARS!$4:$4,0),FALSE),"-")&lt;0,"-",IFERROR(VLOOKUP(A88,[1]ARS!A:EL,MATCH("Net Profit Margin",[1]ARS!$4:$4,0),FALSE),"-"))</f>
        <v>0.11269046778985288</v>
      </c>
      <c r="AH88" s="327"/>
      <c r="AI88" s="327"/>
      <c r="AJ88" s="327">
        <f>IFERROR(VLOOKUP(A88,[1]ARS!A:EL,MATCH("FCF/Revenue",[1]ARS!$4:$4,0),FALSE),"-")</f>
        <v>0.101531481842494</v>
      </c>
      <c r="AK88" s="327"/>
      <c r="AL88" s="327"/>
      <c r="AM88" s="329">
        <f>IFERROR(IF(VLOOKUP(A88,[1]ARS!A:EL,MATCH("ROE",[1]ARS!$4:$4,0),FALSE)&lt;-5,"-",VLOOKUP(A88,[1]ARS!A:EL,MATCH("ROE",[1]ARS!$4:$4,0),FALSE)),"-")</f>
        <v>0.3878299633327319</v>
      </c>
      <c r="AN88" s="329"/>
      <c r="AO88" s="329"/>
      <c r="AP88" s="327">
        <f>IFERROR(VLOOKUP(A88,[1]ARS!A:EL,MATCH("ROA",[1]ARS!$4:$4,0),FALSE),"-")</f>
        <v>9.616213118057361E-2</v>
      </c>
      <c r="AQ88" s="327"/>
      <c r="AR88" s="327"/>
      <c r="AS88" s="53">
        <f>+VLOOKUP(A88,[1]ARS!$A$5:$EL$85,MATCH("Last Q y/y",[1]ARS!$4:$4,0),FALSE)</f>
        <v>2.5238663775249144</v>
      </c>
      <c r="AT88" s="53">
        <f>+VLOOKUP(A88,[1]ARS!$A$5:$EL$99,MATCH("Last 5 yrs - Annual",[1]ARS!$4:$4,0),FALSE)</f>
        <v>-0.5868847178821236</v>
      </c>
      <c r="AU88" s="54">
        <f>+VLOOKUP(A88,[1]ARS!$A$5:$EL$84,MATCH("Desvio",[1]ARS!$4:$4,0),FALSE)</f>
        <v>2.2351341829567106</v>
      </c>
      <c r="AV88" s="55">
        <f>+IFERROR(VLOOKUP(A88,'[1]Prom. Vtas Ult 5 años'!$A$3:$D$81,3,FALSE),"-")</f>
        <v>-58.355210526315801</v>
      </c>
      <c r="AW88" s="56">
        <f>+IFERROR(VLOOKUP(A88,'[1]Prom. Vtas Ult 5 años'!$A$3:$D$81,4,FALSE),"-")</f>
        <v>12.893589330158409</v>
      </c>
      <c r="AX88" s="324">
        <f>IFERROR((VLOOKUP(A88,[1]ARS!A:EL,MATCH("Enterprise Value (Daily Time Series)",[1]ARS!$4:$4,0),FALSE)/1000000000),"-")</f>
        <v>20.359457800000001</v>
      </c>
      <c r="AY88" s="324"/>
      <c r="AZ88" s="324"/>
      <c r="BA88" s="324">
        <f>IFERROR((VLOOKUP(A88,[1]ARS!A:EL,MATCH("Company Market Cap",[1]ARS!$4:$4,0),FALSE)/1000000000),"-")</f>
        <v>31.373109029999998</v>
      </c>
      <c r="BB88" s="324"/>
      <c r="BC88" s="324"/>
      <c r="BD88" s="324">
        <f>IF(VLOOKUP(A88,[1]ARS!A:EL,MATCH("Enterprise Value To EBITDA (Daily Time Series Ratio)",[1]ARS!$4:$4,0),FALSE)="NULL","-",VLOOKUP(A88,[1]ARS!A:EL,MATCH("Enterprise Value To EBITDA (Daily Time Series Ratio)",[1]ARS!$4:$4,0),FALSE))</f>
        <v>9.1816554117739493</v>
      </c>
      <c r="BE88" s="324"/>
      <c r="BF88" s="324"/>
      <c r="BG88" s="324">
        <f>IF(OR(IFERROR(VLOOKUP(A88,[1]ARS!A:EL,MATCH("Price To Tangible Book Value",[1]ARS!$4:$4,0),FALSE),"-")&lt;0,IFERROR(VLOOKUP(A88,[1]ARS!A:EL,MATCH("Price To Tangible Book Value",[1]ARS!$4:$4,0),FALSE),"-")&gt;100),"-",IFERROR(VLOOKUP(A88,[1]ARS!A:EL,MATCH("Price To Tangible Book Value",[1]ARS!$4:$4,0),FALSE),"-"))</f>
        <v>3.9806063358578139</v>
      </c>
      <c r="BH88" s="324"/>
      <c r="BI88" s="324"/>
      <c r="BJ88" s="324">
        <f>IF(OR(IFERROR(VLOOKUP(A88,[1]ARS!A:EL,MATCH("P/E (Daily Time Series Ratio)",[1]ARS!$4:$4,0),FALSE),"-")&lt;0,IFERROR(VLOOKUP(A88,[1]ARS!A:EL,MATCH("P/E (Daily Time Series Ratio)",[1]ARS!$4:$4,0),FALSE),"-")&gt;500),"-",IFERROR(VLOOKUP(A88,[1]ARS!A:EL,MATCH("P/E (Daily Time Series Ratio)",[1]ARS!$4:$4,0),FALSE),"-"))</f>
        <v>31.614712217276935</v>
      </c>
      <c r="BK88" s="324"/>
      <c r="BL88" s="324"/>
      <c r="BM88" s="324">
        <f>IF(OR(IFERROR(VLOOKUP(A88,[1]ARS!A:EC,MATCH("Price To Sales",[1]ARS!$4:$4,0),FALSE),"-")&lt;0,IFERROR(VLOOKUP(A88,[1]ARS!A:EC,MATCH("Price To Sales",[1]ARS!$4:$4,0),FALSE),"-")&gt;100),"-",IFERROR(VLOOKUP(A88,[1]ARS!A:EC,MATCH("Price To Sales",[1]ARS!$4:$4,0),FALSE),"-"))</f>
        <v>2.6919392457688316</v>
      </c>
      <c r="BN88" s="324"/>
      <c r="BO88" s="324"/>
      <c r="BP88" s="324">
        <f>+IFERROR(IF(VLOOKUP(A88,[1]ARS!A:EO,MATCH("Price to Free Cash Flow",[1]ARS!$4:$4,0),FALSE)="NULL","-",VLOOKUP(A88,[1]ARS!A:EO,MATCH("Price to Free Cash Flow",[1]ARS!$4:$4,0),FALSE)),"-")</f>
        <v>19.958568942399999</v>
      </c>
      <c r="BQ88" s="324"/>
      <c r="BR88" s="325"/>
      <c r="BS88" s="57">
        <f>IF(VLOOKUP(A88,[1]ARS!A:EE,MATCH("Daily Beta - 180 Day",[1]ARS!$4:$4,0),FALSE)="NULL","-",VLOOKUP(A88,[1]ARS!A:EE,MATCH("Daily Beta - 180 Day",[1]ARS!$4:$4,0),FALSE))</f>
        <v>1.1636386386344899</v>
      </c>
      <c r="BT88" s="53">
        <f>+VLOOKUP(A88,[1]ARS!$A:$EH,MATCH("Volatilidad histórica",[1]ARS!$4:$4,0),FALSE)</f>
        <v>0.58236855021458855</v>
      </c>
      <c r="BU88" s="56">
        <f>+VLOOKUP(A88,[1]ARS!$A$5:$EM$85,MATCH("Rto Medio",[1]ARS!$4:$4,0),FALSE)</f>
        <v>0.24701735055617191</v>
      </c>
      <c r="BV88" s="58">
        <f>+IF(VLOOKUP(Template!A88,[1]ARS!A:AA,MATCH("Period End Date",[1]ARS!$3:$3,0),FALSE)="","-",VLOOKUP(Template!A88,[1]ARS!A:AA,MATCH("Period End Date",[1]ARS!$3:$3,0),FALSE))</f>
        <v>43008</v>
      </c>
      <c r="BW88" s="59" t="str">
        <f t="shared" si="22"/>
        <v>METR</v>
      </c>
      <c r="BX88" s="4"/>
      <c r="BY88" s="141" t="s">
        <v>117</v>
      </c>
      <c r="BZ88" s="48">
        <v>1.4183244843446565</v>
      </c>
      <c r="CA88" s="48">
        <v>1.9696575386549016</v>
      </c>
      <c r="CB88" s="48">
        <v>20.929633498862287</v>
      </c>
      <c r="CC88" s="128"/>
      <c r="CD88" s="119" t="s">
        <v>117</v>
      </c>
      <c r="CE88" s="129">
        <v>1.4183244843446565</v>
      </c>
      <c r="CF88" s="119">
        <v>1.9696575386549016</v>
      </c>
      <c r="CG88" s="119">
        <v>20.929633498862287</v>
      </c>
      <c r="CN88" s="143"/>
    </row>
    <row r="89" spans="1:92" s="142" customFormat="1" ht="11.25" customHeight="1" x14ac:dyDescent="0.2">
      <c r="A89" s="288" t="str">
        <f t="shared" si="23"/>
        <v>PAMP</v>
      </c>
      <c r="B89" s="288"/>
      <c r="C89" s="289">
        <f>+VLOOKUP(A89,[1]ARS!A:EL,MATCH("Last",[1]ARS!$4:$4,0),FALSE)</f>
        <v>49.5</v>
      </c>
      <c r="D89" s="289"/>
      <c r="E89" s="132">
        <f>+VLOOKUP(A89,'[1]Market Cap'!I:J,2,FALSE)</f>
        <v>1</v>
      </c>
      <c r="F89" s="326">
        <f>IFERROR(IF(VLOOKUP(A89,[1]ARS!A:EL,MATCH("Total Debt To Total Equity, Percent FQ0",[1]ARS!$4:$4,0),FALSE)="NULL",IF(VLOOKUP(A89,[1]ARS!A:EL,MATCH("Total Debt To Total Equity, Percent FQ-1",[1]ARS!$4:$4,0),FALSE)="NULL","-",VLOOKUP(A89,[1]ARS!A:EL,MATCH("Total Debt To Total Equity, Percent FQ-1",[1]ARS!$4:$4,0))),VLOOKUP(A89,[1]ARS!A:EL,MATCH("Total Debt To Total Equity, Percent FQ0",[1]ARS!$4:$4,0),FALSE))/100,"-")</f>
        <v>2.65634826357</v>
      </c>
      <c r="G89" s="326"/>
      <c r="H89" s="326"/>
      <c r="I89" s="281">
        <f>IFERROR(VLOOKUP(A89,[1]ARS!A:EC,MATCH("Financial Leverage",[1]ARS!$4:$4,0),FALSE),"-")</f>
        <v>6.609601006218992</v>
      </c>
      <c r="J89" s="281"/>
      <c r="K89" s="281"/>
      <c r="L89" s="282">
        <f>+IFERROR(IF(VLOOKUP(A89,[1]ARS!A:EL,MATCH("Curr Ratio FQ0",[1]ARS!$4:$4,0),FALSE)="NULL",IF(VLOOKUP(A89,[1]ARS!A:EL,MATCH("Curr Ratio FQ-1",[1]ARS!$4:$4,0),FALSE)="NULL","-",VLOOKUP(A89,[1]ARS!A:EL,MATCH("Curr Ratio FQ-1",[1]ARS!$4:$4,0),FALSE)),VLOOKUP(A89,[1]ARS!A:EL,MATCH("Curr Ratio FQ0",[1]ARS!$4:$4,0),FALSE)),"-")</f>
        <v>1.2674300000000001</v>
      </c>
      <c r="M89" s="293"/>
      <c r="N89" s="294"/>
      <c r="O89" s="282">
        <f>+IFERROR(IF(VLOOKUP(A89,[1]ARS!A:EL,MATCH("Quick Ratio FQ0",[1]ARS!$4:$4,0),FALSE)="NULL",IF(VLOOKUP(A89,[1]ARS!A:EL,MATCH("Quick Ratio FQ-1",[1]ARS!$4:$4,0),FALSE)="NULL","-",VLOOKUP(A89,[1]ARS!A:EL,MATCH("Quick Ratio FQ-1",[1]ARS!$4:$4,0),FALSE)),VLOOKUP(A89,[1]ARS!A:EL,MATCH("Quick Ratio FQ0",[1]ARS!$4:$4,0),FALSE)),"-")</f>
        <v>1.1070800000000001</v>
      </c>
      <c r="P89" s="293"/>
      <c r="Q89" s="294"/>
      <c r="R89" s="295">
        <f>+IFERROR(IF(VLOOKUP(A89,[1]ARS!$A:$EL,MATCH("Dividend yield",[1]ARS!$4:$4,0),FALSE)="NULL","-",VLOOKUP(A89,[1]ARS!$A:$EL,MATCH("Dividend Yield",[1]ARS!$4:$4,0),FALSE)/100),"-")</f>
        <v>0</v>
      </c>
      <c r="S89" s="296"/>
      <c r="T89" s="297"/>
      <c r="U89" s="281">
        <f>IF(IFERROR(VLOOKUP(A89,[1]ARS!A:EL,MATCH("Asset Turnover",[1]ARS!$4:$4,0),FALSE),"-")=0,"-",IFERROR(VLOOKUP(A89,[1]ARS!A:EL,MATCH("Asset Turnover",[1]ARS!$4:$4,0),FALSE),"-"))</f>
        <v>0.88464309196344715</v>
      </c>
      <c r="V89" s="281"/>
      <c r="W89" s="281"/>
      <c r="X89" s="284">
        <f>IFERROR(VLOOKUP(A89,[1]ARS!A:EL,MATCH("CCC",[1]ARS!$4:$4,0),FALSE),"-")</f>
        <v>-19.530261209054729</v>
      </c>
      <c r="Y89" s="284"/>
      <c r="Z89" s="284"/>
      <c r="AA89" s="283">
        <f>IF(IFERROR(VLOOKUP(A89,[1]ARS!A:EL,MATCH("Gross Margin, Percent",[1]ARS!$4:$4,0),FALSE)/100,"-")&lt;0,"-",IFERROR(VLOOKUP(A89,[1]ARS!A:EL,MATCH("Gross Margin, Percent",[1]ARS!$4:$4,0),FALSE)/100,"-"))</f>
        <v>0.37092190000000003</v>
      </c>
      <c r="AB89" s="283"/>
      <c r="AC89" s="283"/>
      <c r="AD89" s="283">
        <f>IF(IFERROR(VLOOKUP(A89,[1]ARS!A:EL,MATCH("Operating Margin, Percent",[1]ARS!$4:$4,0),FALSE)/100,"-")&lt;0,"-",IFERROR(VLOOKUP(A89,[1]ARS!A:EL,MATCH("Operating Margin, Percent",[1]ARS!$4:$4,0),FALSE)/100,"-"))</f>
        <v>7.0809999999999998E-2</v>
      </c>
      <c r="AE89" s="283"/>
      <c r="AF89" s="283"/>
      <c r="AG89" s="283">
        <f>IF(IFERROR(VLOOKUP(A89,[1]ARS!A:EL,MATCH("Net Profit Margin",[1]ARS!$4:$4,0),FALSE),"-")&lt;0,"-",IFERROR(VLOOKUP(A89,[1]ARS!A:EL,MATCH("Net Profit Margin",[1]ARS!$4:$4,0),FALSE),"-"))</f>
        <v>6.6629520054657124E-2</v>
      </c>
      <c r="AH89" s="283"/>
      <c r="AI89" s="283"/>
      <c r="AJ89" s="283">
        <f>IFERROR(VLOOKUP(A89,[1]ARS!A:EL,MATCH("FCF/Revenue",[1]ARS!$4:$4,0),FALSE),"-")</f>
        <v>-7.0194512530952255E-2</v>
      </c>
      <c r="AK89" s="283"/>
      <c r="AL89" s="283"/>
      <c r="AM89" s="283">
        <f>IFERROR(IF(VLOOKUP(A89,[1]ARS!A:EL,MATCH("ROE",[1]ARS!$4:$4,0),FALSE)&lt;-5,"-",VLOOKUP(A89,[1]ARS!A:EL,MATCH("ROE",[1]ARS!$4:$4,0),FALSE)),"-")</f>
        <v>0.31922940162907271</v>
      </c>
      <c r="AN89" s="283"/>
      <c r="AO89" s="283"/>
      <c r="AP89" s="283">
        <f>IFERROR(VLOOKUP(A89,[1]ARS!A:EL,MATCH("ROA",[1]ARS!$4:$4,0),FALSE),"-")</f>
        <v>4.7154681575362477E-2</v>
      </c>
      <c r="AQ89" s="283"/>
      <c r="AR89" s="283"/>
      <c r="AS89" s="40">
        <f>+VLOOKUP(A89,[1]ARS!$A$5:$EL$85,MATCH("Last Q y/y",[1]ARS!$4:$4,0),FALSE)</f>
        <v>2.3776824034334765</v>
      </c>
      <c r="AT89" s="40">
        <f>+VLOOKUP(A89,[1]ARS!$A$5:$EL$99,MATCH("Last 5 yrs - Annual",[1]ARS!$4:$4,0),FALSE)</f>
        <v>0.89114384192973295</v>
      </c>
      <c r="AU89" s="41">
        <f>+VLOOKUP(A89,[1]ARS!$A$5:$EL$84,MATCH("Desvio",[1]ARS!$4:$4,0),FALSE)</f>
        <v>1.5830426081016189</v>
      </c>
      <c r="AV89" s="42">
        <f>+IFERROR(VLOOKUP(A89,'[1]Prom. Vtas Ult 5 años'!$A$3:$D$81,3,FALSE),"-")</f>
        <v>337.24035578947365</v>
      </c>
      <c r="AW89" s="40">
        <f>+IFERROR(VLOOKUP(A89,'[1]Prom. Vtas Ult 5 años'!$A$3:$D$81,4,FALSE),"-")</f>
        <v>7.7980800922992808</v>
      </c>
      <c r="AX89" s="281">
        <f>IFERROR((VLOOKUP(A89,[1]ARS!A:EL,MATCH("Enterprise Value (Daily Time Series)",[1]ARS!$4:$4,0),FALSE)/1000000000),"-")</f>
        <v>121.837682907</v>
      </c>
      <c r="AY89" s="281"/>
      <c r="AZ89" s="281"/>
      <c r="BA89" s="281">
        <f>IFERROR((VLOOKUP(A89,[1]ARS!A:EL,MATCH("Company Market Cap",[1]ARS!$4:$4,0),FALSE)/1000000000),"-")</f>
        <v>89.988239809999996</v>
      </c>
      <c r="BB89" s="281"/>
      <c r="BC89" s="281"/>
      <c r="BD89" s="281">
        <f>IF(VLOOKUP(A89,[1]ARS!A:EL,MATCH("Enterprise Value To EBITDA (Daily Time Series Ratio)",[1]ARS!$4:$4,0),FALSE)="NULL","-",VLOOKUP(A89,[1]ARS!A:EL,MATCH("Enterprise Value To EBITDA (Daily Time Series Ratio)",[1]ARS!$4:$4,0),FALSE))</f>
        <v>7.9719242454800598</v>
      </c>
      <c r="BE89" s="281"/>
      <c r="BF89" s="281"/>
      <c r="BG89" s="281">
        <f>IF(OR(IFERROR(VLOOKUP(A89,[1]ARS!A:EL,MATCH("Price To Tangible Book Value",[1]ARS!$4:$4,0),FALSE),"-")&lt;0,IFERROR(VLOOKUP(A89,[1]ARS!A:EL,MATCH("Price To Tangible Book Value",[1]ARS!$4:$4,0),FALSE),"-")&gt;100),"-",IFERROR(VLOOKUP(A89,[1]ARS!A:EL,MATCH("Price To Tangible Book Value",[1]ARS!$4:$4,0),FALSE),"-"))</f>
        <v>7.2559457998709886</v>
      </c>
      <c r="BH89" s="281"/>
      <c r="BI89" s="281"/>
      <c r="BJ89" s="281">
        <f>IF(OR(IFERROR(VLOOKUP(A89,[1]ARS!A:EL,MATCH("P/E (Daily Time Series Ratio)",[1]ARS!$4:$4,0),FALSE),"-")&lt;0,IFERROR(VLOOKUP(A89,[1]ARS!A:EL,MATCH("P/E (Daily Time Series Ratio)",[1]ARS!$4:$4,0),FALSE),"-")&gt;500),"-",IFERROR(VLOOKUP(A89,[1]ARS!A:EL,MATCH("P/E (Daily Time Series Ratio)",[1]ARS!$4:$4,0),FALSE),"-"))</f>
        <v>22.179704897906145</v>
      </c>
      <c r="BK89" s="281"/>
      <c r="BL89" s="281"/>
      <c r="BM89" s="281">
        <f>IF(OR(IFERROR(VLOOKUP(A89,[1]ARS!A:EC,MATCH("Price To Sales",[1]ARS!$4:$4,0),FALSE),"-")&lt;0,IFERROR(VLOOKUP(A89,[1]ARS!A:EC,MATCH("Price To Sales",[1]ARS!$4:$4,0),FALSE),"-")&gt;100),"-",IFERROR(VLOOKUP(A89,[1]ARS!A:EC,MATCH("Price To Sales",[1]ARS!$4:$4,0),FALSE),"-"))</f>
        <v>1.471047458747039</v>
      </c>
      <c r="BN89" s="281"/>
      <c r="BO89" s="281"/>
      <c r="BP89" s="281" t="str">
        <f>+IFERROR(IF(VLOOKUP(A89,[1]ARS!A:EO,MATCH("Price to Free Cash Flow",[1]ARS!$4:$4,0),FALSE)="NULL","-",VLOOKUP(A89,[1]ARS!A:EO,MATCH("Price to Free Cash Flow",[1]ARS!$4:$4,0),FALSE)),"-")</f>
        <v>-</v>
      </c>
      <c r="BQ89" s="281"/>
      <c r="BR89" s="282"/>
      <c r="BS89" s="43">
        <f>IF(VLOOKUP(A89,[1]ARS!A:EE,MATCH("Daily Beta - 180 Day",[1]ARS!$4:$4,0),FALSE)="NULL","-",VLOOKUP(A89,[1]ARS!A:EE,MATCH("Daily Beta - 180 Day",[1]ARS!$4:$4,0),FALSE))</f>
        <v>1.2100846941421</v>
      </c>
      <c r="BT89" s="40">
        <f>+VLOOKUP(A89,[1]ARS!$A:$EH,MATCH("Volatilidad histórica",[1]ARS!$4:$4,0),FALSE)</f>
        <v>0.44617191151787911</v>
      </c>
      <c r="BU89" s="44">
        <f>+VLOOKUP(A89,[1]ARS!$A$5:$EM$85,MATCH("Rto Medio",[1]ARS!$4:$4,0),FALSE)</f>
        <v>0.14012688492233827</v>
      </c>
      <c r="BV89" s="45">
        <f>+IF(VLOOKUP(Template!A89,[1]ARS!A:AA,MATCH("Period End Date",[1]ARS!$3:$3,0),FALSE)="","-",VLOOKUP(Template!A89,[1]ARS!A:AA,MATCH("Period End Date",[1]ARS!$3:$3,0),FALSE))</f>
        <v>43008</v>
      </c>
      <c r="BW89" s="46" t="str">
        <f t="shared" si="22"/>
        <v>PAMP</v>
      </c>
      <c r="BX89" s="4"/>
      <c r="BY89" s="119" t="s">
        <v>118</v>
      </c>
      <c r="BZ89" s="48">
        <v>1.4770329410282983</v>
      </c>
      <c r="CA89" s="48">
        <v>7.2308212366022602</v>
      </c>
      <c r="CB89" s="48">
        <v>42.691424421457583</v>
      </c>
      <c r="CC89" s="128"/>
      <c r="CD89" s="141" t="s">
        <v>118</v>
      </c>
      <c r="CE89" s="144">
        <v>1.4770329410282983</v>
      </c>
      <c r="CF89" s="141">
        <v>7.2308212366022602</v>
      </c>
      <c r="CG89" s="141">
        <v>42.691424421457583</v>
      </c>
      <c r="CN89" s="143"/>
    </row>
    <row r="90" spans="1:92" ht="11.25" customHeight="1" x14ac:dyDescent="0.2">
      <c r="A90" s="330" t="str">
        <f t="shared" si="23"/>
        <v>CGPA2</v>
      </c>
      <c r="B90" s="330"/>
      <c r="C90" s="331">
        <f>+VLOOKUP(A90,[1]ARS!A:EL,MATCH("Last",[1]ARS!$4:$4,0),FALSE)</f>
        <v>84.8</v>
      </c>
      <c r="D90" s="331"/>
      <c r="E90" s="133">
        <f>+VLOOKUP(A90,'[1]Market Cap'!I:J,2,FALSE)</f>
        <v>1</v>
      </c>
      <c r="F90" s="332">
        <f>IFERROR(IF(VLOOKUP(A90,[1]ARS!A:EL,MATCH("Total Debt To Total Equity, Percent FQ0",[1]ARS!$4:$4,0),FALSE)="NULL",IF(VLOOKUP(A90,[1]ARS!A:EL,MATCH("Total Debt To Total Equity, Percent FQ-1",[1]ARS!$4:$4,0),FALSE)="NULL","-",VLOOKUP(A90,[1]ARS!A:EL,MATCH("Total Debt To Total Equity, Percent FQ-1",[1]ARS!$4:$4,0))),VLOOKUP(A90,[1]ARS!A:EL,MATCH("Total Debt To Total Equity, Percent FQ0",[1]ARS!$4:$4,0),FALSE))/100,"-")</f>
        <v>0</v>
      </c>
      <c r="G90" s="332"/>
      <c r="H90" s="332"/>
      <c r="I90" s="324">
        <f>IFERROR(VLOOKUP(A90,[1]ARS!A:EC,MATCH("Financial Leverage",[1]ARS!$4:$4,0),FALSE),"-")</f>
        <v>4.5474458907095823</v>
      </c>
      <c r="J90" s="324"/>
      <c r="K90" s="324"/>
      <c r="L90" s="325">
        <f>+IFERROR(IF(VLOOKUP(A90,[1]ARS!A:EL,MATCH("Curr Ratio FQ0",[1]ARS!$4:$4,0),FALSE)="NULL",IF(VLOOKUP(A90,[1]ARS!A:EL,MATCH("Curr Ratio FQ-1",[1]ARS!$4:$4,0),FALSE)="NULL","-",VLOOKUP(A90,[1]ARS!A:EL,MATCH("Curr Ratio FQ-1",[1]ARS!$4:$4,0),FALSE)),VLOOKUP(A90,[1]ARS!A:EL,MATCH("Curr Ratio FQ0",[1]ARS!$4:$4,0),FALSE)),"-")</f>
        <v>1.0509299999999999</v>
      </c>
      <c r="M90" s="333"/>
      <c r="N90" s="334"/>
      <c r="O90" s="325">
        <f>+IFERROR(IF(VLOOKUP(A90,[1]ARS!A:EL,MATCH("Quick Ratio FQ0",[1]ARS!$4:$4,0),FALSE)="NULL",IF(VLOOKUP(A90,[1]ARS!A:EL,MATCH("Quick Ratio FQ-1",[1]ARS!$4:$4,0),FALSE)="NULL","-",VLOOKUP(A90,[1]ARS!A:EL,MATCH("Quick Ratio FQ-1",[1]ARS!$4:$4,0),FALSE)),VLOOKUP(A90,[1]ARS!A:EL,MATCH("Quick Ratio FQ0",[1]ARS!$4:$4,0),FALSE)),"-")</f>
        <v>1.0448500000000001</v>
      </c>
      <c r="P90" s="333"/>
      <c r="Q90" s="334"/>
      <c r="R90" s="335" t="str">
        <f>+IFERROR(IF(VLOOKUP(A90,[1]ARS!$A:$EL,MATCH("Dividend yield",[1]ARS!$4:$4,0),FALSE)="NULL","-",VLOOKUP(A90,[1]ARS!$A:$EL,MATCH("Dividend Yield",[1]ARS!$4:$4,0),FALSE)/100),"-")</f>
        <v>-</v>
      </c>
      <c r="S90" s="336"/>
      <c r="T90" s="337"/>
      <c r="U90" s="324">
        <f>IF(IFERROR(VLOOKUP(A90,[1]ARS!A:EL,MATCH("Asset Turnover",[1]ARS!$4:$4,0),FALSE),"-")=0,"-",IFERROR(VLOOKUP(A90,[1]ARS!A:EL,MATCH("Asset Turnover",[1]ARS!$4:$4,0),FALSE),"-"))</f>
        <v>1.5957017552418635</v>
      </c>
      <c r="V90" s="324"/>
      <c r="W90" s="324"/>
      <c r="X90" s="328">
        <f>IFERROR(VLOOKUP(A90,[1]ARS!A:EL,MATCH("CCC",[1]ARS!$4:$4,0),FALSE),"-")</f>
        <v>-145.12298552553523</v>
      </c>
      <c r="Y90" s="328"/>
      <c r="Z90" s="328"/>
      <c r="AA90" s="327">
        <f>IF(IFERROR(VLOOKUP(A90,[1]ARS!A:EL,MATCH("Gross Margin, Percent",[1]ARS!$4:$4,0),FALSE)/100,"-")&lt;0,"-",IFERROR(VLOOKUP(A90,[1]ARS!A:EL,MATCH("Gross Margin, Percent",[1]ARS!$4:$4,0),FALSE)/100,"-"))</f>
        <v>0.11259380000000001</v>
      </c>
      <c r="AB90" s="327"/>
      <c r="AC90" s="327"/>
      <c r="AD90" s="327" t="str">
        <f>IF(IFERROR(VLOOKUP(A90,[1]ARS!A:EL,MATCH("Operating Margin, Percent",[1]ARS!$4:$4,0),FALSE)/100,"-")&lt;0,"-",IFERROR(VLOOKUP(A90,[1]ARS!A:EL,MATCH("Operating Margin, Percent",[1]ARS!$4:$4,0),FALSE)/100,"-"))</f>
        <v>-</v>
      </c>
      <c r="AE90" s="327"/>
      <c r="AF90" s="327"/>
      <c r="AG90" s="327">
        <f>IF(IFERROR(VLOOKUP(A90,[1]ARS!A:EL,MATCH("Net Profit Margin",[1]ARS!$4:$4,0),FALSE),"-")&lt;0,"-",IFERROR(VLOOKUP(A90,[1]ARS!A:EL,MATCH("Net Profit Margin",[1]ARS!$4:$4,0),FALSE),"-"))</f>
        <v>0.14127730425308233</v>
      </c>
      <c r="AH90" s="327"/>
      <c r="AI90" s="327"/>
      <c r="AJ90" s="327">
        <f>IFERROR(VLOOKUP(A90,[1]ARS!A:EL,MATCH("FCF/Revenue",[1]ARS!$4:$4,0),FALSE),"-")</f>
        <v>0.3316678126198539</v>
      </c>
      <c r="AK90" s="327"/>
      <c r="AL90" s="327"/>
      <c r="AM90" s="329">
        <f>IFERROR(IF(VLOOKUP(A90,[1]ARS!A:EL,MATCH("ROE",[1]ARS!$4:$4,0),FALSE)&lt;-5,"-",VLOOKUP(A90,[1]ARS!A:EL,MATCH("ROE",[1]ARS!$4:$4,0),FALSE)),"-")</f>
        <v>0.95879757476383987</v>
      </c>
      <c r="AN90" s="329"/>
      <c r="AO90" s="329"/>
      <c r="AP90" s="327">
        <f>IFERROR(VLOOKUP(A90,[1]ARS!A:EL,MATCH("ROA",[1]ARS!$4:$4,0),FALSE),"-")</f>
        <v>0.18034954843983128</v>
      </c>
      <c r="AQ90" s="327"/>
      <c r="AR90" s="327"/>
      <c r="AS90" s="53">
        <f>+VLOOKUP(A90,[1]ARS!$A$5:$EL$85,MATCH("Last Q y/y",[1]ARS!$4:$4,0),FALSE)</f>
        <v>11.406373199390384</v>
      </c>
      <c r="AT90" s="53">
        <f>+VLOOKUP(A90,[1]ARS!$A$5:$EL$99,MATCH("Last 5 yrs - Annual",[1]ARS!$4:$4,0),FALSE)</f>
        <v>-1.8654244756606935</v>
      </c>
      <c r="AU90" s="54">
        <f>+VLOOKUP(A90,[1]ARS!$A$5:$EL$84,MATCH("Desvio",[1]ARS!$4:$4,0),FALSE)</f>
        <v>3.5869333686432414</v>
      </c>
      <c r="AV90" s="55">
        <f>AVERAGE(AV79:AV89)</f>
        <v>79.498579035700487</v>
      </c>
      <c r="AW90" s="56">
        <f>AVERAGE(AW79:AW89)</f>
        <v>29.832319961357136</v>
      </c>
      <c r="AX90" s="324">
        <f>IFERROR((VLOOKUP(A90,[1]ARS!A:EL,MATCH("Enterprise Value (Daily Time Series)",[1]ARS!$4:$4,0),FALSE)/1000000000),"-")</f>
        <v>25.708696157000098</v>
      </c>
      <c r="AY90" s="324"/>
      <c r="AZ90" s="324"/>
      <c r="BA90" s="324">
        <f>IFERROR((VLOOKUP(A90,[1]ARS!A:EL,MATCH("Company Market Cap",[1]ARS!$4:$4,0),FALSE)/1000000000),"-")</f>
        <v>28.662170214</v>
      </c>
      <c r="BB90" s="324"/>
      <c r="BC90" s="324"/>
      <c r="BD90" s="324">
        <f>IF(VLOOKUP(A90,[1]ARS!A:EL,MATCH("Enterprise Value To EBITDA (Daily Time Series Ratio)",[1]ARS!$4:$4,0),FALSE)="NULL","-",VLOOKUP(A90,[1]ARS!A:EL,MATCH("Enterprise Value To EBITDA (Daily Time Series Ratio)",[1]ARS!$4:$4,0),FALSE))</f>
        <v>19.645219868515699</v>
      </c>
      <c r="BE90" s="324"/>
      <c r="BF90" s="324"/>
      <c r="BG90" s="324">
        <f>IF(OR(IFERROR(VLOOKUP(A90,[1]ARS!A:EL,MATCH("Price To Tangible Book Value",[1]ARS!$4:$4,0),FALSE),"-")&lt;0,IFERROR(VLOOKUP(A90,[1]ARS!A:EL,MATCH("Price To Tangible Book Value",[1]ARS!$4:$4,0),FALSE),"-")&gt;100),"-",IFERROR(VLOOKUP(A90,[1]ARS!A:EL,MATCH("Price To Tangible Book Value",[1]ARS!$4:$4,0),FALSE),"-"))</f>
        <v>21.695335126446448</v>
      </c>
      <c r="BH90" s="324"/>
      <c r="BI90" s="324"/>
      <c r="BJ90" s="324">
        <f>IF(OR(IFERROR(VLOOKUP(A90,[1]ARS!A:EL,MATCH("P/E (Daily Time Series Ratio)",[1]ARS!$4:$4,0),FALSE),"-")&lt;0,IFERROR(VLOOKUP(A90,[1]ARS!A:EL,MATCH("P/E (Daily Time Series Ratio)",[1]ARS!$4:$4,0),FALSE),"-")&gt;500),"-",IFERROR(VLOOKUP(A90,[1]ARS!A:EL,MATCH("P/E (Daily Time Series Ratio)",[1]ARS!$4:$4,0),FALSE),"-"))</f>
        <v>31.88461379385544</v>
      </c>
      <c r="BK90" s="324"/>
      <c r="BL90" s="324"/>
      <c r="BM90" s="324">
        <f>IF(OR(IFERROR(VLOOKUP(A90,[1]ARS!A:EC,MATCH("Price To Sales",[1]ARS!$4:$4,0),FALSE),"-")&lt;0,IFERROR(VLOOKUP(A90,[1]ARS!A:EC,MATCH("Price To Sales",[1]ARS!$4:$4,0),FALSE),"-")&gt;100),"-",IFERROR(VLOOKUP(A90,[1]ARS!A:EC,MATCH("Price To Sales",[1]ARS!$4:$4,0),FALSE),"-"))</f>
        <v>4.5683157938510632</v>
      </c>
      <c r="BN90" s="324"/>
      <c r="BO90" s="324"/>
      <c r="BP90" s="324">
        <f>+IFERROR(IF(VLOOKUP(A90,[1]ARS!A:EO,MATCH("Price to Free Cash Flow",[1]ARS!$4:$4,0),FALSE)="NULL","-",VLOOKUP(A90,[1]ARS!A:EO,MATCH("Price to Free Cash Flow",[1]ARS!$4:$4,0),FALSE)),"-")</f>
        <v>38.2522920364</v>
      </c>
      <c r="BQ90" s="324"/>
      <c r="BR90" s="325"/>
      <c r="BS90" s="57">
        <f>IF(VLOOKUP(A90,[1]ARS!A:EE,MATCH("Daily Beta - 180 Day",[1]ARS!$4:$4,0),FALSE)="NULL","-",VLOOKUP(A90,[1]ARS!A:EE,MATCH("Daily Beta - 180 Day",[1]ARS!$4:$4,0),FALSE))</f>
        <v>1.04106177433372</v>
      </c>
      <c r="BT90" s="53">
        <f>+VLOOKUP(A90,[1]ARS!$A:$EH,MATCH("Volatilidad histórica",[1]ARS!$4:$4,0),FALSE)</f>
        <v>0.46902752244744289</v>
      </c>
      <c r="BU90" s="56">
        <f>+VLOOKUP(A90,[1]ARS!$A$5:$EM$85,MATCH("Rto Medio",[1]ARS!$4:$4,0),FALSE)</f>
        <v>0.25117208153408987</v>
      </c>
      <c r="BV90" s="58">
        <f>+IF(VLOOKUP(Template!A90,[1]ARS!A:AA,MATCH("Period End Date",[1]ARS!$3:$3,0),FALSE)="","-",VLOOKUP(Template!A90,[1]ARS!A:AA,MATCH("Period End Date",[1]ARS!$3:$3,0),FALSE))</f>
        <v>43008</v>
      </c>
      <c r="BW90" s="59" t="str">
        <f t="shared" si="22"/>
        <v>CGPA2</v>
      </c>
      <c r="BX90" s="4"/>
      <c r="BY90" s="119" t="s">
        <v>119</v>
      </c>
      <c r="BZ90" s="48">
        <v>1.9678014979533638</v>
      </c>
      <c r="CA90" s="48">
        <v>10.818415006328344</v>
      </c>
      <c r="CB90" s="48">
        <v>19.791905793010173</v>
      </c>
      <c r="CC90" s="128"/>
      <c r="CD90" s="119" t="s">
        <v>119</v>
      </c>
      <c r="CE90" s="129">
        <v>1.9678014979533638</v>
      </c>
      <c r="CF90" s="119">
        <v>10.818415006328344</v>
      </c>
      <c r="CG90" s="119">
        <v>19.791905793010173</v>
      </c>
    </row>
    <row r="91" spans="1:92" ht="11.25" customHeight="1" x14ac:dyDescent="0.2">
      <c r="A91" s="288" t="str">
        <f t="shared" si="23"/>
        <v>GBAN</v>
      </c>
      <c r="B91" s="288"/>
      <c r="C91" s="289">
        <f>+VLOOKUP(A91,[1]ARS!A:EL,MATCH("Last",[1]ARS!$4:$4,0),FALSE)</f>
        <v>77</v>
      </c>
      <c r="D91" s="289"/>
      <c r="E91" s="132">
        <f>+VLOOKUP(A91,'[1]Market Cap'!I:J,2,FALSE)</f>
        <v>1</v>
      </c>
      <c r="F91" s="326">
        <f>IFERROR(IF(VLOOKUP(A91,[1]ARS!A:EL,MATCH("Total Debt To Total Equity, Percent FQ0",[1]ARS!$4:$4,0),FALSE)="NULL",IF(VLOOKUP(A91,[1]ARS!A:EL,MATCH("Total Debt To Total Equity, Percent FQ-1",[1]ARS!$4:$4,0),FALSE)="NULL","-",VLOOKUP(A91,[1]ARS!A:EL,MATCH("Total Debt To Total Equity, Percent FQ-1",[1]ARS!$4:$4,0))),VLOOKUP(A91,[1]ARS!A:EL,MATCH("Total Debt To Total Equity, Percent FQ0",[1]ARS!$4:$4,0),FALSE))/100,"-")</f>
        <v>0</v>
      </c>
      <c r="G91" s="326"/>
      <c r="H91" s="326"/>
      <c r="I91" s="281">
        <f>IFERROR(VLOOKUP(A91,[1]ARS!A:EC,MATCH("Financial Leverage",[1]ARS!$4:$4,0),FALSE),"-")</f>
        <v>3.3494627275812907</v>
      </c>
      <c r="J91" s="281"/>
      <c r="K91" s="281"/>
      <c r="L91" s="282">
        <f>+IFERROR(IF(VLOOKUP(A91,[1]ARS!A:EL,MATCH("Curr Ratio FQ0",[1]ARS!$4:$4,0),FALSE)="NULL",IF(VLOOKUP(A91,[1]ARS!A:EL,MATCH("Curr Ratio FQ-1",[1]ARS!$4:$4,0),FALSE)="NULL","-",VLOOKUP(A91,[1]ARS!A:EL,MATCH("Curr Ratio FQ-1",[1]ARS!$4:$4,0),FALSE)),VLOOKUP(A91,[1]ARS!A:EL,MATCH("Curr Ratio FQ0",[1]ARS!$4:$4,0),FALSE)),"-")</f>
        <v>1.0022599999999999</v>
      </c>
      <c r="M91" s="293"/>
      <c r="N91" s="294"/>
      <c r="O91" s="282">
        <f>+IFERROR(IF(VLOOKUP(A91,[1]ARS!A:EL,MATCH("Quick Ratio FQ0",[1]ARS!$4:$4,0),FALSE)="NULL",IF(VLOOKUP(A91,[1]ARS!A:EL,MATCH("Quick Ratio FQ-1",[1]ARS!$4:$4,0),FALSE)="NULL","-",VLOOKUP(A91,[1]ARS!A:EL,MATCH("Quick Ratio FQ-1",[1]ARS!$4:$4,0),FALSE)),VLOOKUP(A91,[1]ARS!A:EL,MATCH("Quick Ratio FQ0",[1]ARS!$4:$4,0),FALSE)),"-")</f>
        <v>0.99270000000000003</v>
      </c>
      <c r="P91" s="293"/>
      <c r="Q91" s="294"/>
      <c r="R91" s="295" t="str">
        <f>+IFERROR(IF(VLOOKUP(A91,[1]ARS!$A:$EL,MATCH("Dividend yield",[1]ARS!$4:$4,0),FALSE)="NULL","-",VLOOKUP(A91,[1]ARS!$A:$EL,MATCH("Dividend Yield",[1]ARS!$4:$4,0),FALSE)/100),"-")</f>
        <v>-</v>
      </c>
      <c r="S91" s="296"/>
      <c r="T91" s="297"/>
      <c r="U91" s="281">
        <f>IF(IFERROR(VLOOKUP(A91,[1]ARS!A:EL,MATCH("Asset Turnover",[1]ARS!$4:$4,0),FALSE),"-")=0,"-",IFERROR(VLOOKUP(A91,[1]ARS!A:EL,MATCH("Asset Turnover",[1]ARS!$4:$4,0),FALSE),"-"))</f>
        <v>1.6151433826025494</v>
      </c>
      <c r="V91" s="281"/>
      <c r="W91" s="281"/>
      <c r="X91" s="284">
        <f>IFERROR(VLOOKUP(A91,[1]ARS!A:EL,MATCH("CCC",[1]ARS!$4:$4,0),FALSE),"-")</f>
        <v>-129.39023285374063</v>
      </c>
      <c r="Y91" s="284"/>
      <c r="Z91" s="284"/>
      <c r="AA91" s="283" t="str">
        <f>IF(IFERROR(VLOOKUP(A91,[1]ARS!A:EL,MATCH("Gross Margin, Percent",[1]ARS!$4:$4,0),FALSE)/100,"-")&lt;0,"-",IFERROR(VLOOKUP(A91,[1]ARS!A:EL,MATCH("Gross Margin, Percent",[1]ARS!$4:$4,0),FALSE)/100,"-"))</f>
        <v>-</v>
      </c>
      <c r="AB91" s="283"/>
      <c r="AC91" s="283"/>
      <c r="AD91" s="283">
        <f>IF(IFERROR(VLOOKUP(A91,[1]ARS!A:EL,MATCH("Operating Margin, Percent",[1]ARS!$4:$4,0),FALSE)/100,"-")&lt;0,"-",IFERROR(VLOOKUP(A91,[1]ARS!A:EL,MATCH("Operating Margin, Percent",[1]ARS!$4:$4,0),FALSE)/100,"-"))</f>
        <v>9.2749499999999999E-2</v>
      </c>
      <c r="AE91" s="283"/>
      <c r="AF91" s="283"/>
      <c r="AG91" s="283">
        <f>IF(IFERROR(VLOOKUP(A91,[1]ARS!A:EL,MATCH("Net Profit Margin",[1]ARS!$4:$4,0),FALSE),"-")&lt;0,"-",IFERROR(VLOOKUP(A91,[1]ARS!A:EL,MATCH("Net Profit Margin",[1]ARS!$4:$4,0),FALSE),"-"))</f>
        <v>0.11583194348599544</v>
      </c>
      <c r="AH91" s="283"/>
      <c r="AI91" s="283"/>
      <c r="AJ91" s="283">
        <f>IFERROR(VLOOKUP(A91,[1]ARS!A:EL,MATCH("FCF/Revenue",[1]ARS!$4:$4,0),FALSE),"-")</f>
        <v>-4.1256815936257789E-2</v>
      </c>
      <c r="AK91" s="283"/>
      <c r="AL91" s="283"/>
      <c r="AM91" s="283">
        <f>IFERROR(IF(VLOOKUP(A91,[1]ARS!A:EL,MATCH("ROE",[1]ARS!$4:$4,0),FALSE)&lt;-5,"-",VLOOKUP(A91,[1]ARS!A:EL,MATCH("ROE",[1]ARS!$4:$4,0),FALSE)),"-")</f>
        <v>0.61720088241251869</v>
      </c>
      <c r="AN91" s="283"/>
      <c r="AO91" s="283"/>
      <c r="AP91" s="283">
        <f>IFERROR(VLOOKUP(A91,[1]ARS!A:EL,MATCH("ROA",[1]ARS!$4:$4,0),FALSE),"-")</f>
        <v>0.14966847478566642</v>
      </c>
      <c r="AQ91" s="283"/>
      <c r="AR91" s="283"/>
      <c r="AS91" s="40">
        <f>+VLOOKUP(A91,[1]ARS!$A$5:$EL$85,MATCH("Last Q y/y",[1]ARS!$4:$4,0),FALSE)</f>
        <v>9.3364597683966988</v>
      </c>
      <c r="AT91" s="40">
        <f>+VLOOKUP(A91,[1]ARS!$A$5:$EL$99,MATCH("Last 5 yrs - Annual",[1]ARS!$4:$4,0),FALSE)</f>
        <v>1.5096610665502783</v>
      </c>
      <c r="AU91" s="41">
        <f>+VLOOKUP(A91,[1]ARS!$A$5:$EL$84,MATCH("Desvio",[1]ARS!$4:$4,0),FALSE)</f>
        <v>3.9510424561624484</v>
      </c>
      <c r="AV91" s="42">
        <f>+IFERROR(VLOOKUP(A91,'[1]Prom. Vtas Ult 5 años'!$A$3:$D$81,3,FALSE),"-")</f>
        <v>21.540165263157892</v>
      </c>
      <c r="AW91" s="40">
        <f>+IFERROR(VLOOKUP(A91,'[1]Prom. Vtas Ult 5 años'!$A$3:$D$81,4,FALSE),"-")</f>
        <v>7.48515603568638</v>
      </c>
      <c r="AX91" s="281">
        <f>IFERROR((VLOOKUP(A91,[1]ARS!A:EL,MATCH("Enterprise Value (Daily Time Series)",[1]ARS!$4:$4,0),FALSE)/1000000000),"-")</f>
        <v>12.077962597999999</v>
      </c>
      <c r="AY91" s="281"/>
      <c r="AZ91" s="281"/>
      <c r="BA91" s="281">
        <f>IFERROR((VLOOKUP(A91,[1]ARS!A:EL,MATCH("Company Market Cap",[1]ARS!$4:$4,0),FALSE)/1000000000),"-")</f>
        <v>25.717657314</v>
      </c>
      <c r="BB91" s="281"/>
      <c r="BC91" s="281"/>
      <c r="BD91" s="281">
        <f>IF(VLOOKUP(A91,[1]ARS!A:EL,MATCH("Enterprise Value To EBITDA (Daily Time Series Ratio)",[1]ARS!$4:$4,0),FALSE)="NULL","-",VLOOKUP(A91,[1]ARS!A:EL,MATCH("Enterprise Value To EBITDA (Daily Time Series Ratio)",[1]ARS!$4:$4,0),FALSE))</f>
        <v>8.6344222811906892</v>
      </c>
      <c r="BE91" s="281"/>
      <c r="BF91" s="281"/>
      <c r="BG91" s="281">
        <f>IF(OR(IFERROR(VLOOKUP(A91,[1]ARS!A:EL,MATCH("Price To Tangible Book Value",[1]ARS!$4:$4,0),FALSE),"-")&lt;0,IFERROR(VLOOKUP(A91,[1]ARS!A:EL,MATCH("Price To Tangible Book Value",[1]ARS!$4:$4,0),FALSE),"-")&gt;100),"-",IFERROR(VLOOKUP(A91,[1]ARS!A:EL,MATCH("Price To Tangible Book Value",[1]ARS!$4:$4,0),FALSE),"-"))</f>
        <v>18.071217421678345</v>
      </c>
      <c r="BH91" s="281"/>
      <c r="BI91" s="281"/>
      <c r="BJ91" s="281">
        <f>IF(OR(IFERROR(VLOOKUP(A91,[1]ARS!A:EL,MATCH("P/E (Daily Time Series Ratio)",[1]ARS!$4:$4,0),FALSE),"-")&lt;0,IFERROR(VLOOKUP(A91,[1]ARS!A:EL,MATCH("P/E (Daily Time Series Ratio)",[1]ARS!$4:$4,0),FALSE),"-")&gt;500),"-",IFERROR(VLOOKUP(A91,[1]ARS!A:EL,MATCH("P/E (Daily Time Series Ratio)",[1]ARS!$4:$4,0),FALSE),"-"))</f>
        <v>33.009667116798489</v>
      </c>
      <c r="BK91" s="281"/>
      <c r="BL91" s="281"/>
      <c r="BM91" s="281">
        <f>IF(OR(IFERROR(VLOOKUP(A91,[1]ARS!A:EC,MATCH("Price To Sales",[1]ARS!$4:$4,0),FALSE),"-")&lt;0,IFERROR(VLOOKUP(A91,[1]ARS!A:EC,MATCH("Price To Sales",[1]ARS!$4:$4,0),FALSE),"-")&gt;100),"-",IFERROR(VLOOKUP(A91,[1]ARS!A:EC,MATCH("Price To Sales",[1]ARS!$4:$4,0),FALSE),"-"))</f>
        <v>3.922901770513604</v>
      </c>
      <c r="BN91" s="281"/>
      <c r="BO91" s="281"/>
      <c r="BP91" s="281">
        <f>+IFERROR(IF(VLOOKUP(A91,[1]ARS!A:EO,MATCH("Price to Free Cash Flow",[1]ARS!$4:$4,0),FALSE)="NULL","-",VLOOKUP(A91,[1]ARS!A:EO,MATCH("Price to Free Cash Flow",[1]ARS!$4:$4,0),FALSE)),"-")</f>
        <v>41.976667223699998</v>
      </c>
      <c r="BQ91" s="281"/>
      <c r="BR91" s="282"/>
      <c r="BS91" s="43">
        <f>IF(VLOOKUP(A91,[1]ARS!A:EE,MATCH("Daily Beta - 180 Day",[1]ARS!$4:$4,0),FALSE)="NULL","-",VLOOKUP(A91,[1]ARS!A:EE,MATCH("Daily Beta - 180 Day",[1]ARS!$4:$4,0),FALSE))</f>
        <v>0.638079127730245</v>
      </c>
      <c r="BT91" s="40">
        <f>+VLOOKUP(A91,[1]ARS!$A:$EH,MATCH("Volatilidad histórica",[1]ARS!$4:$4,0),FALSE)</f>
        <v>0.40681557676067537</v>
      </c>
      <c r="BU91" s="44">
        <f>+VLOOKUP(A91,[1]ARS!$A$5:$EM$85,MATCH("Rto Medio",[1]ARS!$4:$4,0),FALSE)</f>
        <v>0.1939269233551093</v>
      </c>
      <c r="BV91" s="45">
        <f>+IF(VLOOKUP(Template!A91,[1]ARS!A:AA,MATCH("Period End Date",[1]ARS!$3:$3,0),FALSE)="","-",VLOOKUP(Template!A91,[1]ARS!A:AA,MATCH("Period End Date",[1]ARS!$3:$3,0),FALSE))</f>
        <v>43008</v>
      </c>
      <c r="BW91" s="46" t="str">
        <f t="shared" si="22"/>
        <v>GBAN</v>
      </c>
      <c r="BX91" s="4"/>
      <c r="BY91" s="141" t="s">
        <v>120</v>
      </c>
      <c r="BZ91" s="48">
        <v>2.3427892176418235</v>
      </c>
      <c r="CA91" s="48">
        <v>13.141872401854684</v>
      </c>
      <c r="CB91" s="48">
        <v>32.885897022465869</v>
      </c>
      <c r="CC91" s="128"/>
      <c r="CD91" s="119" t="s">
        <v>120</v>
      </c>
      <c r="CE91" s="129">
        <v>2.3427892176418235</v>
      </c>
      <c r="CF91" s="119">
        <v>13.141872401854684</v>
      </c>
      <c r="CG91" s="119">
        <v>32.885897022465869</v>
      </c>
    </row>
    <row r="92" spans="1:92" ht="11.25" customHeight="1" x14ac:dyDescent="0.2">
      <c r="A92" s="330" t="str">
        <f t="shared" si="23"/>
        <v>DGCU2</v>
      </c>
      <c r="B92" s="330"/>
      <c r="C92" s="331">
        <f>+VLOOKUP(A92,[1]ARS!A:EL,MATCH("Last",[1]ARS!$4:$4,0),FALSE)</f>
        <v>68</v>
      </c>
      <c r="D92" s="331"/>
      <c r="E92" s="133">
        <f>+VLOOKUP(A92,'[1]Market Cap'!I:J,2,FALSE)</f>
        <v>1</v>
      </c>
      <c r="F92" s="332">
        <f>IFERROR(IF(VLOOKUP(A92,[1]ARS!A:EL,MATCH("Total Debt To Total Equity, Percent FQ0",[1]ARS!$4:$4,0),FALSE)="NULL",IF(VLOOKUP(A92,[1]ARS!A:EL,MATCH("Total Debt To Total Equity, Percent FQ-1",[1]ARS!$4:$4,0),FALSE)="NULL","-",VLOOKUP(A92,[1]ARS!A:EL,MATCH("Total Debt To Total Equity, Percent FQ-1",[1]ARS!$4:$4,0))),VLOOKUP(A92,[1]ARS!A:EL,MATCH("Total Debt To Total Equity, Percent FQ0",[1]ARS!$4:$4,0),FALSE))/100,"-")</f>
        <v>0</v>
      </c>
      <c r="G92" s="332"/>
      <c r="H92" s="332"/>
      <c r="I92" s="324">
        <f>IFERROR(VLOOKUP(A92,[1]ARS!A:EC,MATCH("Financial Leverage",[1]ARS!$4:$4,0),FALSE),"-")</f>
        <v>3.7145256882214932</v>
      </c>
      <c r="J92" s="324"/>
      <c r="K92" s="324"/>
      <c r="L92" s="325">
        <f>+IFERROR(IF(VLOOKUP(A92,[1]ARS!A:EL,MATCH("Curr Ratio FQ0",[1]ARS!$4:$4,0),FALSE)="NULL",IF(VLOOKUP(A92,[1]ARS!A:EL,MATCH("Curr Ratio FQ-1",[1]ARS!$4:$4,0),FALSE)="NULL","-",VLOOKUP(A92,[1]ARS!A:EL,MATCH("Curr Ratio FQ-1",[1]ARS!$4:$4,0),FALSE)),VLOOKUP(A92,[1]ARS!A:EL,MATCH("Curr Ratio FQ0",[1]ARS!$4:$4,0),FALSE)),"-")</f>
        <v>0.93483000000000005</v>
      </c>
      <c r="M92" s="333"/>
      <c r="N92" s="334"/>
      <c r="O92" s="325">
        <f>+IFERROR(IF(VLOOKUP(A92,[1]ARS!A:EL,MATCH("Quick Ratio FQ0",[1]ARS!$4:$4,0),FALSE)="NULL",IF(VLOOKUP(A92,[1]ARS!A:EL,MATCH("Quick Ratio FQ-1",[1]ARS!$4:$4,0),FALSE)="NULL","-",VLOOKUP(A92,[1]ARS!A:EL,MATCH("Quick Ratio FQ-1",[1]ARS!$4:$4,0),FALSE)),VLOOKUP(A92,[1]ARS!A:EL,MATCH("Quick Ratio FQ0",[1]ARS!$4:$4,0),FALSE)),"-")</f>
        <v>0.93247999999999998</v>
      </c>
      <c r="P92" s="333"/>
      <c r="Q92" s="334"/>
      <c r="R92" s="335">
        <f>+IFERROR(IF(VLOOKUP(A92,[1]ARS!$A:$EL,MATCH("Dividend yield",[1]ARS!$4:$4,0),FALSE)="NULL","-",VLOOKUP(A92,[1]ARS!$A:$EL,MATCH("Dividend Yield",[1]ARS!$4:$4,0),FALSE)/100),"-")</f>
        <v>0</v>
      </c>
      <c r="S92" s="336"/>
      <c r="T92" s="337"/>
      <c r="U92" s="324">
        <f>IF(IFERROR(VLOOKUP(A92,[1]ARS!A:EL,MATCH("Asset Turnover",[1]ARS!$4:$4,0),FALSE),"-")=0,"-",IFERROR(VLOOKUP(A92,[1]ARS!A:EL,MATCH("Asset Turnover",[1]ARS!$4:$4,0),FALSE),"-"))</f>
        <v>1.4494303719752004</v>
      </c>
      <c r="V92" s="324"/>
      <c r="W92" s="324"/>
      <c r="X92" s="328">
        <f>IFERROR(VLOOKUP(A92,[1]ARS!A:EL,MATCH("CCC",[1]ARS!$4:$4,0),FALSE),"-")</f>
        <v>-196.55891163456579</v>
      </c>
      <c r="Y92" s="328"/>
      <c r="Z92" s="328"/>
      <c r="AA92" s="327">
        <f>IF(IFERROR(VLOOKUP(A92,[1]ARS!A:EL,MATCH("Gross Margin, Percent",[1]ARS!$4:$4,0),FALSE)/100,"-")&lt;0,"-",IFERROR(VLOOKUP(A92,[1]ARS!A:EL,MATCH("Gross Margin, Percent",[1]ARS!$4:$4,0),FALSE)/100,"-"))</f>
        <v>0.1928916</v>
      </c>
      <c r="AB92" s="327"/>
      <c r="AC92" s="327"/>
      <c r="AD92" s="327">
        <f>IF(IFERROR(VLOOKUP(A92,[1]ARS!A:EL,MATCH("Operating Margin, Percent",[1]ARS!$4:$4,0),FALSE)/100,"-")&lt;0,"-",IFERROR(VLOOKUP(A92,[1]ARS!A:EL,MATCH("Operating Margin, Percent",[1]ARS!$4:$4,0),FALSE)/100,"-"))</f>
        <v>4.04471E-2</v>
      </c>
      <c r="AE92" s="327"/>
      <c r="AF92" s="327"/>
      <c r="AG92" s="327">
        <f>IF(IFERROR(VLOOKUP(A92,[1]ARS!A:EL,MATCH("Net Profit Margin",[1]ARS!$4:$4,0),FALSE),"-")&lt;0,"-",IFERROR(VLOOKUP(A92,[1]ARS!A:EL,MATCH("Net Profit Margin",[1]ARS!$4:$4,0),FALSE),"-"))</f>
        <v>0.11121030349890478</v>
      </c>
      <c r="AH92" s="327"/>
      <c r="AI92" s="327"/>
      <c r="AJ92" s="327">
        <f>IFERROR(VLOOKUP(A92,[1]ARS!A:EL,MATCH("FCF/Revenue",[1]ARS!$4:$4,0),FALSE),"-")</f>
        <v>-0.15349186822938829</v>
      </c>
      <c r="AK92" s="327"/>
      <c r="AL92" s="327"/>
      <c r="AM92" s="329">
        <f>IFERROR(IF(VLOOKUP(A92,[1]ARS!A:EL,MATCH("ROE",[1]ARS!$4:$4,0),FALSE)&lt;-5,"-",VLOOKUP(A92,[1]ARS!A:EL,MATCH("ROE",[1]ARS!$4:$4,0),FALSE)),"-")</f>
        <v>0.50228259967351907</v>
      </c>
      <c r="AN92" s="329"/>
      <c r="AO92" s="329"/>
      <c r="AP92" s="327">
        <f>IFERROR(VLOOKUP(A92,[1]ARS!A:EL,MATCH("ROA",[1]ARS!$4:$4,0),FALSE),"-")</f>
        <v>0.12895380562205325</v>
      </c>
      <c r="AQ92" s="327"/>
      <c r="AR92" s="327"/>
      <c r="AS92" s="53">
        <f>+VLOOKUP(A92,[1]ARS!$A$5:$EL$85,MATCH("Last Q y/y",[1]ARS!$4:$4,0),FALSE)</f>
        <v>12.547491687147607</v>
      </c>
      <c r="AT92" s="53">
        <f>+VLOOKUP(A92,[1]ARS!$A$5:$EL$99,MATCH("Last 5 yrs - Annual",[1]ARS!$4:$4,0),FALSE)</f>
        <v>2.0975224060243134</v>
      </c>
      <c r="AU92" s="54">
        <f>+VLOOKUP(A92,[1]ARS!$A$5:$EL$84,MATCH("Desvio",[1]ARS!$4:$4,0),FALSE)</f>
        <v>3.8039342837726449</v>
      </c>
      <c r="AV92" s="55">
        <f>AVERAGE(AV81:AV91)</f>
        <v>89.690475412954726</v>
      </c>
      <c r="AW92" s="56">
        <f>AVERAGE(AW81:AW91)</f>
        <v>20.178738586704114</v>
      </c>
      <c r="AX92" s="324">
        <f>IFERROR((VLOOKUP(A92,[1]ARS!A:EL,MATCH("Enterprise Value (Daily Time Series)",[1]ARS!$4:$4,0),FALSE)/1000000000),"-")</f>
        <v>3.6856806723000104</v>
      </c>
      <c r="AY92" s="324"/>
      <c r="AZ92" s="324"/>
      <c r="BA92" s="324">
        <f>IFERROR((VLOOKUP(A92,[1]ARS!A:EL,MATCH("Company Market Cap",[1]ARS!$4:$4,0),FALSE)/1000000000),"-")</f>
        <v>13.142716155600001</v>
      </c>
      <c r="BB92" s="324"/>
      <c r="BC92" s="324"/>
      <c r="BD92" s="324">
        <f>IF(VLOOKUP(A92,[1]ARS!A:EL,MATCH("Enterprise Value To EBITDA (Daily Time Series Ratio)",[1]ARS!$4:$4,0),FALSE)="NULL","-",VLOOKUP(A92,[1]ARS!A:EL,MATCH("Enterprise Value To EBITDA (Daily Time Series Ratio)",[1]ARS!$4:$4,0),FALSE))</f>
        <v>5.6934371077119996</v>
      </c>
      <c r="BE92" s="324"/>
      <c r="BF92" s="324"/>
      <c r="BG92" s="324">
        <f>IF(OR(IFERROR(VLOOKUP(A92,[1]ARS!A:EL,MATCH("Price To Tangible Book Value",[1]ARS!$4:$4,0),FALSE),"-")&lt;0,IFERROR(VLOOKUP(A92,[1]ARS!A:EL,MATCH("Price To Tangible Book Value",[1]ARS!$4:$4,0),FALSE),"-")&gt;100),"-",IFERROR(VLOOKUP(A92,[1]ARS!A:EL,MATCH("Price To Tangible Book Value",[1]ARS!$4:$4,0),FALSE),"-"))</f>
        <v>16.787093413002328</v>
      </c>
      <c r="BH92" s="324"/>
      <c r="BI92" s="324"/>
      <c r="BJ92" s="324">
        <f>IF(OR(IFERROR(VLOOKUP(A92,[1]ARS!A:EL,MATCH("P/E (Daily Time Series Ratio)",[1]ARS!$4:$4,0),FALSE),"-")&lt;0,IFERROR(VLOOKUP(A92,[1]ARS!A:EL,MATCH("P/E (Daily Time Series Ratio)",[1]ARS!$4:$4,0),FALSE),"-")&gt;500),"-",IFERROR(VLOOKUP(A92,[1]ARS!A:EL,MATCH("P/E (Daily Time Series Ratio)",[1]ARS!$4:$4,0),FALSE),"-"))</f>
        <v>40.970272452311811</v>
      </c>
      <c r="BK92" s="324"/>
      <c r="BL92" s="324"/>
      <c r="BM92" s="324">
        <f>IF(OR(IFERROR(VLOOKUP(A92,[1]ARS!A:EC,MATCH("Price To Sales",[1]ARS!$4:$4,0),FALSE),"-")&lt;0,IFERROR(VLOOKUP(A92,[1]ARS!A:EC,MATCH("Price To Sales",[1]ARS!$4:$4,0),FALSE),"-")&gt;100),"-",IFERROR(VLOOKUP(A92,[1]ARS!A:EC,MATCH("Price To Sales",[1]ARS!$4:$4,0),FALSE),"-"))</f>
        <v>4.3519720245236257</v>
      </c>
      <c r="BN92" s="324"/>
      <c r="BO92" s="324"/>
      <c r="BP92" s="324">
        <f>+IFERROR(IF(VLOOKUP(A92,[1]ARS!A:EO,MATCH("Price to Free Cash Flow",[1]ARS!$4:$4,0),FALSE)="NULL","-",VLOOKUP(A92,[1]ARS!A:EO,MATCH("Price to Free Cash Flow",[1]ARS!$4:$4,0),FALSE)),"-")</f>
        <v>24.313289663599999</v>
      </c>
      <c r="BQ92" s="324"/>
      <c r="BR92" s="325"/>
      <c r="BS92" s="57">
        <f>IF(VLOOKUP(A92,[1]ARS!A:EE,MATCH("Daily Beta - 180 Day",[1]ARS!$4:$4,0),FALSE)="NULL","-",VLOOKUP(A92,[1]ARS!A:EE,MATCH("Daily Beta - 180 Day",[1]ARS!$4:$4,0),FALSE))</f>
        <v>1.12460059247865</v>
      </c>
      <c r="BT92" s="53">
        <f>+VLOOKUP(A92,[1]ARS!$A:$EH,MATCH("Volatilidad histórica",[1]ARS!$4:$4,0),FALSE)</f>
        <v>0.41656277961820454</v>
      </c>
      <c r="BU92" s="56">
        <f>+VLOOKUP(A92,[1]ARS!$A$5:$EM$85,MATCH("Rto Medio",[1]ARS!$4:$4,0),FALSE)</f>
        <v>0.14782160333490757</v>
      </c>
      <c r="BV92" s="58">
        <f>+IF(VLOOKUP(Template!A92,[1]ARS!A:AA,MATCH("Period End Date",[1]ARS!$3:$3,0),FALSE)="","-",VLOOKUP(Template!A92,[1]ARS!A:AA,MATCH("Period End Date",[1]ARS!$3:$3,0),FALSE))</f>
        <v>43008</v>
      </c>
      <c r="BW92" s="59" t="str">
        <f t="shared" si="22"/>
        <v>DGCU2</v>
      </c>
      <c r="BX92" s="4"/>
      <c r="BY92" s="119" t="s">
        <v>121</v>
      </c>
      <c r="BZ92" s="48">
        <v>2.8012253830129445</v>
      </c>
      <c r="CA92" s="48">
        <v>9.871169052484376</v>
      </c>
      <c r="CB92" s="48">
        <v>48.419708417580082</v>
      </c>
      <c r="CC92" s="128"/>
      <c r="CD92" s="119" t="s">
        <v>121</v>
      </c>
      <c r="CE92" s="129">
        <v>2.8012253830129445</v>
      </c>
      <c r="CF92" s="119">
        <v>9.871169052484376</v>
      </c>
      <c r="CG92" s="119">
        <v>48.419708417580082</v>
      </c>
    </row>
    <row r="93" spans="1:92" ht="11.25" customHeight="1" x14ac:dyDescent="0.2">
      <c r="A93" s="288" t="str">
        <f t="shared" si="23"/>
        <v>TRAN</v>
      </c>
      <c r="B93" s="288"/>
      <c r="C93" s="289">
        <f>+VLOOKUP(A93,[1]ARS!A:EL,MATCH("Last",[1]ARS!$4:$4,0),FALSE)</f>
        <v>55.800000000000004</v>
      </c>
      <c r="D93" s="289"/>
      <c r="E93" s="132">
        <f>+VLOOKUP(A93,'[1]Market Cap'!I:J,2,FALSE)</f>
        <v>1</v>
      </c>
      <c r="F93" s="326">
        <f>IFERROR(IF(VLOOKUP(A93,[1]ARS!A:EL,MATCH("Total Debt To Total Equity, Percent FQ0",[1]ARS!$4:$4,0),FALSE)="NULL",IF(VLOOKUP(A93,[1]ARS!A:EL,MATCH("Total Debt To Total Equity, Percent FQ-1",[1]ARS!$4:$4,0),FALSE)="NULL","-",VLOOKUP(A93,[1]ARS!A:EL,MATCH("Total Debt To Total Equity, Percent FQ-1",[1]ARS!$4:$4,0))),VLOOKUP(A93,[1]ARS!A:EL,MATCH("Total Debt To Total Equity, Percent FQ0",[1]ARS!$4:$4,0),FALSE))/100,"-")</f>
        <v>0.84488428151999995</v>
      </c>
      <c r="G93" s="326"/>
      <c r="H93" s="326"/>
      <c r="I93" s="281">
        <f>IFERROR(VLOOKUP(A93,[1]ARS!A:EC,MATCH("Financial Leverage",[1]ARS!$4:$4,0),FALSE),"-")</f>
        <v>2.7677267085638357</v>
      </c>
      <c r="J93" s="281"/>
      <c r="K93" s="281"/>
      <c r="L93" s="282">
        <f>+IFERROR(IF(VLOOKUP(A93,[1]ARS!A:EL,MATCH("Curr Ratio FQ0",[1]ARS!$4:$4,0),FALSE)="NULL",IF(VLOOKUP(A93,[1]ARS!A:EL,MATCH("Curr Ratio FQ-1",[1]ARS!$4:$4,0),FALSE)="NULL","-",VLOOKUP(A93,[1]ARS!A:EL,MATCH("Curr Ratio FQ-1",[1]ARS!$4:$4,0),FALSE)),VLOOKUP(A93,[1]ARS!A:EL,MATCH("Curr Ratio FQ0",[1]ARS!$4:$4,0),FALSE)),"-")</f>
        <v>2.3571499999999999</v>
      </c>
      <c r="M93" s="293"/>
      <c r="N93" s="294"/>
      <c r="O93" s="282">
        <f>+IFERROR(IF(VLOOKUP(A93,[1]ARS!A:EL,MATCH("Quick Ratio FQ0",[1]ARS!$4:$4,0),FALSE)="NULL",IF(VLOOKUP(A93,[1]ARS!A:EL,MATCH("Quick Ratio FQ-1",[1]ARS!$4:$4,0),FALSE)="NULL","-",VLOOKUP(A93,[1]ARS!A:EL,MATCH("Quick Ratio FQ-1",[1]ARS!$4:$4,0),FALSE)),VLOOKUP(A93,[1]ARS!A:EL,MATCH("Quick Ratio FQ0",[1]ARS!$4:$4,0),FALSE)),"-")</f>
        <v>2.3571499999999999</v>
      </c>
      <c r="P93" s="293"/>
      <c r="Q93" s="294"/>
      <c r="R93" s="295" t="str">
        <f>+IFERROR(IF(VLOOKUP(A93,[1]ARS!$A:$EL,MATCH("Dividend yield",[1]ARS!$4:$4,0),FALSE)="NULL","-",VLOOKUP(A93,[1]ARS!$A:$EL,MATCH("Dividend Yield",[1]ARS!$4:$4,0),FALSE)/100),"-")</f>
        <v>-</v>
      </c>
      <c r="S93" s="296"/>
      <c r="T93" s="297"/>
      <c r="U93" s="281">
        <f>IF(IFERROR(VLOOKUP(A93,[1]ARS!A:EL,MATCH("Asset Turnover",[1]ARS!$4:$4,0),FALSE),"-")=0,"-",IFERROR(VLOOKUP(A93,[1]ARS!A:EL,MATCH("Asset Turnover",[1]ARS!$4:$4,0),FALSE),"-"))</f>
        <v>1.5801183937771397</v>
      </c>
      <c r="V93" s="281"/>
      <c r="W93" s="281"/>
      <c r="X93" s="284" t="str">
        <f>IFERROR(VLOOKUP(A93,[1]ARS!A:EL,MATCH("CCC",[1]ARS!$4:$4,0),FALSE),"-")</f>
        <v>-</v>
      </c>
      <c r="Y93" s="284"/>
      <c r="Z93" s="284"/>
      <c r="AA93" s="283">
        <f>IF(IFERROR(VLOOKUP(A93,[1]ARS!A:EL,MATCH("Gross Margin, Percent",[1]ARS!$4:$4,0),FALSE)/100,"-")&lt;0,"-",IFERROR(VLOOKUP(A93,[1]ARS!A:EL,MATCH("Gross Margin, Percent",[1]ARS!$4:$4,0),FALSE)/100,"-"))</f>
        <v>0.22146660000000001</v>
      </c>
      <c r="AB93" s="283"/>
      <c r="AC93" s="283"/>
      <c r="AD93" s="283">
        <f>IF(IFERROR(VLOOKUP(A93,[1]ARS!A:EL,MATCH("Operating Margin, Percent",[1]ARS!$4:$4,0),FALSE)/100,"-")&lt;0,"-",IFERROR(VLOOKUP(A93,[1]ARS!A:EL,MATCH("Operating Margin, Percent",[1]ARS!$4:$4,0),FALSE)/100,"-"))</f>
        <v>4.9038899999999996E-2</v>
      </c>
      <c r="AE93" s="283"/>
      <c r="AF93" s="283"/>
      <c r="AG93" s="283">
        <f>IF(IFERROR(VLOOKUP(A93,[1]ARS!A:EL,MATCH("Net Profit Margin",[1]ARS!$4:$4,0),FALSE),"-")&lt;0,"-",IFERROR(VLOOKUP(A93,[1]ARS!A:EL,MATCH("Net Profit Margin",[1]ARS!$4:$4,0),FALSE),"-"))</f>
        <v>0.34689964646533544</v>
      </c>
      <c r="AH93" s="283"/>
      <c r="AI93" s="283"/>
      <c r="AJ93" s="283">
        <f>IFERROR(VLOOKUP(A93,[1]ARS!A:EL,MATCH("FCF/Revenue",[1]ARS!$4:$4,0),FALSE),"-")</f>
        <v>0.12052750290474236</v>
      </c>
      <c r="AK93" s="283"/>
      <c r="AL93" s="283"/>
      <c r="AM93" s="283">
        <f>IFERROR(IF(VLOOKUP(A93,[1]ARS!A:EL,MATCH("ROE",[1]ARS!$4:$4,0),FALSE)&lt;-5,"-",VLOOKUP(A93,[1]ARS!A:EL,MATCH("ROE",[1]ARS!$4:$4,0),FALSE)),"-")</f>
        <v>1.4728846921887164</v>
      </c>
      <c r="AN93" s="283"/>
      <c r="AO93" s="283"/>
      <c r="AP93" s="283">
        <f>IFERROR(VLOOKUP(A93,[1]ARS!A:EL,MATCH("ROA",[1]ARS!$4:$4,0),FALSE),"-")</f>
        <v>0.43851511503367757</v>
      </c>
      <c r="AQ93" s="283"/>
      <c r="AR93" s="283"/>
      <c r="AS93" s="40">
        <f>+VLOOKUP(A93,[1]ARS!$A$5:$EL$85,MATCH("Last Q y/y",[1]ARS!$4:$4,0),FALSE)</f>
        <v>2.8906214535427228</v>
      </c>
      <c r="AT93" s="40">
        <f>+VLOOKUP(A93,[1]ARS!$A$5:$EL$99,MATCH("Last 5 yrs - Annual",[1]ARS!$4:$4,0),FALSE)</f>
        <v>4.4516244475265472</v>
      </c>
      <c r="AU93" s="41">
        <f>+VLOOKUP(A93,[1]ARS!$A$5:$EL$84,MATCH("Desvio",[1]ARS!$4:$4,0),FALSE)</f>
        <v>12.613219743879498</v>
      </c>
      <c r="AV93" s="42">
        <f>+IFERROR(VLOOKUP(A93,'[1]Prom. Vtas Ult 5 años'!$A$3:$D$81,3,FALSE),"-")</f>
        <v>28.851963684210528</v>
      </c>
      <c r="AW93" s="40">
        <f>+IFERROR(VLOOKUP(A93,'[1]Prom. Vtas Ult 5 años'!$A$3:$D$81,4,FALSE),"-")</f>
        <v>4.4552269851325264</v>
      </c>
      <c r="AX93" s="281">
        <f>IFERROR((VLOOKUP(A93,[1]ARS!A:EL,MATCH("Enterprise Value (Daily Time Series)",[1]ARS!$4:$4,0),FALSE)/1000000000),"-")</f>
        <v>12.43552020395</v>
      </c>
      <c r="AY93" s="281"/>
      <c r="AZ93" s="281"/>
      <c r="BA93" s="281">
        <f>IFERROR((VLOOKUP(A93,[1]ARS!A:EL,MATCH("Company Market Cap",[1]ARS!$4:$4,0),FALSE)/1000000000),"-")</f>
        <v>24.21248813775</v>
      </c>
      <c r="BB93" s="281"/>
      <c r="BC93" s="281"/>
      <c r="BD93" s="281">
        <f>IF(VLOOKUP(A93,[1]ARS!A:EL,MATCH("Enterprise Value To EBITDA (Daily Time Series Ratio)",[1]ARS!$4:$4,0),FALSE)="NULL","-",VLOOKUP(A93,[1]ARS!A:EL,MATCH("Enterprise Value To EBITDA (Daily Time Series Ratio)",[1]ARS!$4:$4,0),FALSE))</f>
        <v>4.1305377220798496</v>
      </c>
      <c r="BE93" s="281"/>
      <c r="BF93" s="281"/>
      <c r="BG93" s="281">
        <f>IF(OR(IFERROR(VLOOKUP(A93,[1]ARS!A:EL,MATCH("Price To Tangible Book Value",[1]ARS!$4:$4,0),FALSE),"-")&lt;0,IFERROR(VLOOKUP(A93,[1]ARS!A:EL,MATCH("Price To Tangible Book Value",[1]ARS!$4:$4,0),FALSE),"-")&gt;100),"-",IFERROR(VLOOKUP(A93,[1]ARS!A:EL,MATCH("Price To Tangible Book Value",[1]ARS!$4:$4,0),FALSE),"-"))</f>
        <v>12.198775378761644</v>
      </c>
      <c r="BH93" s="281"/>
      <c r="BI93" s="281"/>
      <c r="BJ93" s="281">
        <f>IF(OR(IFERROR(VLOOKUP(A93,[1]ARS!A:EL,MATCH("P/E (Daily Time Series Ratio)",[1]ARS!$4:$4,0),FALSE),"-")&lt;0,IFERROR(VLOOKUP(A93,[1]ARS!A:EL,MATCH("P/E (Daily Time Series Ratio)",[1]ARS!$4:$4,0),FALSE),"-")&gt;500),"-",IFERROR(VLOOKUP(A93,[1]ARS!A:EL,MATCH("P/E (Daily Time Series Ratio)",[1]ARS!$4:$4,0),FALSE),"-"))</f>
        <v>13.264648760183231</v>
      </c>
      <c r="BK93" s="281"/>
      <c r="BL93" s="281"/>
      <c r="BM93" s="281">
        <f>IF(OR(IFERROR(VLOOKUP(A93,[1]ARS!A:EC,MATCH("Price To Sales",[1]ARS!$4:$4,0),FALSE),"-")&lt;0,IFERROR(VLOOKUP(A93,[1]ARS!A:EC,MATCH("Price To Sales",[1]ARS!$4:$4,0),FALSE),"-")&gt;100),"-",IFERROR(VLOOKUP(A93,[1]ARS!A:EC,MATCH("Price To Sales",[1]ARS!$4:$4,0),FALSE),"-"))</f>
        <v>4.4901802334749474</v>
      </c>
      <c r="BN93" s="281"/>
      <c r="BO93" s="281"/>
      <c r="BP93" s="281">
        <f>+IFERROR(IF(VLOOKUP(A93,[1]ARS!A:EO,MATCH("Price to Free Cash Flow",[1]ARS!$4:$4,0),FALSE)="NULL","-",VLOOKUP(A93,[1]ARS!A:EO,MATCH("Price to Free Cash Flow",[1]ARS!$4:$4,0),FALSE)),"-")</f>
        <v>25.1922844403</v>
      </c>
      <c r="BQ93" s="281"/>
      <c r="BR93" s="282"/>
      <c r="BS93" s="43">
        <f>IF(VLOOKUP(A93,[1]ARS!A:EE,MATCH("Daily Beta - 180 Day",[1]ARS!$4:$4,0),FALSE)="NULL","-",VLOOKUP(A93,[1]ARS!A:EE,MATCH("Daily Beta - 180 Day",[1]ARS!$4:$4,0),FALSE))</f>
        <v>1.3669381618989001</v>
      </c>
      <c r="BT93" s="40">
        <f>+VLOOKUP(A93,[1]ARS!$A:$EH,MATCH("Volatilidad histórica",[1]ARS!$4:$4,0),FALSE)</f>
        <v>0.51267443697466886</v>
      </c>
      <c r="BU93" s="44">
        <f>+VLOOKUP(A93,[1]ARS!$A$5:$EM$85,MATCH("Rto Medio",[1]ARS!$4:$4,0),FALSE)</f>
        <v>0.19568739573499405</v>
      </c>
      <c r="BV93" s="45">
        <f>+IF(VLOOKUP(Template!A93,[1]ARS!A:AA,MATCH("Period End Date",[1]ARS!$3:$3,0),FALSE)="","-",VLOOKUP(Template!A93,[1]ARS!A:AA,MATCH("Period End Date",[1]ARS!$3:$3,0),FALSE))</f>
        <v>43008</v>
      </c>
      <c r="BW93" s="46" t="str">
        <f t="shared" si="22"/>
        <v>TRAN</v>
      </c>
      <c r="BX93" s="4"/>
      <c r="BY93" s="119" t="s">
        <v>122</v>
      </c>
      <c r="BZ93" s="48">
        <v>4.2995262032759296</v>
      </c>
      <c r="CA93" s="48">
        <v>12.288099142121084</v>
      </c>
      <c r="CB93" s="48">
        <v>16.717907733459462</v>
      </c>
      <c r="CC93" s="128"/>
      <c r="CD93" s="119" t="s">
        <v>122</v>
      </c>
      <c r="CE93" s="129">
        <v>4.2995262032759296</v>
      </c>
      <c r="CF93" s="119">
        <v>12.288099142121084</v>
      </c>
      <c r="CG93" s="119">
        <v>16.717907733459462</v>
      </c>
    </row>
    <row r="94" spans="1:92" ht="11.25" customHeight="1" x14ac:dyDescent="0.2">
      <c r="A94" s="330" t="str">
        <f t="shared" si="23"/>
        <v>CECO2</v>
      </c>
      <c r="B94" s="330"/>
      <c r="C94" s="331">
        <f>+VLOOKUP(A94,[1]ARS!A:EL,MATCH("Last",[1]ARS!$4:$4,0),FALSE)</f>
        <v>19.400000000000002</v>
      </c>
      <c r="D94" s="331"/>
      <c r="E94" s="133">
        <f>+VLOOKUP(A94,'[1]Market Cap'!I:J,2,FALSE)</f>
        <v>1</v>
      </c>
      <c r="F94" s="332">
        <f>IFERROR(IF(VLOOKUP(A94,[1]ARS!A:EL,MATCH("Total Debt To Total Equity, Percent FQ0",[1]ARS!$4:$4,0),FALSE)="NULL",IF(VLOOKUP(A94,[1]ARS!A:EL,MATCH("Total Debt To Total Equity, Percent FQ-1",[1]ARS!$4:$4,0),FALSE)="NULL","-",VLOOKUP(A94,[1]ARS!A:EL,MATCH("Total Debt To Total Equity, Percent FQ-1",[1]ARS!$4:$4,0))),VLOOKUP(A94,[1]ARS!A:EL,MATCH("Total Debt To Total Equity, Percent FQ0",[1]ARS!$4:$4,0),FALSE))/100,"-")</f>
        <v>1.40913348827</v>
      </c>
      <c r="G94" s="332"/>
      <c r="H94" s="332"/>
      <c r="I94" s="324">
        <f>IFERROR(VLOOKUP(A94,[1]ARS!A:EC,MATCH("Financial Leverage",[1]ARS!$4:$4,0),FALSE),"-")</f>
        <v>8.0085897053417749</v>
      </c>
      <c r="J94" s="324"/>
      <c r="K94" s="324"/>
      <c r="L94" s="325">
        <f>+IFERROR(IF(VLOOKUP(A94,[1]ARS!A:EL,MATCH("Curr Ratio FQ0",[1]ARS!$4:$4,0),FALSE)="NULL",IF(VLOOKUP(A94,[1]ARS!A:EL,MATCH("Curr Ratio FQ-1",[1]ARS!$4:$4,0),FALSE)="NULL","-",VLOOKUP(A94,[1]ARS!A:EL,MATCH("Curr Ratio FQ-1",[1]ARS!$4:$4,0),FALSE)),VLOOKUP(A94,[1]ARS!A:EL,MATCH("Curr Ratio FQ0",[1]ARS!$4:$4,0),FALSE)),"-")</f>
        <v>0.89051999999999998</v>
      </c>
      <c r="M94" s="333"/>
      <c r="N94" s="334"/>
      <c r="O94" s="325">
        <f>+IFERROR(IF(VLOOKUP(A94,[1]ARS!A:EL,MATCH("Quick Ratio FQ0",[1]ARS!$4:$4,0),FALSE)="NULL",IF(VLOOKUP(A94,[1]ARS!A:EL,MATCH("Quick Ratio FQ-1",[1]ARS!$4:$4,0),FALSE)="NULL","-",VLOOKUP(A94,[1]ARS!A:EL,MATCH("Quick Ratio FQ-1",[1]ARS!$4:$4,0),FALSE)),VLOOKUP(A94,[1]ARS!A:EL,MATCH("Quick Ratio FQ0",[1]ARS!$4:$4,0),FALSE)),"-")</f>
        <v>0.85192000000000001</v>
      </c>
      <c r="P94" s="333"/>
      <c r="Q94" s="334"/>
      <c r="R94" s="335" t="str">
        <f>+IFERROR(IF(VLOOKUP(A94,[1]ARS!$A:$EL,MATCH("Dividend yield",[1]ARS!$4:$4,0),FALSE)="NULL","-",VLOOKUP(A94,[1]ARS!$A:$EL,MATCH("Dividend Yield",[1]ARS!$4:$4,0),FALSE)/100),"-")</f>
        <v>-</v>
      </c>
      <c r="S94" s="336"/>
      <c r="T94" s="337"/>
      <c r="U94" s="324">
        <f>IF(IFERROR(VLOOKUP(A94,[1]ARS!A:EL,MATCH("Asset Turnover",[1]ARS!$4:$4,0),FALSE),"-")=0,"-",IFERROR(VLOOKUP(A94,[1]ARS!A:EL,MATCH("Asset Turnover",[1]ARS!$4:$4,0),FALSE),"-"))</f>
        <v>0.62377926158924279</v>
      </c>
      <c r="V94" s="324"/>
      <c r="W94" s="324"/>
      <c r="X94" s="328">
        <f>IFERROR(VLOOKUP(A94,[1]ARS!A:EL,MATCH("CCC",[1]ARS!$4:$4,0),FALSE),"-")</f>
        <v>-126.20786923555845</v>
      </c>
      <c r="Y94" s="328"/>
      <c r="Z94" s="328"/>
      <c r="AA94" s="327">
        <f>IF(IFERROR(VLOOKUP(A94,[1]ARS!A:EL,MATCH("Gross Margin, Percent",[1]ARS!$4:$4,0),FALSE)/100,"-")&lt;0,"-",IFERROR(VLOOKUP(A94,[1]ARS!A:EL,MATCH("Gross Margin, Percent",[1]ARS!$4:$4,0),FALSE)/100,"-"))</f>
        <v>0.38352259999999999</v>
      </c>
      <c r="AB94" s="327"/>
      <c r="AC94" s="327"/>
      <c r="AD94" s="327">
        <f>IF(IFERROR(VLOOKUP(A94,[1]ARS!A:EL,MATCH("Operating Margin, Percent",[1]ARS!$4:$4,0),FALSE)/100,"-")&lt;0,"-",IFERROR(VLOOKUP(A94,[1]ARS!A:EL,MATCH("Operating Margin, Percent",[1]ARS!$4:$4,0),FALSE)/100,"-"))</f>
        <v>0.25088749999999999</v>
      </c>
      <c r="AE94" s="327"/>
      <c r="AF94" s="327"/>
      <c r="AG94" s="327">
        <f>IF(IFERROR(VLOOKUP(A94,[1]ARS!A:EL,MATCH("Net Profit Margin",[1]ARS!$4:$4,0),FALSE),"-")&lt;0,"-",IFERROR(VLOOKUP(A94,[1]ARS!A:EL,MATCH("Net Profit Margin",[1]ARS!$4:$4,0),FALSE),"-"))</f>
        <v>4.0381115192631628E-2</v>
      </c>
      <c r="AH94" s="327"/>
      <c r="AI94" s="327"/>
      <c r="AJ94" s="327">
        <f>IFERROR(VLOOKUP(A94,[1]ARS!A:EL,MATCH("FCF/Revenue",[1]ARS!$4:$4,0),FALSE),"-")</f>
        <v>0.14777281960134064</v>
      </c>
      <c r="AK94" s="327"/>
      <c r="AL94" s="327"/>
      <c r="AM94" s="329">
        <f>IFERROR(IF(VLOOKUP(A94,[1]ARS!A:EL,MATCH("ROE",[1]ARS!$4:$4,0),FALSE)&lt;-5,"-",VLOOKUP(A94,[1]ARS!A:EL,MATCH("ROE",[1]ARS!$4:$4,0),FALSE)),"-")</f>
        <v>0.15794660223036602</v>
      </c>
      <c r="AN94" s="329"/>
      <c r="AO94" s="329"/>
      <c r="AP94" s="327">
        <f>IFERROR(VLOOKUP(A94,[1]ARS!A:EL,MATCH("ROA",[1]ARS!$4:$4,0),FALSE),"-")</f>
        <v>2.0151168899060837E-2</v>
      </c>
      <c r="AQ94" s="327"/>
      <c r="AR94" s="327"/>
      <c r="AS94" s="53">
        <f>+VLOOKUP(A94,[1]ARS!$A$5:$EL$85,MATCH("Last Q y/y",[1]ARS!$4:$4,0),FALSE)</f>
        <v>0.17207626176705482</v>
      </c>
      <c r="AT94" s="53">
        <f>+VLOOKUP(A94,[1]ARS!$A$5:$EL$99,MATCH("Last 5 yrs - Annual",[1]ARS!$4:$4,0),FALSE)</f>
        <v>0.85523968908640735</v>
      </c>
      <c r="AU94" s="54">
        <f>+VLOOKUP(A94,[1]ARS!$A$5:$EL$84,MATCH("Desvio",[1]ARS!$4:$4,0),FALSE)</f>
        <v>2.3112275885183013</v>
      </c>
      <c r="AV94" s="55">
        <f>AVERAGE(AV83:AV93)</f>
        <v>85.74252131326709</v>
      </c>
      <c r="AW94" s="56">
        <f>AVERAGE(AW83:AW93)</f>
        <v>18.717433991545313</v>
      </c>
      <c r="AX94" s="324">
        <f>IFERROR((VLOOKUP(A94,[1]ARS!A:EL,MATCH("Enterprise Value (Daily Time Series)",[1]ARS!$4:$4,0),FALSE)/1000000000),"-")</f>
        <v>12.384234177200002</v>
      </c>
      <c r="AY94" s="324"/>
      <c r="AZ94" s="324"/>
      <c r="BA94" s="324">
        <f>IFERROR((VLOOKUP(A94,[1]ARS!A:EL,MATCH("Company Market Cap",[1]ARS!$4:$4,0),FALSE)/1000000000),"-")</f>
        <v>13.197381506399999</v>
      </c>
      <c r="BB94" s="324"/>
      <c r="BC94" s="324"/>
      <c r="BD94" s="324">
        <f>IF(VLOOKUP(A94,[1]ARS!A:EL,MATCH("Enterprise Value To EBITDA (Daily Time Series Ratio)",[1]ARS!$4:$4,0),FALSE)="NULL","-",VLOOKUP(A94,[1]ARS!A:EL,MATCH("Enterprise Value To EBITDA (Daily Time Series Ratio)",[1]ARS!$4:$4,0),FALSE))</f>
        <v>16.1583858469204</v>
      </c>
      <c r="BE94" s="324"/>
      <c r="BF94" s="324"/>
      <c r="BG94" s="324">
        <f>IF(OR(IFERROR(VLOOKUP(A94,[1]ARS!A:EL,MATCH("Price To Tangible Book Value",[1]ARS!$4:$4,0),FALSE),"-")&lt;0,IFERROR(VLOOKUP(A94,[1]ARS!A:EL,MATCH("Price To Tangible Book Value",[1]ARS!$4:$4,0),FALSE),"-")&gt;100),"-",IFERROR(VLOOKUP(A94,[1]ARS!A:EL,MATCH("Price To Tangible Book Value",[1]ARS!$4:$4,0),FALSE),"-"))</f>
        <v>21.670040950546593</v>
      </c>
      <c r="BH94" s="324"/>
      <c r="BI94" s="324"/>
      <c r="BJ94" s="324">
        <f>IF(OR(IFERROR(VLOOKUP(A94,[1]ARS!A:EL,MATCH("P/E (Daily Time Series Ratio)",[1]ARS!$4:$4,0),FALSE),"-")&lt;0,IFERROR(VLOOKUP(A94,[1]ARS!A:EL,MATCH("P/E (Daily Time Series Ratio)",[1]ARS!$4:$4,0),FALSE),"-")&gt;500),"-",IFERROR(VLOOKUP(A94,[1]ARS!A:EL,MATCH("P/E (Daily Time Series Ratio)",[1]ARS!$4:$4,0),FALSE),"-"))</f>
        <v>146.99196848007273</v>
      </c>
      <c r="BK94" s="324"/>
      <c r="BL94" s="324"/>
      <c r="BM94" s="324">
        <f>IF(OR(IFERROR(VLOOKUP(A94,[1]ARS!A:EC,MATCH("Price To Sales",[1]ARS!$4:$4,0),FALSE),"-")&lt;0,IFERROR(VLOOKUP(A94,[1]ARS!A:EC,MATCH("Price To Sales",[1]ARS!$4:$4,0),FALSE),"-")&gt;100),"-",IFERROR(VLOOKUP(A94,[1]ARS!A:EC,MATCH("Price To Sales",[1]ARS!$4:$4,0),FALSE),"-"))</f>
        <v>5.7521856023255991</v>
      </c>
      <c r="BN94" s="324"/>
      <c r="BO94" s="324"/>
      <c r="BP94" s="324">
        <f>+IFERROR(IF(VLOOKUP(A94,[1]ARS!A:EO,MATCH("Price to Free Cash Flow",[1]ARS!$4:$4,0),FALSE)="NULL","-",VLOOKUP(A94,[1]ARS!A:EO,MATCH("Price to Free Cash Flow",[1]ARS!$4:$4,0),FALSE)),"-")</f>
        <v>1441.8289080221</v>
      </c>
      <c r="BQ94" s="324"/>
      <c r="BR94" s="325"/>
      <c r="BS94" s="57">
        <f>IF(VLOOKUP(A94,[1]ARS!A:EE,MATCH("Daily Beta - 180 Day",[1]ARS!$4:$4,0),FALSE)="NULL","-",VLOOKUP(A94,[1]ARS!A:EE,MATCH("Daily Beta - 180 Day",[1]ARS!$4:$4,0),FALSE))</f>
        <v>1.4950392859103301</v>
      </c>
      <c r="BT94" s="53">
        <f>+VLOOKUP(A94,[1]ARS!$A:$EH,MATCH("Volatilidad histórica",[1]ARS!$4:$4,0),FALSE)</f>
        <v>0.53591589165563169</v>
      </c>
      <c r="BU94" s="56">
        <f>+VLOOKUP(A94,[1]ARS!$A$5:$EM$85,MATCH("Rto Medio",[1]ARS!$4:$4,0),FALSE)</f>
        <v>-1.8524155527177566E-2</v>
      </c>
      <c r="BV94" s="58">
        <f>+IF(VLOOKUP(Template!A94,[1]ARS!A:AA,MATCH("Period End Date",[1]ARS!$3:$3,0),FALSE)="","-",VLOOKUP(Template!A94,[1]ARS!A:AA,MATCH("Period End Date",[1]ARS!$3:$3,0),FALSE))</f>
        <v>43008</v>
      </c>
      <c r="BW94" s="59" t="str">
        <f t="shared" si="22"/>
        <v>CECO2</v>
      </c>
      <c r="BX94" s="4"/>
      <c r="BY94" s="119" t="s">
        <v>123</v>
      </c>
      <c r="BZ94" s="48">
        <v>4.5671157092355115</v>
      </c>
      <c r="CA94" s="48">
        <v>16.609194437578601</v>
      </c>
      <c r="CB94" s="48">
        <v>110.52843888664783</v>
      </c>
      <c r="CC94" s="128"/>
      <c r="CD94" s="119" t="s">
        <v>123</v>
      </c>
      <c r="CE94" s="129">
        <v>4.5671157092355115</v>
      </c>
      <c r="CF94" s="119">
        <v>16.609194437578601</v>
      </c>
      <c r="CG94" s="119">
        <v>110.52843888664783</v>
      </c>
    </row>
    <row r="95" spans="1:92" ht="11.25" customHeight="1" x14ac:dyDescent="0.2">
      <c r="A95" s="288" t="str">
        <f t="shared" si="23"/>
        <v>CAPX</v>
      </c>
      <c r="B95" s="288"/>
      <c r="C95" s="289">
        <f>+VLOOKUP(A95,[1]ARS!A:EL,MATCH("Last",[1]ARS!$4:$4,0),FALSE)</f>
        <v>87</v>
      </c>
      <c r="D95" s="289"/>
      <c r="E95" s="132">
        <f>+VLOOKUP(A95,'[1]Market Cap'!I:J,2,FALSE)</f>
        <v>1</v>
      </c>
      <c r="F95" s="326">
        <f>IFERROR(IF(VLOOKUP(A95,[1]ARS!A:EL,MATCH("Total Debt To Total Equity, Percent FQ0",[1]ARS!$4:$4,0),FALSE)="NULL",IF(VLOOKUP(A95,[1]ARS!A:EL,MATCH("Total Debt To Total Equity, Percent FQ-1",[1]ARS!$4:$4,0),FALSE)="NULL","-",VLOOKUP(A95,[1]ARS!A:EL,MATCH("Total Debt To Total Equity, Percent FQ-1",[1]ARS!$4:$4,0))),VLOOKUP(A95,[1]ARS!A:EL,MATCH("Total Debt To Total Equity, Percent FQ0",[1]ARS!$4:$4,0),FALSE))/100,"-")</f>
        <v>1.3868179656359998</v>
      </c>
      <c r="G95" s="326"/>
      <c r="H95" s="326"/>
      <c r="I95" s="281">
        <f>IFERROR(VLOOKUP(A95,[1]ARS!A:EC,MATCH("Financial Leverage",[1]ARS!$4:$4,0),FALSE),"-")</f>
        <v>2.9876867024805893</v>
      </c>
      <c r="J95" s="281"/>
      <c r="K95" s="281"/>
      <c r="L95" s="282">
        <f>+IFERROR(IF(VLOOKUP(A95,[1]ARS!A:EL,MATCH("Curr Ratio FQ0",[1]ARS!$4:$4,0),FALSE)="NULL",IF(VLOOKUP(A95,[1]ARS!A:EL,MATCH("Curr Ratio FQ-1",[1]ARS!$4:$4,0),FALSE)="NULL","-",VLOOKUP(A95,[1]ARS!A:EL,MATCH("Curr Ratio FQ-1",[1]ARS!$4:$4,0),FALSE)),VLOOKUP(A95,[1]ARS!A:EL,MATCH("Curr Ratio FQ0",[1]ARS!$4:$4,0),FALSE)),"-")</f>
        <v>4.2499000000000002</v>
      </c>
      <c r="M95" s="293"/>
      <c r="N95" s="294"/>
      <c r="O95" s="282">
        <f>+IFERROR(IF(VLOOKUP(A95,[1]ARS!A:EL,MATCH("Quick Ratio FQ0",[1]ARS!$4:$4,0),FALSE)="NULL",IF(VLOOKUP(A95,[1]ARS!A:EL,MATCH("Quick Ratio FQ-1",[1]ARS!$4:$4,0),FALSE)="NULL","-",VLOOKUP(A95,[1]ARS!A:EL,MATCH("Quick Ratio FQ-1",[1]ARS!$4:$4,0),FALSE)),VLOOKUP(A95,[1]ARS!A:EL,MATCH("Quick Ratio FQ0",[1]ARS!$4:$4,0),FALSE)),"-")</f>
        <v>4.1983600000000001</v>
      </c>
      <c r="P95" s="293"/>
      <c r="Q95" s="294"/>
      <c r="R95" s="295" t="str">
        <f>+IFERROR(IF(VLOOKUP(A95,[1]ARS!$A:$EL,MATCH("Dividend yield",[1]ARS!$4:$4,0),FALSE)="NULL","-",VLOOKUP(A95,[1]ARS!$A:$EL,MATCH("Dividend Yield",[1]ARS!$4:$4,0),FALSE)/100),"-")</f>
        <v>-</v>
      </c>
      <c r="S95" s="296"/>
      <c r="T95" s="297"/>
      <c r="U95" s="281">
        <f>IF(IFERROR(VLOOKUP(A95,[1]ARS!A:EL,MATCH("Asset Turnover",[1]ARS!$4:$4,0),FALSE),"-")=0,"-",IFERROR(VLOOKUP(A95,[1]ARS!A:EL,MATCH("Asset Turnover",[1]ARS!$4:$4,0),FALSE),"-"))</f>
        <v>0.39017130090722341</v>
      </c>
      <c r="V95" s="281"/>
      <c r="W95" s="281"/>
      <c r="X95" s="284">
        <f>IFERROR(VLOOKUP(A95,[1]ARS!A:EL,MATCH("CCC",[1]ARS!$4:$4,0),FALSE),"-")</f>
        <v>14.354360630190868</v>
      </c>
      <c r="Y95" s="284"/>
      <c r="Z95" s="284"/>
      <c r="AA95" s="283" t="str">
        <f>IF(IFERROR(VLOOKUP(A95,[1]ARS!A:EL,MATCH("Gross Margin, Percent",[1]ARS!$4:$4,0),FALSE)/100,"-")&lt;0,"-",IFERROR(VLOOKUP(A95,[1]ARS!A:EL,MATCH("Gross Margin, Percent",[1]ARS!$4:$4,0),FALSE)/100,"-"))</f>
        <v>-</v>
      </c>
      <c r="AB95" s="283"/>
      <c r="AC95" s="283"/>
      <c r="AD95" s="283">
        <f>IF(IFERROR(VLOOKUP(A95,[1]ARS!A:EL,MATCH("Operating Margin, Percent",[1]ARS!$4:$4,0),FALSE)/100,"-")&lt;0,"-",IFERROR(VLOOKUP(A95,[1]ARS!A:EL,MATCH("Operating Margin, Percent",[1]ARS!$4:$4,0),FALSE)/100,"-"))</f>
        <v>0.45217480000000004</v>
      </c>
      <c r="AE95" s="283"/>
      <c r="AF95" s="283"/>
      <c r="AG95" s="283">
        <f>IF(IFERROR(VLOOKUP(A95,[1]ARS!A:EL,MATCH("Net Profit Margin",[1]ARS!$4:$4,0),FALSE),"-")&lt;0,"-",IFERROR(VLOOKUP(A95,[1]ARS!A:EL,MATCH("Net Profit Margin",[1]ARS!$4:$4,0),FALSE),"-"))</f>
        <v>0.17177671280890494</v>
      </c>
      <c r="AH95" s="283"/>
      <c r="AI95" s="283"/>
      <c r="AJ95" s="283">
        <f>IFERROR(VLOOKUP(A95,[1]ARS!A:EL,MATCH("FCF/Revenue",[1]ARS!$4:$4,0),FALSE),"-")</f>
        <v>0.33330423310503576</v>
      </c>
      <c r="AK95" s="283"/>
      <c r="AL95" s="283"/>
      <c r="AM95" s="283">
        <f>IFERROR(IF(VLOOKUP(A95,[1]ARS!A:EL,MATCH("ROE",[1]ARS!$4:$4,0),FALSE)&lt;-5,"-",VLOOKUP(A95,[1]ARS!A:EL,MATCH("ROE",[1]ARS!$4:$4,0),FALSE)),"-")</f>
        <v>0.15307177961578436</v>
      </c>
      <c r="AN95" s="283"/>
      <c r="AO95" s="283"/>
      <c r="AP95" s="283">
        <f>IFERROR(VLOOKUP(A95,[1]ARS!A:EL,MATCH("ROA",[1]ARS!$4:$4,0),FALSE),"-")</f>
        <v>5.3617928653104996E-2</v>
      </c>
      <c r="AQ95" s="283"/>
      <c r="AR95" s="283"/>
      <c r="AS95" s="40">
        <f>+VLOOKUP(A95,[1]ARS!$A$5:$EL$85,MATCH("Last Q y/y",[1]ARS!$4:$4,0),FALSE)</f>
        <v>0.58182221441990678</v>
      </c>
      <c r="AT95" s="40">
        <f>+VLOOKUP(A95,[1]ARS!$A$5:$EL$99,MATCH("Last 5 yrs - Annual",[1]ARS!$4:$4,0),FALSE)</f>
        <v>-98.296060562605774</v>
      </c>
      <c r="AU95" s="41">
        <f>+VLOOKUP(A95,[1]ARS!$A$5:$EL$84,MATCH("Desvio",[1]ARS!$4:$4,0),FALSE)</f>
        <v>218.63366409159673</v>
      </c>
      <c r="AV95" s="42">
        <f>+IFERROR(VLOOKUP(A95,'[1]Prom. Vtas Ult 5 años'!$A$3:$D$81,3,FALSE),"-")</f>
        <v>-10.623013500000001</v>
      </c>
      <c r="AW95" s="40">
        <f>+IFERROR(VLOOKUP(A95,'[1]Prom. Vtas Ult 5 años'!$A$3:$D$81,4,FALSE),"-")</f>
        <v>13.723583612948902</v>
      </c>
      <c r="AX95" s="281">
        <f>IFERROR((VLOOKUP(A95,[1]ARS!A:EL,MATCH("Enterprise Value (Daily Time Series)",[1]ARS!$4:$4,0),FALSE)/1000000000),"-")</f>
        <v>17.672593770999999</v>
      </c>
      <c r="AY95" s="281"/>
      <c r="AZ95" s="281"/>
      <c r="BA95" s="281">
        <f>IFERROR((VLOOKUP(A95,[1]ARS!A:EL,MATCH("Company Market Cap",[1]ARS!$4:$4,0),FALSE)/1000000000),"-")</f>
        <v>15.283193969999999</v>
      </c>
      <c r="BB95" s="281"/>
      <c r="BC95" s="281"/>
      <c r="BD95" s="281">
        <f>IF(VLOOKUP(A95,[1]ARS!A:EL,MATCH("Enterprise Value To EBITDA (Daily Time Series Ratio)",[1]ARS!$4:$4,0),FALSE)="NULL","-",VLOOKUP(A95,[1]ARS!A:EL,MATCH("Enterprise Value To EBITDA (Daily Time Series Ratio)",[1]ARS!$4:$4,0),FALSE))</f>
        <v>8.5775967393918808</v>
      </c>
      <c r="BE95" s="281"/>
      <c r="BF95" s="281"/>
      <c r="BG95" s="281">
        <f>IF(OR(IFERROR(VLOOKUP(A95,[1]ARS!A:EL,MATCH("Price To Tangible Book Value",[1]ARS!$4:$4,0),FALSE),"-")&lt;0,IFERROR(VLOOKUP(A95,[1]ARS!A:EL,MATCH("Price To Tangible Book Value",[1]ARS!$4:$4,0),FALSE),"-")&gt;100),"-",IFERROR(VLOOKUP(A95,[1]ARS!A:EL,MATCH("Price To Tangible Book Value",[1]ARS!$4:$4,0),FALSE),"-"))</f>
        <v>3.6436198181326329</v>
      </c>
      <c r="BH95" s="281"/>
      <c r="BI95" s="281"/>
      <c r="BJ95" s="281">
        <f>IF(OR(IFERROR(VLOOKUP(A95,[1]ARS!A:EL,MATCH("P/E (Daily Time Series Ratio)",[1]ARS!$4:$4,0),FALSE),"-")&lt;0,IFERROR(VLOOKUP(A95,[1]ARS!A:EL,MATCH("P/E (Daily Time Series Ratio)",[1]ARS!$4:$4,0),FALSE),"-")&gt;500),"-",IFERROR(VLOOKUP(A95,[1]ARS!A:EL,MATCH("P/E (Daily Time Series Ratio)",[1]ARS!$4:$4,0),FALSE),"-"))</f>
        <v>27.232604000375623</v>
      </c>
      <c r="BK95" s="281"/>
      <c r="BL95" s="281"/>
      <c r="BM95" s="281">
        <f>IF(OR(IFERROR(VLOOKUP(A95,[1]ARS!A:EC,MATCH("Price To Sales",[1]ARS!$4:$4,0),FALSE),"-")&lt;0,IFERROR(VLOOKUP(A95,[1]ARS!A:EC,MATCH("Price To Sales",[1]ARS!$4:$4,0),FALSE),"-")&gt;100),"-",IFERROR(VLOOKUP(A95,[1]ARS!A:EC,MATCH("Price To Sales",[1]ARS!$4:$4,0),FALSE),"-"))</f>
        <v>4.5703877673752809</v>
      </c>
      <c r="BN95" s="281"/>
      <c r="BO95" s="281"/>
      <c r="BP95" s="281">
        <f>+IFERROR(IF(VLOOKUP(A95,[1]ARS!A:EO,MATCH("Price to Free Cash Flow",[1]ARS!$4:$4,0),FALSE)="NULL","-",VLOOKUP(A95,[1]ARS!A:EO,MATCH("Price to Free Cash Flow",[1]ARS!$4:$4,0),FALSE)),"-")</f>
        <v>49.519899000400002</v>
      </c>
      <c r="BQ95" s="281"/>
      <c r="BR95" s="282"/>
      <c r="BS95" s="43">
        <f>IF(VLOOKUP(A95,[1]ARS!A:EE,MATCH("Daily Beta - 180 Day",[1]ARS!$4:$4,0),FALSE)="NULL","-",VLOOKUP(A95,[1]ARS!A:EE,MATCH("Daily Beta - 180 Day",[1]ARS!$4:$4,0),FALSE))</f>
        <v>1.1344312505287899</v>
      </c>
      <c r="BT95" s="40">
        <f>+VLOOKUP(A95,[1]ARS!$A:$EH,MATCH("Volatilidad histórica",[1]ARS!$4:$4,0),FALSE)</f>
        <v>0.53156676521446422</v>
      </c>
      <c r="BU95" s="44">
        <f>+VLOOKUP(A95,[1]ARS!$A$5:$EM$85,MATCH("Rto Medio",[1]ARS!$4:$4,0),FALSE)</f>
        <v>8.3781074969947689E-2</v>
      </c>
      <c r="BV95" s="45">
        <f>+IF(VLOOKUP(Template!A95,[1]ARS!A:AA,MATCH("Period End Date",[1]ARS!$3:$3,0),FALSE)="","-",VLOOKUP(Template!A95,[1]ARS!A:AA,MATCH("Period End Date",[1]ARS!$3:$3,0),FALSE))</f>
        <v>43039</v>
      </c>
      <c r="BW95" s="46" t="str">
        <f t="shared" si="22"/>
        <v>CAPX</v>
      </c>
      <c r="BX95" s="4"/>
      <c r="BY95" s="119" t="s">
        <v>124</v>
      </c>
      <c r="BZ95" s="48" t="s">
        <v>49</v>
      </c>
      <c r="CA95" s="48" t="s">
        <v>49</v>
      </c>
      <c r="CB95" s="48">
        <v>27.260645850134601</v>
      </c>
      <c r="CC95" s="128"/>
      <c r="CD95" s="141" t="s">
        <v>124</v>
      </c>
      <c r="CE95" s="144" t="s">
        <v>49</v>
      </c>
      <c r="CF95" s="141" t="s">
        <v>49</v>
      </c>
      <c r="CG95" s="141">
        <v>27.260645850134601</v>
      </c>
    </row>
    <row r="96" spans="1:92" ht="11.25" customHeight="1" x14ac:dyDescent="0.2">
      <c r="A96" s="316" t="str">
        <f t="shared" si="23"/>
        <v>EDN</v>
      </c>
      <c r="B96" s="316"/>
      <c r="C96" s="317">
        <f>+VLOOKUP(A96,[1]ARS!A:EL,MATCH("Last",[1]ARS!$4:$4,0),FALSE)</f>
        <v>56.65</v>
      </c>
      <c r="D96" s="317"/>
      <c r="E96" s="145">
        <f>+VLOOKUP(A96,'[1]Market Cap'!I:J,2,FALSE)</f>
        <v>1</v>
      </c>
      <c r="F96" s="318">
        <f>IFERROR(IF(VLOOKUP(A96,[1]ARS!A:EL,MATCH("Total Debt To Total Equity, Percent FQ0",[1]ARS!$4:$4,0),FALSE)="NULL",IF(VLOOKUP(A96,[1]ARS!A:EL,MATCH("Total Debt To Total Equity, Percent FQ-1",[1]ARS!$4:$4,0),FALSE)="NULL","-",VLOOKUP(A96,[1]ARS!A:EL,MATCH("Total Debt To Total Equity, Percent FQ-1",[1]ARS!$4:$4,0))),VLOOKUP(A96,[1]ARS!A:EL,MATCH("Total Debt To Total Equity, Percent FQ0",[1]ARS!$4:$4,0),FALSE))/100,"-")</f>
        <v>3.0125769527900004</v>
      </c>
      <c r="G96" s="318"/>
      <c r="H96" s="318"/>
      <c r="I96" s="304">
        <f>IFERROR(VLOOKUP(A96,[1]ARS!A:EC,MATCH("Financial Leverage",[1]ARS!$4:$4,0),FALSE),"-")</f>
        <v>21.109456061831512</v>
      </c>
      <c r="J96" s="304"/>
      <c r="K96" s="304"/>
      <c r="L96" s="305">
        <f>+IFERROR(IF(VLOOKUP(A96,[1]ARS!A:EL,MATCH("Curr Ratio FQ0",[1]ARS!$4:$4,0),FALSE)="NULL",IF(VLOOKUP(A96,[1]ARS!A:EL,MATCH("Curr Ratio FQ-1",[1]ARS!$4:$4,0),FALSE)="NULL","-",VLOOKUP(A96,[1]ARS!A:EL,MATCH("Curr Ratio FQ-1",[1]ARS!$4:$4,0),FALSE)),VLOOKUP(A96,[1]ARS!A:EL,MATCH("Curr Ratio FQ0",[1]ARS!$4:$4,0),FALSE)),"-")</f>
        <v>0.63593999999999995</v>
      </c>
      <c r="M96" s="319"/>
      <c r="N96" s="320"/>
      <c r="O96" s="305">
        <f>+IFERROR(IF(VLOOKUP(A96,[1]ARS!A:EL,MATCH("Quick Ratio FQ0",[1]ARS!$4:$4,0),FALSE)="NULL",IF(VLOOKUP(A96,[1]ARS!A:EL,MATCH("Quick Ratio FQ-1",[1]ARS!$4:$4,0),FALSE)="NULL","-",VLOOKUP(A96,[1]ARS!A:EL,MATCH("Quick Ratio FQ-1",[1]ARS!$4:$4,0),FALSE)),VLOOKUP(A96,[1]ARS!A:EL,MATCH("Quick Ratio FQ0",[1]ARS!$4:$4,0),FALSE)),"-")</f>
        <v>0.60751999999999995</v>
      </c>
      <c r="P96" s="319"/>
      <c r="Q96" s="320"/>
      <c r="R96" s="321" t="str">
        <f>+IFERROR(IF(VLOOKUP(A96,[1]ARS!$A:$EL,MATCH("Dividend yield",[1]ARS!$4:$4,0),FALSE)="NULL","-",VLOOKUP(A96,[1]ARS!$A:$EL,MATCH("Dividend Yield",[1]ARS!$4:$4,0),FALSE)/100),"-")</f>
        <v>-</v>
      </c>
      <c r="S96" s="322"/>
      <c r="T96" s="323"/>
      <c r="U96" s="304">
        <f>IF(IFERROR(VLOOKUP(A96,[1]ARS!A:EL,MATCH("Asset Turnover",[1]ARS!$4:$4,0),FALSE),"-")=0,"-",IFERROR(VLOOKUP(A96,[1]ARS!A:EL,MATCH("Asset Turnover",[1]ARS!$4:$4,0),FALSE),"-"))</f>
        <v>1.3191727297648175</v>
      </c>
      <c r="V96" s="304"/>
      <c r="W96" s="304"/>
      <c r="X96" s="314">
        <f>IFERROR(VLOOKUP(A96,[1]ARS!A:EL,MATCH("CCC",[1]ARS!$4:$4,0),FALSE),"-")</f>
        <v>-173.4873130695733</v>
      </c>
      <c r="Y96" s="314"/>
      <c r="Z96" s="314"/>
      <c r="AA96" s="313" t="str">
        <f>IF(IFERROR(VLOOKUP(A96,[1]ARS!A:EL,MATCH("Gross Margin, Percent",[1]ARS!$4:$4,0),FALSE)/100,"-")&lt;0,"-",IFERROR(VLOOKUP(A96,[1]ARS!A:EL,MATCH("Gross Margin, Percent",[1]ARS!$4:$4,0),FALSE)/100,"-"))</f>
        <v>-</v>
      </c>
      <c r="AB96" s="313"/>
      <c r="AC96" s="313"/>
      <c r="AD96" s="313" t="str">
        <f>IF(IFERROR(VLOOKUP(A96,[1]ARS!A:EL,MATCH("Operating Margin, Percent",[1]ARS!$4:$4,0),FALSE)/100,"-")&lt;0,"-",IFERROR(VLOOKUP(A96,[1]ARS!A:EL,MATCH("Operating Margin, Percent",[1]ARS!$4:$4,0),FALSE)/100,"-"))</f>
        <v>-</v>
      </c>
      <c r="AE96" s="313"/>
      <c r="AF96" s="313"/>
      <c r="AG96" s="313">
        <f>IF(IFERROR(VLOOKUP(A96,[1]ARS!A:EL,MATCH("Net Profit Margin",[1]ARS!$4:$4,0),FALSE),"-")&lt;0,"-",IFERROR(VLOOKUP(A96,[1]ARS!A:EL,MATCH("Net Profit Margin",[1]ARS!$4:$4,0),FALSE),"-"))</f>
        <v>6.0984987681444211E-2</v>
      </c>
      <c r="AH96" s="313"/>
      <c r="AI96" s="313"/>
      <c r="AJ96" s="313">
        <f>IFERROR(VLOOKUP(A96,[1]ARS!A:EL,MATCH("FCF/Revenue",[1]ARS!$4:$4,0),FALSE),"-")</f>
        <v>-7.2192424360956783E-2</v>
      </c>
      <c r="AK96" s="313"/>
      <c r="AL96" s="313"/>
      <c r="AM96" s="315">
        <f>IFERROR(IF(VLOOKUP(A96,[1]ARS!A:EL,MATCH("ROE",[1]ARS!$4:$4,0),FALSE)&lt;-5,"-",VLOOKUP(A96,[1]ARS!A:EL,MATCH("ROE",[1]ARS!$4:$4,0),FALSE)),"-")</f>
        <v>1.779479012919347</v>
      </c>
      <c r="AN96" s="315"/>
      <c r="AO96" s="315"/>
      <c r="AP96" s="313">
        <f>IFERROR(VLOOKUP(A96,[1]ARS!A:EL,MATCH("ROA",[1]ARS!$4:$4,0),FALSE),"-")</f>
        <v>6.435982004558552E-2</v>
      </c>
      <c r="AQ96" s="313"/>
      <c r="AR96" s="313"/>
      <c r="AS96" s="76">
        <f>+VLOOKUP(A96,[1]ARS!$A$5:$EL$85,MATCH("Last Q y/y",[1]ARS!$4:$4,0),FALSE)</f>
        <v>1.4433474885309403</v>
      </c>
      <c r="AT96" s="76">
        <f>+VLOOKUP(A96,[1]ARS!$A$5:$EL$99,MATCH("Last 5 yrs - Annual",[1]ARS!$4:$4,0),FALSE)</f>
        <v>-0.98333459147739188</v>
      </c>
      <c r="AU96" s="77">
        <f>+VLOOKUP(A96,[1]ARS!$A$5:$EL$84,MATCH("Desvio",[1]ARS!$4:$4,0),FALSE)</f>
        <v>3.1734192769920537</v>
      </c>
      <c r="AV96" s="78">
        <f>AVERAGE(AV85:AV95)</f>
        <v>80.420973823401312</v>
      </c>
      <c r="AW96" s="79">
        <f>AVERAGE(AW85:AW95)</f>
        <v>17.216392232451302</v>
      </c>
      <c r="AX96" s="304">
        <f>IFERROR((VLOOKUP(A96,[1]ARS!A:EL,MATCH("Enterprise Value (Daily Time Series)",[1]ARS!$4:$4,0),FALSE)/1000000000),"-")</f>
        <v>26.096613598499999</v>
      </c>
      <c r="AY96" s="304"/>
      <c r="AZ96" s="304"/>
      <c r="BA96" s="304">
        <f>IFERROR((VLOOKUP(A96,[1]ARS!A:EL,MATCH("Company Market Cap",[1]ARS!$4:$4,0),FALSE)/1000000000),"-")</f>
        <v>51.622617945000002</v>
      </c>
      <c r="BB96" s="304"/>
      <c r="BC96" s="304"/>
      <c r="BD96" s="304">
        <f>IF(VLOOKUP(A96,[1]ARS!A:EL,MATCH("Enterprise Value To EBITDA (Daily Time Series Ratio)",[1]ARS!$4:$4,0),FALSE)="NULL","-",VLOOKUP(A96,[1]ARS!A:EL,MATCH("Enterprise Value To EBITDA (Daily Time Series Ratio)",[1]ARS!$4:$4,0),FALSE))</f>
        <v>10.813188331553</v>
      </c>
      <c r="BE96" s="304"/>
      <c r="BF96" s="304"/>
      <c r="BG96" s="304">
        <f>IF(OR(IFERROR(VLOOKUP(A96,[1]ARS!A:EL,MATCH("Price To Tangible Book Value",[1]ARS!$4:$4,0),FALSE),"-")&lt;0,IFERROR(VLOOKUP(A96,[1]ARS!A:EL,MATCH("Price To Tangible Book Value",[1]ARS!$4:$4,0),FALSE),"-")&gt;100),"-",IFERROR(VLOOKUP(A96,[1]ARS!A:EL,MATCH("Price To Tangible Book Value",[1]ARS!$4:$4,0),FALSE),"-"))</f>
        <v>49.294300260782464</v>
      </c>
      <c r="BH96" s="304"/>
      <c r="BI96" s="304"/>
      <c r="BJ96" s="304">
        <f>IF(OR(IFERROR(VLOOKUP(A96,[1]ARS!A:EL,MATCH("P/E (Daily Time Series Ratio)",[1]ARS!$4:$4,0),FALSE),"-")&lt;0,IFERROR(VLOOKUP(A96,[1]ARS!A:EL,MATCH("P/E (Daily Time Series Ratio)",[1]ARS!$4:$4,0),FALSE),"-")&gt;500),"-",IFERROR(VLOOKUP(A96,[1]ARS!A:EL,MATCH("P/E (Daily Time Series Ratio)",[1]ARS!$4:$4,0),FALSE),"-"))</f>
        <v>38.69641247028607</v>
      </c>
      <c r="BK96" s="304"/>
      <c r="BL96" s="304"/>
      <c r="BM96" s="304">
        <f>IF(OR(IFERROR(VLOOKUP(A96,[1]ARS!A:EC,MATCH("Price To Sales",[1]ARS!$4:$4,0),FALSE),"-")&lt;0,IFERROR(VLOOKUP(A96,[1]ARS!A:EC,MATCH("Price To Sales",[1]ARS!$4:$4,0),FALSE),"-")&gt;100),"-",IFERROR(VLOOKUP(A96,[1]ARS!A:EC,MATCH("Price To Sales",[1]ARS!$4:$4,0),FALSE),"-"))</f>
        <v>2.3967439894663753</v>
      </c>
      <c r="BN96" s="304"/>
      <c r="BO96" s="304"/>
      <c r="BP96" s="304" t="str">
        <f>+IFERROR(IF(VLOOKUP(A96,[1]ARS!A:EO,MATCH("Price to Free Cash Flow",[1]ARS!$4:$4,0),FALSE)="NULL","-",VLOOKUP(A96,[1]ARS!A:EO,MATCH("Price to Free Cash Flow",[1]ARS!$4:$4,0),FALSE)),"-")</f>
        <v>-</v>
      </c>
      <c r="BQ96" s="304"/>
      <c r="BR96" s="305"/>
      <c r="BS96" s="80">
        <f>IF(VLOOKUP(A96,[1]ARS!A:EE,MATCH("Daily Beta - 180 Day",[1]ARS!$4:$4,0),FALSE)="NULL","-",VLOOKUP(A96,[1]ARS!A:EE,MATCH("Daily Beta - 180 Day",[1]ARS!$4:$4,0),FALSE))</f>
        <v>0.97451961853051505</v>
      </c>
      <c r="BT96" s="76">
        <f>+VLOOKUP(A96,[1]ARS!$A:$EH,MATCH("Volatilidad histórica",[1]ARS!$4:$4,0),FALSE)</f>
        <v>0.54620426359425445</v>
      </c>
      <c r="BU96" s="79">
        <f>+VLOOKUP(A96,[1]ARS!$A$5:$EM$85,MATCH("Rto Medio",[1]ARS!$4:$4,0),FALSE)</f>
        <v>0.11334151560502637</v>
      </c>
      <c r="BV96" s="81">
        <f>+IF(VLOOKUP(Template!A96,[1]ARS!A:AA,MATCH("Period End Date",[1]ARS!$3:$3,0),FALSE)="","-",VLOOKUP(Template!A96,[1]ARS!A:AA,MATCH("Period End Date",[1]ARS!$3:$3,0),FALSE))</f>
        <v>43008</v>
      </c>
      <c r="BW96" s="59" t="str">
        <f t="shared" si="22"/>
        <v>EDN</v>
      </c>
      <c r="BX96" s="4"/>
      <c r="BY96" s="119" t="s">
        <v>125</v>
      </c>
      <c r="BZ96" s="48" t="s">
        <v>49</v>
      </c>
      <c r="CA96" s="48" t="s">
        <v>49</v>
      </c>
      <c r="CB96" s="48">
        <v>82.797703743682845</v>
      </c>
      <c r="CC96" s="128"/>
      <c r="CD96" s="119" t="s">
        <v>125</v>
      </c>
      <c r="CE96" s="129" t="s">
        <v>49</v>
      </c>
      <c r="CF96" s="119" t="s">
        <v>49</v>
      </c>
      <c r="CG96" s="119">
        <v>82.797703743682845</v>
      </c>
    </row>
    <row r="97" spans="1:85" ht="11.25" customHeight="1" x14ac:dyDescent="0.2">
      <c r="A97" s="306" t="s">
        <v>61</v>
      </c>
      <c r="B97" s="307"/>
      <c r="C97" s="308"/>
      <c r="D97" s="309"/>
      <c r="E97" s="82"/>
      <c r="F97" s="301">
        <f>AVERAGE(F87:H96)</f>
        <v>1.0219764565975999</v>
      </c>
      <c r="G97" s="302"/>
      <c r="H97" s="303"/>
      <c r="I97" s="301">
        <f>AVERAGE(I87:K96)</f>
        <v>5.8059230469127385</v>
      </c>
      <c r="J97" s="302"/>
      <c r="K97" s="303"/>
      <c r="L97" s="301">
        <f>AVERAGE(L87:N96)</f>
        <v>1.4350799999999999</v>
      </c>
      <c r="M97" s="302"/>
      <c r="N97" s="303"/>
      <c r="O97" s="301">
        <f>AVERAGE(O87:Q96)</f>
        <v>1.401831</v>
      </c>
      <c r="P97" s="302"/>
      <c r="Q97" s="303"/>
      <c r="R97" s="310">
        <f>AVERAGE(R87:T96)</f>
        <v>0</v>
      </c>
      <c r="S97" s="311"/>
      <c r="T97" s="312"/>
      <c r="U97" s="301">
        <f>AVERAGE(U87:W96)</f>
        <v>1.1201841944228259</v>
      </c>
      <c r="V97" s="302"/>
      <c r="W97" s="303"/>
      <c r="X97" s="301">
        <f>AVERAGE(X87:Z96)</f>
        <v>-96.031652950775126</v>
      </c>
      <c r="Y97" s="302"/>
      <c r="Z97" s="303"/>
      <c r="AA97" s="298">
        <f>AVERAGE(AA87:AC96)</f>
        <v>0.25627929999999999</v>
      </c>
      <c r="AB97" s="299"/>
      <c r="AC97" s="300"/>
      <c r="AD97" s="298">
        <f>AVERAGE(AD87:AF96)</f>
        <v>0.19090068750000003</v>
      </c>
      <c r="AE97" s="299"/>
      <c r="AF97" s="300"/>
      <c r="AG97" s="298">
        <f>AVERAGE(AG87:AI96)</f>
        <v>0.15113173685271861</v>
      </c>
      <c r="AH97" s="299"/>
      <c r="AI97" s="300"/>
      <c r="AJ97" s="298">
        <f>AVERAGE(AJ87:AL96)</f>
        <v>0.1037331566779589</v>
      </c>
      <c r="AK97" s="299"/>
      <c r="AL97" s="300"/>
      <c r="AM97" s="298">
        <f>AVERAGE(AM87:AO96)</f>
        <v>0.6784480565896075</v>
      </c>
      <c r="AN97" s="299"/>
      <c r="AO97" s="300"/>
      <c r="AP97" s="298">
        <f>AVERAGE(AP87:AR96)</f>
        <v>0.13650513165724762</v>
      </c>
      <c r="AQ97" s="299"/>
      <c r="AR97" s="300"/>
      <c r="AS97" s="83">
        <f>AVERAGE(AS87:AS96)</f>
        <v>4.4939502869665251</v>
      </c>
      <c r="AT97" s="83">
        <f>AVERAGE(AT87:AT96)</f>
        <v>-9.0322846813700544</v>
      </c>
      <c r="AU97" s="84">
        <f>AVERAGE(AU87:AU96)</f>
        <v>25.385756598378855</v>
      </c>
      <c r="AV97" s="85">
        <f>AVERAGE(AV87:AV96)</f>
        <v>86.614475766427091</v>
      </c>
      <c r="AW97" s="83">
        <f>AVERAGE(AW87:AW96)</f>
        <v>14.221923887382037</v>
      </c>
      <c r="AX97" s="285">
        <f>+AVERAGE(AX87:AZ96)</f>
        <v>30.59453085889502</v>
      </c>
      <c r="AY97" s="286"/>
      <c r="AZ97" s="287"/>
      <c r="BA97" s="285">
        <f>+AVERAGE(BA87:BC96)</f>
        <v>34.482773301235007</v>
      </c>
      <c r="BB97" s="286"/>
      <c r="BC97" s="287"/>
      <c r="BD97" s="285">
        <f>+AVERAGE(BD87:BF96)</f>
        <v>10.661964008100961</v>
      </c>
      <c r="BE97" s="286"/>
      <c r="BF97" s="287"/>
      <c r="BG97" s="285">
        <f>+AVERAGE(BG87:BI96)</f>
        <v>16.406229038427774</v>
      </c>
      <c r="BH97" s="286"/>
      <c r="BI97" s="287"/>
      <c r="BJ97" s="285">
        <f>+AVERAGE(BJ87:BL96)</f>
        <v>40.820339483790377</v>
      </c>
      <c r="BK97" s="286"/>
      <c r="BL97" s="287"/>
      <c r="BM97" s="285">
        <f>+AVERAGE(BM87:BO96)</f>
        <v>4.1453217896327041</v>
      </c>
      <c r="BN97" s="286"/>
      <c r="BO97" s="287"/>
      <c r="BP97" s="285">
        <f>+AVERAGE(BP87:BR96)</f>
        <v>211.17749442805001</v>
      </c>
      <c r="BQ97" s="286"/>
      <c r="BR97" s="287"/>
      <c r="BS97" s="86">
        <f>+AVERAGE(BS87:BS96)</f>
        <v>1.138902939602078</v>
      </c>
      <c r="BT97" s="83">
        <f>AVERAGE(BT87:BT96)</f>
        <v>0.48696858842131141</v>
      </c>
      <c r="BU97" s="83">
        <f>AVERAGE(BU87:BU96)</f>
        <v>0.16317366947259376</v>
      </c>
      <c r="BV97" s="87"/>
      <c r="BW97" s="87"/>
      <c r="BX97" s="4"/>
      <c r="BY97" s="119"/>
      <c r="BZ97" s="48"/>
      <c r="CA97" s="48"/>
      <c r="CB97" s="48"/>
      <c r="CC97" s="128"/>
      <c r="CD97" s="141"/>
      <c r="CE97" s="144"/>
      <c r="CF97" s="141"/>
      <c r="CG97" s="141"/>
    </row>
    <row r="98" spans="1:85" s="147" customFormat="1" ht="11.25" customHeight="1" x14ac:dyDescent="0.2">
      <c r="A98" s="88" t="s">
        <v>126</v>
      </c>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c r="AQ98" s="88"/>
      <c r="AR98" s="88"/>
      <c r="AS98" s="88"/>
      <c r="AT98" s="88"/>
      <c r="AU98" s="88"/>
      <c r="AV98" s="88"/>
      <c r="AW98" s="90"/>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91"/>
      <c r="BW98" s="92"/>
      <c r="BX98" s="93"/>
      <c r="BY98" s="107"/>
      <c r="BZ98" s="95"/>
      <c r="CA98" s="146"/>
      <c r="CB98" s="96"/>
      <c r="CD98" s="119"/>
      <c r="CE98" s="129"/>
      <c r="CF98" s="119"/>
      <c r="CG98" s="119"/>
    </row>
    <row r="99" spans="1:85" ht="11.25" customHeight="1" x14ac:dyDescent="0.2">
      <c r="A99" s="288" t="str">
        <f>BY99</f>
        <v>TEF</v>
      </c>
      <c r="B99" s="288"/>
      <c r="C99" s="289">
        <f>+VLOOKUP(A99,[1]ARS!A:EL,MATCH("Last",[1]ARS!$4:$4,0),FALSE)</f>
        <v>190</v>
      </c>
      <c r="D99" s="289"/>
      <c r="E99" s="117">
        <f>+VLOOKUP(A99,'[1]Market Cap'!I:J,2,FALSE)</f>
        <v>1</v>
      </c>
      <c r="F99" s="290">
        <f>IFERROR(IF(VLOOKUP(A99,[1]ARS!A:EL,MATCH("Total Debt To Total Equity, Percent FQ0",[1]ARS!$4:$4,0),FALSE)="NULL",IF(VLOOKUP(A99,[1]ARS!A:EL,MATCH("Total Debt To Total Equity, Percent FQ-1",[1]ARS!$4:$4,0),FALSE)="NULL","-",VLOOKUP(A99,[1]ARS!A:EL,MATCH("Total Debt To Total Equity, Percent FQ-1",[1]ARS!$4:$4,0))),VLOOKUP(A99,[1]ARS!A:EL,MATCH("Total Debt To Total Equity, Percent FQ0",[1]ARS!$4:$4,0),FALSE))/100,"-")</f>
        <v>3.3109175846400003</v>
      </c>
      <c r="G99" s="291"/>
      <c r="H99" s="292"/>
      <c r="I99" s="281">
        <f>IFERROR(VLOOKUP(A99,[1]ARS!A:EC,MATCH("Financial Leverage",[1]ARS!$4:$4,0),FALSE),"-")</f>
        <v>6.68735221177693</v>
      </c>
      <c r="J99" s="281"/>
      <c r="K99" s="281"/>
      <c r="L99" s="282">
        <f>+IFERROR(IF(VLOOKUP(A99,[1]ARS!A:EL,MATCH("Curr Ratio FQ0",[1]ARS!$4:$4,0),FALSE)="NULL",IF(VLOOKUP(A99,[1]ARS!A:EL,MATCH("Curr Ratio FQ-1",[1]ARS!$4:$4,0),FALSE)="NULL","-",VLOOKUP(A99,[1]ARS!A:EL,MATCH("Curr Ratio FQ-1",[1]ARS!$4:$4,0),FALSE)),VLOOKUP(A99,[1]ARS!A:EL,MATCH("Curr Ratio FQ0",[1]ARS!$4:$4,0),FALSE)),"-")</f>
        <v>0.66813999999999996</v>
      </c>
      <c r="M99" s="293"/>
      <c r="N99" s="294"/>
      <c r="O99" s="282">
        <f>+IFERROR(IF(VLOOKUP(A99,[1]ARS!A:EL,MATCH("Quick Ratio FQ0",[1]ARS!$4:$4,0),FALSE)="NULL",IF(VLOOKUP(A99,[1]ARS!A:EL,MATCH("Quick Ratio FQ-1",[1]ARS!$4:$4,0),FALSE)="NULL","-",VLOOKUP(A99,[1]ARS!A:EL,MATCH("Quick Ratio FQ-1",[1]ARS!$4:$4,0),FALSE)),VLOOKUP(A99,[1]ARS!A:EL,MATCH("Quick Ratio FQ0",[1]ARS!$4:$4,0),FALSE)),"-")</f>
        <v>0.62473000000000001</v>
      </c>
      <c r="P99" s="293"/>
      <c r="Q99" s="294"/>
      <c r="R99" s="295">
        <f>+IFERROR(IF(VLOOKUP(A99,[1]ARS!$A:$EL,MATCH("Dividend yield",[1]ARS!$4:$4,0),FALSE)="NULL","-",VLOOKUP(A99,[1]ARS!$A:$EL,MATCH("Dividend Yield",[1]ARS!$4:$4,0),FALSE)/100),"-")</f>
        <v>6.3346353070240807E-2</v>
      </c>
      <c r="S99" s="296"/>
      <c r="T99" s="297"/>
      <c r="U99" s="281">
        <f>IF(IFERROR(VLOOKUP(A99,[1]ARS!A:EL,MATCH("Asset Turnover",[1]ARS!$4:$4,0),FALSE),"-")=0,"-",IFERROR(VLOOKUP(A99,[1]ARS!A:EL,MATCH("Asset Turnover",[1]ARS!$4:$4,0),FALSE),"-"))</f>
        <v>0.53918809881013441</v>
      </c>
      <c r="V99" s="281"/>
      <c r="W99" s="281"/>
      <c r="X99" s="284">
        <f>IFERROR(VLOOKUP(A99,[1]ARS!A:EL,MATCH("CCC",[1]ARS!$4:$4,0),FALSE),"-")</f>
        <v>-271.41742769969488</v>
      </c>
      <c r="Y99" s="284"/>
      <c r="Z99" s="284"/>
      <c r="AA99" s="283">
        <f>IF(IFERROR(VLOOKUP(A99,[1]ARS!A:EL,MATCH("Gross Margin, Percent",[1]ARS!$4:$4,0),FALSE)/100,"-")&lt;0,"-",IFERROR(VLOOKUP(A99,[1]ARS!A:EL,MATCH("Gross Margin, Percent",[1]ARS!$4:$4,0),FALSE)/100,"-"))</f>
        <v>0.52319550000000004</v>
      </c>
      <c r="AB99" s="283"/>
      <c r="AC99" s="283"/>
      <c r="AD99" s="283">
        <f>IF(IFERROR(VLOOKUP(A99,[1]ARS!A:EL,MATCH("Operating Margin, Percent",[1]ARS!$4:$4,0),FALSE)/100,"-")&lt;0,"-",IFERROR(VLOOKUP(A99,[1]ARS!A:EL,MATCH("Operating Margin, Percent",[1]ARS!$4:$4,0),FALSE)/100,"-"))</f>
        <v>0.10510030000000001</v>
      </c>
      <c r="AE99" s="283"/>
      <c r="AF99" s="283"/>
      <c r="AG99" s="283">
        <f>IF(IFERROR(VLOOKUP(A99,[1]ARS!A:EL,MATCH("Net Profit Margin",[1]ARS!$4:$4,0),FALSE),"-")&lt;0,"-",IFERROR(VLOOKUP(A99,[1]ARS!A:EL,MATCH("Net Profit Margin",[1]ARS!$4:$4,0),FALSE),"-"))</f>
        <v>5.0381002224666974E-2</v>
      </c>
      <c r="AH99" s="283"/>
      <c r="AI99" s="283"/>
      <c r="AJ99" s="283">
        <f>IFERROR(VLOOKUP(A99,[1]ARS!A:EL,MATCH("FCF/Revenue",[1]ARS!$4:$4,0),FALSE),"-")</f>
        <v>3.6255689488799231E-2</v>
      </c>
      <c r="AK99" s="283"/>
      <c r="AL99" s="283"/>
      <c r="AM99" s="283">
        <f>IFERROR(IF(VLOOKUP(A99,[1]ARS!A:EL,MATCH("ROE",[1]ARS!$4:$4,0),FALSE)&lt;-5,"-",VLOOKUP(A99,[1]ARS!A:EL,MATCH("ROE",[1]ARS!$4:$4,0),FALSE)),"-")</f>
        <v>0.14624280990545915</v>
      </c>
      <c r="AN99" s="283"/>
      <c r="AO99" s="283"/>
      <c r="AP99" s="283">
        <f>IFERROR(VLOOKUP(A99,[1]ARS!A:EL,MATCH("ROA",[1]ARS!$4:$4,0),FALSE),"-")</f>
        <v>2.1731869550643476E-2</v>
      </c>
      <c r="AQ99" s="283"/>
      <c r="AR99" s="283"/>
      <c r="AS99" s="40">
        <f>+VLOOKUP(A99,[1]ARS!$A$5:$EL$85,MATCH("Last Q y/y",[1]ARS!$4:$4,0),FALSE)</f>
        <v>1.0753106069020024E-2</v>
      </c>
      <c r="AT99" s="40">
        <f>+VLOOKUP(A99,[1]ARS!$A$5:$EL$99,MATCH("Last 5 yrs - Annual",[1]ARS!$4:$4,0),FALSE)</f>
        <v>0.5989501215752584</v>
      </c>
      <c r="AU99" s="41">
        <f>+VLOOKUP(A99,[1]ARS!$A$5:$EL$84,MATCH("Desvio",[1]ARS!$4:$4,0),FALSE)</f>
        <v>1.7234778080911917</v>
      </c>
      <c r="AV99" s="42">
        <f>+IFERROR(VLOOKUP(A99,'[1]Prom. Vtas Ult 5 años'!$A$3:$D$81,3,FALSE),"-")</f>
        <v>744.15789473684208</v>
      </c>
      <c r="AW99" s="40">
        <f>+IFERROR(VLOOKUP(A99,'[1]Prom. Vtas Ult 5 años'!$A$3:$D$81,4,FALSE),"-")</f>
        <v>3.0919864222915203</v>
      </c>
      <c r="AX99" s="281">
        <f>IFERROR((VLOOKUP(A99,[1]ARS!A:EL,MATCH("Enterprise Value (Daily Time Series)",[1]ARS!$4:$4,0),FALSE)/1000000000),"-")</f>
        <v>2421.7931556859703</v>
      </c>
      <c r="AY99" s="281"/>
      <c r="AZ99" s="281"/>
      <c r="BA99" s="281">
        <f>IFERROR((VLOOKUP(A99,[1]ARS!A:EL,MATCH("Company Market Cap",[1]ARS!$4:$4,0),FALSE)/1000000000),"-")</f>
        <v>945.28784743000006</v>
      </c>
      <c r="BB99" s="281"/>
      <c r="BC99" s="281"/>
      <c r="BD99" s="281">
        <f>IF(VLOOKUP(A99,[1]ARS!A:EL,MATCH("Enterprise Value To EBITDA (Daily Time Series Ratio)",[1]ARS!$4:$4,0),FALSE)="NULL","-",VLOOKUP(A99,[1]ARS!A:EL,MATCH("Enterprise Value To EBITDA (Daily Time Series Ratio)",[1]ARS!$4:$4,0),FALSE))</f>
        <v>6.5340809280613996</v>
      </c>
      <c r="BE99" s="281"/>
      <c r="BF99" s="281"/>
      <c r="BG99" s="281" t="str">
        <f>IF(OR(IFERROR(VLOOKUP(A99,[1]ARS!A:EL,MATCH("Price To Tangible Book Value",[1]ARS!$4:$4,0),FALSE),"-")&lt;0,IFERROR(VLOOKUP(A99,[1]ARS!A:EL,MATCH("Price To Tangible Book Value",[1]ARS!$4:$4,0),FALSE),"-")&gt;100),"-",IFERROR(VLOOKUP(A99,[1]ARS!A:EL,MATCH("Price To Tangible Book Value",[1]ARS!$4:$4,0),FALSE),"-"))</f>
        <v>-</v>
      </c>
      <c r="BH99" s="281"/>
      <c r="BI99" s="281"/>
      <c r="BJ99" s="281">
        <f>IF(OR(IFERROR(VLOOKUP(A99,[1]ARS!A:EL,MATCH("P/E (Daily Time Series Ratio)",[1]ARS!$4:$4,0),FALSE),"-")&lt;0,IFERROR(VLOOKUP(A99,[1]ARS!A:EL,MATCH("P/E (Daily Time Series Ratio)",[1]ARS!$4:$4,0),FALSE),"-")&gt;500),"-",IFERROR(VLOOKUP(A99,[1]ARS!A:EL,MATCH("P/E (Daily Time Series Ratio)",[1]ARS!$4:$4,0),FALSE),"-"))</f>
        <v>24.278342634881266</v>
      </c>
      <c r="BK99" s="281"/>
      <c r="BL99" s="281"/>
      <c r="BM99" s="281">
        <f>IF(OR(IFERROR(VLOOKUP(A99,[1]ARS!A:EC,MATCH("Price To Sales",[1]ARS!$4:$4,0),FALSE),"-")&lt;0,IFERROR(VLOOKUP(A99,[1]ARS!A:EC,MATCH("Price To Sales",[1]ARS!$4:$4,0),FALSE),"-")&gt;100),"-",IFERROR(VLOOKUP(A99,[1]ARS!A:EC,MATCH("Price To Sales",[1]ARS!$4:$4,0),FALSE),"-"))</f>
        <v>0.99518115549400676</v>
      </c>
      <c r="BN99" s="281"/>
      <c r="BO99" s="281"/>
      <c r="BP99" s="281">
        <f>+IFERROR(IF(VLOOKUP(A99,[1]ARS!A:EO,MATCH("Price to Free Cash Flow",[1]ARS!$4:$4,0),FALSE)="NULL","-",VLOOKUP(A99,[1]ARS!A:EO,MATCH("Price to Free Cash Flow",[1]ARS!$4:$4,0),FALSE)),"-")</f>
        <v>26.607068398900001</v>
      </c>
      <c r="BQ99" s="281"/>
      <c r="BR99" s="282"/>
      <c r="BS99" s="43">
        <f>IF(VLOOKUP(A99,[1]ARS!A:EE,MATCH("Daily Beta - 180 Day",[1]ARS!$4:$4,0),FALSE)="NULL","-",VLOOKUP(A99,[1]ARS!A:EE,MATCH("Daily Beta - 180 Day",[1]ARS!$4:$4,0),FALSE))</f>
        <v>0.17701395104103701</v>
      </c>
      <c r="BT99" s="40">
        <f>+VLOOKUP(A99,[1]ARS!$A:$EH,MATCH("Volatilidad histórica",[1]ARS!$4:$4,0),FALSE)</f>
        <v>0.35584839216493591</v>
      </c>
      <c r="BU99" s="44">
        <f>+VLOOKUP(A99,[1]ARS!$A$5:$EM$85,MATCH("Rto Medio",[1]ARS!$4:$4,0),FALSE)</f>
        <v>-8.8118203109155968E-2</v>
      </c>
      <c r="BV99" s="45">
        <f>+IF(VLOOKUP(Template!A99,[1]ARS!A:AA,MATCH("Period End Date",[1]ARS!$3:$3,0),FALSE)="","-",VLOOKUP(Template!A99,[1]ARS!A:AA,MATCH("Period End Date",[1]ARS!$3:$3,0),FALSE))</f>
        <v>43008</v>
      </c>
      <c r="BW99" s="46" t="str">
        <f t="shared" ref="BW99:BW100" si="24">+BY99</f>
        <v>TEF</v>
      </c>
      <c r="BX99" s="4"/>
      <c r="BY99" s="119" t="s">
        <v>127</v>
      </c>
      <c r="BZ99" s="48">
        <v>1.7842746865253079</v>
      </c>
      <c r="CA99" s="48">
        <v>6.6810336578307083</v>
      </c>
      <c r="CB99" s="48">
        <v>17.739022379094557</v>
      </c>
      <c r="CD99" s="119" t="s">
        <v>127</v>
      </c>
      <c r="CE99" s="119">
        <v>1.7842746865253079</v>
      </c>
      <c r="CF99" s="119">
        <v>6.6810336578307083</v>
      </c>
      <c r="CG99" s="129">
        <v>17.739022379094557</v>
      </c>
    </row>
    <row r="100" spans="1:85" ht="11.25" customHeight="1" x14ac:dyDescent="0.2">
      <c r="A100" s="316" t="str">
        <f>BY100</f>
        <v>TECO2</v>
      </c>
      <c r="B100" s="316"/>
      <c r="C100" s="317">
        <f>+VLOOKUP(A100,[1]ARS!A:EL,MATCH("Last",[1]ARS!$4:$4,0),FALSE)</f>
        <v>132.5</v>
      </c>
      <c r="D100" s="317"/>
      <c r="E100" s="75">
        <f>+VLOOKUP(A100,'[1]Market Cap'!I:J,2,FALSE)</f>
        <v>1</v>
      </c>
      <c r="F100" s="338">
        <f>IFERROR(IF(VLOOKUP(A100,[1]ARS!A:EL,MATCH("Total Debt To Total Equity, Percent FQ0",[1]ARS!$4:$4,0),FALSE)="NULL",IF(VLOOKUP(A100,[1]ARS!A:EL,MATCH("Total Debt To Total Equity, Percent FQ-1",[1]ARS!$4:$4,0),FALSE)="NULL","-",VLOOKUP(A100,[1]ARS!A:EL,MATCH("Total Debt To Total Equity, Percent FQ-1",[1]ARS!$4:$4,0))),VLOOKUP(A100,[1]ARS!A:EL,MATCH("Total Debt To Total Equity, Percent FQ0",[1]ARS!$4:$4,0),FALSE))/100,"-")</f>
        <v>0.41718868452000002</v>
      </c>
      <c r="G100" s="339"/>
      <c r="H100" s="340"/>
      <c r="I100" s="304">
        <f>IFERROR(VLOOKUP(A100,[1]ARS!A:EC,MATCH("Financial Leverage",[1]ARS!$4:$4,0),FALSE),"-")</f>
        <v>2.3155647767625585</v>
      </c>
      <c r="J100" s="304"/>
      <c r="K100" s="304"/>
      <c r="L100" s="305">
        <f>+IFERROR(IF(VLOOKUP(A100,[1]ARS!A:EL,MATCH("Curr Ratio FQ0",[1]ARS!$4:$4,0),FALSE)="NULL",IF(VLOOKUP(A100,[1]ARS!A:EL,MATCH("Curr Ratio FQ-1",[1]ARS!$4:$4,0),FALSE)="NULL","-",VLOOKUP(A100,[1]ARS!A:EL,MATCH("Curr Ratio FQ-1",[1]ARS!$4:$4,0),FALSE)),VLOOKUP(A100,[1]ARS!A:EL,MATCH("Curr Ratio FQ0",[1]ARS!$4:$4,0),FALSE)),"-")</f>
        <v>0.93223999999999996</v>
      </c>
      <c r="M100" s="319"/>
      <c r="N100" s="320"/>
      <c r="O100" s="305">
        <f>+IFERROR(IF(VLOOKUP(A100,[1]ARS!A:EL,MATCH("Quick Ratio FQ0",[1]ARS!$4:$4,0),FALSE)="NULL",IF(VLOOKUP(A100,[1]ARS!A:EL,MATCH("Quick Ratio FQ-1",[1]ARS!$4:$4,0),FALSE)="NULL","-",VLOOKUP(A100,[1]ARS!A:EL,MATCH("Quick Ratio FQ-1",[1]ARS!$4:$4,0),FALSE)),VLOOKUP(A100,[1]ARS!A:EL,MATCH("Quick Ratio FQ0",[1]ARS!$4:$4,0),FALSE)),"-")</f>
        <v>0.83714</v>
      </c>
      <c r="P100" s="319"/>
      <c r="Q100" s="320"/>
      <c r="R100" s="321">
        <f>+IFERROR(IF(VLOOKUP(A100,[1]ARS!$A:$EL,MATCH("Dividend yield",[1]ARS!$4:$4,0),FALSE)="NULL","-",VLOOKUP(A100,[1]ARS!$A:$EL,MATCH("Dividend Yield",[1]ARS!$4:$4,0),FALSE)/100),"-")</f>
        <v>6.9170844940964704E-2</v>
      </c>
      <c r="S100" s="322"/>
      <c r="T100" s="323"/>
      <c r="U100" s="304">
        <f>IF(IFERROR(VLOOKUP(A100,[1]ARS!A:EL,MATCH("Asset Turnover",[1]ARS!$4:$4,0),FALSE),"-")=0,"-",IFERROR(VLOOKUP(A100,[1]ARS!A:EL,MATCH("Asset Turnover",[1]ARS!$4:$4,0),FALSE),"-"))</f>
        <v>1.4927407097142671</v>
      </c>
      <c r="V100" s="304"/>
      <c r="W100" s="304"/>
      <c r="X100" s="314">
        <f>IFERROR(VLOOKUP(A100,[1]ARS!A:EL,MATCH("CCC",[1]ARS!$4:$4,0),FALSE),"-")</f>
        <v>-250.86998129325053</v>
      </c>
      <c r="Y100" s="314"/>
      <c r="Z100" s="314"/>
      <c r="AA100" s="313">
        <f>IF(IFERROR(VLOOKUP(A100,[1]ARS!A:EL,MATCH("Gross Margin, Percent",[1]ARS!$4:$4,0),FALSE)/100,"-")&lt;0,"-",IFERROR(VLOOKUP(A100,[1]ARS!A:EL,MATCH("Gross Margin, Percent",[1]ARS!$4:$4,0),FALSE)/100,"-"))</f>
        <v>0.80888170000000004</v>
      </c>
      <c r="AB100" s="313"/>
      <c r="AC100" s="313"/>
      <c r="AD100" s="313">
        <f>IF(IFERROR(VLOOKUP(A100,[1]ARS!A:EL,MATCH("Operating Margin, Percent",[1]ARS!$4:$4,0),FALSE)/100,"-")&lt;0,"-",IFERROR(VLOOKUP(A100,[1]ARS!A:EL,MATCH("Operating Margin, Percent",[1]ARS!$4:$4,0),FALSE)/100,"-"))</f>
        <v>0.14708470000000001</v>
      </c>
      <c r="AE100" s="313"/>
      <c r="AF100" s="313"/>
      <c r="AG100" s="313">
        <f>IF(IFERROR(VLOOKUP(A100,[1]ARS!A:EL,MATCH("Net Profit Margin",[1]ARS!$4:$4,0),FALSE),"-")&lt;0,"-",IFERROR(VLOOKUP(A100,[1]ARS!A:EL,MATCH("Net Profit Margin",[1]ARS!$4:$4,0),FALSE),"-"))</f>
        <v>0.11562424144348248</v>
      </c>
      <c r="AH100" s="313"/>
      <c r="AI100" s="313"/>
      <c r="AJ100" s="313">
        <f>IFERROR(VLOOKUP(A100,[1]ARS!A:EL,MATCH("FCF/Revenue",[1]ARS!$4:$4,0),FALSE),"-")</f>
        <v>0.1897888178655231</v>
      </c>
      <c r="AK100" s="313"/>
      <c r="AL100" s="313"/>
      <c r="AM100" s="315">
        <f>IFERROR(IF(VLOOKUP(A100,[1]ARS!A:EL,MATCH("ROE",[1]ARS!$4:$4,0),FALSE)&lt;-5,"-",VLOOKUP(A100,[1]ARS!A:EL,MATCH("ROE",[1]ARS!$4:$4,0),FALSE)),"-")</f>
        <v>0.32232598006045021</v>
      </c>
      <c r="AN100" s="315"/>
      <c r="AO100" s="315"/>
      <c r="AP100" s="313">
        <f>IFERROR(VLOOKUP(A100,[1]ARS!A:EL,MATCH("ROA",[1]ARS!$4:$4,0),FALSE),"-")</f>
        <v>0.1380776384762181</v>
      </c>
      <c r="AQ100" s="313"/>
      <c r="AR100" s="313"/>
      <c r="AS100" s="76">
        <f>+VLOOKUP(A100,[1]ARS!$A$5:$EL$85,MATCH("Last Q y/y",[1]ARS!$4:$4,0),FALSE)</f>
        <v>1.715817694369973</v>
      </c>
      <c r="AT100" s="76">
        <f>+VLOOKUP(A100,[1]ARS!$A$5:$EL$99,MATCH("Last 5 yrs - Annual",[1]ARS!$4:$4,0),FALSE)</f>
        <v>0.10053369112719952</v>
      </c>
      <c r="AU100" s="77">
        <f>+VLOOKUP(A100,[1]ARS!$A$5:$EL$84,MATCH("Desvio",[1]ARS!$4:$4,0),FALSE)</f>
        <v>0.1078418015427457</v>
      </c>
      <c r="AV100" s="78">
        <f>AVERAGE(AV89:AV99)</f>
        <v>154.31343913254349</v>
      </c>
      <c r="AW100" s="79">
        <f>AVERAGE(AW89:AW99)</f>
        <v>13.672084180779851</v>
      </c>
      <c r="AX100" s="304">
        <f>IFERROR((VLOOKUP(A100,[1]ARS!A:EL,MATCH("Enterprise Value (Daily Time Series)",[1]ARS!$4:$4,0),FALSE)/1000000000),"-")</f>
        <v>67.855098506199894</v>
      </c>
      <c r="AY100" s="304"/>
      <c r="AZ100" s="304"/>
      <c r="BA100" s="304">
        <f>IFERROR((VLOOKUP(A100,[1]ARS!A:EL,MATCH("Company Market Cap",[1]ARS!$4:$4,0),FALSE)/1000000000),"-")</f>
        <v>132.10392724760001</v>
      </c>
      <c r="BB100" s="304"/>
      <c r="BC100" s="304"/>
      <c r="BD100" s="304">
        <f>IF(VLOOKUP(A100,[1]ARS!A:EL,MATCH("Enterprise Value To EBITDA (Daily Time Series Ratio)",[1]ARS!$4:$4,0),FALSE)="NULL","-",VLOOKUP(A100,[1]ARS!A:EL,MATCH("Enterprise Value To EBITDA (Daily Time Series Ratio)",[1]ARS!$4:$4,0),FALSE))</f>
        <v>3.5902168521798901</v>
      </c>
      <c r="BE100" s="304"/>
      <c r="BF100" s="304"/>
      <c r="BG100" s="304">
        <f>IF(OR(IFERROR(VLOOKUP(A100,[1]ARS!A:EL,MATCH("Price To Tangible Book Value",[1]ARS!$4:$4,0),FALSE),"-")&lt;0,IFERROR(VLOOKUP(A100,[1]ARS!A:EL,MATCH("Price To Tangible Book Value",[1]ARS!$4:$4,0),FALSE),"-")&gt;100),"-",IFERROR(VLOOKUP(A100,[1]ARS!A:EL,MATCH("Price To Tangible Book Value",[1]ARS!$4:$4,0),FALSE),"-"))</f>
        <v>7.3929110329397281</v>
      </c>
      <c r="BH100" s="304"/>
      <c r="BI100" s="304"/>
      <c r="BJ100" s="304">
        <f>IF(OR(IFERROR(VLOOKUP(A100,[1]ARS!A:EL,MATCH("P/E (Daily Time Series Ratio)",[1]ARS!$4:$4,0),FALSE),"-")&lt;0,IFERROR(VLOOKUP(A100,[1]ARS!A:EL,MATCH("P/E (Daily Time Series Ratio)",[1]ARS!$4:$4,0),FALSE),"-")&gt;500),"-",IFERROR(VLOOKUP(A100,[1]ARS!A:EL,MATCH("P/E (Daily Time Series Ratio)",[1]ARS!$4:$4,0),FALSE),"-"))</f>
        <v>17.972535253297455</v>
      </c>
      <c r="BK100" s="304"/>
      <c r="BL100" s="304"/>
      <c r="BM100" s="304">
        <f>IF(OR(IFERROR(VLOOKUP(A100,[1]ARS!A:EC,MATCH("Price To Sales",[1]ARS!$4:$4,0),FALSE),"-")&lt;0,IFERROR(VLOOKUP(A100,[1]ARS!A:EC,MATCH("Price To Sales",[1]ARS!$4:$4,0),FALSE),"-")&gt;100),"-",IFERROR(VLOOKUP(A100,[1]ARS!A:EC,MATCH("Price To Sales",[1]ARS!$4:$4,0),FALSE),"-"))</f>
        <v>2.1377769600712031</v>
      </c>
      <c r="BN100" s="304"/>
      <c r="BO100" s="304"/>
      <c r="BP100" s="304">
        <f>+IFERROR(IF(VLOOKUP(A100,[1]ARS!A:EO,MATCH("Price to Free Cash Flow",[1]ARS!$4:$4,0),FALSE)="NULL","-",VLOOKUP(A100,[1]ARS!A:EO,MATCH("Price to Free Cash Flow",[1]ARS!$4:$4,0),FALSE)),"-")</f>
        <v>28.556186044099999</v>
      </c>
      <c r="BQ100" s="304"/>
      <c r="BR100" s="305"/>
      <c r="BS100" s="80">
        <f>IF(VLOOKUP(A100,[1]ARS!A:EE,MATCH("Daily Beta - 180 Day",[1]ARS!$4:$4,0),FALSE)="NULL","-",VLOOKUP(A100,[1]ARS!A:EE,MATCH("Daily Beta - 180 Day",[1]ARS!$4:$4,0),FALSE))</f>
        <v>0.76004763588499002</v>
      </c>
      <c r="BT100" s="76">
        <f>+VLOOKUP(A100,[1]ARS!$A:$EH,MATCH("Volatilidad histórica",[1]ARS!$4:$4,0),FALSE)</f>
        <v>0.42538774566535764</v>
      </c>
      <c r="BU100" s="79">
        <f>+VLOOKUP(A100,[1]ARS!$A$5:$EM$85,MATCH("Rto Medio",[1]ARS!$4:$4,0),FALSE)</f>
        <v>7.5876161521486685E-2</v>
      </c>
      <c r="BV100" s="81">
        <f>+IF(VLOOKUP(Template!A100,[1]ARS!A:AA,MATCH("Period End Date",[1]ARS!$3:$3,0),FALSE)="","-",VLOOKUP(Template!A100,[1]ARS!A:AA,MATCH("Period End Date",[1]ARS!$3:$3,0),FALSE))</f>
        <v>43008</v>
      </c>
      <c r="BW100" s="59" t="str">
        <f t="shared" si="24"/>
        <v>TECO2</v>
      </c>
      <c r="BX100" s="4"/>
      <c r="BY100" s="119" t="s">
        <v>128</v>
      </c>
      <c r="BZ100" s="48">
        <v>1.033138471008757</v>
      </c>
      <c r="CA100" s="48" t="s">
        <v>49</v>
      </c>
      <c r="CB100" s="48">
        <v>22.162639736659834</v>
      </c>
      <c r="CD100" s="107" t="s">
        <v>128</v>
      </c>
      <c r="CE100" s="107">
        <v>1.033138471008757</v>
      </c>
      <c r="CF100" s="107" t="s">
        <v>49</v>
      </c>
      <c r="CG100" s="107">
        <v>22.162639736659834</v>
      </c>
    </row>
    <row r="101" spans="1:85" ht="11.25" customHeight="1" x14ac:dyDescent="0.2">
      <c r="A101" s="306" t="s">
        <v>61</v>
      </c>
      <c r="B101" s="307"/>
      <c r="C101" s="308"/>
      <c r="D101" s="309"/>
      <c r="E101" s="82"/>
      <c r="F101" s="301">
        <f>AVERAGE(F99:H100)</f>
        <v>1.8640531345800002</v>
      </c>
      <c r="G101" s="302"/>
      <c r="H101" s="303"/>
      <c r="I101" s="301">
        <f>AVERAGE(I99:K100)</f>
        <v>4.5014584942697446</v>
      </c>
      <c r="J101" s="302"/>
      <c r="K101" s="303"/>
      <c r="L101" s="301">
        <f>AVERAGE(L99:N100)</f>
        <v>0.80018999999999996</v>
      </c>
      <c r="M101" s="302"/>
      <c r="N101" s="303"/>
      <c r="O101" s="301">
        <f>AVERAGE(O99:Q100)</f>
        <v>0.730935</v>
      </c>
      <c r="P101" s="302"/>
      <c r="Q101" s="303"/>
      <c r="R101" s="310">
        <f>AVERAGE(R99:T100)</f>
        <v>6.6258599005602756E-2</v>
      </c>
      <c r="S101" s="311"/>
      <c r="T101" s="312"/>
      <c r="U101" s="301">
        <f>AVERAGE(U99:W100)</f>
        <v>1.0159644042622007</v>
      </c>
      <c r="V101" s="302"/>
      <c r="W101" s="303"/>
      <c r="X101" s="301">
        <f>AVERAGE(X99:Z100)</f>
        <v>-261.14370449647271</v>
      </c>
      <c r="Y101" s="302"/>
      <c r="Z101" s="303"/>
      <c r="AA101" s="298">
        <f>AVERAGE(AA99:AC100)</f>
        <v>0.66603860000000004</v>
      </c>
      <c r="AB101" s="299"/>
      <c r="AC101" s="300"/>
      <c r="AD101" s="298">
        <f>AVERAGE(AD99:AF100)</f>
        <v>0.1260925</v>
      </c>
      <c r="AE101" s="299"/>
      <c r="AF101" s="300"/>
      <c r="AG101" s="298">
        <f>AVERAGE(AG99:AI100)</f>
        <v>8.3002621834074725E-2</v>
      </c>
      <c r="AH101" s="299"/>
      <c r="AI101" s="300"/>
      <c r="AJ101" s="298">
        <f>AVERAGE(AJ99:AL100)</f>
        <v>0.11302225367716116</v>
      </c>
      <c r="AK101" s="299"/>
      <c r="AL101" s="300"/>
      <c r="AM101" s="298">
        <f>AVERAGE(AM99:AO100)</f>
        <v>0.23428439498295467</v>
      </c>
      <c r="AN101" s="299"/>
      <c r="AO101" s="300"/>
      <c r="AP101" s="298">
        <f>AVERAGE(AP99:AR100)</f>
        <v>7.9904754013430779E-2</v>
      </c>
      <c r="AQ101" s="299"/>
      <c r="AR101" s="300"/>
      <c r="AS101" s="83">
        <f>AVERAGE(AS99:AS100)</f>
        <v>0.86328540021949651</v>
      </c>
      <c r="AT101" s="83">
        <f>AVERAGE(AT99:AT100)</f>
        <v>0.34974190635122898</v>
      </c>
      <c r="AU101" s="84">
        <f>AVERAGE(AU99:AU100)</f>
        <v>0.91565980481696863</v>
      </c>
      <c r="AV101" s="85">
        <f>AVERAGE(AV99:AV100)</f>
        <v>449.2356669346928</v>
      </c>
      <c r="AW101" s="83">
        <f>AVERAGE(AW99:AW100)</f>
        <v>8.3820353015356854</v>
      </c>
      <c r="AX101" s="285">
        <f>+AVERAGE(AX99:AZ100)</f>
        <v>1244.824127096085</v>
      </c>
      <c r="AY101" s="286"/>
      <c r="AZ101" s="287"/>
      <c r="BA101" s="285">
        <f>+AVERAGE(BA99:BC100)</f>
        <v>538.69588733880005</v>
      </c>
      <c r="BB101" s="286"/>
      <c r="BC101" s="287"/>
      <c r="BD101" s="285">
        <f>+AVERAGE(BD99:BF100)</f>
        <v>5.0621488901206444</v>
      </c>
      <c r="BE101" s="286"/>
      <c r="BF101" s="287"/>
      <c r="BG101" s="285">
        <f>+AVERAGE(BG99:BI100)</f>
        <v>7.3929110329397281</v>
      </c>
      <c r="BH101" s="286"/>
      <c r="BI101" s="287"/>
      <c r="BJ101" s="285">
        <f>+AVERAGE(BJ99:BL100)</f>
        <v>21.12543894408936</v>
      </c>
      <c r="BK101" s="286"/>
      <c r="BL101" s="287"/>
      <c r="BM101" s="285">
        <f>+AVERAGE(BM99:BO100)</f>
        <v>1.5664790577826049</v>
      </c>
      <c r="BN101" s="286"/>
      <c r="BO101" s="287"/>
      <c r="BP101" s="285">
        <f>+AVERAGE(BP99:BR100)</f>
        <v>27.5816272215</v>
      </c>
      <c r="BQ101" s="286"/>
      <c r="BR101" s="287"/>
      <c r="BS101" s="86">
        <f>+AVERAGE(BS99:BS100)</f>
        <v>0.46853079346301352</v>
      </c>
      <c r="BT101" s="83">
        <f>AVERAGE(BT99:BT100)</f>
        <v>0.39061806891514678</v>
      </c>
      <c r="BU101" s="83">
        <f>AVERAGE(BU99:BU100)</f>
        <v>-6.1210207938346417E-3</v>
      </c>
      <c r="BV101" s="87"/>
      <c r="BW101" s="87"/>
      <c r="BX101" s="4"/>
      <c r="BY101" s="119"/>
      <c r="BZ101" s="48"/>
      <c r="CA101" s="48"/>
      <c r="CB101" s="48"/>
      <c r="CD101" s="119"/>
      <c r="CE101" s="119"/>
      <c r="CF101" s="119"/>
      <c r="CG101" s="129"/>
    </row>
    <row r="102" spans="1:85" ht="11.25" customHeight="1" x14ac:dyDescent="0.2">
      <c r="A102" s="88" t="s">
        <v>129</v>
      </c>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90"/>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91"/>
      <c r="BW102" s="92"/>
      <c r="BX102" s="4"/>
      <c r="BY102" s="119"/>
      <c r="BZ102" s="48"/>
      <c r="CA102" s="48"/>
      <c r="CB102" s="96"/>
      <c r="CD102" s="119"/>
      <c r="CE102" s="119"/>
      <c r="CF102" s="119"/>
      <c r="CG102" s="129"/>
    </row>
    <row r="103" spans="1:85" ht="11.25" customHeight="1" x14ac:dyDescent="0.2">
      <c r="A103" s="288" t="str">
        <f>BY103</f>
        <v>CRES</v>
      </c>
      <c r="B103" s="288"/>
      <c r="C103" s="289">
        <f>+VLOOKUP(A103,[1]ARS!A:EL,MATCH("Last",[1]ARS!$4:$4,0),FALSE)</f>
        <v>38.85</v>
      </c>
      <c r="D103" s="289"/>
      <c r="E103" s="117">
        <f>+VLOOKUP(A103,'[1]Market Cap'!I:J,2,FALSE)</f>
        <v>1</v>
      </c>
      <c r="F103" s="290">
        <f>IFERROR(IF(VLOOKUP(A103,[1]ARS!A:EL,MATCH("Total Debt To Total Equity, Percent FQ0",[1]ARS!$4:$4,0),FALSE)="NULL",IF(VLOOKUP(A103,[1]ARS!A:EL,MATCH("Total Debt To Total Equity, Percent FQ-1",[1]ARS!$4:$4,0),FALSE)="NULL","-",VLOOKUP(A103,[1]ARS!A:EL,MATCH("Total Debt To Total Equity, Percent FQ-1",[1]ARS!$4:$4,0))),VLOOKUP(A103,[1]ARS!A:EL,MATCH("Total Debt To Total Equity, Percent FQ0",[1]ARS!$4:$4,0),FALSE))/100,"-")</f>
        <v>8.7584939759000004</v>
      </c>
      <c r="G103" s="291"/>
      <c r="H103" s="292"/>
      <c r="I103" s="281">
        <f>IFERROR(VLOOKUP(A103,[1]ARS!A:EC,MATCH("Financial Leverage",[1]ARS!$4:$4,0),FALSE),"-")</f>
        <v>15.078915662650603</v>
      </c>
      <c r="J103" s="281"/>
      <c r="K103" s="281"/>
      <c r="L103" s="282">
        <f>+IFERROR(IF(VLOOKUP(A103,[1]ARS!A:EL,MATCH("Curr Ratio FQ0",[1]ARS!$4:$4,0),FALSE)="NULL",IF(VLOOKUP(A103,[1]ARS!A:EL,MATCH("Curr Ratio FQ-1",[1]ARS!$4:$4,0),FALSE)="NULL","-",VLOOKUP(A103,[1]ARS!A:EL,MATCH("Curr Ratio FQ-1",[1]ARS!$4:$4,0),FALSE)),VLOOKUP(A103,[1]ARS!A:EL,MATCH("Curr Ratio FQ0",[1]ARS!$4:$4,0),FALSE)),"-")</f>
        <v>1.4976400000000001</v>
      </c>
      <c r="M103" s="293"/>
      <c r="N103" s="294"/>
      <c r="O103" s="282">
        <f>+IFERROR(IF(VLOOKUP(A103,[1]ARS!A:EL,MATCH("Quick Ratio FQ0",[1]ARS!$4:$4,0),FALSE)="NULL",IF(VLOOKUP(A103,[1]ARS!A:EL,MATCH("Quick Ratio FQ-1",[1]ARS!$4:$4,0),FALSE)="NULL","-",VLOOKUP(A103,[1]ARS!A:EL,MATCH("Quick Ratio FQ-1",[1]ARS!$4:$4,0),FALSE)),VLOOKUP(A103,[1]ARS!A:EL,MATCH("Quick Ratio FQ0",[1]ARS!$4:$4,0),FALSE)),"-")</f>
        <v>1.3999200000000001</v>
      </c>
      <c r="P103" s="293"/>
      <c r="Q103" s="294"/>
      <c r="R103" s="295">
        <f>+IFERROR(IF(VLOOKUP(A103,[1]ARS!$A:$EL,MATCH("Dividend yield",[1]ARS!$4:$4,0),FALSE)="NULL","-",VLOOKUP(A103,[1]ARS!$A:$EL,MATCH("Dividend Yield",[1]ARS!$4:$4,0),FALSE)/100),"-")</f>
        <v>2.0346585785529697E-2</v>
      </c>
      <c r="S103" s="296"/>
      <c r="T103" s="297"/>
      <c r="U103" s="281">
        <f>IF(IFERROR(VLOOKUP(A103,[1]ARS!A:EL,MATCH("Asset Turnover",[1]ARS!$4:$4,0),FALSE),"-")=0,"-",IFERROR(VLOOKUP(A103,[1]ARS!A:EL,MATCH("Asset Turnover",[1]ARS!$4:$4,0),FALSE),"-"))</f>
        <v>0.47417241291650475</v>
      </c>
      <c r="V103" s="281"/>
      <c r="W103" s="281"/>
      <c r="X103" s="284">
        <f>IFERROR(VLOOKUP(A103,[1]ARS!A:EL,MATCH("CCC",[1]ARS!$4:$4,0),FALSE),"-")</f>
        <v>-19.775499917375456</v>
      </c>
      <c r="Y103" s="284"/>
      <c r="Z103" s="284"/>
      <c r="AA103" s="283">
        <f>IF(IFERROR(VLOOKUP(A103,[1]ARS!A:EL,MATCH("Gross Margin, Percent",[1]ARS!$4:$4,0),FALSE)/100,"-")&lt;0,"-",IFERROR(VLOOKUP(A103,[1]ARS!A:EL,MATCH("Gross Margin, Percent",[1]ARS!$4:$4,0),FALSE)/100,"-"))</f>
        <v>0.26988630000000002</v>
      </c>
      <c r="AB103" s="283"/>
      <c r="AC103" s="283"/>
      <c r="AD103" s="283">
        <f>IF(IFERROR(VLOOKUP(A103,[1]ARS!A:EL,MATCH("Operating Margin, Percent",[1]ARS!$4:$4,0),FALSE)/100,"-")&lt;0,"-",IFERROR(VLOOKUP(A103,[1]ARS!A:EL,MATCH("Operating Margin, Percent",[1]ARS!$4:$4,0),FALSE)/100,"-"))</f>
        <v>0.1273775</v>
      </c>
      <c r="AE103" s="283"/>
      <c r="AF103" s="283"/>
      <c r="AG103" s="283" t="str">
        <f>IF(IFERROR(VLOOKUP(A103,[1]ARS!A:EL,MATCH("Net Profit Margin",[1]ARS!$4:$4,0),FALSE),"-")&lt;0,"-",IFERROR(VLOOKUP(A103,[1]ARS!A:EL,MATCH("Net Profit Margin",[1]ARS!$4:$4,0),FALSE),"-"))</f>
        <v>-</v>
      </c>
      <c r="AH103" s="283"/>
      <c r="AI103" s="283"/>
      <c r="AJ103" s="283">
        <f>IFERROR(VLOOKUP(A103,[1]ARS!A:EL,MATCH("FCF/Revenue",[1]ARS!$4:$4,0),FALSE),"-")</f>
        <v>2.9833174690646763E-2</v>
      </c>
      <c r="AK103" s="283"/>
      <c r="AL103" s="283"/>
      <c r="AM103" s="283">
        <f>IFERROR(IF(VLOOKUP(A103,[1]ARS!A:EL,MATCH("ROE",[1]ARS!$4:$4,0),FALSE)&lt;-5,"-",VLOOKUP(A103,[1]ARS!A:EL,MATCH("ROE",[1]ARS!$4:$4,0),FALSE)),"-")</f>
        <v>-0.20440177330080533</v>
      </c>
      <c r="AN103" s="283"/>
      <c r="AO103" s="283"/>
      <c r="AP103" s="283">
        <f>IFERROR(VLOOKUP(A103,[1]ARS!A:EL,MATCH("ROA",[1]ARS!$4:$4,0),FALSE),"-")</f>
        <v>-9.2549261815115264E-3</v>
      </c>
      <c r="AQ103" s="283"/>
      <c r="AR103" s="283"/>
      <c r="AS103" s="40">
        <f>+VLOOKUP(A103,[1]ARS!$A$5:$EL$85,MATCH("Last Q y/y",[1]ARS!$4:$4,0),FALSE)</f>
        <v>-0.44385026737967914</v>
      </c>
      <c r="AT103" s="40">
        <f>+VLOOKUP(A103,[1]ARS!$A$5:$EL$99,MATCH("Last 5 yrs - Annual",[1]ARS!$4:$4,0),FALSE)</f>
        <v>0.9476304295279615</v>
      </c>
      <c r="AU103" s="41">
        <f>+VLOOKUP(A103,[1]ARS!$A$5:$EL$84,MATCH("Desvio",[1]ARS!$4:$4,0),FALSE)</f>
        <v>24.546349602045801</v>
      </c>
      <c r="AV103" s="42">
        <f>+IFERROR(VLOOKUP(A103,'[1]Prom. Vtas Ult 5 años'!$A$3:$D$81,3,FALSE),"-")</f>
        <v>459.83610526315789</v>
      </c>
      <c r="AW103" s="40">
        <f>+IFERROR(VLOOKUP(A103,'[1]Prom. Vtas Ult 5 años'!$A$3:$D$81,4,FALSE),"-")</f>
        <v>100.02612152244889</v>
      </c>
      <c r="AX103" s="281">
        <f>IFERROR((VLOOKUP(A103,[1]ARS!A:EL,MATCH("Enterprise Value (Daily Time Series)",[1]ARS!$4:$4,0),FALSE)/1000000000),"-")</f>
        <v>152.58492723720002</v>
      </c>
      <c r="AY103" s="281"/>
      <c r="AZ103" s="281"/>
      <c r="BA103" s="281" t="str">
        <f>IFERROR((VLOOKUP(A103,[1]ARS!A:EL,MATCH("Company Market Cap",[1]ARS!$4:$4,0),FALSE)/1000000000),"-")</f>
        <v>-</v>
      </c>
      <c r="BB103" s="281"/>
      <c r="BC103" s="281"/>
      <c r="BD103" s="281">
        <f>IF(VLOOKUP(A103,[1]ARS!A:EL,MATCH("Enterprise Value To EBITDA (Daily Time Series Ratio)",[1]ARS!$4:$4,0),FALSE)="NULL","-",VLOOKUP(A103,[1]ARS!A:EL,MATCH("Enterprise Value To EBITDA (Daily Time Series Ratio)",[1]ARS!$4:$4,0),FALSE))</f>
        <v>17.239286774059401</v>
      </c>
      <c r="BE103" s="281"/>
      <c r="BF103" s="281"/>
      <c r="BG103" s="281" t="str">
        <f>IF(OR(IFERROR(VLOOKUP(A103,[1]ARS!A:EL,MATCH("Price To Tangible Book Value",[1]ARS!$4:$4,0),FALSE),"-")&lt;0,IFERROR(VLOOKUP(A103,[1]ARS!A:EL,MATCH("Price To Tangible Book Value",[1]ARS!$4:$4,0),FALSE),"-")&gt;100),"-",IFERROR(VLOOKUP(A103,[1]ARS!A:EL,MATCH("Price To Tangible Book Value",[1]ARS!$4:$4,0),FALSE),"-"))</f>
        <v>-</v>
      </c>
      <c r="BH103" s="281"/>
      <c r="BI103" s="281"/>
      <c r="BJ103" s="281" t="str">
        <f>IF(OR(IFERROR(VLOOKUP(A103,[1]ARS!A:EL,MATCH("P/E (Daily Time Series Ratio)",[1]ARS!$4:$4,0),FALSE),"-")&lt;0,IFERROR(VLOOKUP(A103,[1]ARS!A:EL,MATCH("P/E (Daily Time Series Ratio)",[1]ARS!$4:$4,0),FALSE),"-")&gt;500),"-",IFERROR(VLOOKUP(A103,[1]ARS!A:EL,MATCH("P/E (Daily Time Series Ratio)",[1]ARS!$4:$4,0),FALSE),"-"))</f>
        <v>-</v>
      </c>
      <c r="BK103" s="281"/>
      <c r="BL103" s="281"/>
      <c r="BM103" s="281" t="str">
        <f>IF(OR(IFERROR(VLOOKUP(A103,[1]ARS!A:EC,MATCH("Price To Sales",[1]ARS!$4:$4,0),FALSE),"-")&lt;0,IFERROR(VLOOKUP(A103,[1]ARS!A:EC,MATCH("Price To Sales",[1]ARS!$4:$4,0),FALSE),"-")&gt;100),"-",IFERROR(VLOOKUP(A103,[1]ARS!A:EC,MATCH("Price To Sales",[1]ARS!$4:$4,0),FALSE),"-"))</f>
        <v>-</v>
      </c>
      <c r="BN103" s="281"/>
      <c r="BO103" s="281"/>
      <c r="BP103" s="281" t="str">
        <f>+IFERROR(IF(VLOOKUP(A103,[1]ARS!A:EO,MATCH("Price to Free Cash Flow",[1]ARS!$4:$4,0),FALSE)="NULL","-",VLOOKUP(A103,[1]ARS!A:EO,MATCH("Price to Free Cash Flow",[1]ARS!$4:$4,0),FALSE)),"-")</f>
        <v>-</v>
      </c>
      <c r="BQ103" s="281"/>
      <c r="BR103" s="282"/>
      <c r="BS103" s="43">
        <f>IF(VLOOKUP(A103,[1]ARS!A:EE,MATCH("Daily Beta - 180 Day",[1]ARS!$4:$4,0),FALSE)="NULL","-",VLOOKUP(A103,[1]ARS!A:EE,MATCH("Daily Beta - 180 Day",[1]ARS!$4:$4,0),FALSE))</f>
        <v>0.89225857828451205</v>
      </c>
      <c r="BT103" s="40">
        <f>+VLOOKUP(A103,[1]ARS!$A:$EH,MATCH("Volatilidad histórica",[1]ARS!$4:$4,0),FALSE)</f>
        <v>0.44020907839413692</v>
      </c>
      <c r="BU103" s="44">
        <f>+VLOOKUP(A103,[1]ARS!$A$5:$EM$85,MATCH("Rto Medio",[1]ARS!$4:$4,0),FALSE)</f>
        <v>5.1445435728169731E-2</v>
      </c>
      <c r="BV103" s="45">
        <f>+IF(VLOOKUP(Template!A103,[1]ARS!A:AA,MATCH("Period End Date",[1]ARS!$3:$3,0),FALSE)="","-",VLOOKUP(Template!A103,[1]ARS!A:AA,MATCH("Period End Date",[1]ARS!$3:$3,0),FALSE))</f>
        <v>43008</v>
      </c>
      <c r="BW103" s="46" t="str">
        <f t="shared" ref="BW103:BW106" si="25">+BY103</f>
        <v>CRES</v>
      </c>
      <c r="BX103" s="4"/>
      <c r="BY103" s="141" t="s">
        <v>130</v>
      </c>
      <c r="BZ103" s="48">
        <v>0.20473114257552813</v>
      </c>
      <c r="CA103" s="48">
        <v>4.0263102390711767</v>
      </c>
      <c r="CB103" s="48" t="s">
        <v>49</v>
      </c>
      <c r="CC103" s="128"/>
      <c r="CD103" s="119" t="s">
        <v>130</v>
      </c>
      <c r="CE103" s="119">
        <v>0.20473114257552813</v>
      </c>
      <c r="CF103" s="119">
        <v>4.0263102390711767</v>
      </c>
      <c r="CG103" s="129" t="s">
        <v>49</v>
      </c>
    </row>
    <row r="104" spans="1:85" ht="11.25" customHeight="1" x14ac:dyDescent="0.2">
      <c r="A104" s="330" t="str">
        <f t="shared" ref="A104:A106" si="26">BY104</f>
        <v>IRSA</v>
      </c>
      <c r="B104" s="330"/>
      <c r="C104" s="331">
        <f>+VLOOKUP(A104,[1]ARS!A:EL,MATCH("Last",[1]ARS!$4:$4,0),FALSE)</f>
        <v>53.95</v>
      </c>
      <c r="D104" s="331"/>
      <c r="E104" s="133">
        <f>+VLOOKUP(A104,'[1]Market Cap'!I:J,2,FALSE)</f>
        <v>1</v>
      </c>
      <c r="F104" s="332">
        <f>IFERROR(IF(VLOOKUP(A104,[1]ARS!A:EL,MATCH("Total Debt To Total Equity, Percent FQ0",[1]ARS!$4:$4,0),FALSE)="NULL",IF(VLOOKUP(A104,[1]ARS!A:EL,MATCH("Total Debt To Total Equity, Percent FQ-1",[1]ARS!$4:$4,0),FALSE)="NULL","-",VLOOKUP(A104,[1]ARS!A:EL,MATCH("Total Debt To Total Equity, Percent FQ-1",[1]ARS!$4:$4,0))),VLOOKUP(A104,[1]ARS!A:EL,MATCH("Total Debt To Total Equity, Percent FQ0",[1]ARS!$4:$4,0),FALSE))/100,"-")</f>
        <v>5.3329758302399997</v>
      </c>
      <c r="G104" s="332"/>
      <c r="H104" s="332"/>
      <c r="I104" s="324">
        <f>IFERROR(VLOOKUP(A104,[1]ARS!A:EC,MATCH("Financial Leverage",[1]ARS!$4:$4,0),FALSE),"-")</f>
        <v>9.1681924388095144</v>
      </c>
      <c r="J104" s="324"/>
      <c r="K104" s="324"/>
      <c r="L104" s="325">
        <f>+IFERROR(IF(VLOOKUP(A104,[1]ARS!A:EL,MATCH("Curr Ratio FQ0",[1]ARS!$4:$4,0),FALSE)="NULL",IF(VLOOKUP(A104,[1]ARS!A:EL,MATCH("Curr Ratio FQ-1",[1]ARS!$4:$4,0),FALSE)="NULL","-",VLOOKUP(A104,[1]ARS!A:EL,MATCH("Curr Ratio FQ-1",[1]ARS!$4:$4,0),FALSE)),VLOOKUP(A104,[1]ARS!A:EL,MATCH("Curr Ratio FQ0",[1]ARS!$4:$4,0),FALSE)),"-")</f>
        <v>1.6396999999999999</v>
      </c>
      <c r="M104" s="333"/>
      <c r="N104" s="334"/>
      <c r="O104" s="325">
        <f>+IFERROR(IF(VLOOKUP(A104,[1]ARS!A:EL,MATCH("Quick Ratio FQ0",[1]ARS!$4:$4,0),FALSE)="NULL",IF(VLOOKUP(A104,[1]ARS!A:EL,MATCH("Quick Ratio FQ-1",[1]ARS!$4:$4,0),FALSE)="NULL","-",VLOOKUP(A104,[1]ARS!A:EL,MATCH("Quick Ratio FQ-1",[1]ARS!$4:$4,0),FALSE)),VLOOKUP(A104,[1]ARS!A:EL,MATCH("Quick Ratio FQ0",[1]ARS!$4:$4,0),FALSE)),"-")</f>
        <v>1.5594699999999999</v>
      </c>
      <c r="P104" s="333"/>
      <c r="Q104" s="334"/>
      <c r="R104" s="335">
        <f>+IFERROR(IF(VLOOKUP(A104,[1]ARS!$A:$EL,MATCH("Dividend yield",[1]ARS!$4:$4,0),FALSE)="NULL","-",VLOOKUP(A104,[1]ARS!$A:$EL,MATCH("Dividend Yield",[1]ARS!$4:$4,0),FALSE)/100),"-")</f>
        <v>4.7114194630963994E-2</v>
      </c>
      <c r="S104" s="336"/>
      <c r="T104" s="337"/>
      <c r="U104" s="324">
        <f>IF(IFERROR(VLOOKUP(A104,[1]ARS!A:EL,MATCH("Asset Turnover",[1]ARS!$4:$4,0),FALSE),"-")=0,"-",IFERROR(VLOOKUP(A104,[1]ARS!A:EL,MATCH("Asset Turnover",[1]ARS!$4:$4,0),FALSE),"-"))</f>
        <v>0.47120527133228718</v>
      </c>
      <c r="V104" s="324"/>
      <c r="W104" s="324"/>
      <c r="X104" s="328">
        <f>IFERROR(VLOOKUP(A104,[1]ARS!A:EL,MATCH("CCC",[1]ARS!$4:$4,0),FALSE),"-")</f>
        <v>1.1422510311731173</v>
      </c>
      <c r="Y104" s="328"/>
      <c r="Z104" s="328"/>
      <c r="AA104" s="327">
        <f>IF(IFERROR(VLOOKUP(A104,[1]ARS!A:EL,MATCH("Gross Margin, Percent",[1]ARS!$4:$4,0),FALSE)/100,"-")&lt;0,"-",IFERROR(VLOOKUP(A104,[1]ARS!A:EL,MATCH("Gross Margin, Percent",[1]ARS!$4:$4,0),FALSE)/100,"-"))</f>
        <v>0.30538480000000001</v>
      </c>
      <c r="AB104" s="327"/>
      <c r="AC104" s="327"/>
      <c r="AD104" s="327">
        <f>IF(IFERROR(VLOOKUP(A104,[1]ARS!A:EL,MATCH("Operating Margin, Percent",[1]ARS!$4:$4,0),FALSE)/100,"-")&lt;0,"-",IFERROR(VLOOKUP(A104,[1]ARS!A:EL,MATCH("Operating Margin, Percent",[1]ARS!$4:$4,0),FALSE)/100,"-"))</f>
        <v>0.1287548</v>
      </c>
      <c r="AE104" s="327"/>
      <c r="AF104" s="327"/>
      <c r="AG104" s="327" t="str">
        <f>IF(IFERROR(VLOOKUP(A104,[1]ARS!A:EL,MATCH("Net Profit Margin",[1]ARS!$4:$4,0),FALSE),"-")&lt;0,"-",IFERROR(VLOOKUP(A104,[1]ARS!A:EL,MATCH("Net Profit Margin",[1]ARS!$4:$4,0),FALSE),"-"))</f>
        <v>-</v>
      </c>
      <c r="AH104" s="327"/>
      <c r="AI104" s="327"/>
      <c r="AJ104" s="327">
        <f>IFERROR(VLOOKUP(A104,[1]ARS!A:EL,MATCH("FCF/Revenue",[1]ARS!$4:$4,0),FALSE),"-")</f>
        <v>4.7359243308938148E-2</v>
      </c>
      <c r="AK104" s="327"/>
      <c r="AL104" s="327"/>
      <c r="AM104" s="329">
        <f>IFERROR(IF(VLOOKUP(A104,[1]ARS!A:EL,MATCH("ROE",[1]ARS!$4:$4,0),FALSE)&lt;-5,"-",VLOOKUP(A104,[1]ARS!A:EL,MATCH("ROE",[1]ARS!$4:$4,0),FALSE)),"-")</f>
        <v>-3.4131440176118232E-4</v>
      </c>
      <c r="AN104" s="329"/>
      <c r="AO104" s="329"/>
      <c r="AP104" s="327">
        <f>IFERROR(VLOOKUP(A104,[1]ARS!A:EL,MATCH("ROA",[1]ARS!$4:$4,0),FALSE),"-")</f>
        <v>-2.4899220405409107E-5</v>
      </c>
      <c r="AQ104" s="327"/>
      <c r="AR104" s="327"/>
      <c r="AS104" s="53">
        <f>+VLOOKUP(A104,[1]ARS!$A$5:$EL$85,MATCH("Last Q y/y",[1]ARS!$4:$4,0),FALSE)</f>
        <v>-1.9963702359346636E-2</v>
      </c>
      <c r="AT104" s="53">
        <f>+VLOOKUP(A104,[1]ARS!$A$5:$EL$99,MATCH("Last 5 yrs - Annual",[1]ARS!$4:$4,0),FALSE)</f>
        <v>0.85284239186932176</v>
      </c>
      <c r="AU104" s="54">
        <f>+VLOOKUP(A104,[1]ARS!$A$5:$EL$84,MATCH("Desvio",[1]ARS!$4:$4,0),FALSE)</f>
        <v>3.4217612187614685</v>
      </c>
      <c r="AV104" s="55">
        <f>AVERAGE(AV93:AV103)</f>
        <v>230.95000301717138</v>
      </c>
      <c r="AW104" s="56">
        <f>AVERAGE(AW93:AW103)</f>
        <v>21.500754237390669</v>
      </c>
      <c r="AX104" s="324">
        <f>IFERROR((VLOOKUP(A104,[1]ARS!A:EL,MATCH("Enterprise Value (Daily Time Series)",[1]ARS!$4:$4,0),FALSE)/1000000000),"-")</f>
        <v>145.188036221</v>
      </c>
      <c r="AY104" s="324"/>
      <c r="AZ104" s="324"/>
      <c r="BA104" s="324">
        <f>IFERROR((VLOOKUP(A104,[1]ARS!A:EL,MATCH("Company Market Cap",[1]ARS!$4:$4,0),FALSE)/1000000000),"-")</f>
        <v>30.669852379999998</v>
      </c>
      <c r="BB104" s="324"/>
      <c r="BC104" s="324"/>
      <c r="BD104" s="324">
        <f>IF(VLOOKUP(A104,[1]ARS!A:EL,MATCH("Enterprise Value To EBITDA (Daily Time Series Ratio)",[1]ARS!$4:$4,0),FALSE)="NULL","-",VLOOKUP(A104,[1]ARS!A:EL,MATCH("Enterprise Value To EBITDA (Daily Time Series Ratio)",[1]ARS!$4:$4,0),FALSE))</f>
        <v>13.3126752449111</v>
      </c>
      <c r="BE104" s="324"/>
      <c r="BF104" s="324"/>
      <c r="BG104" s="324">
        <f>IF(OR(IFERROR(VLOOKUP(A104,[1]ARS!A:EL,MATCH("Price To Tangible Book Value",[1]ARS!$4:$4,0),FALSE),"-")&lt;0,IFERROR(VLOOKUP(A104,[1]ARS!A:EL,MATCH("Price To Tangible Book Value",[1]ARS!$4:$4,0),FALSE),"-")&gt;100),"-",IFERROR(VLOOKUP(A104,[1]ARS!A:EL,MATCH("Price To Tangible Book Value",[1]ARS!$4:$4,0),FALSE),"-"))</f>
        <v>2.183063020855577</v>
      </c>
      <c r="BH104" s="324"/>
      <c r="BI104" s="324"/>
      <c r="BJ104" s="324" t="str">
        <f>IF(OR(IFERROR(VLOOKUP(A104,[1]ARS!A:EL,MATCH("P/E (Daily Time Series Ratio)",[1]ARS!$4:$4,0),FALSE),"-")&lt;0,IFERROR(VLOOKUP(A104,[1]ARS!A:EL,MATCH("P/E (Daily Time Series Ratio)",[1]ARS!$4:$4,0),FALSE),"-")&gt;500),"-",IFERROR(VLOOKUP(A104,[1]ARS!A:EL,MATCH("P/E (Daily Time Series Ratio)",[1]ARS!$4:$4,0),FALSE),"-"))</f>
        <v>-</v>
      </c>
      <c r="BK104" s="324"/>
      <c r="BL104" s="324"/>
      <c r="BM104" s="324">
        <f>IF(OR(IFERROR(VLOOKUP(A104,[1]ARS!A:EC,MATCH("Price To Sales",[1]ARS!$4:$4,0),FALSE),"-")&lt;0,IFERROR(VLOOKUP(A104,[1]ARS!A:EC,MATCH("Price To Sales",[1]ARS!$4:$4,0),FALSE),"-")&gt;100),"-",IFERROR(VLOOKUP(A104,[1]ARS!A:EC,MATCH("Price To Sales",[1]ARS!$4:$4,0),FALSE),"-"))</f>
        <v>0.40516066976670456</v>
      </c>
      <c r="BN104" s="324"/>
      <c r="BO104" s="324"/>
      <c r="BP104" s="324">
        <f>+IFERROR(IF(VLOOKUP(A104,[1]ARS!A:EO,MATCH("Price to Free Cash Flow",[1]ARS!$4:$4,0),FALSE)="NULL","-",VLOOKUP(A104,[1]ARS!A:EO,MATCH("Price to Free Cash Flow",[1]ARS!$4:$4,0),FALSE)),"-")</f>
        <v>25.182234085600001</v>
      </c>
      <c r="BQ104" s="324"/>
      <c r="BR104" s="325"/>
      <c r="BS104" s="57">
        <f>IF(VLOOKUP(A104,[1]ARS!A:EE,MATCH("Daily Beta - 180 Day",[1]ARS!$4:$4,0),FALSE)="NULL","-",VLOOKUP(A104,[1]ARS!A:EE,MATCH("Daily Beta - 180 Day",[1]ARS!$4:$4,0),FALSE))</f>
        <v>0.86571688393555202</v>
      </c>
      <c r="BT104" s="53">
        <f>+VLOOKUP(A104,[1]ARS!$A:$EH,MATCH("Volatilidad histórica",[1]ARS!$4:$4,0),FALSE)</f>
        <v>0.42057541668607934</v>
      </c>
      <c r="BU104" s="56">
        <f>+VLOOKUP(A104,[1]ARS!$A$5:$EM$85,MATCH("Rto Medio",[1]ARS!$4:$4,0),FALSE)</f>
        <v>0.10079410042188464</v>
      </c>
      <c r="BV104" s="58">
        <f>+IF(VLOOKUP(Template!A104,[1]ARS!A:AA,MATCH("Period End Date",[1]ARS!$3:$3,0),FALSE)="","-",VLOOKUP(Template!A104,[1]ARS!A:AA,MATCH("Period End Date",[1]ARS!$3:$3,0),FALSE))</f>
        <v>43008</v>
      </c>
      <c r="BW104" s="59" t="str">
        <f t="shared" si="25"/>
        <v>IRSA</v>
      </c>
      <c r="BX104" s="4"/>
      <c r="BY104" s="141" t="s">
        <v>131</v>
      </c>
      <c r="BZ104" s="48">
        <v>0.3311871828587607</v>
      </c>
      <c r="CA104" s="48">
        <v>1.8227213569043557</v>
      </c>
      <c r="CB104" s="48" t="s">
        <v>49</v>
      </c>
      <c r="CC104" s="128"/>
      <c r="CD104" s="141" t="s">
        <v>131</v>
      </c>
      <c r="CE104" s="144">
        <v>0.3311871828587607</v>
      </c>
      <c r="CF104" s="141">
        <v>1.8227213569043557</v>
      </c>
      <c r="CG104" s="141" t="s">
        <v>49</v>
      </c>
    </row>
    <row r="105" spans="1:85" ht="11.25" customHeight="1" x14ac:dyDescent="0.2">
      <c r="A105" s="288" t="str">
        <f t="shared" si="26"/>
        <v>CTIO</v>
      </c>
      <c r="B105" s="288"/>
      <c r="C105" s="289">
        <f>+VLOOKUP(A105,[1]ARS!A:EL,MATCH("Last",[1]ARS!$4:$4,0),FALSE)</f>
        <v>57</v>
      </c>
      <c r="D105" s="289"/>
      <c r="E105" s="132">
        <f>+VLOOKUP(A105,'[1]Market Cap'!I:J,2,FALSE)</f>
        <v>1</v>
      </c>
      <c r="F105" s="326">
        <f>IFERROR(IF(VLOOKUP(A105,[1]ARS!A:EL,MATCH("Total Debt To Total Equity, Percent FQ0",[1]ARS!$4:$4,0),FALSE)="NULL",IF(VLOOKUP(A105,[1]ARS!A:EL,MATCH("Total Debt To Total Equity, Percent FQ-1",[1]ARS!$4:$4,0),FALSE)="NULL","-",VLOOKUP(A105,[1]ARS!A:EL,MATCH("Total Debt To Total Equity, Percent FQ-1",[1]ARS!$4:$4,0))),VLOOKUP(A105,[1]ARS!A:EL,MATCH("Total Debt To Total Equity, Percent FQ0",[1]ARS!$4:$4,0),FALSE))/100,"-")</f>
        <v>7.6191732580000004E-2</v>
      </c>
      <c r="G105" s="326"/>
      <c r="H105" s="326"/>
      <c r="I105" s="281">
        <f>IFERROR(VLOOKUP(A105,[1]ARS!A:EC,MATCH("Financial Leverage",[1]ARS!$4:$4,0),FALSE),"-")</f>
        <v>2.2241299513015029</v>
      </c>
      <c r="J105" s="281"/>
      <c r="K105" s="281"/>
      <c r="L105" s="282">
        <f>+IFERROR(IF(VLOOKUP(A105,[1]ARS!A:EL,MATCH("Curr Ratio FQ0",[1]ARS!$4:$4,0),FALSE)="NULL",IF(VLOOKUP(A105,[1]ARS!A:EL,MATCH("Curr Ratio FQ-1",[1]ARS!$4:$4,0),FALSE)="NULL","-",VLOOKUP(A105,[1]ARS!A:EL,MATCH("Curr Ratio FQ-1",[1]ARS!$4:$4,0),FALSE)),VLOOKUP(A105,[1]ARS!A:EL,MATCH("Curr Ratio FQ0",[1]ARS!$4:$4,0),FALSE)),"-")</f>
        <v>6.4369500000000004</v>
      </c>
      <c r="M105" s="293"/>
      <c r="N105" s="294"/>
      <c r="O105" s="282">
        <f>+IFERROR(IF(VLOOKUP(A105,[1]ARS!A:EL,MATCH("Quick Ratio FQ0",[1]ARS!$4:$4,0),FALSE)="NULL",IF(VLOOKUP(A105,[1]ARS!A:EL,MATCH("Quick Ratio FQ-1",[1]ARS!$4:$4,0),FALSE)="NULL","-",VLOOKUP(A105,[1]ARS!A:EL,MATCH("Quick Ratio FQ-1",[1]ARS!$4:$4,0),FALSE)),VLOOKUP(A105,[1]ARS!A:EL,MATCH("Quick Ratio FQ0",[1]ARS!$4:$4,0),FALSE)),"-")</f>
        <v>4.7199200000000001</v>
      </c>
      <c r="P105" s="293"/>
      <c r="Q105" s="294"/>
      <c r="R105" s="295">
        <f>+IFERROR(IF(VLOOKUP(A105,[1]ARS!$A:$EL,MATCH("Dividend yield",[1]ARS!$4:$4,0),FALSE)="NULL","-",VLOOKUP(A105,[1]ARS!$A:$EL,MATCH("Dividend Yield",[1]ARS!$4:$4,0),FALSE)/100),"-")</f>
        <v>1.0418132542704598E-2</v>
      </c>
      <c r="S105" s="296"/>
      <c r="T105" s="297"/>
      <c r="U105" s="281">
        <f>IF(IFERROR(VLOOKUP(A105,[1]ARS!A:EL,MATCH("Asset Turnover",[1]ARS!$4:$4,0),FALSE),"-")=0,"-",IFERROR(VLOOKUP(A105,[1]ARS!A:EL,MATCH("Asset Turnover",[1]ARS!$4:$4,0),FALSE),"-"))</f>
        <v>0.99049842761313212</v>
      </c>
      <c r="V105" s="281"/>
      <c r="W105" s="281"/>
      <c r="X105" s="284">
        <f>IFERROR(VLOOKUP(A105,[1]ARS!A:EL,MATCH("CCC",[1]ARS!$4:$4,0),FALSE),"-")</f>
        <v>223.70315819549364</v>
      </c>
      <c r="Y105" s="284"/>
      <c r="Z105" s="284"/>
      <c r="AA105" s="283">
        <f>IF(IFERROR(VLOOKUP(A105,[1]ARS!A:EL,MATCH("Gross Margin, Percent",[1]ARS!$4:$4,0),FALSE)/100,"-")&lt;0,"-",IFERROR(VLOOKUP(A105,[1]ARS!A:EL,MATCH("Gross Margin, Percent",[1]ARS!$4:$4,0),FALSE)/100,"-"))</f>
        <v>0.52004130000000004</v>
      </c>
      <c r="AB105" s="283"/>
      <c r="AC105" s="283"/>
      <c r="AD105" s="283">
        <f>IF(IFERROR(VLOOKUP(A105,[1]ARS!A:EL,MATCH("Operating Margin, Percent",[1]ARS!$4:$4,0),FALSE)/100,"-")&lt;0,"-",IFERROR(VLOOKUP(A105,[1]ARS!A:EL,MATCH("Operating Margin, Percent",[1]ARS!$4:$4,0),FALSE)/100,"-"))</f>
        <v>0.40736669999999997</v>
      </c>
      <c r="AE105" s="283"/>
      <c r="AF105" s="283"/>
      <c r="AG105" s="283">
        <f>IF(IFERROR(VLOOKUP(A105,[1]ARS!A:EL,MATCH("Net Profit Margin",[1]ARS!$4:$4,0),FALSE),"-")&lt;0,"-",IFERROR(VLOOKUP(A105,[1]ARS!A:EL,MATCH("Net Profit Margin",[1]ARS!$4:$4,0),FALSE),"-"))</f>
        <v>0.13599654646284159</v>
      </c>
      <c r="AH105" s="283"/>
      <c r="AI105" s="283"/>
      <c r="AJ105" s="283">
        <f>IFERROR(VLOOKUP(A105,[1]ARS!A:EL,MATCH("FCF/Revenue",[1]ARS!$4:$4,0),FALSE),"-")</f>
        <v>0.5968167628380473</v>
      </c>
      <c r="AK105" s="283"/>
      <c r="AL105" s="283"/>
      <c r="AM105" s="283">
        <f>IFERROR(IF(VLOOKUP(A105,[1]ARS!A:EL,MATCH("ROE",[1]ARS!$4:$4,0),FALSE)&lt;-5,"-",VLOOKUP(A105,[1]ARS!A:EL,MATCH("ROE",[1]ARS!$4:$4,0),FALSE)),"-")</f>
        <v>0.26472492480631343</v>
      </c>
      <c r="AN105" s="283"/>
      <c r="AO105" s="283"/>
      <c r="AP105" s="283">
        <f>IFERROR(VLOOKUP(A105,[1]ARS!A:EL,MATCH("ROA",[1]ARS!$4:$4,0),FALSE),"-")</f>
        <v>0.10776355202811495</v>
      </c>
      <c r="AQ105" s="283"/>
      <c r="AR105" s="283"/>
      <c r="AS105" s="40">
        <f>+VLOOKUP(A105,[1]ARS!$A$5:$EL$85,MATCH("Last Q y/y",[1]ARS!$4:$4,0),FALSE)</f>
        <v>1.2400644313141966</v>
      </c>
      <c r="AT105" s="40">
        <f>+VLOOKUP(A105,[1]ARS!$A$5:$EL$99,MATCH("Last 5 yrs - Annual",[1]ARS!$4:$4,0),FALSE)</f>
        <v>2.71797633163425</v>
      </c>
      <c r="AU105" s="41">
        <f>+VLOOKUP(A105,[1]ARS!$A$5:$EL$84,MATCH("Desvio",[1]ARS!$4:$4,0),FALSE)</f>
        <v>4.1943515614936331</v>
      </c>
      <c r="AV105" s="42">
        <f>+IFERROR(VLOOKUP(A105,'[1]Prom. Vtas Ult 5 años'!$A$3:$D$81,3,FALSE),"-")</f>
        <v>503.94762263157901</v>
      </c>
      <c r="AW105" s="40">
        <f>+IFERROR(VLOOKUP(A105,'[1]Prom. Vtas Ult 5 años'!$A$3:$D$81,4,FALSE),"-")</f>
        <v>74.249418026238743</v>
      </c>
      <c r="AX105" s="281">
        <f>IFERROR((VLOOKUP(A105,[1]ARS!A:EL,MATCH("Enterprise Value (Daily Time Series)",[1]ARS!$4:$4,0),FALSE)/1000000000),"-")</f>
        <v>21.0513161698</v>
      </c>
      <c r="AY105" s="281"/>
      <c r="AZ105" s="281"/>
      <c r="BA105" s="281">
        <f>IFERROR((VLOOKUP(A105,[1]ARS!A:EL,MATCH("Company Market Cap",[1]ARS!$4:$4,0),FALSE)/1000000000),"-")</f>
        <v>22.790814132400001</v>
      </c>
      <c r="BB105" s="281"/>
      <c r="BC105" s="281"/>
      <c r="BD105" s="281">
        <f>IF(VLOOKUP(A105,[1]ARS!A:EL,MATCH("Enterprise Value To EBITDA (Daily Time Series Ratio)",[1]ARS!$4:$4,0),FALSE)="NULL","-",VLOOKUP(A105,[1]ARS!A:EL,MATCH("Enterprise Value To EBITDA (Daily Time Series Ratio)",[1]ARS!$4:$4,0),FALSE))</f>
        <v>2.8691646196195801</v>
      </c>
      <c r="BE105" s="281"/>
      <c r="BF105" s="281"/>
      <c r="BG105" s="281">
        <f>IF(OR(IFERROR(VLOOKUP(A105,[1]ARS!A:EL,MATCH("Price To Tangible Book Value",[1]ARS!$4:$4,0),FALSE),"-")&lt;0,IFERROR(VLOOKUP(A105,[1]ARS!A:EL,MATCH("Price To Tangible Book Value",[1]ARS!$4:$4,0),FALSE),"-")&gt;100),"-",IFERROR(VLOOKUP(A105,[1]ARS!A:EL,MATCH("Price To Tangible Book Value",[1]ARS!$4:$4,0),FALSE),"-"))</f>
        <v>2.6396765385266661</v>
      </c>
      <c r="BH105" s="281"/>
      <c r="BI105" s="281"/>
      <c r="BJ105" s="281">
        <f>IF(OR(IFERROR(VLOOKUP(A105,[1]ARS!A:EL,MATCH("P/E (Daily Time Series Ratio)",[1]ARS!$4:$4,0),FALSE),"-")&lt;0,IFERROR(VLOOKUP(A105,[1]ARS!A:EL,MATCH("P/E (Daily Time Series Ratio)",[1]ARS!$4:$4,0),FALSE),"-")&gt;500),"-",IFERROR(VLOOKUP(A105,[1]ARS!A:EL,MATCH("P/E (Daily Time Series Ratio)",[1]ARS!$4:$4,0),FALSE),"-"))</f>
        <v>8.8408690108928809</v>
      </c>
      <c r="BK105" s="281"/>
      <c r="BL105" s="281"/>
      <c r="BM105" s="281">
        <f>IF(OR(IFERROR(VLOOKUP(A105,[1]ARS!A:EC,MATCH("Price To Sales",[1]ARS!$4:$4,0),FALSE),"-")&lt;0,IFERROR(VLOOKUP(A105,[1]ARS!A:EC,MATCH("Price To Sales",[1]ARS!$4:$4,0),FALSE),"-")&gt;100),"-",IFERROR(VLOOKUP(A105,[1]ARS!A:EC,MATCH("Price To Sales",[1]ARS!$4:$4,0),FALSE),"-"))</f>
        <v>1.481496075079201</v>
      </c>
      <c r="BN105" s="281"/>
      <c r="BO105" s="281"/>
      <c r="BP105" s="281">
        <f>+IFERROR(IF(VLOOKUP(A105,[1]ARS!A:EO,MATCH("Price to Free Cash Flow",[1]ARS!$4:$4,0),FALSE)="NULL","-",VLOOKUP(A105,[1]ARS!A:EO,MATCH("Price to Free Cash Flow",[1]ARS!$4:$4,0),FALSE)),"-")</f>
        <v>4.3355956325999996</v>
      </c>
      <c r="BQ105" s="281"/>
      <c r="BR105" s="282"/>
      <c r="BS105" s="43">
        <f>IF(VLOOKUP(A105,[1]ARS!A:EE,MATCH("Daily Beta - 180 Day",[1]ARS!$4:$4,0),FALSE)="NULL","-",VLOOKUP(A105,[1]ARS!A:EE,MATCH("Daily Beta - 180 Day",[1]ARS!$4:$4,0),FALSE))</f>
        <v>0.78191048238713601</v>
      </c>
      <c r="BT105" s="40" t="str">
        <f>+VLOOKUP(A105,[1]ARS!$A:$EH,MATCH("Volatilidad histórica",[1]ARS!$4:$4,0),FALSE)</f>
        <v>-</v>
      </c>
      <c r="BU105" s="44" t="str">
        <f>+VLOOKUP(A105,[1]ARS!$A$5:$EM$85,MATCH("Rto Medio",[1]ARS!$4:$4,0),FALSE)</f>
        <v>-</v>
      </c>
      <c r="BV105" s="45">
        <f>+IF(VLOOKUP(Template!A105,[1]ARS!A:AA,MATCH("Period End Date",[1]ARS!$3:$3,0),FALSE)="","-",VLOOKUP(Template!A105,[1]ARS!A:AA,MATCH("Period End Date",[1]ARS!$3:$3,0),FALSE))</f>
        <v>43008</v>
      </c>
      <c r="BW105" s="46" t="str">
        <f t="shared" si="25"/>
        <v>CTIO</v>
      </c>
      <c r="BX105" s="4"/>
      <c r="BY105" s="119" t="s">
        <v>132</v>
      </c>
      <c r="BZ105" s="48">
        <v>1.0601393681519224</v>
      </c>
      <c r="CA105" s="48">
        <v>1.8994483329706751</v>
      </c>
      <c r="CB105" s="48">
        <v>8.2922987276604196</v>
      </c>
      <c r="CC105" s="128"/>
      <c r="CD105" s="119" t="s">
        <v>132</v>
      </c>
      <c r="CE105" s="129">
        <v>1.0601393681519224</v>
      </c>
      <c r="CF105" s="119">
        <v>1.8994483329706751</v>
      </c>
      <c r="CG105" s="119">
        <v>8.2922987276604196</v>
      </c>
    </row>
    <row r="106" spans="1:85" ht="11.25" customHeight="1" x14ac:dyDescent="0.2">
      <c r="A106" s="316" t="str">
        <f t="shared" si="26"/>
        <v>IRCP</v>
      </c>
      <c r="B106" s="316"/>
      <c r="C106" s="317">
        <f>+VLOOKUP(A106,[1]ARS!A:EL,MATCH("Last",[1]ARS!$4:$4,0),FALSE)</f>
        <v>256</v>
      </c>
      <c r="D106" s="317"/>
      <c r="E106" s="145">
        <f>+VLOOKUP(A106,'[1]Market Cap'!I:J,2,FALSE)</f>
        <v>0.1</v>
      </c>
      <c r="F106" s="318">
        <f>IFERROR(IF(VLOOKUP(A106,[1]ARS!A:EL,MATCH("Total Debt To Total Equity, Percent FQ0",[1]ARS!$4:$4,0),FALSE)="NULL",IF(VLOOKUP(A106,[1]ARS!A:EL,MATCH("Total Debt To Total Equity, Percent FQ-1",[1]ARS!$4:$4,0),FALSE)="NULL","-",VLOOKUP(A106,[1]ARS!A:EL,MATCH("Total Debt To Total Equity, Percent FQ-1",[1]ARS!$4:$4,0))),VLOOKUP(A106,[1]ARS!A:EL,MATCH("Total Debt To Total Equity, Percent FQ0",[1]ARS!$4:$4,0),FALSE))/100,"-")</f>
        <v>0.36169042148000002</v>
      </c>
      <c r="G106" s="318"/>
      <c r="H106" s="318"/>
      <c r="I106" s="304">
        <f>IFERROR(VLOOKUP(A106,[1]ARS!A:EC,MATCH("Financial Leverage",[1]ARS!$4:$4,0),FALSE),"-")</f>
        <v>1.9899687096027294</v>
      </c>
      <c r="J106" s="304"/>
      <c r="K106" s="304"/>
      <c r="L106" s="305">
        <f>+IFERROR(IF(VLOOKUP(A106,[1]ARS!A:EL,MATCH("Curr Ratio FQ0",[1]ARS!$4:$4,0),FALSE)="NULL",IF(VLOOKUP(A106,[1]ARS!A:EL,MATCH("Curr Ratio FQ-1",[1]ARS!$4:$4,0),FALSE)="NULL","-",VLOOKUP(A106,[1]ARS!A:EL,MATCH("Curr Ratio FQ-1",[1]ARS!$4:$4,0),FALSE)),VLOOKUP(A106,[1]ARS!A:EL,MATCH("Curr Ratio FQ0",[1]ARS!$4:$4,0),FALSE)),"-")</f>
        <v>4.5340299999999996</v>
      </c>
      <c r="M106" s="319"/>
      <c r="N106" s="320"/>
      <c r="O106" s="305">
        <f>+IFERROR(IF(VLOOKUP(A106,[1]ARS!A:EL,MATCH("Quick Ratio FQ0",[1]ARS!$4:$4,0),FALSE)="NULL",IF(VLOOKUP(A106,[1]ARS!A:EL,MATCH("Quick Ratio FQ-1",[1]ARS!$4:$4,0),FALSE)="NULL","-",VLOOKUP(A106,[1]ARS!A:EL,MATCH("Quick Ratio FQ-1",[1]ARS!$4:$4,0),FALSE)),VLOOKUP(A106,[1]ARS!A:EL,MATCH("Quick Ratio FQ0",[1]ARS!$4:$4,0),FALSE)),"-")</f>
        <v>4.5188499999999996</v>
      </c>
      <c r="P106" s="319"/>
      <c r="Q106" s="320"/>
      <c r="R106" s="321">
        <f>+IFERROR(IF(VLOOKUP(A106,[1]ARS!$A:$EL,MATCH("Dividend yield",[1]ARS!$4:$4,0),FALSE)="NULL","-",VLOOKUP(A106,[1]ARS!$A:$EL,MATCH("Dividend Yield",[1]ARS!$4:$4,0),FALSE)/100),"-")</f>
        <v>2.0974825240520502E-2</v>
      </c>
      <c r="S106" s="322"/>
      <c r="T106" s="323"/>
      <c r="U106" s="304">
        <f>IF(IFERROR(VLOOKUP(A106,[1]ARS!A:EL,MATCH("Asset Turnover",[1]ARS!$4:$4,0),FALSE),"-")=0,"-",IFERROR(VLOOKUP(A106,[1]ARS!A:EL,MATCH("Asset Turnover",[1]ARS!$4:$4,0),FALSE),"-"))</f>
        <v>0.18833830462354895</v>
      </c>
      <c r="V106" s="304"/>
      <c r="W106" s="304"/>
      <c r="X106" s="314">
        <f>IFERROR(VLOOKUP(A106,[1]ARS!A:EL,MATCH("CCC",[1]ARS!$4:$4,0),FALSE),"-")</f>
        <v>-91.853805574320731</v>
      </c>
      <c r="Y106" s="314"/>
      <c r="Z106" s="314"/>
      <c r="AA106" s="313">
        <f>IF(IFERROR(VLOOKUP(A106,[1]ARS!A:EL,MATCH("Gross Margin, Percent",[1]ARS!$4:$4,0),FALSE)/100,"-")&lt;0,"-",IFERROR(VLOOKUP(A106,[1]ARS!A:EL,MATCH("Gross Margin, Percent",[1]ARS!$4:$4,0),FALSE)/100,"-"))</f>
        <v>0.61822389999999994</v>
      </c>
      <c r="AB106" s="313"/>
      <c r="AC106" s="313"/>
      <c r="AD106" s="313">
        <f>IF(IFERROR(VLOOKUP(A106,[1]ARS!A:EL,MATCH("Operating Margin, Percent",[1]ARS!$4:$4,0),FALSE)/100,"-")&lt;0,"-",IFERROR(VLOOKUP(A106,[1]ARS!A:EL,MATCH("Operating Margin, Percent",[1]ARS!$4:$4,0),FALSE)/100,"-"))</f>
        <v>1.1248116000000001</v>
      </c>
      <c r="AE106" s="313"/>
      <c r="AF106" s="313"/>
      <c r="AG106" s="313">
        <f>IF(IFERROR(VLOOKUP(A106,[1]ARS!A:EL,MATCH("Net Profit Margin",[1]ARS!$4:$4,0),FALSE),"-")&lt;0,"-",IFERROR(VLOOKUP(A106,[1]ARS!A:EL,MATCH("Net Profit Margin",[1]ARS!$4:$4,0),FALSE),"-"))</f>
        <v>0.6695371332440857</v>
      </c>
      <c r="AH106" s="313"/>
      <c r="AI106" s="313"/>
      <c r="AJ106" s="313">
        <f>IFERROR(VLOOKUP(A106,[1]ARS!A:EL,MATCH("FCF/Revenue",[1]ARS!$4:$4,0),FALSE),"-")</f>
        <v>0.38755006935736408</v>
      </c>
      <c r="AK106" s="313"/>
      <c r="AL106" s="313"/>
      <c r="AM106" s="315">
        <f>IFERROR(IF(VLOOKUP(A106,[1]ARS!A:EL,MATCH("ROE",[1]ARS!$4:$4,0),FALSE)&lt;-5,"-",VLOOKUP(A106,[1]ARS!A:EL,MATCH("ROE",[1]ARS!$4:$4,0),FALSE)),"-")</f>
        <v>0.20446200154836325</v>
      </c>
      <c r="AN106" s="315"/>
      <c r="AO106" s="315"/>
      <c r="AP106" s="313">
        <f>IFERROR(VLOOKUP(A106,[1]ARS!A:EL,MATCH("ROA",[1]ARS!$4:$4,0),FALSE),"-")</f>
        <v>0.10087962176487879</v>
      </c>
      <c r="AQ106" s="313"/>
      <c r="AR106" s="313"/>
      <c r="AS106" s="76">
        <f>+VLOOKUP(A106,[1]ARS!$A$5:$EL$85,MATCH("Last Q y/y",[1]ARS!$4:$4,0),FALSE)</f>
        <v>22.847544433457571</v>
      </c>
      <c r="AT106" s="76">
        <f>+VLOOKUP(A106,[1]ARS!$A$5:$EL$99,MATCH("Last 5 yrs - Annual",[1]ARS!$4:$4,0),FALSE)</f>
        <v>1.7289311879208966</v>
      </c>
      <c r="AU106" s="77">
        <f>+VLOOKUP(A106,[1]ARS!$A$5:$EL$84,MATCH("Desvio",[1]ARS!$4:$4,0),FALSE)</f>
        <v>2.6736328381884844</v>
      </c>
      <c r="AV106" s="78">
        <f>AVERAGE(AV95:AV105)</f>
        <v>299.87257420064611</v>
      </c>
      <c r="AW106" s="79">
        <f>AVERAGE(AW95:AW105)</f>
        <v>29.564922158163071</v>
      </c>
      <c r="AX106" s="304">
        <f>IFERROR((VLOOKUP(A106,[1]ARS!A:EL,MATCH("Enterprise Value (Daily Time Series)",[1]ARS!$4:$4,0),FALSE)/1000000000),"-")</f>
        <v>37.783179449999999</v>
      </c>
      <c r="AY106" s="304"/>
      <c r="AZ106" s="304"/>
      <c r="BA106" s="304">
        <f>IFERROR((VLOOKUP(A106,[1]ARS!A:EL,MATCH("Company Market Cap",[1]ARS!$4:$4,0),FALSE)/1000000000),"-")</f>
        <v>36.123624900000003</v>
      </c>
      <c r="BB106" s="304"/>
      <c r="BC106" s="304"/>
      <c r="BD106" s="304">
        <f>IF(VLOOKUP(A106,[1]ARS!A:EL,MATCH("Enterprise Value To EBITDA (Daily Time Series Ratio)",[1]ARS!$4:$4,0),FALSE)="NULL","-",VLOOKUP(A106,[1]ARS!A:EL,MATCH("Enterprise Value To EBITDA (Daily Time Series Ratio)",[1]ARS!$4:$4,0),FALSE))</f>
        <v>13.6886699920549</v>
      </c>
      <c r="BE106" s="304"/>
      <c r="BF106" s="304"/>
      <c r="BG106" s="304">
        <f>IF(OR(IFERROR(VLOOKUP(A106,[1]ARS!A:EL,MATCH("Price To Tangible Book Value",[1]ARS!$4:$4,0),FALSE),"-")&lt;0,IFERROR(VLOOKUP(A106,[1]ARS!A:EL,MATCH("Price To Tangible Book Value",[1]ARS!$4:$4,0),FALSE),"-")&gt;100),"-",IFERROR(VLOOKUP(A106,[1]ARS!A:EL,MATCH("Price To Tangible Book Value",[1]ARS!$4:$4,0),FALSE),"-"))</f>
        <v>1.5107395779361981</v>
      </c>
      <c r="BH106" s="304"/>
      <c r="BI106" s="304"/>
      <c r="BJ106" s="304">
        <f>IF(OR(IFERROR(VLOOKUP(A106,[1]ARS!A:EL,MATCH("P/E (Daily Time Series Ratio)",[1]ARS!$4:$4,0),FALSE),"-")&lt;0,IFERROR(VLOOKUP(A106,[1]ARS!A:EL,MATCH("P/E (Daily Time Series Ratio)",[1]ARS!$4:$4,0),FALSE),"-")&gt;500),"-",IFERROR(VLOOKUP(A106,[1]ARS!A:EL,MATCH("P/E (Daily Time Series Ratio)",[1]ARS!$4:$4,0),FALSE),"-"))</f>
        <v>9.1155787733778091</v>
      </c>
      <c r="BK106" s="304"/>
      <c r="BL106" s="304"/>
      <c r="BM106" s="304">
        <f>IF(OR(IFERROR(VLOOKUP(A106,[1]ARS!A:EC,MATCH("Price To Sales",[1]ARS!$4:$4,0),FALSE),"-")&lt;0,IFERROR(VLOOKUP(A106,[1]ARS!A:EC,MATCH("Price To Sales",[1]ARS!$4:$4,0),FALSE),"-")&gt;100),"-",IFERROR(VLOOKUP(A106,[1]ARS!A:EC,MATCH("Price To Sales",[1]ARS!$4:$4,0),FALSE),"-"))</f>
        <v>6.8342591513504063</v>
      </c>
      <c r="BN106" s="304"/>
      <c r="BO106" s="304"/>
      <c r="BP106" s="304">
        <f>+IFERROR(IF(VLOOKUP(A106,[1]ARS!A:EO,MATCH("Price to Free Cash Flow",[1]ARS!$4:$4,0),FALSE)="NULL","-",VLOOKUP(A106,[1]ARS!A:EO,MATCH("Price to Free Cash Flow",[1]ARS!$4:$4,0),FALSE)),"-")</f>
        <v>6.5767959029999998</v>
      </c>
      <c r="BQ106" s="304"/>
      <c r="BR106" s="305"/>
      <c r="BS106" s="80">
        <f>IF(VLOOKUP(A106,[1]ARS!A:EE,MATCH("Daily Beta - 180 Day",[1]ARS!$4:$4,0),FALSE)="NULL","-",VLOOKUP(A106,[1]ARS!A:EE,MATCH("Daily Beta - 180 Day",[1]ARS!$4:$4,0),FALSE))</f>
        <v>0.25453181668334801</v>
      </c>
      <c r="BT106" s="76">
        <f>+VLOOKUP(A106,[1]ARS!$A:$EH,MATCH("Volatilidad histórica",[1]ARS!$4:$4,0),FALSE)</f>
        <v>0.4056932396220978</v>
      </c>
      <c r="BU106" s="79">
        <f>+VLOOKUP(A106,[1]ARS!$A$5:$EM$85,MATCH("Rto Medio",[1]ARS!$4:$4,0),FALSE)</f>
        <v>0.20890397464280497</v>
      </c>
      <c r="BV106" s="81">
        <f>+IF(VLOOKUP(Template!A106,[1]ARS!A:AA,MATCH("Period End Date",[1]ARS!$3:$3,0),FALSE)="","-",VLOOKUP(Template!A106,[1]ARS!A:AA,MATCH("Period End Date",[1]ARS!$3:$3,0),FALSE))</f>
        <v>43008</v>
      </c>
      <c r="BW106" s="59" t="str">
        <f t="shared" si="25"/>
        <v>IRCP</v>
      </c>
      <c r="BX106" s="4"/>
      <c r="BY106" s="119" t="s">
        <v>133</v>
      </c>
      <c r="BZ106" s="48">
        <v>7.284865489651926</v>
      </c>
      <c r="CA106" s="48">
        <v>1.6521942318882425</v>
      </c>
      <c r="CB106" s="48">
        <v>18.884451849732059</v>
      </c>
      <c r="CC106" s="128"/>
      <c r="CD106" s="141" t="s">
        <v>133</v>
      </c>
      <c r="CE106" s="144">
        <v>7.284865489651926</v>
      </c>
      <c r="CF106" s="141">
        <v>1.6521942318882425</v>
      </c>
      <c r="CG106" s="141">
        <v>18.884451849732059</v>
      </c>
    </row>
    <row r="107" spans="1:85" ht="11.25" customHeight="1" x14ac:dyDescent="0.2">
      <c r="A107" s="306" t="s">
        <v>61</v>
      </c>
      <c r="B107" s="307"/>
      <c r="C107" s="308"/>
      <c r="D107" s="309"/>
      <c r="E107" s="82"/>
      <c r="F107" s="301">
        <f>AVERAGE(F103:H106)</f>
        <v>3.6323379900500004</v>
      </c>
      <c r="G107" s="302"/>
      <c r="H107" s="303"/>
      <c r="I107" s="301">
        <f>AVERAGE(I103:K106)</f>
        <v>7.1153016905910871</v>
      </c>
      <c r="J107" s="302"/>
      <c r="K107" s="303"/>
      <c r="L107" s="301">
        <f>AVERAGE(L103:N106)</f>
        <v>3.5270800000000002</v>
      </c>
      <c r="M107" s="302"/>
      <c r="N107" s="303"/>
      <c r="O107" s="301">
        <f>AVERAGE(O103:Q106)</f>
        <v>3.0495399999999999</v>
      </c>
      <c r="P107" s="302"/>
      <c r="Q107" s="303"/>
      <c r="R107" s="310">
        <f>AVERAGE(R103:T106)</f>
        <v>2.4713434549929698E-2</v>
      </c>
      <c r="S107" s="311"/>
      <c r="T107" s="312"/>
      <c r="U107" s="301">
        <f>AVERAGE(U103:W106)</f>
        <v>0.53105360412136826</v>
      </c>
      <c r="V107" s="302"/>
      <c r="W107" s="303"/>
      <c r="X107" s="301">
        <f>AVERAGE(X103:Z106)</f>
        <v>28.30402593374264</v>
      </c>
      <c r="Y107" s="302"/>
      <c r="Z107" s="303"/>
      <c r="AA107" s="298">
        <f>AVERAGE(AA103:AC106)</f>
        <v>0.42838407499999998</v>
      </c>
      <c r="AB107" s="299"/>
      <c r="AC107" s="300"/>
      <c r="AD107" s="298">
        <f>AVERAGE(AD103:AF106)</f>
        <v>0.44707764999999999</v>
      </c>
      <c r="AE107" s="299"/>
      <c r="AF107" s="300"/>
      <c r="AG107" s="298">
        <f>AVERAGE(AG103:AI106)</f>
        <v>0.40276683985346362</v>
      </c>
      <c r="AH107" s="299"/>
      <c r="AI107" s="300"/>
      <c r="AJ107" s="298">
        <f>AVERAGE(AJ103:AL106)</f>
        <v>0.26538981254874905</v>
      </c>
      <c r="AK107" s="299"/>
      <c r="AL107" s="300"/>
      <c r="AM107" s="298">
        <f>AVERAGE(AM103:AO106)</f>
        <v>6.6110959663027546E-2</v>
      </c>
      <c r="AN107" s="299"/>
      <c r="AO107" s="300"/>
      <c r="AP107" s="298">
        <f>AVERAGE(AP103:AR106)</f>
        <v>4.9840837097769201E-2</v>
      </c>
      <c r="AQ107" s="299"/>
      <c r="AR107" s="300"/>
      <c r="AS107" s="83">
        <f>AVERAGE(AS103:AS106)</f>
        <v>5.9059487237581854</v>
      </c>
      <c r="AT107" s="83">
        <f>AVERAGE(AT103:AT106)</f>
        <v>1.5618450852381074</v>
      </c>
      <c r="AU107" s="84">
        <f>AVERAGE(AU103:AU106)</f>
        <v>8.7090238051223459</v>
      </c>
      <c r="AV107" s="85">
        <f>AVERAGE(AV103:AV106)</f>
        <v>373.65157627813858</v>
      </c>
      <c r="AW107" s="83">
        <f>AVERAGE(AW103:AW106)</f>
        <v>56.335303986060339</v>
      </c>
      <c r="AX107" s="285">
        <f>+AVERAGE(AX103:AZ106)</f>
        <v>89.151864769499994</v>
      </c>
      <c r="AY107" s="286"/>
      <c r="AZ107" s="287"/>
      <c r="BA107" s="285">
        <f>+AVERAGE(BA103:BC106)</f>
        <v>29.861430470800002</v>
      </c>
      <c r="BB107" s="286"/>
      <c r="BC107" s="287"/>
      <c r="BD107" s="285">
        <f>+AVERAGE(BD103:BF106)</f>
        <v>11.777449157661245</v>
      </c>
      <c r="BE107" s="286"/>
      <c r="BF107" s="287"/>
      <c r="BG107" s="285">
        <f>+AVERAGE(BG103:BI106)</f>
        <v>2.1111597124394805</v>
      </c>
      <c r="BH107" s="286"/>
      <c r="BI107" s="287"/>
      <c r="BJ107" s="285">
        <f>+AVERAGE(BJ103:BL106)</f>
        <v>8.978223892135345</v>
      </c>
      <c r="BK107" s="286"/>
      <c r="BL107" s="287"/>
      <c r="BM107" s="285">
        <f>+AVERAGE(BM103:BO106)</f>
        <v>2.9069719653987707</v>
      </c>
      <c r="BN107" s="286"/>
      <c r="BO107" s="287"/>
      <c r="BP107" s="285">
        <f>+AVERAGE(BP103:BR106)</f>
        <v>12.031541873733334</v>
      </c>
      <c r="BQ107" s="286"/>
      <c r="BR107" s="287"/>
      <c r="BS107" s="86">
        <f>+AVERAGE(BS103:BS106)</f>
        <v>0.69860444032263702</v>
      </c>
      <c r="BT107" s="83">
        <f>AVERAGE(BT103:BT106)</f>
        <v>0.42215924490077139</v>
      </c>
      <c r="BU107" s="83">
        <f>AVERAGE(BU103:BU106)</f>
        <v>0.12038117026428645</v>
      </c>
      <c r="BV107" s="87"/>
      <c r="BW107" s="87"/>
      <c r="BX107" s="4"/>
      <c r="BY107" s="119"/>
      <c r="BZ107" s="48"/>
      <c r="CA107" s="48"/>
      <c r="CB107" s="48"/>
      <c r="CC107" s="128"/>
      <c r="CD107" s="119"/>
      <c r="CE107" s="129"/>
      <c r="CF107" s="119"/>
      <c r="CG107" s="119"/>
    </row>
    <row r="108" spans="1:85" ht="11.25" customHeight="1" x14ac:dyDescent="0.2">
      <c r="A108" s="88" t="s">
        <v>134</v>
      </c>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c r="AQ108" s="88"/>
      <c r="AR108" s="88"/>
      <c r="AS108" s="88"/>
      <c r="AT108" s="88"/>
      <c r="AU108" s="88"/>
      <c r="AV108" s="88"/>
      <c r="AW108" s="90"/>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91"/>
      <c r="BW108" s="92"/>
      <c r="BX108" s="4"/>
      <c r="BY108" s="119"/>
      <c r="BZ108" s="48"/>
      <c r="CA108" s="48"/>
      <c r="CB108" s="96"/>
      <c r="CD108" s="119"/>
      <c r="CE108" s="129"/>
      <c r="CF108" s="119"/>
      <c r="CG108" s="119"/>
    </row>
    <row r="109" spans="1:85" ht="11.25" customHeight="1" x14ac:dyDescent="0.2">
      <c r="A109" s="288" t="str">
        <f>BY109</f>
        <v>BOLT</v>
      </c>
      <c r="B109" s="288"/>
      <c r="C109" s="289">
        <f>+VLOOKUP(A109,[1]ARS!A:EL,MATCH("Last",[1]ARS!$4:$4,0),FALSE)</f>
        <v>9.32</v>
      </c>
      <c r="D109" s="289"/>
      <c r="E109" s="117">
        <f>+VLOOKUP(A109,'[1]Market Cap'!I:J,2,FALSE)</f>
        <v>1</v>
      </c>
      <c r="F109" s="290">
        <f>IFERROR(IF(VLOOKUP(A109,[1]ARS!A:EL,MATCH("Total Debt To Total Equity, Percent FQ0",[1]ARS!$4:$4,0),FALSE)="NULL",IF(VLOOKUP(A109,[1]ARS!A:EL,MATCH("Total Debt To Total Equity, Percent FQ-1",[1]ARS!$4:$4,0),FALSE)="NULL","-",VLOOKUP(A109,[1]ARS!A:EL,MATCH("Total Debt To Total Equity, Percent FQ-1",[1]ARS!$4:$4,0))),VLOOKUP(A109,[1]ARS!A:EL,MATCH("Total Debt To Total Equity, Percent FQ0",[1]ARS!$4:$4,0),FALSE))/100,"-")</f>
        <v>1.8277544443000001E-2</v>
      </c>
      <c r="G109" s="291"/>
      <c r="H109" s="292"/>
      <c r="I109" s="281">
        <f>IFERROR(VLOOKUP(A109,[1]ARS!A:EC,MATCH("Financial Leverage",[1]ARS!$4:$4,0),FALSE),"-")</f>
        <v>1.3330645811640369</v>
      </c>
      <c r="J109" s="281"/>
      <c r="K109" s="281"/>
      <c r="L109" s="282">
        <f>+IFERROR(IF(VLOOKUP(A109,[1]ARS!A:EL,MATCH("Curr Ratio FQ0",[1]ARS!$4:$4,0),FALSE)="NULL",IF(VLOOKUP(A109,[1]ARS!A:EL,MATCH("Curr Ratio FQ-1",[1]ARS!$4:$4,0),FALSE)="NULL","-",VLOOKUP(A109,[1]ARS!A:EL,MATCH("Curr Ratio FQ-1",[1]ARS!$4:$4,0),FALSE)),VLOOKUP(A109,[1]ARS!A:EL,MATCH("Curr Ratio FQ0",[1]ARS!$4:$4,0),FALSE)),"-")</f>
        <v>3.3858600000000001</v>
      </c>
      <c r="M109" s="293"/>
      <c r="N109" s="294"/>
      <c r="O109" s="282">
        <f>+IFERROR(IF(VLOOKUP(A109,[1]ARS!A:EL,MATCH("Quick Ratio FQ0",[1]ARS!$4:$4,0),FALSE)="NULL",IF(VLOOKUP(A109,[1]ARS!A:EL,MATCH("Quick Ratio FQ-1",[1]ARS!$4:$4,0),FALSE)="NULL","-",VLOOKUP(A109,[1]ARS!A:EL,MATCH("Quick Ratio FQ-1",[1]ARS!$4:$4,0),FALSE)),VLOOKUP(A109,[1]ARS!A:EL,MATCH("Quick Ratio FQ0",[1]ARS!$4:$4,0),FALSE)),"-")</f>
        <v>3.1887400000000001</v>
      </c>
      <c r="P109" s="293"/>
      <c r="Q109" s="294"/>
      <c r="R109" s="295">
        <f>+IFERROR(IF(VLOOKUP(A109,[1]ARS!$A:$EL,MATCH("Dividend yield",[1]ARS!$4:$4,0),FALSE)="NULL","-",VLOOKUP(A109,[1]ARS!$A:$EL,MATCH("Dividend Yield",[1]ARS!$4:$4,0),FALSE)/100),"-")</f>
        <v>3.7752959830866799E-3</v>
      </c>
      <c r="S109" s="296"/>
      <c r="T109" s="297"/>
      <c r="U109" s="281">
        <f>IF(IFERROR(VLOOKUP(A109,[1]ARS!A:EL,MATCH("Asset Turnover",[1]ARS!$4:$4,0),FALSE),"-")=0,"-",IFERROR(VLOOKUP(A109,[1]ARS!A:EL,MATCH("Asset Turnover",[1]ARS!$4:$4,0),FALSE),"-"))</f>
        <v>0.98804110092460939</v>
      </c>
      <c r="V109" s="281"/>
      <c r="W109" s="281"/>
      <c r="X109" s="284">
        <f>IFERROR(VLOOKUP(A109,[1]ARS!A:EL,MATCH("CCC",[1]ARS!$4:$4,0),FALSE),"-")</f>
        <v>80.712452007991914</v>
      </c>
      <c r="Y109" s="284"/>
      <c r="Z109" s="284"/>
      <c r="AA109" s="283">
        <f>IF(IFERROR(VLOOKUP(A109,[1]ARS!A:EL,MATCH("Gross Margin, Percent",[1]ARS!$4:$4,0),FALSE)/100,"-")&lt;0,"-",IFERROR(VLOOKUP(A109,[1]ARS!A:EL,MATCH("Gross Margin, Percent",[1]ARS!$4:$4,0),FALSE)/100,"-"))</f>
        <v>0.49990869999999998</v>
      </c>
      <c r="AB109" s="283"/>
      <c r="AC109" s="283"/>
      <c r="AD109" s="283">
        <f>IF(IFERROR(VLOOKUP(A109,[1]ARS!A:EL,MATCH("Operating Margin, Percent",[1]ARS!$4:$4,0),FALSE)/100,"-")&lt;0,"-",IFERROR(VLOOKUP(A109,[1]ARS!A:EL,MATCH("Operating Margin, Percent",[1]ARS!$4:$4,0),FALSE)/100,"-"))</f>
        <v>0.2952631</v>
      </c>
      <c r="AE109" s="283"/>
      <c r="AF109" s="283"/>
      <c r="AG109" s="283">
        <f>IF(IFERROR(VLOOKUP(A109,[1]ARS!A:EL,MATCH("Net Profit Margin",[1]ARS!$4:$4,0),FALSE),"-")&lt;0,"-",IFERROR(VLOOKUP(A109,[1]ARS!A:EL,MATCH("Net Profit Margin",[1]ARS!$4:$4,0),FALSE),"-"))</f>
        <v>0.29563961406046085</v>
      </c>
      <c r="AH109" s="283"/>
      <c r="AI109" s="283"/>
      <c r="AJ109" s="283">
        <f>IFERROR(VLOOKUP(A109,[1]ARS!A:EL,MATCH("FCF/Revenue",[1]ARS!$4:$4,0),FALSE),"-")</f>
        <v>0.12840682598785669</v>
      </c>
      <c r="AK109" s="283"/>
      <c r="AL109" s="283"/>
      <c r="AM109" s="283">
        <f>IFERROR(IF(VLOOKUP(A109,[1]ARS!A:EL,MATCH("ROE",[1]ARS!$4:$4,0),FALSE)&lt;-5,"-",VLOOKUP(A109,[1]ARS!A:EL,MATCH("ROE",[1]ARS!$4:$4,0),FALSE)),"-")</f>
        <v>0.3145421765145322</v>
      </c>
      <c r="AN109" s="283"/>
      <c r="AO109" s="283"/>
      <c r="AP109" s="283">
        <f>IFERROR(VLOOKUP(A109,[1]ARS!A:EL,MATCH("ROA",[1]ARS!$4:$4,0),FALSE),"-")</f>
        <v>0.23368447983381191</v>
      </c>
      <c r="AQ109" s="283"/>
      <c r="AR109" s="283"/>
      <c r="AS109" s="40">
        <f>+VLOOKUP(A109,[1]ARS!$A$5:$EL$85,MATCH("Last Q y/y",[1]ARS!$4:$4,0),FALSE)</f>
        <v>0.77954576639850393</v>
      </c>
      <c r="AT109" s="40">
        <f>+VLOOKUP(A109,[1]ARS!$A$5:$EL$99,MATCH("Last 5 yrs - Annual",[1]ARS!$4:$4,0),FALSE)</f>
        <v>0.56172221322744265</v>
      </c>
      <c r="AU109" s="41">
        <f>+VLOOKUP(A109,[1]ARS!$A$5:$EL$84,MATCH("Desvio",[1]ARS!$4:$4,0),FALSE)</f>
        <v>0.95485872626968105</v>
      </c>
      <c r="AV109" s="42">
        <f>+IFERROR(VLOOKUP(A109,'[1]Prom. Vtas Ult 5 años'!$A$3:$D$81,3,FALSE),"-")</f>
        <v>50.126128421052634</v>
      </c>
      <c r="AW109" s="40">
        <f>+IFERROR(VLOOKUP(A109,'[1]Prom. Vtas Ult 5 años'!$A$3:$D$81,4,FALSE),"-")</f>
        <v>5.1541336488460958</v>
      </c>
      <c r="AX109" s="281">
        <f>IFERROR((VLOOKUP(A109,[1]ARS!A:EL,MATCH("Enterprise Value (Daily Time Series)",[1]ARS!$4:$4,0),FALSE)/1000000000),"-")</f>
        <v>7.5620338600000201</v>
      </c>
      <c r="AY109" s="281"/>
      <c r="AZ109" s="281"/>
      <c r="BA109" s="281">
        <f>IFERROR((VLOOKUP(A109,[1]ARS!A:EL,MATCH("Company Market Cap",[1]ARS!$4:$4,0),FALSE)/1000000000),"-")</f>
        <v>7.6859999999999999</v>
      </c>
      <c r="BB109" s="281"/>
      <c r="BC109" s="281"/>
      <c r="BD109" s="281">
        <f>IF(VLOOKUP(A109,[1]ARS!A:EL,MATCH("Enterprise Value To EBITDA (Daily Time Series Ratio)",[1]ARS!$4:$4,0),FALSE)="NULL","-",VLOOKUP(A109,[1]ARS!A:EL,MATCH("Enterprise Value To EBITDA (Daily Time Series Ratio)",[1]ARS!$4:$4,0),FALSE))</f>
        <v>12.4279383470522</v>
      </c>
      <c r="BE109" s="281"/>
      <c r="BF109" s="281"/>
      <c r="BG109" s="281">
        <f>IF(OR(IFERROR(VLOOKUP(A109,[1]ARS!A:EL,MATCH("Price To Tangible Book Value",[1]ARS!$4:$4,0),FALSE),"-")&lt;0,IFERROR(VLOOKUP(A109,[1]ARS!A:EL,MATCH("Price To Tangible Book Value",[1]ARS!$4:$4,0),FALSE),"-")&gt;100),"-",IFERROR(VLOOKUP(A109,[1]ARS!A:EL,MATCH("Price To Tangible Book Value",[1]ARS!$4:$4,0),FALSE),"-"))</f>
        <v>4.5700317226557985</v>
      </c>
      <c r="BH109" s="281"/>
      <c r="BI109" s="281"/>
      <c r="BJ109" s="281">
        <f>IF(OR(IFERROR(VLOOKUP(A109,[1]ARS!A:EL,MATCH("P/E (Daily Time Series Ratio)",[1]ARS!$4:$4,0),FALSE),"-")&lt;0,IFERROR(VLOOKUP(A109,[1]ARS!A:EL,MATCH("P/E (Daily Time Series Ratio)",[1]ARS!$4:$4,0),FALSE),"-")&gt;500),"-",IFERROR(VLOOKUP(A109,[1]ARS!A:EL,MATCH("P/E (Daily Time Series Ratio)",[1]ARS!$4:$4,0),FALSE),"-"))</f>
        <v>16.096162481434149</v>
      </c>
      <c r="BK109" s="281"/>
      <c r="BL109" s="281"/>
      <c r="BM109" s="281">
        <f>IF(OR(IFERROR(VLOOKUP(A109,[1]ARS!A:EC,MATCH("Price To Sales",[1]ARS!$4:$4,0),FALSE),"-")&lt;0,IFERROR(VLOOKUP(A109,[1]ARS!A:EC,MATCH("Price To Sales",[1]ARS!$4:$4,0),FALSE),"-")&gt;100),"-",IFERROR(VLOOKUP(A109,[1]ARS!A:EC,MATCH("Price To Sales",[1]ARS!$4:$4,0),FALSE),"-"))</f>
        <v>4.6717704411382757</v>
      </c>
      <c r="BN109" s="281"/>
      <c r="BO109" s="281"/>
      <c r="BP109" s="281">
        <f>+IFERROR(IF(VLOOKUP(A109,[1]ARS!A:EO,MATCH("Price to Free Cash Flow",[1]ARS!$4:$4,0),FALSE)="NULL","-",VLOOKUP(A109,[1]ARS!A:EO,MATCH("Price to Free Cash Flow",[1]ARS!$4:$4,0),FALSE)),"-")</f>
        <v>14.482993545699999</v>
      </c>
      <c r="BQ109" s="281"/>
      <c r="BR109" s="282"/>
      <c r="BS109" s="43">
        <f>IF(VLOOKUP(A109,[1]ARS!A:EE,MATCH("Daily Beta - 180 Day",[1]ARS!$4:$4,0),FALSE)="NULL","-",VLOOKUP(A109,[1]ARS!A:EE,MATCH("Daily Beta - 180 Day",[1]ARS!$4:$4,0),FALSE))</f>
        <v>0.94249931993476999</v>
      </c>
      <c r="BT109" s="40">
        <f>+VLOOKUP(A109,[1]ARS!$A:$EH,MATCH("Volatilidad histórica",[1]ARS!$4:$4,0),FALSE)</f>
        <v>0.44069215653017019</v>
      </c>
      <c r="BU109" s="44">
        <f>+VLOOKUP(A109,[1]ARS!$A$5:$EM$85,MATCH("Rto Medio",[1]ARS!$4:$4,0),FALSE)</f>
        <v>0.18354280957367197</v>
      </c>
      <c r="BV109" s="45">
        <f>+IF(VLOOKUP(Template!A109,[1]ARS!A:AA,MATCH("Period End Date",[1]ARS!$3:$3,0),FALSE)="","-",VLOOKUP(Template!A109,[1]ARS!A:AA,MATCH("Period End Date",[1]ARS!$3:$3,0),FALSE))</f>
        <v>43039</v>
      </c>
      <c r="BW109" s="46" t="str">
        <f t="shared" ref="BW109" si="27">+BY109</f>
        <v>BOLT</v>
      </c>
      <c r="BX109" s="4"/>
      <c r="BY109" s="141" t="s">
        <v>135</v>
      </c>
      <c r="BZ109" s="48">
        <v>7.056708868305952</v>
      </c>
      <c r="CA109" s="48">
        <v>6.040872453748082</v>
      </c>
      <c r="CB109" s="48">
        <v>22.504730586225268</v>
      </c>
      <c r="CC109" s="128"/>
      <c r="CD109" s="119" t="s">
        <v>135</v>
      </c>
      <c r="CE109" s="119">
        <v>7.056708868305952</v>
      </c>
      <c r="CF109" s="119">
        <v>6.040872453748082</v>
      </c>
      <c r="CG109" s="129">
        <v>22.504730586225268</v>
      </c>
    </row>
    <row r="110" spans="1:85" ht="11.25" customHeight="1" x14ac:dyDescent="0.2">
      <c r="A110" s="148"/>
      <c r="B110" s="148"/>
      <c r="C110" s="148"/>
      <c r="D110" s="148"/>
      <c r="E110" s="148"/>
      <c r="F110" s="149"/>
      <c r="G110" s="149"/>
      <c r="H110" s="149"/>
      <c r="I110" s="280"/>
      <c r="J110" s="280"/>
      <c r="K110" s="280"/>
      <c r="L110" s="280"/>
      <c r="M110" s="280"/>
      <c r="N110" s="280"/>
      <c r="O110" s="280"/>
      <c r="P110" s="280"/>
      <c r="Q110" s="280"/>
      <c r="R110" s="280"/>
      <c r="S110" s="280"/>
      <c r="T110" s="280"/>
      <c r="U110" s="280"/>
      <c r="V110" s="280"/>
      <c r="W110" s="280"/>
      <c r="X110" s="280"/>
      <c r="Y110" s="280"/>
      <c r="Z110" s="280"/>
      <c r="AA110" s="280"/>
      <c r="AB110" s="280"/>
      <c r="AC110" s="280"/>
      <c r="AD110" s="280"/>
      <c r="AE110" s="280"/>
      <c r="AF110" s="280"/>
      <c r="AG110" s="280"/>
      <c r="AH110" s="280"/>
      <c r="AI110" s="280"/>
      <c r="AJ110" s="280"/>
      <c r="AK110" s="280"/>
      <c r="AL110" s="280"/>
      <c r="AM110" s="280"/>
      <c r="AN110" s="280"/>
      <c r="AO110" s="280"/>
      <c r="AP110" s="280"/>
      <c r="AQ110" s="280"/>
      <c r="AR110" s="280"/>
      <c r="AS110" s="150"/>
      <c r="AT110" s="150"/>
      <c r="AU110" s="151"/>
      <c r="AV110" s="151"/>
      <c r="AW110" s="151"/>
      <c r="AX110" s="280"/>
      <c r="AY110" s="280"/>
      <c r="AZ110" s="280"/>
      <c r="BA110" s="280"/>
      <c r="BB110" s="280"/>
      <c r="BC110" s="280"/>
      <c r="BD110" s="280"/>
      <c r="BE110" s="280"/>
      <c r="BF110" s="280"/>
      <c r="BG110" s="280"/>
      <c r="BH110" s="280"/>
      <c r="BI110" s="280"/>
      <c r="BJ110" s="280"/>
      <c r="BK110" s="280"/>
      <c r="BL110" s="280"/>
      <c r="BM110" s="280"/>
      <c r="BN110" s="280"/>
      <c r="BO110" s="280"/>
      <c r="BP110" s="280"/>
      <c r="BQ110" s="280"/>
      <c r="BR110" s="280"/>
      <c r="BS110" s="150"/>
      <c r="BT110" s="150"/>
      <c r="BU110" s="150"/>
      <c r="BV110" s="150"/>
      <c r="BW110" s="150"/>
      <c r="CD110" s="141"/>
      <c r="CE110" s="144"/>
      <c r="CF110" s="141"/>
      <c r="CG110" s="141"/>
    </row>
    <row r="111" spans="1:85" ht="11.25" customHeight="1" x14ac:dyDescent="0.2">
      <c r="F111" s="279"/>
      <c r="G111" s="279"/>
      <c r="H111" s="279"/>
      <c r="I111" s="279"/>
      <c r="J111" s="279"/>
      <c r="K111" s="279"/>
      <c r="L111" s="279"/>
      <c r="M111" s="279"/>
      <c r="N111" s="279"/>
      <c r="O111" s="279"/>
      <c r="P111" s="279"/>
      <c r="Q111" s="279"/>
      <c r="R111" s="279"/>
      <c r="S111" s="279"/>
      <c r="T111" s="279"/>
      <c r="U111" s="279"/>
      <c r="V111" s="279"/>
      <c r="W111" s="279"/>
      <c r="X111" s="279"/>
      <c r="Y111" s="279"/>
      <c r="Z111" s="279"/>
      <c r="AA111" s="279"/>
      <c r="AB111" s="279"/>
      <c r="AC111" s="279"/>
      <c r="AD111" s="279"/>
      <c r="AE111" s="279"/>
      <c r="AF111" s="279"/>
      <c r="AG111" s="279"/>
      <c r="AH111" s="279"/>
      <c r="AI111" s="279"/>
      <c r="AJ111" s="279"/>
      <c r="AK111" s="279"/>
      <c r="AL111" s="279"/>
      <c r="AM111" s="279"/>
      <c r="AN111" s="279"/>
      <c r="AO111" s="279"/>
      <c r="AP111" s="279"/>
      <c r="AQ111" s="279"/>
      <c r="AR111" s="279"/>
      <c r="AS111" s="154"/>
      <c r="AT111" s="154"/>
      <c r="AU111" s="155"/>
      <c r="AV111" s="155"/>
      <c r="AW111" s="155"/>
      <c r="AX111" s="279"/>
      <c r="AY111" s="279"/>
      <c r="AZ111" s="279"/>
      <c r="BA111" s="279"/>
      <c r="BB111" s="279"/>
      <c r="BC111" s="279"/>
      <c r="BD111" s="279"/>
      <c r="BE111" s="279"/>
      <c r="BF111" s="279"/>
      <c r="BG111" s="279"/>
      <c r="BH111" s="279"/>
      <c r="BI111" s="279"/>
      <c r="BJ111" s="279"/>
      <c r="BK111" s="279"/>
      <c r="BL111" s="279"/>
      <c r="BM111" s="279"/>
      <c r="BN111" s="279"/>
      <c r="BO111" s="279"/>
      <c r="BP111" s="279"/>
      <c r="BQ111" s="279"/>
      <c r="BR111" s="279"/>
      <c r="BS111" s="154"/>
      <c r="BT111" s="154"/>
      <c r="BU111" s="154"/>
      <c r="BV111" s="154"/>
      <c r="BW111" s="154"/>
    </row>
    <row r="112" spans="1:85" ht="11.25" customHeight="1" x14ac:dyDescent="0.2">
      <c r="F112" s="279"/>
      <c r="G112" s="279"/>
      <c r="H112" s="279"/>
      <c r="I112" s="279"/>
      <c r="J112" s="279"/>
      <c r="K112" s="279"/>
      <c r="L112" s="279"/>
      <c r="M112" s="279"/>
      <c r="N112" s="279"/>
      <c r="O112" s="279"/>
      <c r="P112" s="279"/>
      <c r="Q112" s="279"/>
      <c r="R112" s="279"/>
      <c r="S112" s="279"/>
      <c r="T112" s="279"/>
      <c r="U112" s="279"/>
      <c r="V112" s="279"/>
      <c r="W112" s="279"/>
      <c r="X112" s="279"/>
      <c r="Y112" s="279"/>
      <c r="Z112" s="279"/>
      <c r="AA112" s="279"/>
      <c r="AB112" s="279"/>
      <c r="AC112" s="279"/>
      <c r="AD112" s="279"/>
      <c r="AE112" s="279"/>
      <c r="AF112" s="279"/>
      <c r="AG112" s="279"/>
      <c r="AH112" s="279"/>
      <c r="AI112" s="279"/>
      <c r="AJ112" s="279"/>
      <c r="AK112" s="279"/>
      <c r="AL112" s="279"/>
      <c r="AM112" s="279"/>
      <c r="AN112" s="279"/>
      <c r="AO112" s="279"/>
      <c r="AP112" s="279"/>
      <c r="AQ112" s="279"/>
      <c r="AR112" s="279"/>
      <c r="AS112" s="154"/>
      <c r="AT112" s="154"/>
      <c r="AU112" s="155"/>
      <c r="AV112" s="155"/>
      <c r="AW112" s="155"/>
      <c r="AX112" s="279"/>
      <c r="AY112" s="279"/>
      <c r="AZ112" s="279"/>
      <c r="BA112" s="279"/>
      <c r="BB112" s="279"/>
      <c r="BC112" s="279"/>
      <c r="BD112" s="279"/>
      <c r="BE112" s="279"/>
      <c r="BF112" s="279"/>
      <c r="BG112" s="279"/>
      <c r="BH112" s="279"/>
      <c r="BI112" s="279"/>
      <c r="BJ112" s="279"/>
      <c r="BK112" s="279"/>
      <c r="BL112" s="279"/>
      <c r="BM112" s="279"/>
      <c r="BN112" s="279"/>
      <c r="BO112" s="279"/>
      <c r="BP112" s="279"/>
      <c r="BQ112" s="279"/>
      <c r="BR112" s="279"/>
      <c r="BS112" s="154"/>
      <c r="BT112" s="154"/>
      <c r="BU112" s="154"/>
      <c r="BV112" s="154"/>
      <c r="BW112" s="154"/>
    </row>
    <row r="113" spans="6:75" ht="11.25" customHeight="1" x14ac:dyDescent="0.2">
      <c r="F113" s="279"/>
      <c r="G113" s="279"/>
      <c r="H113" s="279"/>
      <c r="I113" s="279"/>
      <c r="J113" s="279"/>
      <c r="K113" s="279"/>
      <c r="L113" s="279"/>
      <c r="M113" s="279"/>
      <c r="N113" s="279"/>
      <c r="O113" s="279"/>
      <c r="P113" s="279"/>
      <c r="Q113" s="279"/>
      <c r="R113" s="279"/>
      <c r="S113" s="279"/>
      <c r="T113" s="279"/>
      <c r="U113" s="279"/>
      <c r="V113" s="279"/>
      <c r="W113" s="279"/>
      <c r="X113" s="279"/>
      <c r="Y113" s="279"/>
      <c r="Z113" s="279"/>
      <c r="AA113" s="279"/>
      <c r="AB113" s="279"/>
      <c r="AC113" s="279"/>
      <c r="AD113" s="279"/>
      <c r="AE113" s="279"/>
      <c r="AF113" s="279"/>
      <c r="AG113" s="279"/>
      <c r="AH113" s="279"/>
      <c r="AI113" s="279"/>
      <c r="AJ113" s="279"/>
      <c r="AK113" s="279"/>
      <c r="AL113" s="279"/>
      <c r="AM113" s="279"/>
      <c r="AN113" s="279"/>
      <c r="AO113" s="279"/>
      <c r="AP113" s="279"/>
      <c r="AQ113" s="279"/>
      <c r="AR113" s="279"/>
      <c r="AS113" s="154"/>
      <c r="AT113" s="154"/>
      <c r="AU113" s="155"/>
      <c r="AV113" s="155"/>
      <c r="AW113" s="155"/>
      <c r="AX113" s="279"/>
      <c r="AY113" s="279"/>
      <c r="AZ113" s="279"/>
      <c r="BA113" s="279"/>
      <c r="BB113" s="279"/>
      <c r="BC113" s="279"/>
      <c r="BD113" s="279"/>
      <c r="BE113" s="279"/>
      <c r="BF113" s="279"/>
      <c r="BG113" s="279"/>
      <c r="BH113" s="279"/>
      <c r="BI113" s="279"/>
      <c r="BJ113" s="279"/>
      <c r="BK113" s="279"/>
      <c r="BL113" s="279"/>
      <c r="BM113" s="279"/>
      <c r="BN113" s="279"/>
      <c r="BO113" s="279"/>
      <c r="BP113" s="279"/>
      <c r="BQ113" s="279"/>
      <c r="BR113" s="279"/>
      <c r="BS113" s="154"/>
      <c r="BT113" s="154"/>
      <c r="BU113" s="154"/>
      <c r="BV113" s="154"/>
      <c r="BW113" s="154"/>
    </row>
    <row r="114" spans="6:75" ht="11.25" customHeight="1" x14ac:dyDescent="0.2">
      <c r="F114" s="279"/>
      <c r="G114" s="279"/>
      <c r="H114" s="279"/>
      <c r="I114" s="279"/>
      <c r="J114" s="279"/>
      <c r="K114" s="279"/>
      <c r="L114" s="279"/>
      <c r="M114" s="279"/>
      <c r="N114" s="279"/>
      <c r="O114" s="279"/>
      <c r="P114" s="279"/>
      <c r="Q114" s="279"/>
      <c r="R114" s="279"/>
      <c r="S114" s="279"/>
      <c r="T114" s="279"/>
      <c r="U114" s="279"/>
      <c r="V114" s="279"/>
      <c r="W114" s="279"/>
      <c r="X114" s="279"/>
      <c r="Y114" s="279"/>
      <c r="Z114" s="279"/>
      <c r="AA114" s="279"/>
      <c r="AB114" s="279"/>
      <c r="AC114" s="279"/>
      <c r="AD114" s="279"/>
      <c r="AE114" s="279"/>
      <c r="AF114" s="279"/>
      <c r="AG114" s="279"/>
      <c r="AH114" s="279"/>
      <c r="AI114" s="279"/>
      <c r="AJ114" s="279"/>
      <c r="AK114" s="279"/>
      <c r="AL114" s="279"/>
      <c r="AM114" s="279"/>
      <c r="AN114" s="279"/>
      <c r="AO114" s="279"/>
      <c r="AP114" s="279"/>
      <c r="AQ114" s="279"/>
      <c r="AR114" s="279"/>
      <c r="AS114" s="154"/>
      <c r="AT114" s="154"/>
      <c r="AU114" s="155"/>
      <c r="AV114" s="155"/>
      <c r="AW114" s="155"/>
      <c r="AX114" s="279"/>
      <c r="AY114" s="279"/>
      <c r="AZ114" s="279"/>
      <c r="BA114" s="279"/>
      <c r="BB114" s="279"/>
      <c r="BC114" s="279"/>
      <c r="BD114" s="279"/>
      <c r="BE114" s="279"/>
      <c r="BF114" s="279"/>
      <c r="BG114" s="279"/>
      <c r="BH114" s="279"/>
      <c r="BI114" s="279"/>
      <c r="BJ114" s="279"/>
      <c r="BK114" s="279"/>
      <c r="BL114" s="279"/>
      <c r="BM114" s="279"/>
      <c r="BN114" s="279"/>
      <c r="BO114" s="279"/>
      <c r="BP114" s="279"/>
      <c r="BQ114" s="279"/>
      <c r="BR114" s="279"/>
      <c r="BS114" s="154"/>
      <c r="BT114" s="154"/>
      <c r="BU114" s="154"/>
      <c r="BV114" s="154"/>
      <c r="BW114" s="154"/>
    </row>
    <row r="115" spans="6:75" ht="11.25" customHeight="1" x14ac:dyDescent="0.2">
      <c r="F115" s="279"/>
      <c r="G115" s="279"/>
      <c r="H115" s="279"/>
      <c r="I115" s="279"/>
      <c r="J115" s="279"/>
      <c r="K115" s="279"/>
      <c r="L115" s="279"/>
      <c r="M115" s="279"/>
      <c r="N115" s="279"/>
      <c r="O115" s="279"/>
      <c r="P115" s="279"/>
      <c r="Q115" s="279"/>
      <c r="R115" s="279"/>
      <c r="S115" s="279"/>
      <c r="T115" s="279"/>
      <c r="U115" s="279"/>
      <c r="V115" s="279"/>
      <c r="W115" s="279"/>
      <c r="X115" s="279"/>
      <c r="Y115" s="279"/>
      <c r="Z115" s="279"/>
      <c r="AA115" s="279"/>
      <c r="AB115" s="279"/>
      <c r="AC115" s="279"/>
      <c r="AD115" s="279"/>
      <c r="AE115" s="279"/>
      <c r="AF115" s="279"/>
      <c r="AG115" s="279"/>
      <c r="AH115" s="279"/>
      <c r="AI115" s="279"/>
      <c r="AJ115" s="279"/>
      <c r="AK115" s="279"/>
      <c r="AL115" s="279"/>
      <c r="AM115" s="279"/>
      <c r="AN115" s="279"/>
      <c r="AO115" s="279"/>
      <c r="AP115" s="279"/>
      <c r="AQ115" s="279"/>
      <c r="AR115" s="279"/>
      <c r="AS115" s="154"/>
      <c r="AT115" s="154"/>
      <c r="AU115" s="155"/>
      <c r="AV115" s="155"/>
      <c r="AW115" s="155"/>
      <c r="AX115" s="279"/>
      <c r="AY115" s="279"/>
      <c r="AZ115" s="279"/>
      <c r="BA115" s="279"/>
      <c r="BB115" s="279"/>
      <c r="BC115" s="279"/>
      <c r="BD115" s="279"/>
      <c r="BE115" s="279"/>
      <c r="BF115" s="279"/>
      <c r="BG115" s="279"/>
      <c r="BH115" s="279"/>
      <c r="BI115" s="279"/>
      <c r="BJ115" s="279"/>
      <c r="BK115" s="279"/>
      <c r="BL115" s="279"/>
      <c r="BM115" s="279"/>
      <c r="BN115" s="279"/>
      <c r="BO115" s="279"/>
      <c r="BP115" s="279"/>
      <c r="BQ115" s="279"/>
      <c r="BR115" s="279"/>
      <c r="BS115" s="154"/>
      <c r="BT115" s="154"/>
      <c r="BU115" s="154"/>
      <c r="BV115" s="154"/>
      <c r="BW115" s="154"/>
    </row>
    <row r="116" spans="6:75" ht="11.25" customHeight="1" x14ac:dyDescent="0.2">
      <c r="F116" s="279"/>
      <c r="G116" s="279"/>
      <c r="H116" s="279"/>
      <c r="I116" s="279"/>
      <c r="J116" s="279"/>
      <c r="K116" s="279"/>
      <c r="L116" s="279"/>
      <c r="M116" s="279"/>
      <c r="N116" s="279"/>
      <c r="O116" s="279"/>
      <c r="P116" s="279"/>
      <c r="Q116" s="279"/>
      <c r="R116" s="279"/>
      <c r="S116" s="279"/>
      <c r="T116" s="279"/>
      <c r="U116" s="279"/>
      <c r="V116" s="279"/>
      <c r="W116" s="279"/>
      <c r="X116" s="279"/>
      <c r="Y116" s="279"/>
      <c r="Z116" s="279"/>
      <c r="AA116" s="279"/>
      <c r="AB116" s="279"/>
      <c r="AC116" s="279"/>
      <c r="AD116" s="279"/>
      <c r="AE116" s="279"/>
      <c r="AF116" s="279"/>
      <c r="AG116" s="279"/>
      <c r="AH116" s="279"/>
      <c r="AI116" s="279"/>
      <c r="AJ116" s="279"/>
      <c r="AK116" s="279"/>
      <c r="AL116" s="279"/>
      <c r="AM116" s="279"/>
      <c r="AN116" s="279"/>
      <c r="AO116" s="279"/>
      <c r="AP116" s="279"/>
      <c r="AQ116" s="279"/>
      <c r="AR116" s="279"/>
      <c r="AS116" s="154"/>
      <c r="AT116" s="154"/>
      <c r="AU116" s="155"/>
      <c r="AV116" s="155"/>
      <c r="AW116" s="155"/>
      <c r="AX116" s="279"/>
      <c r="AY116" s="279"/>
      <c r="AZ116" s="279"/>
      <c r="BA116" s="279"/>
      <c r="BB116" s="279"/>
      <c r="BC116" s="279"/>
      <c r="BD116" s="279"/>
      <c r="BE116" s="279"/>
      <c r="BF116" s="279"/>
      <c r="BG116" s="279"/>
      <c r="BH116" s="279"/>
      <c r="BI116" s="279"/>
      <c r="BJ116" s="279"/>
      <c r="BK116" s="279"/>
      <c r="BL116" s="279"/>
      <c r="BM116" s="279"/>
      <c r="BN116" s="279"/>
      <c r="BO116" s="279"/>
      <c r="BP116" s="279"/>
      <c r="BQ116" s="279"/>
      <c r="BR116" s="279"/>
      <c r="BS116" s="154"/>
      <c r="BT116" s="154"/>
      <c r="BU116" s="154"/>
      <c r="BV116" s="154"/>
      <c r="BW116" s="154"/>
    </row>
    <row r="117" spans="6:75" ht="11.25" customHeight="1" x14ac:dyDescent="0.2">
      <c r="F117" s="279"/>
      <c r="G117" s="279"/>
      <c r="H117" s="279"/>
      <c r="I117" s="279"/>
      <c r="J117" s="279"/>
      <c r="K117" s="279"/>
      <c r="L117" s="279"/>
      <c r="M117" s="279"/>
      <c r="N117" s="279"/>
      <c r="O117" s="279"/>
      <c r="P117" s="279"/>
      <c r="Q117" s="279"/>
      <c r="R117" s="279"/>
      <c r="S117" s="279"/>
      <c r="T117" s="279"/>
      <c r="U117" s="279"/>
      <c r="V117" s="279"/>
      <c r="W117" s="279"/>
      <c r="X117" s="279"/>
      <c r="Y117" s="279"/>
      <c r="Z117" s="279"/>
      <c r="AA117" s="279"/>
      <c r="AB117" s="279"/>
      <c r="AC117" s="279"/>
      <c r="AD117" s="279"/>
      <c r="AE117" s="279"/>
      <c r="AF117" s="279"/>
      <c r="AG117" s="279"/>
      <c r="AH117" s="279"/>
      <c r="AI117" s="279"/>
      <c r="AJ117" s="279"/>
      <c r="AK117" s="279"/>
      <c r="AL117" s="279"/>
      <c r="AM117" s="279"/>
      <c r="AN117" s="279"/>
      <c r="AO117" s="279"/>
      <c r="AP117" s="279"/>
      <c r="AQ117" s="279"/>
      <c r="AR117" s="279"/>
      <c r="AS117" s="154"/>
      <c r="AT117" s="154"/>
      <c r="AU117" s="155"/>
      <c r="AV117" s="155"/>
      <c r="AW117" s="155"/>
      <c r="AX117" s="279"/>
      <c r="AY117" s="279"/>
      <c r="AZ117" s="279"/>
      <c r="BA117" s="279"/>
      <c r="BB117" s="279"/>
      <c r="BC117" s="279"/>
      <c r="BD117" s="279"/>
      <c r="BE117" s="279"/>
      <c r="BF117" s="279"/>
      <c r="BG117" s="279"/>
      <c r="BH117" s="279"/>
      <c r="BI117" s="279"/>
      <c r="BJ117" s="279"/>
      <c r="BK117" s="279"/>
      <c r="BL117" s="279"/>
      <c r="BM117" s="279"/>
      <c r="BN117" s="279"/>
      <c r="BO117" s="279"/>
      <c r="BP117" s="279"/>
      <c r="BQ117" s="279"/>
      <c r="BR117" s="279"/>
      <c r="BS117" s="154"/>
      <c r="BT117" s="154"/>
      <c r="BU117" s="154"/>
      <c r="BV117" s="154"/>
      <c r="BW117" s="154"/>
    </row>
    <row r="118" spans="6:75" ht="11.25" customHeight="1" x14ac:dyDescent="0.2">
      <c r="F118" s="279"/>
      <c r="G118" s="279"/>
      <c r="H118" s="279"/>
      <c r="I118" s="279"/>
      <c r="J118" s="279"/>
      <c r="K118" s="279"/>
      <c r="L118" s="279"/>
      <c r="M118" s="279"/>
      <c r="N118" s="279"/>
      <c r="O118" s="279"/>
      <c r="P118" s="279"/>
      <c r="Q118" s="279"/>
      <c r="R118" s="279"/>
      <c r="S118" s="279"/>
      <c r="T118" s="279"/>
      <c r="U118" s="279"/>
      <c r="V118" s="279"/>
      <c r="W118" s="279"/>
      <c r="X118" s="279"/>
      <c r="Y118" s="279"/>
      <c r="Z118" s="279"/>
      <c r="AA118" s="279"/>
      <c r="AB118" s="279"/>
      <c r="AC118" s="279"/>
      <c r="AD118" s="279"/>
      <c r="AE118" s="279"/>
      <c r="AF118" s="279"/>
      <c r="AG118" s="279"/>
      <c r="AH118" s="279"/>
      <c r="AI118" s="279"/>
      <c r="AJ118" s="279"/>
      <c r="AK118" s="279"/>
      <c r="AL118" s="279"/>
      <c r="AM118" s="279"/>
      <c r="AN118" s="279"/>
      <c r="AO118" s="279"/>
      <c r="AP118" s="279"/>
      <c r="AQ118" s="279"/>
      <c r="AR118" s="279"/>
      <c r="AS118" s="154"/>
      <c r="AT118" s="154"/>
      <c r="AU118" s="155"/>
      <c r="AV118" s="155"/>
      <c r="AW118" s="155"/>
      <c r="AX118" s="279"/>
      <c r="AY118" s="279"/>
      <c r="AZ118" s="279"/>
      <c r="BA118" s="279"/>
      <c r="BB118" s="279"/>
      <c r="BC118" s="279"/>
      <c r="BD118" s="279"/>
      <c r="BE118" s="279"/>
      <c r="BF118" s="279"/>
      <c r="BG118" s="279"/>
      <c r="BH118" s="279"/>
      <c r="BI118" s="279"/>
      <c r="BJ118" s="279"/>
      <c r="BK118" s="279"/>
      <c r="BL118" s="279"/>
      <c r="BM118" s="279"/>
      <c r="BN118" s="279"/>
      <c r="BO118" s="279"/>
      <c r="BP118" s="279"/>
      <c r="BQ118" s="279"/>
      <c r="BR118" s="279"/>
      <c r="BS118" s="154"/>
      <c r="BT118" s="154"/>
      <c r="BU118" s="154"/>
      <c r="BV118" s="154"/>
      <c r="BW118" s="154"/>
    </row>
    <row r="119" spans="6:75" ht="11.25" customHeight="1" x14ac:dyDescent="0.2">
      <c r="F119" s="279"/>
      <c r="G119" s="279"/>
      <c r="H119" s="279"/>
      <c r="I119" s="279"/>
      <c r="J119" s="279"/>
      <c r="K119" s="279"/>
      <c r="L119" s="279"/>
      <c r="M119" s="279"/>
      <c r="N119" s="279"/>
      <c r="O119" s="279"/>
      <c r="P119" s="279"/>
      <c r="Q119" s="279"/>
      <c r="R119" s="279"/>
      <c r="S119" s="279"/>
      <c r="T119" s="279"/>
      <c r="U119" s="279"/>
      <c r="V119" s="279"/>
      <c r="W119" s="279"/>
      <c r="X119" s="279"/>
      <c r="Y119" s="279"/>
      <c r="Z119" s="279"/>
      <c r="AA119" s="279"/>
      <c r="AB119" s="279"/>
      <c r="AC119" s="279"/>
      <c r="AD119" s="279"/>
      <c r="AE119" s="279"/>
      <c r="AF119" s="279"/>
      <c r="AG119" s="279"/>
      <c r="AH119" s="279"/>
      <c r="AI119" s="279"/>
      <c r="AJ119" s="279"/>
      <c r="AK119" s="279"/>
      <c r="AL119" s="279"/>
      <c r="AM119" s="279"/>
      <c r="AN119" s="279"/>
      <c r="AO119" s="279"/>
      <c r="AP119" s="279"/>
      <c r="AQ119" s="279"/>
      <c r="AR119" s="279"/>
      <c r="AS119" s="154"/>
      <c r="AT119" s="154"/>
      <c r="AU119" s="155"/>
      <c r="AV119" s="155"/>
      <c r="AW119" s="155"/>
      <c r="AX119" s="279"/>
      <c r="AY119" s="279"/>
      <c r="AZ119" s="279"/>
      <c r="BA119" s="279"/>
      <c r="BB119" s="279"/>
      <c r="BC119" s="279"/>
      <c r="BD119" s="279"/>
      <c r="BE119" s="279"/>
      <c r="BF119" s="279"/>
      <c r="BG119" s="279"/>
      <c r="BH119" s="279"/>
      <c r="BI119" s="279"/>
      <c r="BJ119" s="279"/>
      <c r="BK119" s="279"/>
      <c r="BL119" s="279"/>
      <c r="BM119" s="279"/>
      <c r="BN119" s="279"/>
      <c r="BO119" s="279"/>
      <c r="BP119" s="279"/>
      <c r="BQ119" s="279"/>
      <c r="BR119" s="279"/>
      <c r="BS119" s="154"/>
      <c r="BT119" s="154"/>
      <c r="BU119" s="154"/>
      <c r="BV119" s="154"/>
      <c r="BW119" s="154"/>
    </row>
    <row r="120" spans="6:75" ht="11.25" customHeight="1" x14ac:dyDescent="0.2">
      <c r="F120" s="279"/>
      <c r="G120" s="279"/>
      <c r="H120" s="279"/>
      <c r="I120" s="279"/>
      <c r="J120" s="279"/>
      <c r="K120" s="279"/>
      <c r="L120" s="279"/>
      <c r="M120" s="279"/>
      <c r="N120" s="279"/>
      <c r="O120" s="279"/>
      <c r="P120" s="279"/>
      <c r="Q120" s="279"/>
      <c r="R120" s="279"/>
      <c r="S120" s="279"/>
      <c r="T120" s="279"/>
      <c r="U120" s="279"/>
      <c r="V120" s="279"/>
      <c r="W120" s="279"/>
      <c r="X120" s="279"/>
      <c r="Y120" s="279"/>
      <c r="Z120" s="279"/>
      <c r="AA120" s="279"/>
      <c r="AB120" s="279"/>
      <c r="AC120" s="279"/>
      <c r="AD120" s="279"/>
      <c r="AE120" s="279"/>
      <c r="AF120" s="279"/>
      <c r="AG120" s="279"/>
      <c r="AH120" s="279"/>
      <c r="AI120" s="279"/>
      <c r="AJ120" s="279"/>
      <c r="AK120" s="279"/>
      <c r="AL120" s="279"/>
      <c r="AM120" s="279"/>
      <c r="AN120" s="279"/>
      <c r="AO120" s="279"/>
      <c r="AP120" s="279"/>
      <c r="AQ120" s="279"/>
      <c r="AR120" s="279"/>
      <c r="AS120" s="154"/>
      <c r="AT120" s="154"/>
      <c r="AU120" s="155"/>
      <c r="AV120" s="155"/>
      <c r="AW120" s="155"/>
      <c r="AX120" s="279"/>
      <c r="AY120" s="279"/>
      <c r="AZ120" s="279"/>
      <c r="BA120" s="279"/>
      <c r="BB120" s="279"/>
      <c r="BC120" s="279"/>
      <c r="BD120" s="279"/>
      <c r="BE120" s="279"/>
      <c r="BF120" s="279"/>
      <c r="BG120" s="279"/>
      <c r="BH120" s="279"/>
      <c r="BI120" s="279"/>
      <c r="BJ120" s="279"/>
      <c r="BK120" s="279"/>
      <c r="BL120" s="279"/>
      <c r="BM120" s="279"/>
      <c r="BN120" s="279"/>
      <c r="BO120" s="279"/>
      <c r="BP120" s="279"/>
      <c r="BQ120" s="279"/>
      <c r="BR120" s="279"/>
      <c r="BS120" s="154"/>
      <c r="BT120" s="154"/>
      <c r="BU120" s="154"/>
      <c r="BV120" s="154"/>
      <c r="BW120" s="154"/>
    </row>
    <row r="121" spans="6:75" ht="11.25" customHeight="1" x14ac:dyDescent="0.2">
      <c r="F121" s="279"/>
      <c r="G121" s="279"/>
      <c r="H121" s="279"/>
      <c r="I121" s="279"/>
      <c r="J121" s="279"/>
      <c r="K121" s="279"/>
      <c r="L121" s="279"/>
      <c r="M121" s="279"/>
      <c r="N121" s="279"/>
      <c r="O121" s="279"/>
      <c r="P121" s="279"/>
      <c r="Q121" s="279"/>
      <c r="R121" s="279"/>
      <c r="S121" s="279"/>
      <c r="T121" s="279"/>
      <c r="U121" s="279"/>
      <c r="V121" s="279"/>
      <c r="W121" s="279"/>
      <c r="X121" s="279"/>
      <c r="Y121" s="279"/>
      <c r="Z121" s="279"/>
      <c r="AA121" s="279"/>
      <c r="AB121" s="279"/>
      <c r="AC121" s="279"/>
      <c r="AD121" s="279"/>
      <c r="AE121" s="279"/>
      <c r="AF121" s="279"/>
      <c r="AG121" s="279"/>
      <c r="AH121" s="279"/>
      <c r="AI121" s="279"/>
      <c r="AJ121" s="279"/>
      <c r="AK121" s="279"/>
      <c r="AL121" s="279"/>
      <c r="AM121" s="279"/>
      <c r="AN121" s="279"/>
      <c r="AO121" s="279"/>
      <c r="AP121" s="279"/>
      <c r="AQ121" s="279"/>
      <c r="AR121" s="279"/>
      <c r="AS121" s="154"/>
      <c r="AT121" s="154"/>
      <c r="AU121" s="155"/>
      <c r="AV121" s="155"/>
      <c r="AW121" s="155"/>
      <c r="AX121" s="279"/>
      <c r="AY121" s="279"/>
      <c r="AZ121" s="279"/>
      <c r="BA121" s="279"/>
      <c r="BB121" s="279"/>
      <c r="BC121" s="279"/>
      <c r="BD121" s="279"/>
      <c r="BE121" s="279"/>
      <c r="BF121" s="279"/>
      <c r="BG121" s="279"/>
      <c r="BH121" s="279"/>
      <c r="BI121" s="279"/>
      <c r="BJ121" s="279"/>
      <c r="BK121" s="279"/>
      <c r="BL121" s="279"/>
      <c r="BM121" s="279"/>
      <c r="BN121" s="279"/>
      <c r="BO121" s="279"/>
      <c r="BP121" s="279"/>
      <c r="BQ121" s="279"/>
      <c r="BR121" s="279"/>
      <c r="BS121" s="154"/>
      <c r="BT121" s="154"/>
      <c r="BU121" s="154"/>
      <c r="BV121" s="154"/>
      <c r="BW121" s="154"/>
    </row>
    <row r="122" spans="6:75" ht="11.25" customHeight="1" x14ac:dyDescent="0.2">
      <c r="F122" s="279"/>
      <c r="G122" s="279"/>
      <c r="H122" s="279"/>
      <c r="I122" s="279"/>
      <c r="J122" s="279"/>
      <c r="K122" s="279"/>
      <c r="L122" s="279"/>
      <c r="M122" s="279"/>
      <c r="N122" s="279"/>
      <c r="O122" s="279"/>
      <c r="P122" s="279"/>
      <c r="Q122" s="279"/>
      <c r="R122" s="279"/>
      <c r="S122" s="279"/>
      <c r="T122" s="279"/>
      <c r="U122" s="279"/>
      <c r="V122" s="279"/>
      <c r="W122" s="279"/>
      <c r="X122" s="279"/>
      <c r="Y122" s="279"/>
      <c r="Z122" s="279"/>
      <c r="AA122" s="279"/>
      <c r="AB122" s="279"/>
      <c r="AC122" s="279"/>
      <c r="AD122" s="279"/>
      <c r="AE122" s="279"/>
      <c r="AF122" s="279"/>
      <c r="AG122" s="279"/>
      <c r="AH122" s="279"/>
      <c r="AI122" s="279"/>
      <c r="AJ122" s="279"/>
      <c r="AK122" s="279"/>
      <c r="AL122" s="279"/>
      <c r="AM122" s="279"/>
      <c r="AN122" s="279"/>
      <c r="AO122" s="279"/>
      <c r="AP122" s="279"/>
      <c r="AQ122" s="279"/>
      <c r="AR122" s="279"/>
      <c r="AS122" s="154"/>
      <c r="AT122" s="154"/>
      <c r="AU122" s="155"/>
      <c r="AV122" s="155"/>
      <c r="AW122" s="155"/>
      <c r="AX122" s="279"/>
      <c r="AY122" s="279"/>
      <c r="AZ122" s="279"/>
      <c r="BA122" s="279"/>
      <c r="BB122" s="279"/>
      <c r="BC122" s="279"/>
      <c r="BD122" s="279"/>
      <c r="BE122" s="279"/>
      <c r="BF122" s="279"/>
      <c r="BG122" s="279"/>
      <c r="BH122" s="279"/>
      <c r="BI122" s="279"/>
      <c r="BJ122" s="279"/>
      <c r="BK122" s="279"/>
      <c r="BL122" s="279"/>
      <c r="BM122" s="279"/>
      <c r="BN122" s="279"/>
      <c r="BO122" s="279"/>
      <c r="BP122" s="279"/>
      <c r="BQ122" s="279"/>
      <c r="BR122" s="279"/>
      <c r="BS122" s="154"/>
      <c r="BT122" s="154"/>
      <c r="BU122" s="154"/>
      <c r="BV122" s="154"/>
      <c r="BW122" s="154"/>
    </row>
    <row r="123" spans="6:75" ht="11.25" customHeight="1" x14ac:dyDescent="0.2">
      <c r="F123" s="279"/>
      <c r="G123" s="279"/>
      <c r="H123" s="279"/>
      <c r="I123" s="279"/>
      <c r="J123" s="279"/>
      <c r="K123" s="279"/>
      <c r="L123" s="279"/>
      <c r="M123" s="279"/>
      <c r="N123" s="279"/>
      <c r="O123" s="279"/>
      <c r="P123" s="279"/>
      <c r="Q123" s="279"/>
      <c r="R123" s="279"/>
      <c r="S123" s="279"/>
      <c r="T123" s="279"/>
      <c r="U123" s="279"/>
      <c r="V123" s="279"/>
      <c r="W123" s="279"/>
      <c r="X123" s="279"/>
      <c r="Y123" s="279"/>
      <c r="Z123" s="279"/>
      <c r="AA123" s="279"/>
      <c r="AB123" s="279"/>
      <c r="AC123" s="279"/>
      <c r="AD123" s="279"/>
      <c r="AE123" s="279"/>
      <c r="AF123" s="279"/>
      <c r="AG123" s="279"/>
      <c r="AH123" s="279"/>
      <c r="AI123" s="279"/>
      <c r="AJ123" s="279"/>
      <c r="AK123" s="279"/>
      <c r="AL123" s="279"/>
      <c r="AM123" s="279"/>
      <c r="AN123" s="279"/>
      <c r="AO123" s="279"/>
      <c r="AP123" s="279"/>
      <c r="AQ123" s="279"/>
      <c r="AR123" s="279"/>
      <c r="AS123" s="154"/>
      <c r="AT123" s="154"/>
      <c r="AU123" s="155"/>
      <c r="AV123" s="155"/>
      <c r="AW123" s="155"/>
      <c r="AX123" s="279"/>
      <c r="AY123" s="279"/>
      <c r="AZ123" s="279"/>
      <c r="BA123" s="279"/>
      <c r="BB123" s="279"/>
      <c r="BC123" s="279"/>
      <c r="BD123" s="279"/>
      <c r="BE123" s="279"/>
      <c r="BF123" s="279"/>
      <c r="BG123" s="279"/>
      <c r="BH123" s="279"/>
      <c r="BI123" s="279"/>
      <c r="BJ123" s="279"/>
      <c r="BK123" s="279"/>
      <c r="BL123" s="279"/>
      <c r="BM123" s="279"/>
      <c r="BN123" s="279"/>
      <c r="BO123" s="279"/>
      <c r="BP123" s="279"/>
      <c r="BQ123" s="279"/>
      <c r="BR123" s="279"/>
      <c r="BS123" s="154"/>
      <c r="BT123" s="154"/>
      <c r="BU123" s="154"/>
      <c r="BV123" s="154"/>
      <c r="BW123" s="154"/>
    </row>
    <row r="124" spans="6:75" ht="11.25" customHeight="1" x14ac:dyDescent="0.2">
      <c r="F124" s="279"/>
      <c r="G124" s="279"/>
      <c r="H124" s="279"/>
      <c r="I124" s="279"/>
      <c r="J124" s="279"/>
      <c r="K124" s="279"/>
      <c r="L124" s="279"/>
      <c r="M124" s="279"/>
      <c r="N124" s="279"/>
      <c r="O124" s="279"/>
      <c r="P124" s="279"/>
      <c r="Q124" s="279"/>
      <c r="R124" s="279"/>
      <c r="S124" s="279"/>
      <c r="T124" s="279"/>
      <c r="U124" s="279"/>
      <c r="V124" s="279"/>
      <c r="W124" s="279"/>
      <c r="X124" s="279"/>
      <c r="Y124" s="279"/>
      <c r="Z124" s="279"/>
      <c r="AA124" s="279"/>
      <c r="AB124" s="279"/>
      <c r="AC124" s="279"/>
      <c r="AD124" s="279"/>
      <c r="AE124" s="279"/>
      <c r="AF124" s="279"/>
      <c r="AG124" s="279"/>
      <c r="AH124" s="279"/>
      <c r="AI124" s="279"/>
      <c r="AJ124" s="279"/>
      <c r="AK124" s="279"/>
      <c r="AL124" s="279"/>
      <c r="AM124" s="279"/>
      <c r="AN124" s="279"/>
      <c r="AO124" s="279"/>
      <c r="AP124" s="279"/>
      <c r="AQ124" s="279"/>
      <c r="AR124" s="279"/>
      <c r="AS124" s="154"/>
      <c r="AT124" s="154"/>
      <c r="AU124" s="155"/>
      <c r="AV124" s="155"/>
      <c r="AW124" s="155"/>
      <c r="AX124" s="279"/>
      <c r="AY124" s="279"/>
      <c r="AZ124" s="279"/>
      <c r="BA124" s="279"/>
      <c r="BB124" s="279"/>
      <c r="BC124" s="279"/>
      <c r="BD124" s="279"/>
      <c r="BE124" s="279"/>
      <c r="BF124" s="279"/>
      <c r="BG124" s="279"/>
      <c r="BH124" s="279"/>
      <c r="BI124" s="279"/>
      <c r="BJ124" s="279"/>
      <c r="BK124" s="279"/>
      <c r="BL124" s="279"/>
      <c r="BM124" s="279"/>
      <c r="BN124" s="279"/>
      <c r="BO124" s="279"/>
      <c r="BP124" s="279"/>
      <c r="BQ124" s="279"/>
      <c r="BR124" s="279"/>
      <c r="BS124" s="154"/>
      <c r="BT124" s="154"/>
      <c r="BU124" s="154"/>
      <c r="BV124" s="154"/>
      <c r="BW124" s="154"/>
    </row>
    <row r="125" spans="6:75" ht="11.25" customHeight="1" x14ac:dyDescent="0.2">
      <c r="F125" s="279"/>
      <c r="G125" s="279"/>
      <c r="H125" s="279"/>
      <c r="I125" s="279"/>
      <c r="J125" s="279"/>
      <c r="K125" s="279"/>
      <c r="L125" s="279"/>
      <c r="M125" s="279"/>
      <c r="N125" s="279"/>
      <c r="O125" s="279"/>
      <c r="P125" s="279"/>
      <c r="Q125" s="279"/>
      <c r="R125" s="279"/>
      <c r="S125" s="279"/>
      <c r="T125" s="279"/>
      <c r="U125" s="279"/>
      <c r="V125" s="279"/>
      <c r="W125" s="279"/>
      <c r="X125" s="279"/>
      <c r="Y125" s="279"/>
      <c r="Z125" s="279"/>
      <c r="AA125" s="279"/>
      <c r="AB125" s="279"/>
      <c r="AC125" s="279"/>
      <c r="AD125" s="279"/>
      <c r="AE125" s="279"/>
      <c r="AF125" s="279"/>
      <c r="AG125" s="279"/>
      <c r="AH125" s="279"/>
      <c r="AI125" s="279"/>
      <c r="AJ125" s="279"/>
      <c r="AK125" s="279"/>
      <c r="AL125" s="279"/>
      <c r="AM125" s="279"/>
      <c r="AN125" s="279"/>
      <c r="AO125" s="279"/>
      <c r="AP125" s="279"/>
      <c r="AQ125" s="279"/>
      <c r="AR125" s="279"/>
      <c r="AS125" s="154"/>
      <c r="AT125" s="154"/>
      <c r="AU125" s="155"/>
      <c r="AV125" s="155"/>
      <c r="AW125" s="155"/>
      <c r="AX125" s="279"/>
      <c r="AY125" s="279"/>
      <c r="AZ125" s="279"/>
      <c r="BA125" s="279"/>
      <c r="BB125" s="279"/>
      <c r="BC125" s="279"/>
      <c r="BD125" s="279"/>
      <c r="BE125" s="279"/>
      <c r="BF125" s="279"/>
      <c r="BG125" s="279"/>
      <c r="BH125" s="279"/>
      <c r="BI125" s="279"/>
      <c r="BJ125" s="279"/>
      <c r="BK125" s="279"/>
      <c r="BL125" s="279"/>
      <c r="BM125" s="279"/>
      <c r="BN125" s="279"/>
      <c r="BO125" s="279"/>
      <c r="BP125" s="279"/>
      <c r="BQ125" s="279"/>
      <c r="BR125" s="279"/>
      <c r="BS125" s="154"/>
      <c r="BT125" s="154"/>
      <c r="BU125" s="154"/>
      <c r="BV125" s="154"/>
      <c r="BW125" s="154"/>
    </row>
    <row r="126" spans="6:75" ht="11.25" customHeight="1" x14ac:dyDescent="0.2">
      <c r="F126" s="279"/>
      <c r="G126" s="279"/>
      <c r="H126" s="279"/>
      <c r="I126" s="279"/>
      <c r="J126" s="279"/>
      <c r="K126" s="279"/>
      <c r="L126" s="279"/>
      <c r="M126" s="279"/>
      <c r="N126" s="279"/>
      <c r="O126" s="279"/>
      <c r="P126" s="279"/>
      <c r="Q126" s="279"/>
      <c r="R126" s="279"/>
      <c r="S126" s="279"/>
      <c r="T126" s="279"/>
      <c r="U126" s="279"/>
      <c r="V126" s="279"/>
      <c r="W126" s="279"/>
      <c r="X126" s="279"/>
      <c r="Y126" s="279"/>
      <c r="Z126" s="279"/>
      <c r="AA126" s="279"/>
      <c r="AB126" s="279"/>
      <c r="AC126" s="279"/>
      <c r="AD126" s="279"/>
      <c r="AE126" s="279"/>
      <c r="AF126" s="279"/>
      <c r="AG126" s="279"/>
      <c r="AH126" s="279"/>
      <c r="AI126" s="279"/>
      <c r="AJ126" s="279"/>
      <c r="AK126" s="279"/>
      <c r="AL126" s="279"/>
      <c r="AM126" s="279"/>
      <c r="AN126" s="279"/>
      <c r="AO126" s="279"/>
      <c r="AP126" s="279"/>
      <c r="AQ126" s="279"/>
      <c r="AR126" s="279"/>
      <c r="AS126" s="154"/>
      <c r="AT126" s="154"/>
      <c r="AU126" s="155"/>
      <c r="AV126" s="155"/>
      <c r="AW126" s="155"/>
      <c r="AX126" s="279"/>
      <c r="AY126" s="279"/>
      <c r="AZ126" s="279"/>
      <c r="BA126" s="279"/>
      <c r="BB126" s="279"/>
      <c r="BC126" s="279"/>
      <c r="BD126" s="279"/>
      <c r="BE126" s="279"/>
      <c r="BF126" s="279"/>
      <c r="BG126" s="279"/>
      <c r="BH126" s="279"/>
      <c r="BI126" s="279"/>
      <c r="BJ126" s="279"/>
      <c r="BK126" s="279"/>
      <c r="BL126" s="279"/>
      <c r="BM126" s="279"/>
      <c r="BN126" s="279"/>
      <c r="BO126" s="279"/>
      <c r="BP126" s="279"/>
      <c r="BQ126" s="279"/>
      <c r="BR126" s="279"/>
      <c r="BS126" s="154"/>
      <c r="BT126" s="154"/>
      <c r="BU126" s="154"/>
      <c r="BV126" s="154"/>
      <c r="BW126" s="154"/>
    </row>
    <row r="127" spans="6:75" ht="11.25" customHeight="1" x14ac:dyDescent="0.2">
      <c r="F127" s="279"/>
      <c r="G127" s="279"/>
      <c r="H127" s="279"/>
      <c r="I127" s="279"/>
      <c r="J127" s="279"/>
      <c r="K127" s="279"/>
      <c r="L127" s="279"/>
      <c r="M127" s="279"/>
      <c r="N127" s="279"/>
      <c r="O127" s="279"/>
      <c r="P127" s="279"/>
      <c r="Q127" s="279"/>
      <c r="R127" s="279"/>
      <c r="S127" s="279"/>
      <c r="T127" s="279"/>
      <c r="U127" s="279"/>
      <c r="V127" s="279"/>
      <c r="W127" s="279"/>
      <c r="X127" s="279"/>
      <c r="Y127" s="279"/>
      <c r="Z127" s="279"/>
      <c r="AA127" s="279"/>
      <c r="AB127" s="279"/>
      <c r="AC127" s="279"/>
      <c r="AD127" s="279"/>
      <c r="AE127" s="279"/>
      <c r="AF127" s="279"/>
      <c r="AG127" s="279"/>
      <c r="AH127" s="279"/>
      <c r="AI127" s="279"/>
      <c r="AJ127" s="279"/>
      <c r="AK127" s="279"/>
      <c r="AL127" s="279"/>
      <c r="AM127" s="279"/>
      <c r="AN127" s="279"/>
      <c r="AO127" s="279"/>
      <c r="AP127" s="279"/>
      <c r="AQ127" s="279"/>
      <c r="AR127" s="279"/>
      <c r="AS127" s="154"/>
      <c r="AT127" s="154"/>
      <c r="AU127" s="155"/>
      <c r="AV127" s="155"/>
      <c r="AW127" s="155"/>
      <c r="AX127" s="279"/>
      <c r="AY127" s="279"/>
      <c r="AZ127" s="279"/>
      <c r="BA127" s="279"/>
      <c r="BB127" s="279"/>
      <c r="BC127" s="279"/>
      <c r="BD127" s="279"/>
      <c r="BE127" s="279"/>
      <c r="BF127" s="279"/>
      <c r="BG127" s="279"/>
      <c r="BH127" s="279"/>
      <c r="BI127" s="279"/>
      <c r="BJ127" s="279"/>
      <c r="BK127" s="279"/>
      <c r="BL127" s="279"/>
      <c r="BM127" s="279"/>
      <c r="BN127" s="279"/>
      <c r="BO127" s="279"/>
      <c r="BP127" s="279"/>
      <c r="BQ127" s="279"/>
      <c r="BR127" s="279"/>
      <c r="BS127" s="154"/>
      <c r="BT127" s="154"/>
      <c r="BU127" s="154"/>
      <c r="BV127" s="154"/>
      <c r="BW127" s="154"/>
    </row>
    <row r="128" spans="6:75" ht="11.25" customHeight="1" x14ac:dyDescent="0.2">
      <c r="F128" s="279"/>
      <c r="G128" s="279"/>
      <c r="H128" s="279"/>
      <c r="I128" s="279"/>
      <c r="J128" s="279"/>
      <c r="K128" s="279"/>
      <c r="L128" s="279"/>
      <c r="M128" s="279"/>
      <c r="N128" s="279"/>
      <c r="O128" s="279"/>
      <c r="P128" s="279"/>
      <c r="Q128" s="279"/>
      <c r="R128" s="279"/>
      <c r="S128" s="279"/>
      <c r="T128" s="279"/>
      <c r="U128" s="279"/>
      <c r="V128" s="279"/>
      <c r="W128" s="279"/>
      <c r="X128" s="279"/>
      <c r="Y128" s="279"/>
      <c r="Z128" s="279"/>
      <c r="AA128" s="279"/>
      <c r="AB128" s="279"/>
      <c r="AC128" s="279"/>
      <c r="AD128" s="279"/>
      <c r="AE128" s="279"/>
      <c r="AF128" s="279"/>
      <c r="AG128" s="279"/>
      <c r="AH128" s="279"/>
      <c r="AI128" s="279"/>
      <c r="AJ128" s="279"/>
      <c r="AK128" s="279"/>
      <c r="AL128" s="279"/>
      <c r="AM128" s="279"/>
      <c r="AN128" s="279"/>
      <c r="AO128" s="279"/>
      <c r="AP128" s="279"/>
      <c r="AQ128" s="279"/>
      <c r="AR128" s="279"/>
      <c r="AS128" s="154"/>
      <c r="AT128" s="154"/>
      <c r="AU128" s="155"/>
      <c r="AV128" s="155"/>
      <c r="AW128" s="155"/>
      <c r="AX128" s="279"/>
      <c r="AY128" s="279"/>
      <c r="AZ128" s="279"/>
      <c r="BA128" s="279"/>
      <c r="BB128" s="279"/>
      <c r="BC128" s="279"/>
      <c r="BD128" s="279"/>
      <c r="BE128" s="279"/>
      <c r="BF128" s="279"/>
      <c r="BG128" s="279"/>
      <c r="BH128" s="279"/>
      <c r="BI128" s="279"/>
      <c r="BJ128" s="279"/>
      <c r="BK128" s="279"/>
      <c r="BL128" s="279"/>
      <c r="BM128" s="279"/>
      <c r="BN128" s="279"/>
      <c r="BO128" s="279"/>
      <c r="BP128" s="279"/>
      <c r="BQ128" s="279"/>
      <c r="BR128" s="279"/>
      <c r="BS128" s="154"/>
      <c r="BT128" s="154"/>
      <c r="BU128" s="154"/>
      <c r="BV128" s="154"/>
      <c r="BW128" s="154"/>
    </row>
    <row r="129" spans="6:75" ht="11.25" customHeight="1" x14ac:dyDescent="0.2">
      <c r="F129" s="279"/>
      <c r="G129" s="279"/>
      <c r="H129" s="279"/>
      <c r="I129" s="279"/>
      <c r="J129" s="279"/>
      <c r="K129" s="279"/>
      <c r="L129" s="279"/>
      <c r="M129" s="279"/>
      <c r="N129" s="279"/>
      <c r="O129" s="279"/>
      <c r="P129" s="279"/>
      <c r="Q129" s="279"/>
      <c r="R129" s="279"/>
      <c r="S129" s="279"/>
      <c r="T129" s="279"/>
      <c r="U129" s="279"/>
      <c r="V129" s="279"/>
      <c r="W129" s="279"/>
      <c r="X129" s="279"/>
      <c r="Y129" s="279"/>
      <c r="Z129" s="279"/>
      <c r="AA129" s="279"/>
      <c r="AB129" s="279"/>
      <c r="AC129" s="279"/>
      <c r="AD129" s="279"/>
      <c r="AE129" s="279"/>
      <c r="AF129" s="279"/>
      <c r="AG129" s="279"/>
      <c r="AH129" s="279"/>
      <c r="AI129" s="279"/>
      <c r="AJ129" s="279"/>
      <c r="AK129" s="279"/>
      <c r="AL129" s="279"/>
      <c r="AM129" s="279"/>
      <c r="AN129" s="279"/>
      <c r="AO129" s="279"/>
      <c r="AP129" s="279"/>
      <c r="AQ129" s="279"/>
      <c r="AR129" s="279"/>
      <c r="AS129" s="154"/>
      <c r="AT129" s="154"/>
      <c r="AU129" s="155"/>
      <c r="AV129" s="155"/>
      <c r="AW129" s="155"/>
      <c r="AX129" s="279"/>
      <c r="AY129" s="279"/>
      <c r="AZ129" s="279"/>
      <c r="BA129" s="279"/>
      <c r="BB129" s="279"/>
      <c r="BC129" s="279"/>
      <c r="BD129" s="279"/>
      <c r="BE129" s="279"/>
      <c r="BF129" s="279"/>
      <c r="BG129" s="279"/>
      <c r="BH129" s="279"/>
      <c r="BI129" s="279"/>
      <c r="BJ129" s="279"/>
      <c r="BK129" s="279"/>
      <c r="BL129" s="279"/>
      <c r="BM129" s="279"/>
      <c r="BN129" s="279"/>
      <c r="BO129" s="279"/>
      <c r="BP129" s="279"/>
      <c r="BQ129" s="279"/>
      <c r="BR129" s="279"/>
      <c r="BS129" s="154"/>
      <c r="BT129" s="154"/>
      <c r="BU129" s="154"/>
      <c r="BV129" s="154"/>
      <c r="BW129" s="154"/>
    </row>
    <row r="130" spans="6:75" ht="11.25" customHeight="1" x14ac:dyDescent="0.2">
      <c r="F130" s="279"/>
      <c r="G130" s="279"/>
      <c r="H130" s="279"/>
      <c r="I130" s="279"/>
      <c r="J130" s="279"/>
      <c r="K130" s="279"/>
      <c r="L130" s="279"/>
      <c r="M130" s="279"/>
      <c r="N130" s="279"/>
      <c r="O130" s="279"/>
      <c r="P130" s="279"/>
      <c r="Q130" s="279"/>
      <c r="R130" s="279"/>
      <c r="S130" s="279"/>
      <c r="T130" s="279"/>
      <c r="U130" s="279"/>
      <c r="V130" s="279"/>
      <c r="W130" s="279"/>
      <c r="X130" s="279"/>
      <c r="Y130" s="279"/>
      <c r="Z130" s="279"/>
      <c r="AA130" s="279"/>
      <c r="AB130" s="279"/>
      <c r="AC130" s="279"/>
      <c r="AD130" s="279"/>
      <c r="AE130" s="279"/>
      <c r="AF130" s="279"/>
      <c r="AG130" s="279"/>
      <c r="AH130" s="279"/>
      <c r="AI130" s="279"/>
      <c r="AJ130" s="279"/>
      <c r="AK130" s="279"/>
      <c r="AL130" s="279"/>
      <c r="AM130" s="279"/>
      <c r="AN130" s="279"/>
      <c r="AO130" s="279"/>
      <c r="AP130" s="279"/>
      <c r="AQ130" s="279"/>
      <c r="AR130" s="279"/>
      <c r="AS130" s="154"/>
      <c r="AT130" s="154"/>
      <c r="AU130" s="155"/>
      <c r="AV130" s="155"/>
      <c r="AW130" s="155"/>
      <c r="AX130" s="279"/>
      <c r="AY130" s="279"/>
      <c r="AZ130" s="279"/>
      <c r="BA130" s="279"/>
      <c r="BB130" s="279"/>
      <c r="BC130" s="279"/>
      <c r="BD130" s="279"/>
      <c r="BE130" s="279"/>
      <c r="BF130" s="279"/>
      <c r="BG130" s="279"/>
      <c r="BH130" s="279"/>
      <c r="BI130" s="279"/>
      <c r="BJ130" s="279"/>
      <c r="BK130" s="279"/>
      <c r="BL130" s="279"/>
      <c r="BM130" s="279"/>
      <c r="BN130" s="279"/>
      <c r="BO130" s="279"/>
      <c r="BP130" s="279"/>
      <c r="BQ130" s="279"/>
      <c r="BR130" s="279"/>
      <c r="BS130" s="154"/>
      <c r="BT130" s="154"/>
      <c r="BU130" s="154"/>
      <c r="BV130" s="154"/>
      <c r="BW130" s="154"/>
    </row>
    <row r="131" spans="6:75" ht="11.25" customHeight="1" x14ac:dyDescent="0.2">
      <c r="F131" s="279"/>
      <c r="G131" s="279"/>
      <c r="H131" s="279"/>
      <c r="I131" s="279"/>
      <c r="J131" s="279"/>
      <c r="K131" s="279"/>
      <c r="L131" s="279"/>
      <c r="M131" s="279"/>
      <c r="N131" s="279"/>
      <c r="O131" s="279"/>
      <c r="P131" s="279"/>
      <c r="Q131" s="279"/>
      <c r="R131" s="279"/>
      <c r="S131" s="279"/>
      <c r="T131" s="279"/>
      <c r="U131" s="279"/>
      <c r="V131" s="279"/>
      <c r="W131" s="279"/>
      <c r="X131" s="279"/>
      <c r="Y131" s="279"/>
      <c r="Z131" s="279"/>
      <c r="AA131" s="279"/>
      <c r="AB131" s="279"/>
      <c r="AC131" s="279"/>
      <c r="AD131" s="279"/>
      <c r="AE131" s="279"/>
      <c r="AF131" s="279"/>
      <c r="AG131" s="279"/>
      <c r="AH131" s="279"/>
      <c r="AI131" s="279"/>
      <c r="AJ131" s="279"/>
      <c r="AK131" s="279"/>
      <c r="AL131" s="279"/>
      <c r="AM131" s="279"/>
      <c r="AN131" s="279"/>
      <c r="AO131" s="279"/>
      <c r="AP131" s="279"/>
      <c r="AQ131" s="279"/>
      <c r="AR131" s="279"/>
      <c r="AS131" s="154"/>
      <c r="AT131" s="154"/>
      <c r="AU131" s="155"/>
      <c r="AV131" s="155"/>
      <c r="AW131" s="155"/>
      <c r="AX131" s="279"/>
      <c r="AY131" s="279"/>
      <c r="AZ131" s="279"/>
      <c r="BA131" s="279"/>
      <c r="BB131" s="279"/>
      <c r="BC131" s="279"/>
      <c r="BD131" s="279"/>
      <c r="BE131" s="279"/>
      <c r="BF131" s="279"/>
      <c r="BG131" s="279"/>
      <c r="BH131" s="279"/>
      <c r="BI131" s="279"/>
      <c r="BJ131" s="279"/>
      <c r="BK131" s="279"/>
      <c r="BL131" s="279"/>
      <c r="BM131" s="279"/>
      <c r="BN131" s="279"/>
      <c r="BO131" s="279"/>
      <c r="BP131" s="279"/>
      <c r="BQ131" s="279"/>
      <c r="BR131" s="279"/>
      <c r="BS131" s="154"/>
      <c r="BT131" s="154"/>
      <c r="BU131" s="154"/>
      <c r="BV131" s="154"/>
      <c r="BW131" s="154"/>
    </row>
    <row r="132" spans="6:75" ht="11.25" customHeight="1" x14ac:dyDescent="0.2">
      <c r="F132" s="279"/>
      <c r="G132" s="279"/>
      <c r="H132" s="279"/>
      <c r="I132" s="279"/>
      <c r="J132" s="279"/>
      <c r="K132" s="279"/>
      <c r="L132" s="279"/>
      <c r="M132" s="279"/>
      <c r="N132" s="279"/>
      <c r="O132" s="279"/>
      <c r="P132" s="279"/>
      <c r="Q132" s="279"/>
      <c r="R132" s="279"/>
      <c r="S132" s="279"/>
      <c r="T132" s="279"/>
      <c r="U132" s="279"/>
      <c r="V132" s="279"/>
      <c r="W132" s="279"/>
      <c r="X132" s="279"/>
      <c r="Y132" s="279"/>
      <c r="Z132" s="279"/>
      <c r="AA132" s="279"/>
      <c r="AB132" s="279"/>
      <c r="AC132" s="279"/>
      <c r="AD132" s="279"/>
      <c r="AE132" s="279"/>
      <c r="AF132" s="279"/>
      <c r="AG132" s="279"/>
      <c r="AH132" s="279"/>
      <c r="AI132" s="279"/>
      <c r="AJ132" s="279"/>
      <c r="AK132" s="279"/>
      <c r="AL132" s="279"/>
      <c r="AM132" s="279"/>
      <c r="AN132" s="279"/>
      <c r="AO132" s="279"/>
      <c r="AP132" s="279"/>
      <c r="AQ132" s="279"/>
      <c r="AR132" s="279"/>
      <c r="AS132" s="154"/>
      <c r="AT132" s="154"/>
      <c r="AU132" s="155"/>
      <c r="AV132" s="155"/>
      <c r="AW132" s="155"/>
      <c r="AX132" s="279"/>
      <c r="AY132" s="279"/>
      <c r="AZ132" s="279"/>
      <c r="BA132" s="279"/>
      <c r="BB132" s="279"/>
      <c r="BC132" s="279"/>
      <c r="BD132" s="279"/>
      <c r="BE132" s="279"/>
      <c r="BF132" s="279"/>
      <c r="BG132" s="279"/>
      <c r="BH132" s="279"/>
      <c r="BI132" s="279"/>
      <c r="BJ132" s="279"/>
      <c r="BK132" s="279"/>
      <c r="BL132" s="279"/>
      <c r="BM132" s="279"/>
      <c r="BN132" s="279"/>
      <c r="BO132" s="279"/>
      <c r="BP132" s="279"/>
      <c r="BQ132" s="279"/>
      <c r="BR132" s="279"/>
      <c r="BS132" s="154"/>
      <c r="BT132" s="154"/>
      <c r="BU132" s="154"/>
      <c r="BV132" s="154"/>
      <c r="BW132" s="154"/>
    </row>
    <row r="133" spans="6:75" ht="11.25" customHeight="1" x14ac:dyDescent="0.2">
      <c r="F133" s="279"/>
      <c r="G133" s="279"/>
      <c r="H133" s="279"/>
      <c r="I133" s="279"/>
      <c r="J133" s="279"/>
      <c r="K133" s="279"/>
      <c r="L133" s="279"/>
      <c r="M133" s="279"/>
      <c r="N133" s="279"/>
      <c r="O133" s="279"/>
      <c r="P133" s="279"/>
      <c r="Q133" s="279"/>
      <c r="R133" s="279"/>
      <c r="S133" s="279"/>
      <c r="T133" s="279"/>
      <c r="U133" s="279"/>
      <c r="V133" s="279"/>
      <c r="W133" s="279"/>
      <c r="X133" s="279"/>
      <c r="Y133" s="279"/>
      <c r="Z133" s="279"/>
      <c r="AA133" s="279"/>
      <c r="AB133" s="279"/>
      <c r="AC133" s="279"/>
      <c r="AD133" s="279"/>
      <c r="AE133" s="279"/>
      <c r="AF133" s="279"/>
      <c r="AG133" s="279"/>
      <c r="AH133" s="279"/>
      <c r="AI133" s="279"/>
      <c r="AJ133" s="279"/>
      <c r="AK133" s="279"/>
      <c r="AL133" s="279"/>
      <c r="AM133" s="279"/>
      <c r="AN133" s="279"/>
      <c r="AO133" s="279"/>
      <c r="AP133" s="279"/>
      <c r="AQ133" s="279"/>
      <c r="AR133" s="279"/>
      <c r="AS133" s="154"/>
      <c r="AT133" s="154"/>
      <c r="AU133" s="155"/>
      <c r="AV133" s="155"/>
      <c r="AW133" s="155"/>
      <c r="AX133" s="279"/>
      <c r="AY133" s="279"/>
      <c r="AZ133" s="279"/>
      <c r="BA133" s="279"/>
      <c r="BB133" s="279"/>
      <c r="BC133" s="279"/>
      <c r="BD133" s="279"/>
      <c r="BE133" s="279"/>
      <c r="BF133" s="279"/>
      <c r="BG133" s="279"/>
      <c r="BH133" s="279"/>
      <c r="BI133" s="279"/>
      <c r="BJ133" s="279"/>
      <c r="BK133" s="279"/>
      <c r="BL133" s="279"/>
      <c r="BM133" s="279"/>
      <c r="BN133" s="279"/>
      <c r="BO133" s="279"/>
      <c r="BP133" s="279"/>
      <c r="BQ133" s="279"/>
      <c r="BR133" s="279"/>
      <c r="BS133" s="154"/>
      <c r="BT133" s="154"/>
      <c r="BU133" s="154"/>
      <c r="BV133" s="154"/>
      <c r="BW133" s="154"/>
    </row>
    <row r="134" spans="6:75" ht="11.25" customHeight="1" x14ac:dyDescent="0.2">
      <c r="F134" s="279"/>
      <c r="G134" s="279"/>
      <c r="H134" s="279"/>
      <c r="I134" s="279"/>
      <c r="J134" s="279"/>
      <c r="K134" s="279"/>
      <c r="L134" s="279"/>
      <c r="M134" s="279"/>
      <c r="N134" s="279"/>
      <c r="O134" s="279"/>
      <c r="P134" s="279"/>
      <c r="Q134" s="279"/>
      <c r="R134" s="279"/>
      <c r="S134" s="279"/>
      <c r="T134" s="279"/>
      <c r="U134" s="279"/>
      <c r="V134" s="279"/>
      <c r="W134" s="279"/>
      <c r="X134" s="279"/>
      <c r="Y134" s="279"/>
      <c r="Z134" s="279"/>
      <c r="AA134" s="279"/>
      <c r="AB134" s="279"/>
      <c r="AC134" s="279"/>
      <c r="AD134" s="279"/>
      <c r="AE134" s="279"/>
      <c r="AF134" s="279"/>
      <c r="AG134" s="279"/>
      <c r="AH134" s="279"/>
      <c r="AI134" s="279"/>
      <c r="AJ134" s="279"/>
      <c r="AK134" s="279"/>
      <c r="AL134" s="279"/>
      <c r="AM134" s="279"/>
      <c r="AN134" s="279"/>
      <c r="AO134" s="279"/>
      <c r="AP134" s="279"/>
      <c r="AQ134" s="279"/>
      <c r="AR134" s="279"/>
      <c r="AS134" s="154"/>
      <c r="AT134" s="154"/>
      <c r="AU134" s="155"/>
      <c r="AV134" s="155"/>
      <c r="AW134" s="155"/>
      <c r="AX134" s="279"/>
      <c r="AY134" s="279"/>
      <c r="AZ134" s="279"/>
      <c r="BA134" s="279"/>
      <c r="BB134" s="279"/>
      <c r="BC134" s="279"/>
      <c r="BD134" s="279"/>
      <c r="BE134" s="279"/>
      <c r="BF134" s="279"/>
      <c r="BG134" s="279"/>
      <c r="BH134" s="279"/>
      <c r="BI134" s="279"/>
      <c r="BJ134" s="279"/>
      <c r="BK134" s="279"/>
      <c r="BL134" s="279"/>
      <c r="BM134" s="279"/>
      <c r="BN134" s="279"/>
      <c r="BO134" s="279"/>
      <c r="BP134" s="279"/>
      <c r="BQ134" s="279"/>
      <c r="BR134" s="279"/>
      <c r="BS134" s="154"/>
      <c r="BT134" s="154"/>
      <c r="BU134" s="154"/>
      <c r="BV134" s="154"/>
      <c r="BW134" s="154"/>
    </row>
    <row r="135" spans="6:75" ht="11.25" customHeight="1" x14ac:dyDescent="0.2">
      <c r="F135" s="279"/>
      <c r="G135" s="279"/>
      <c r="H135" s="279"/>
      <c r="I135" s="279"/>
      <c r="J135" s="279"/>
      <c r="K135" s="279"/>
      <c r="L135" s="279"/>
      <c r="M135" s="279"/>
      <c r="N135" s="279"/>
      <c r="O135" s="279"/>
      <c r="P135" s="279"/>
      <c r="Q135" s="279"/>
      <c r="R135" s="279"/>
      <c r="S135" s="279"/>
      <c r="T135" s="279"/>
      <c r="U135" s="279"/>
      <c r="V135" s="279"/>
      <c r="W135" s="279"/>
      <c r="X135" s="279"/>
      <c r="Y135" s="279"/>
      <c r="Z135" s="279"/>
      <c r="AA135" s="279"/>
      <c r="AB135" s="279"/>
      <c r="AC135" s="279"/>
      <c r="AD135" s="279"/>
      <c r="AE135" s="279"/>
      <c r="AF135" s="279"/>
      <c r="AG135" s="279"/>
      <c r="AH135" s="279"/>
      <c r="AI135" s="279"/>
      <c r="AJ135" s="279"/>
      <c r="AK135" s="279"/>
      <c r="AL135" s="279"/>
      <c r="AM135" s="279"/>
      <c r="AN135" s="279"/>
      <c r="AO135" s="279"/>
      <c r="AP135" s="279"/>
      <c r="AQ135" s="279"/>
      <c r="AR135" s="279"/>
      <c r="AS135" s="154"/>
      <c r="AT135" s="154"/>
      <c r="AU135" s="155"/>
      <c r="AV135" s="155"/>
      <c r="AW135" s="155"/>
      <c r="AX135" s="279"/>
      <c r="AY135" s="279"/>
      <c r="AZ135" s="279"/>
      <c r="BA135" s="279"/>
      <c r="BB135" s="279"/>
      <c r="BC135" s="279"/>
      <c r="BD135" s="279"/>
      <c r="BE135" s="279"/>
      <c r="BF135" s="279"/>
      <c r="BG135" s="279"/>
      <c r="BH135" s="279"/>
      <c r="BI135" s="279"/>
      <c r="BJ135" s="279"/>
      <c r="BK135" s="279"/>
      <c r="BL135" s="279"/>
      <c r="BM135" s="279"/>
      <c r="BN135" s="279"/>
      <c r="BO135" s="279"/>
      <c r="BP135" s="279"/>
      <c r="BQ135" s="279"/>
      <c r="BR135" s="279"/>
      <c r="BS135" s="154"/>
      <c r="BT135" s="154"/>
      <c r="BU135" s="154"/>
      <c r="BV135" s="154"/>
      <c r="BW135" s="154"/>
    </row>
    <row r="136" spans="6:75" ht="11.25" customHeight="1" x14ac:dyDescent="0.2">
      <c r="F136" s="279"/>
      <c r="G136" s="279"/>
      <c r="H136" s="279"/>
      <c r="I136" s="279"/>
      <c r="J136" s="279"/>
      <c r="K136" s="279"/>
      <c r="L136" s="279"/>
      <c r="M136" s="279"/>
      <c r="N136" s="279"/>
      <c r="O136" s="279"/>
      <c r="P136" s="279"/>
      <c r="Q136" s="279"/>
      <c r="R136" s="279"/>
      <c r="S136" s="279"/>
      <c r="T136" s="279"/>
      <c r="U136" s="279"/>
      <c r="V136" s="279"/>
      <c r="W136" s="279"/>
      <c r="X136" s="279"/>
      <c r="Y136" s="279"/>
      <c r="Z136" s="279"/>
      <c r="AA136" s="279"/>
      <c r="AB136" s="279"/>
      <c r="AC136" s="279"/>
      <c r="AD136" s="279"/>
      <c r="AE136" s="279"/>
      <c r="AF136" s="279"/>
      <c r="AG136" s="279"/>
      <c r="AH136" s="279"/>
      <c r="AI136" s="279"/>
      <c r="AJ136" s="279"/>
      <c r="AK136" s="279"/>
      <c r="AL136" s="279"/>
      <c r="AM136" s="279"/>
      <c r="AN136" s="279"/>
      <c r="AO136" s="279"/>
      <c r="AP136" s="279"/>
      <c r="AQ136" s="279"/>
      <c r="AR136" s="279"/>
      <c r="AS136" s="154"/>
      <c r="AT136" s="154"/>
      <c r="AU136" s="155"/>
      <c r="AV136" s="155"/>
      <c r="AW136" s="155"/>
      <c r="AX136" s="279"/>
      <c r="AY136" s="279"/>
      <c r="AZ136" s="279"/>
      <c r="BA136" s="279"/>
      <c r="BB136" s="279"/>
      <c r="BC136" s="279"/>
      <c r="BD136" s="279"/>
      <c r="BE136" s="279"/>
      <c r="BF136" s="279"/>
      <c r="BG136" s="279"/>
      <c r="BH136" s="279"/>
      <c r="BI136" s="279"/>
      <c r="BJ136" s="279"/>
      <c r="BK136" s="279"/>
      <c r="BL136" s="279"/>
      <c r="BM136" s="279"/>
      <c r="BN136" s="279"/>
      <c r="BO136" s="279"/>
      <c r="BP136" s="279"/>
      <c r="BQ136" s="279"/>
      <c r="BR136" s="279"/>
      <c r="BS136" s="154"/>
      <c r="BT136" s="154"/>
      <c r="BU136" s="154"/>
      <c r="BV136" s="154"/>
      <c r="BW136" s="154"/>
    </row>
    <row r="137" spans="6:75" ht="11.25" customHeight="1" x14ac:dyDescent="0.2">
      <c r="F137" s="279"/>
      <c r="G137" s="279"/>
      <c r="H137" s="279"/>
      <c r="I137" s="279"/>
      <c r="J137" s="279"/>
      <c r="K137" s="279"/>
      <c r="L137" s="279"/>
      <c r="M137" s="279"/>
      <c r="N137" s="279"/>
      <c r="O137" s="279"/>
      <c r="P137" s="279"/>
      <c r="Q137" s="279"/>
      <c r="R137" s="279"/>
      <c r="S137" s="279"/>
      <c r="T137" s="279"/>
      <c r="U137" s="279"/>
      <c r="V137" s="279"/>
      <c r="W137" s="279"/>
      <c r="X137" s="279"/>
      <c r="Y137" s="279"/>
      <c r="Z137" s="279"/>
      <c r="AA137" s="279"/>
      <c r="AB137" s="279"/>
      <c r="AC137" s="279"/>
      <c r="AD137" s="279"/>
      <c r="AE137" s="279"/>
      <c r="AF137" s="279"/>
      <c r="AG137" s="279"/>
      <c r="AH137" s="279"/>
      <c r="AI137" s="279"/>
      <c r="AJ137" s="279"/>
      <c r="AK137" s="279"/>
      <c r="AL137" s="279"/>
      <c r="AM137" s="279"/>
      <c r="AN137" s="279"/>
      <c r="AO137" s="279"/>
      <c r="AP137" s="279"/>
      <c r="AQ137" s="279"/>
      <c r="AR137" s="279"/>
      <c r="AS137" s="154"/>
      <c r="AT137" s="154"/>
      <c r="AU137" s="155"/>
      <c r="AV137" s="155"/>
      <c r="AW137" s="155"/>
      <c r="AX137" s="279"/>
      <c r="AY137" s="279"/>
      <c r="AZ137" s="279"/>
      <c r="BA137" s="279"/>
      <c r="BB137" s="279"/>
      <c r="BC137" s="279"/>
      <c r="BD137" s="279"/>
      <c r="BE137" s="279"/>
      <c r="BF137" s="279"/>
      <c r="BG137" s="279"/>
      <c r="BH137" s="279"/>
      <c r="BI137" s="279"/>
      <c r="BJ137" s="279"/>
      <c r="BK137" s="279"/>
      <c r="BL137" s="279"/>
      <c r="BM137" s="279"/>
      <c r="BN137" s="279"/>
      <c r="BO137" s="279"/>
      <c r="BP137" s="279"/>
      <c r="BQ137" s="279"/>
      <c r="BR137" s="279"/>
      <c r="BS137" s="154"/>
      <c r="BT137" s="154"/>
      <c r="BU137" s="154"/>
      <c r="BV137" s="154"/>
      <c r="BW137" s="154"/>
    </row>
    <row r="138" spans="6:75" ht="11.25" customHeight="1" x14ac:dyDescent="0.2">
      <c r="F138" s="279"/>
      <c r="G138" s="279"/>
      <c r="H138" s="279"/>
      <c r="I138" s="279"/>
      <c r="J138" s="279"/>
      <c r="K138" s="279"/>
      <c r="L138" s="279"/>
      <c r="M138" s="279"/>
      <c r="N138" s="279"/>
      <c r="O138" s="279"/>
      <c r="P138" s="279"/>
      <c r="Q138" s="279"/>
      <c r="R138" s="279"/>
      <c r="S138" s="279"/>
      <c r="T138" s="279"/>
      <c r="U138" s="279"/>
      <c r="V138" s="279"/>
      <c r="W138" s="279"/>
      <c r="X138" s="279"/>
      <c r="Y138" s="279"/>
      <c r="Z138" s="279"/>
      <c r="AA138" s="279"/>
      <c r="AB138" s="279"/>
      <c r="AC138" s="279"/>
      <c r="AD138" s="279"/>
      <c r="AE138" s="279"/>
      <c r="AF138" s="279"/>
      <c r="AG138" s="279"/>
      <c r="AH138" s="279"/>
      <c r="AI138" s="279"/>
      <c r="AJ138" s="279"/>
      <c r="AK138" s="279"/>
      <c r="AL138" s="279"/>
      <c r="AM138" s="279"/>
      <c r="AN138" s="279"/>
      <c r="AO138" s="279"/>
      <c r="AP138" s="279"/>
      <c r="AQ138" s="279"/>
      <c r="AR138" s="279"/>
      <c r="AS138" s="154"/>
      <c r="AT138" s="154"/>
      <c r="AU138" s="155"/>
      <c r="AV138" s="155"/>
      <c r="AW138" s="155"/>
      <c r="AX138" s="279"/>
      <c r="AY138" s="279"/>
      <c r="AZ138" s="279"/>
      <c r="BA138" s="279"/>
      <c r="BB138" s="279"/>
      <c r="BC138" s="279"/>
      <c r="BD138" s="279"/>
      <c r="BE138" s="279"/>
      <c r="BF138" s="279"/>
      <c r="BG138" s="279"/>
      <c r="BH138" s="279"/>
      <c r="BI138" s="279"/>
      <c r="BJ138" s="279"/>
      <c r="BK138" s="279"/>
      <c r="BL138" s="279"/>
      <c r="BM138" s="279"/>
      <c r="BN138" s="279"/>
      <c r="BO138" s="279"/>
      <c r="BP138" s="279"/>
      <c r="BQ138" s="279"/>
      <c r="BR138" s="279"/>
      <c r="BS138" s="154"/>
      <c r="BT138" s="154"/>
      <c r="BU138" s="154"/>
      <c r="BV138" s="154"/>
      <c r="BW138" s="154"/>
    </row>
    <row r="139" spans="6:75" ht="11.25" customHeight="1" x14ac:dyDescent="0.2">
      <c r="F139" s="279"/>
      <c r="G139" s="279"/>
      <c r="H139" s="279"/>
      <c r="I139" s="279"/>
      <c r="J139" s="279"/>
      <c r="K139" s="279"/>
      <c r="L139" s="279"/>
      <c r="M139" s="279"/>
      <c r="N139" s="279"/>
      <c r="O139" s="279"/>
      <c r="P139" s="279"/>
      <c r="Q139" s="279"/>
      <c r="R139" s="279"/>
      <c r="S139" s="279"/>
      <c r="T139" s="279"/>
      <c r="U139" s="279"/>
      <c r="V139" s="279"/>
      <c r="W139" s="279"/>
      <c r="X139" s="279"/>
      <c r="Y139" s="279"/>
      <c r="Z139" s="279"/>
      <c r="AA139" s="279"/>
      <c r="AB139" s="279"/>
      <c r="AC139" s="279"/>
      <c r="AD139" s="279"/>
      <c r="AE139" s="279"/>
      <c r="AF139" s="279"/>
      <c r="AG139" s="279"/>
      <c r="AH139" s="279"/>
      <c r="AI139" s="279"/>
      <c r="AJ139" s="279"/>
      <c r="AK139" s="279"/>
      <c r="AL139" s="279"/>
      <c r="AM139" s="279"/>
      <c r="AN139" s="279"/>
      <c r="AO139" s="279"/>
      <c r="AP139" s="279"/>
      <c r="AQ139" s="279"/>
      <c r="AR139" s="279"/>
      <c r="AS139" s="154"/>
      <c r="AT139" s="154"/>
      <c r="AU139" s="155"/>
      <c r="AV139" s="155"/>
      <c r="AW139" s="155"/>
      <c r="AX139" s="279"/>
      <c r="AY139" s="279"/>
      <c r="AZ139" s="279"/>
      <c r="BA139" s="279"/>
      <c r="BB139" s="279"/>
      <c r="BC139" s="279"/>
      <c r="BD139" s="279"/>
      <c r="BE139" s="279"/>
      <c r="BF139" s="279"/>
      <c r="BG139" s="279"/>
      <c r="BH139" s="279"/>
      <c r="BI139" s="279"/>
      <c r="BJ139" s="279"/>
      <c r="BK139" s="279"/>
      <c r="BL139" s="279"/>
      <c r="BM139" s="279"/>
      <c r="BN139" s="279"/>
      <c r="BO139" s="279"/>
      <c r="BP139" s="279"/>
      <c r="BQ139" s="279"/>
      <c r="BR139" s="279"/>
      <c r="BS139" s="154"/>
      <c r="BT139" s="154"/>
      <c r="BU139" s="154"/>
      <c r="BV139" s="154"/>
      <c r="BW139" s="154"/>
    </row>
    <row r="140" spans="6:75" ht="11.25" customHeight="1" x14ac:dyDescent="0.2">
      <c r="F140" s="279"/>
      <c r="G140" s="279"/>
      <c r="H140" s="279"/>
      <c r="I140" s="279"/>
      <c r="J140" s="279"/>
      <c r="K140" s="279"/>
      <c r="L140" s="279"/>
      <c r="M140" s="279"/>
      <c r="N140" s="279"/>
      <c r="O140" s="279"/>
      <c r="P140" s="279"/>
      <c r="Q140" s="279"/>
      <c r="R140" s="279"/>
      <c r="S140" s="279"/>
      <c r="T140" s="279"/>
      <c r="U140" s="279"/>
      <c r="V140" s="279"/>
      <c r="W140" s="279"/>
      <c r="X140" s="279"/>
      <c r="Y140" s="279"/>
      <c r="Z140" s="279"/>
      <c r="AA140" s="279"/>
      <c r="AB140" s="279"/>
      <c r="AC140" s="279"/>
      <c r="AD140" s="279"/>
      <c r="AE140" s="279"/>
      <c r="AF140" s="279"/>
      <c r="AG140" s="279"/>
      <c r="AH140" s="279"/>
      <c r="AI140" s="279"/>
      <c r="AJ140" s="279"/>
      <c r="AK140" s="279"/>
      <c r="AL140" s="279"/>
      <c r="AM140" s="279"/>
      <c r="AN140" s="279"/>
      <c r="AO140" s="279"/>
      <c r="AP140" s="279"/>
      <c r="AQ140" s="279"/>
      <c r="AR140" s="279"/>
      <c r="AS140" s="154"/>
      <c r="AT140" s="154"/>
      <c r="AU140" s="155"/>
      <c r="AV140" s="155"/>
      <c r="AW140" s="155"/>
      <c r="AX140" s="279"/>
      <c r="AY140" s="279"/>
      <c r="AZ140" s="279"/>
      <c r="BA140" s="279"/>
      <c r="BB140" s="279"/>
      <c r="BC140" s="279"/>
      <c r="BD140" s="279"/>
      <c r="BE140" s="279"/>
      <c r="BF140" s="279"/>
      <c r="BG140" s="279"/>
      <c r="BH140" s="279"/>
      <c r="BI140" s="279"/>
      <c r="BJ140" s="279"/>
      <c r="BK140" s="279"/>
      <c r="BL140" s="279"/>
      <c r="BM140" s="279"/>
      <c r="BN140" s="279"/>
      <c r="BO140" s="279"/>
      <c r="BP140" s="279"/>
      <c r="BQ140" s="279"/>
      <c r="BR140" s="279"/>
      <c r="BS140" s="154"/>
      <c r="BT140" s="154"/>
      <c r="BU140" s="154"/>
      <c r="BV140" s="154"/>
      <c r="BW140" s="154"/>
    </row>
    <row r="141" spans="6:75" ht="11.25" customHeight="1" x14ac:dyDescent="0.2">
      <c r="F141" s="279"/>
      <c r="G141" s="279"/>
      <c r="H141" s="279"/>
      <c r="I141" s="279"/>
      <c r="J141" s="279"/>
      <c r="K141" s="279"/>
      <c r="L141" s="279"/>
      <c r="M141" s="279"/>
      <c r="N141" s="279"/>
      <c r="O141" s="279"/>
      <c r="P141" s="279"/>
      <c r="Q141" s="279"/>
      <c r="R141" s="279"/>
      <c r="S141" s="279"/>
      <c r="T141" s="279"/>
      <c r="U141" s="279"/>
      <c r="V141" s="279"/>
      <c r="W141" s="279"/>
      <c r="X141" s="279"/>
      <c r="Y141" s="279"/>
      <c r="Z141" s="279"/>
      <c r="AA141" s="279"/>
      <c r="AB141" s="279"/>
      <c r="AC141" s="279"/>
      <c r="AD141" s="279"/>
      <c r="AE141" s="279"/>
      <c r="AF141" s="279"/>
      <c r="AG141" s="279"/>
      <c r="AH141" s="279"/>
      <c r="AI141" s="279"/>
      <c r="AJ141" s="279"/>
      <c r="AK141" s="279"/>
      <c r="AL141" s="279"/>
      <c r="AM141" s="279"/>
      <c r="AN141" s="279"/>
      <c r="AO141" s="279"/>
      <c r="AP141" s="279"/>
      <c r="AQ141" s="279"/>
      <c r="AR141" s="279"/>
      <c r="AS141" s="154"/>
      <c r="AT141" s="154"/>
      <c r="AU141" s="155"/>
      <c r="AV141" s="155"/>
      <c r="AW141" s="155"/>
      <c r="AX141" s="279"/>
      <c r="AY141" s="279"/>
      <c r="AZ141" s="279"/>
      <c r="BA141" s="279"/>
      <c r="BB141" s="279"/>
      <c r="BC141" s="279"/>
      <c r="BD141" s="279"/>
      <c r="BE141" s="279"/>
      <c r="BF141" s="279"/>
      <c r="BG141" s="279"/>
      <c r="BH141" s="279"/>
      <c r="BI141" s="279"/>
      <c r="BJ141" s="279"/>
      <c r="BK141" s="279"/>
      <c r="BL141" s="279"/>
      <c r="BM141" s="279"/>
      <c r="BN141" s="279"/>
      <c r="BO141" s="279"/>
      <c r="BP141" s="279"/>
      <c r="BQ141" s="279"/>
      <c r="BR141" s="279"/>
      <c r="BS141" s="154"/>
      <c r="BT141" s="154"/>
      <c r="BU141" s="154"/>
      <c r="BV141" s="154"/>
      <c r="BW141" s="154"/>
    </row>
    <row r="142" spans="6:75" ht="11.25" customHeight="1" x14ac:dyDescent="0.2">
      <c r="F142" s="279"/>
      <c r="G142" s="279"/>
      <c r="H142" s="279"/>
      <c r="I142" s="279"/>
      <c r="J142" s="279"/>
      <c r="K142" s="279"/>
      <c r="L142" s="279"/>
      <c r="M142" s="279"/>
      <c r="N142" s="279"/>
      <c r="O142" s="279"/>
      <c r="P142" s="279"/>
      <c r="Q142" s="279"/>
      <c r="R142" s="279"/>
      <c r="S142" s="279"/>
      <c r="T142" s="279"/>
      <c r="U142" s="279"/>
      <c r="V142" s="279"/>
      <c r="W142" s="279"/>
      <c r="X142" s="279"/>
      <c r="Y142" s="279"/>
      <c r="Z142" s="279"/>
      <c r="AA142" s="279"/>
      <c r="AB142" s="279"/>
      <c r="AC142" s="279"/>
      <c r="AD142" s="279"/>
      <c r="AE142" s="279"/>
      <c r="AF142" s="279"/>
      <c r="AG142" s="279"/>
      <c r="AH142" s="279"/>
      <c r="AI142" s="279"/>
      <c r="AJ142" s="279"/>
      <c r="AK142" s="279"/>
      <c r="AL142" s="279"/>
      <c r="AM142" s="279"/>
      <c r="AN142" s="279"/>
      <c r="AO142" s="279"/>
      <c r="AP142" s="279"/>
      <c r="AQ142" s="279"/>
      <c r="AR142" s="279"/>
      <c r="AS142" s="154"/>
      <c r="AT142" s="154"/>
      <c r="AU142" s="155"/>
      <c r="AV142" s="155"/>
      <c r="AW142" s="155"/>
      <c r="AX142" s="279"/>
      <c r="AY142" s="279"/>
      <c r="AZ142" s="279"/>
      <c r="BA142" s="279"/>
      <c r="BB142" s="279"/>
      <c r="BC142" s="279"/>
      <c r="BD142" s="279"/>
      <c r="BE142" s="279"/>
      <c r="BF142" s="279"/>
      <c r="BG142" s="279"/>
      <c r="BH142" s="279"/>
      <c r="BI142" s="279"/>
      <c r="BJ142" s="279"/>
      <c r="BK142" s="279"/>
      <c r="BL142" s="279"/>
      <c r="BM142" s="279"/>
      <c r="BN142" s="279"/>
      <c r="BO142" s="279"/>
      <c r="BP142" s="279"/>
      <c r="BQ142" s="279"/>
      <c r="BR142" s="279"/>
      <c r="BS142" s="154"/>
      <c r="BT142" s="154"/>
      <c r="BU142" s="154"/>
      <c r="BV142" s="154"/>
      <c r="BW142" s="154"/>
    </row>
    <row r="143" spans="6:75" ht="11.25" customHeight="1" x14ac:dyDescent="0.2">
      <c r="F143" s="279"/>
      <c r="G143" s="279"/>
      <c r="H143" s="279"/>
      <c r="I143" s="279"/>
      <c r="J143" s="279"/>
      <c r="K143" s="279"/>
      <c r="L143" s="279"/>
      <c r="M143" s="279"/>
      <c r="N143" s="279"/>
      <c r="O143" s="279"/>
      <c r="P143" s="279"/>
      <c r="Q143" s="279"/>
      <c r="R143" s="279"/>
      <c r="S143" s="279"/>
      <c r="T143" s="279"/>
      <c r="U143" s="279"/>
      <c r="V143" s="279"/>
      <c r="W143" s="279"/>
      <c r="X143" s="279"/>
      <c r="Y143" s="279"/>
      <c r="Z143" s="279"/>
      <c r="AA143" s="279"/>
      <c r="AB143" s="279"/>
      <c r="AC143" s="279"/>
      <c r="AD143" s="279"/>
      <c r="AE143" s="279"/>
      <c r="AF143" s="279"/>
      <c r="AG143" s="279"/>
      <c r="AH143" s="279"/>
      <c r="AI143" s="279"/>
      <c r="AJ143" s="279"/>
      <c r="AK143" s="279"/>
      <c r="AL143" s="279"/>
      <c r="AM143" s="279"/>
      <c r="AN143" s="279"/>
      <c r="AO143" s="279"/>
      <c r="AP143" s="279"/>
      <c r="AQ143" s="279"/>
      <c r="AR143" s="279"/>
      <c r="AS143" s="154"/>
      <c r="AT143" s="154"/>
      <c r="AU143" s="155"/>
      <c r="AV143" s="155"/>
      <c r="AW143" s="155"/>
      <c r="AX143" s="279"/>
      <c r="AY143" s="279"/>
      <c r="AZ143" s="279"/>
      <c r="BA143" s="279"/>
      <c r="BB143" s="279"/>
      <c r="BC143" s="279"/>
      <c r="BD143" s="279"/>
      <c r="BE143" s="279"/>
      <c r="BF143" s="279"/>
      <c r="BG143" s="279"/>
      <c r="BH143" s="279"/>
      <c r="BI143" s="279"/>
      <c r="BJ143" s="279"/>
      <c r="BK143" s="279"/>
      <c r="BL143" s="279"/>
      <c r="BM143" s="279"/>
      <c r="BN143" s="279"/>
      <c r="BO143" s="279"/>
      <c r="BP143" s="279"/>
      <c r="BQ143" s="279"/>
      <c r="BR143" s="279"/>
      <c r="BS143" s="154"/>
      <c r="BT143" s="154"/>
      <c r="BU143" s="154"/>
      <c r="BV143" s="154"/>
      <c r="BW143" s="154"/>
    </row>
    <row r="144" spans="6:75" ht="11.25" customHeight="1" x14ac:dyDescent="0.2">
      <c r="F144" s="279"/>
      <c r="G144" s="279"/>
      <c r="H144" s="279"/>
      <c r="I144" s="279"/>
      <c r="J144" s="279"/>
      <c r="K144" s="279"/>
      <c r="L144" s="279"/>
      <c r="M144" s="279"/>
      <c r="N144" s="279"/>
      <c r="O144" s="279"/>
      <c r="P144" s="279"/>
      <c r="Q144" s="279"/>
      <c r="R144" s="279"/>
      <c r="S144" s="279"/>
      <c r="T144" s="279"/>
      <c r="U144" s="279"/>
      <c r="V144" s="279"/>
      <c r="W144" s="279"/>
      <c r="X144" s="279"/>
      <c r="Y144" s="279"/>
      <c r="Z144" s="279"/>
      <c r="AA144" s="279"/>
      <c r="AB144" s="279"/>
      <c r="AC144" s="279"/>
      <c r="AD144" s="279"/>
      <c r="AE144" s="279"/>
      <c r="AF144" s="279"/>
      <c r="AG144" s="279"/>
      <c r="AH144" s="279"/>
      <c r="AI144" s="279"/>
      <c r="AJ144" s="279"/>
      <c r="AK144" s="279"/>
      <c r="AL144" s="279"/>
      <c r="AM144" s="279"/>
      <c r="AN144" s="279"/>
      <c r="AO144" s="279"/>
      <c r="AP144" s="279"/>
      <c r="AQ144" s="279"/>
      <c r="AR144" s="279"/>
      <c r="AS144" s="154"/>
      <c r="AT144" s="154"/>
      <c r="AU144" s="155"/>
      <c r="AV144" s="155"/>
      <c r="AW144" s="155"/>
      <c r="AX144" s="279"/>
      <c r="AY144" s="279"/>
      <c r="AZ144" s="279"/>
      <c r="BA144" s="279"/>
      <c r="BB144" s="279"/>
      <c r="BC144" s="279"/>
      <c r="BD144" s="279"/>
      <c r="BE144" s="279"/>
      <c r="BF144" s="279"/>
      <c r="BG144" s="279"/>
      <c r="BH144" s="279"/>
      <c r="BI144" s="279"/>
      <c r="BJ144" s="279"/>
      <c r="BK144" s="279"/>
      <c r="BL144" s="279"/>
      <c r="BM144" s="279"/>
      <c r="BN144" s="279"/>
      <c r="BO144" s="279"/>
      <c r="BP144" s="279"/>
      <c r="BQ144" s="279"/>
      <c r="BR144" s="279"/>
      <c r="BS144" s="154"/>
      <c r="BT144" s="154"/>
      <c r="BU144" s="154"/>
      <c r="BV144" s="154"/>
      <c r="BW144" s="154"/>
    </row>
    <row r="145" spans="6:75" ht="11.25" customHeight="1" x14ac:dyDescent="0.2">
      <c r="F145" s="279"/>
      <c r="G145" s="279"/>
      <c r="H145" s="279"/>
      <c r="I145" s="279"/>
      <c r="J145" s="279"/>
      <c r="K145" s="279"/>
      <c r="L145" s="279"/>
      <c r="M145" s="279"/>
      <c r="N145" s="279"/>
      <c r="O145" s="279"/>
      <c r="P145" s="279"/>
      <c r="Q145" s="279"/>
      <c r="R145" s="279"/>
      <c r="S145" s="279"/>
      <c r="T145" s="279"/>
      <c r="U145" s="279"/>
      <c r="V145" s="279"/>
      <c r="W145" s="279"/>
      <c r="X145" s="279"/>
      <c r="Y145" s="279"/>
      <c r="Z145" s="279"/>
      <c r="AA145" s="279"/>
      <c r="AB145" s="279"/>
      <c r="AC145" s="279"/>
      <c r="AD145" s="279"/>
      <c r="AE145" s="279"/>
      <c r="AF145" s="279"/>
      <c r="AG145" s="279"/>
      <c r="AH145" s="279"/>
      <c r="AI145" s="279"/>
      <c r="AJ145" s="279"/>
      <c r="AK145" s="279"/>
      <c r="AL145" s="279"/>
      <c r="AM145" s="279"/>
      <c r="AN145" s="279"/>
      <c r="AO145" s="279"/>
      <c r="AP145" s="279"/>
      <c r="AQ145" s="279"/>
      <c r="AR145" s="279"/>
      <c r="AS145" s="154"/>
      <c r="AT145" s="154"/>
      <c r="AU145" s="155"/>
      <c r="AV145" s="155"/>
      <c r="AW145" s="155"/>
      <c r="AX145" s="279"/>
      <c r="AY145" s="279"/>
      <c r="AZ145" s="279"/>
      <c r="BA145" s="279"/>
      <c r="BB145" s="279"/>
      <c r="BC145" s="279"/>
      <c r="BD145" s="279"/>
      <c r="BE145" s="279"/>
      <c r="BF145" s="279"/>
      <c r="BG145" s="279"/>
      <c r="BH145" s="279"/>
      <c r="BI145" s="279"/>
      <c r="BJ145" s="279"/>
      <c r="BK145" s="279"/>
      <c r="BL145" s="279"/>
      <c r="BM145" s="279"/>
      <c r="BN145" s="279"/>
      <c r="BO145" s="279"/>
      <c r="BP145" s="279"/>
      <c r="BQ145" s="279"/>
      <c r="BR145" s="279"/>
      <c r="BS145" s="154"/>
      <c r="BT145" s="154"/>
      <c r="BU145" s="154"/>
      <c r="BV145" s="154"/>
      <c r="BW145" s="154"/>
    </row>
    <row r="146" spans="6:75" ht="11.25" customHeight="1" x14ac:dyDescent="0.2">
      <c r="F146" s="279"/>
      <c r="G146" s="279"/>
      <c r="H146" s="279"/>
      <c r="I146" s="279"/>
      <c r="J146" s="279"/>
      <c r="K146" s="279"/>
      <c r="L146" s="279"/>
      <c r="M146" s="279"/>
      <c r="N146" s="279"/>
      <c r="O146" s="279"/>
      <c r="P146" s="279"/>
      <c r="Q146" s="279"/>
      <c r="R146" s="279"/>
      <c r="S146" s="279"/>
      <c r="T146" s="279"/>
      <c r="U146" s="279"/>
      <c r="V146" s="279"/>
      <c r="W146" s="279"/>
      <c r="X146" s="279"/>
      <c r="Y146" s="279"/>
      <c r="Z146" s="279"/>
      <c r="AA146" s="279"/>
      <c r="AB146" s="279"/>
      <c r="AC146" s="279"/>
      <c r="AD146" s="279"/>
      <c r="AE146" s="279"/>
      <c r="AF146" s="279"/>
      <c r="AG146" s="279"/>
      <c r="AH146" s="279"/>
      <c r="AI146" s="279"/>
      <c r="AJ146" s="279"/>
      <c r="AK146" s="279"/>
      <c r="AL146" s="279"/>
      <c r="AM146" s="279"/>
      <c r="AN146" s="279"/>
      <c r="AO146" s="279"/>
      <c r="AP146" s="279"/>
      <c r="AQ146" s="279"/>
      <c r="AR146" s="279"/>
      <c r="AS146" s="154"/>
      <c r="AT146" s="154"/>
      <c r="AU146" s="155"/>
      <c r="AV146" s="155"/>
      <c r="AW146" s="155"/>
      <c r="AX146" s="279"/>
      <c r="AY146" s="279"/>
      <c r="AZ146" s="279"/>
      <c r="BA146" s="279"/>
      <c r="BB146" s="279"/>
      <c r="BC146" s="279"/>
      <c r="BD146" s="279"/>
      <c r="BE146" s="279"/>
      <c r="BF146" s="279"/>
      <c r="BG146" s="279"/>
      <c r="BH146" s="279"/>
      <c r="BI146" s="279"/>
      <c r="BJ146" s="279"/>
      <c r="BK146" s="279"/>
      <c r="BL146" s="279"/>
      <c r="BM146" s="279"/>
      <c r="BN146" s="279"/>
      <c r="BO146" s="279"/>
      <c r="BP146" s="279"/>
      <c r="BQ146" s="279"/>
      <c r="BR146" s="279"/>
      <c r="BS146" s="154"/>
      <c r="BT146" s="154"/>
      <c r="BU146" s="154"/>
      <c r="BV146" s="154"/>
      <c r="BW146" s="154"/>
    </row>
    <row r="147" spans="6:75" ht="11.25" customHeight="1" x14ac:dyDescent="0.2">
      <c r="F147" s="279"/>
      <c r="G147" s="279"/>
      <c r="H147" s="279"/>
      <c r="I147" s="279"/>
      <c r="J147" s="279"/>
      <c r="K147" s="279"/>
      <c r="L147" s="279"/>
      <c r="M147" s="279"/>
      <c r="N147" s="279"/>
      <c r="O147" s="279"/>
      <c r="P147" s="279"/>
      <c r="Q147" s="279"/>
      <c r="R147" s="279"/>
      <c r="S147" s="279"/>
      <c r="T147" s="279"/>
      <c r="U147" s="279"/>
      <c r="V147" s="279"/>
      <c r="W147" s="279"/>
      <c r="X147" s="279"/>
      <c r="Y147" s="279"/>
      <c r="Z147" s="279"/>
      <c r="AA147" s="279"/>
      <c r="AB147" s="279"/>
      <c r="AC147" s="279"/>
      <c r="AD147" s="279"/>
      <c r="AE147" s="279"/>
      <c r="AF147" s="279"/>
      <c r="AG147" s="279"/>
      <c r="AH147" s="279"/>
      <c r="AI147" s="279"/>
      <c r="AJ147" s="279"/>
      <c r="AK147" s="279"/>
      <c r="AL147" s="279"/>
      <c r="AM147" s="279"/>
      <c r="AN147" s="279"/>
      <c r="AO147" s="279"/>
      <c r="AP147" s="279"/>
      <c r="AQ147" s="279"/>
      <c r="AR147" s="279"/>
      <c r="AS147" s="154"/>
      <c r="AT147" s="154"/>
      <c r="AU147" s="155"/>
      <c r="AV147" s="155"/>
      <c r="AW147" s="155"/>
      <c r="AX147" s="279"/>
      <c r="AY147" s="279"/>
      <c r="AZ147" s="279"/>
      <c r="BA147" s="279"/>
      <c r="BB147" s="279"/>
      <c r="BC147" s="279"/>
      <c r="BD147" s="279"/>
      <c r="BE147" s="279"/>
      <c r="BF147" s="279"/>
      <c r="BG147" s="279"/>
      <c r="BH147" s="279"/>
      <c r="BI147" s="279"/>
      <c r="BJ147" s="279"/>
      <c r="BK147" s="279"/>
      <c r="BL147" s="279"/>
      <c r="BM147" s="279"/>
      <c r="BN147" s="279"/>
      <c r="BO147" s="279"/>
      <c r="BP147" s="279"/>
      <c r="BQ147" s="279"/>
      <c r="BR147" s="279"/>
      <c r="BS147" s="154"/>
      <c r="BT147" s="154"/>
      <c r="BU147" s="154"/>
      <c r="BV147" s="154"/>
      <c r="BW147" s="154"/>
    </row>
    <row r="148" spans="6:75" ht="11.25" customHeight="1" x14ac:dyDescent="0.2">
      <c r="F148" s="279"/>
      <c r="G148" s="279"/>
      <c r="H148" s="279"/>
      <c r="I148" s="279"/>
      <c r="J148" s="279"/>
      <c r="K148" s="279"/>
      <c r="L148" s="279"/>
      <c r="M148" s="279"/>
      <c r="N148" s="279"/>
      <c r="O148" s="279"/>
      <c r="P148" s="279"/>
      <c r="Q148" s="279"/>
      <c r="R148" s="279"/>
      <c r="S148" s="279"/>
      <c r="T148" s="279"/>
      <c r="U148" s="279"/>
      <c r="V148" s="279"/>
      <c r="W148" s="279"/>
      <c r="X148" s="279"/>
      <c r="Y148" s="279"/>
      <c r="Z148" s="279"/>
      <c r="AA148" s="279"/>
      <c r="AB148" s="279"/>
      <c r="AC148" s="279"/>
      <c r="AD148" s="279"/>
      <c r="AE148" s="279"/>
      <c r="AF148" s="279"/>
      <c r="AG148" s="279"/>
      <c r="AH148" s="279"/>
      <c r="AI148" s="279"/>
      <c r="AJ148" s="279"/>
      <c r="AK148" s="279"/>
      <c r="AL148" s="279"/>
      <c r="AM148" s="279"/>
      <c r="AN148" s="279"/>
      <c r="AO148" s="279"/>
      <c r="AP148" s="279"/>
      <c r="AQ148" s="279"/>
      <c r="AR148" s="279"/>
      <c r="AS148" s="154"/>
      <c r="AT148" s="154"/>
      <c r="AU148" s="155"/>
      <c r="AV148" s="155"/>
      <c r="AW148" s="155"/>
      <c r="AX148" s="279"/>
      <c r="AY148" s="279"/>
      <c r="AZ148" s="279"/>
      <c r="BA148" s="279"/>
      <c r="BB148" s="279"/>
      <c r="BC148" s="279"/>
      <c r="BD148" s="279"/>
      <c r="BE148" s="279"/>
      <c r="BF148" s="279"/>
      <c r="BG148" s="279"/>
      <c r="BH148" s="279"/>
      <c r="BI148" s="279"/>
      <c r="BJ148" s="279"/>
      <c r="BK148" s="279"/>
      <c r="BL148" s="279"/>
      <c r="BM148" s="279"/>
      <c r="BN148" s="279"/>
      <c r="BO148" s="279"/>
      <c r="BP148" s="279"/>
      <c r="BQ148" s="279"/>
      <c r="BR148" s="279"/>
      <c r="BS148" s="154"/>
      <c r="BT148" s="154"/>
      <c r="BU148" s="154"/>
      <c r="BV148" s="154"/>
      <c r="BW148" s="154"/>
    </row>
    <row r="149" spans="6:75" ht="11.25" customHeight="1" x14ac:dyDescent="0.2">
      <c r="F149" s="279"/>
      <c r="G149" s="279"/>
      <c r="H149" s="279"/>
      <c r="I149" s="279"/>
      <c r="J149" s="279"/>
      <c r="K149" s="279"/>
      <c r="L149" s="279"/>
      <c r="M149" s="279"/>
      <c r="N149" s="279"/>
      <c r="O149" s="279"/>
      <c r="P149" s="279"/>
      <c r="Q149" s="279"/>
      <c r="R149" s="279"/>
      <c r="S149" s="279"/>
      <c r="T149" s="279"/>
      <c r="U149" s="279"/>
      <c r="V149" s="279"/>
      <c r="W149" s="279"/>
      <c r="X149" s="279"/>
      <c r="Y149" s="279"/>
      <c r="Z149" s="279"/>
      <c r="AA149" s="279"/>
      <c r="AB149" s="279"/>
      <c r="AC149" s="279"/>
      <c r="AD149" s="279"/>
      <c r="AE149" s="279"/>
      <c r="AF149" s="279"/>
      <c r="AG149" s="279"/>
      <c r="AH149" s="279"/>
      <c r="AI149" s="279"/>
      <c r="AJ149" s="279"/>
      <c r="AK149" s="279"/>
      <c r="AL149" s="279"/>
      <c r="AM149" s="279"/>
      <c r="AN149" s="279"/>
      <c r="AO149" s="279"/>
      <c r="AP149" s="279"/>
      <c r="AQ149" s="279"/>
      <c r="AR149" s="279"/>
      <c r="AS149" s="154"/>
      <c r="AT149" s="154"/>
      <c r="AU149" s="155"/>
      <c r="AV149" s="155"/>
      <c r="AW149" s="155"/>
      <c r="AX149" s="279"/>
      <c r="AY149" s="279"/>
      <c r="AZ149" s="279"/>
      <c r="BA149" s="279"/>
      <c r="BB149" s="279"/>
      <c r="BC149" s="279"/>
      <c r="BD149" s="279"/>
      <c r="BE149" s="279"/>
      <c r="BF149" s="279"/>
      <c r="BG149" s="279"/>
      <c r="BH149" s="279"/>
      <c r="BI149" s="279"/>
      <c r="BJ149" s="279"/>
      <c r="BK149" s="279"/>
      <c r="BL149" s="279"/>
      <c r="BM149" s="279"/>
      <c r="BN149" s="279"/>
      <c r="BO149" s="279"/>
      <c r="BP149" s="279"/>
      <c r="BQ149" s="279"/>
      <c r="BR149" s="279"/>
      <c r="BS149" s="154"/>
      <c r="BT149" s="154"/>
      <c r="BU149" s="154"/>
      <c r="BV149" s="154"/>
      <c r="BW149" s="154"/>
    </row>
    <row r="150" spans="6:75" ht="11.25" customHeight="1" x14ac:dyDescent="0.2">
      <c r="F150" s="279"/>
      <c r="G150" s="279"/>
      <c r="H150" s="279"/>
      <c r="I150" s="279"/>
      <c r="J150" s="279"/>
      <c r="K150" s="279"/>
      <c r="L150" s="279"/>
      <c r="M150" s="279"/>
      <c r="N150" s="279"/>
      <c r="O150" s="279"/>
      <c r="P150" s="279"/>
      <c r="Q150" s="279"/>
      <c r="R150" s="279"/>
      <c r="S150" s="279"/>
      <c r="T150" s="279"/>
      <c r="U150" s="279"/>
      <c r="V150" s="279"/>
      <c r="W150" s="279"/>
      <c r="X150" s="279"/>
      <c r="Y150" s="279"/>
      <c r="Z150" s="279"/>
      <c r="AA150" s="279"/>
      <c r="AB150" s="279"/>
      <c r="AC150" s="279"/>
      <c r="AD150" s="279"/>
      <c r="AE150" s="279"/>
      <c r="AF150" s="279"/>
      <c r="AG150" s="279"/>
      <c r="AH150" s="279"/>
      <c r="AI150" s="279"/>
      <c r="AJ150" s="279"/>
      <c r="AK150" s="279"/>
      <c r="AL150" s="279"/>
      <c r="AM150" s="279"/>
      <c r="AN150" s="279"/>
      <c r="AO150" s="279"/>
      <c r="AP150" s="279"/>
      <c r="AQ150" s="279"/>
      <c r="AR150" s="279"/>
      <c r="AS150" s="154"/>
      <c r="AT150" s="154"/>
      <c r="AU150" s="155"/>
      <c r="AV150" s="155"/>
      <c r="AW150" s="155"/>
      <c r="AX150" s="279"/>
      <c r="AY150" s="279"/>
      <c r="AZ150" s="279"/>
      <c r="BA150" s="279"/>
      <c r="BB150" s="279"/>
      <c r="BC150" s="279"/>
      <c r="BD150" s="279"/>
      <c r="BE150" s="279"/>
      <c r="BF150" s="279"/>
      <c r="BG150" s="279"/>
      <c r="BH150" s="279"/>
      <c r="BI150" s="279"/>
      <c r="BJ150" s="279"/>
      <c r="BK150" s="279"/>
      <c r="BL150" s="279"/>
      <c r="BM150" s="279"/>
      <c r="BN150" s="279"/>
      <c r="BO150" s="279"/>
      <c r="BP150" s="279"/>
      <c r="BQ150" s="279"/>
      <c r="BR150" s="279"/>
      <c r="BS150" s="154"/>
      <c r="BT150" s="154"/>
      <c r="BU150" s="154"/>
      <c r="BV150" s="154"/>
      <c r="BW150" s="154"/>
    </row>
    <row r="151" spans="6:75" ht="11.25" customHeight="1" x14ac:dyDescent="0.2">
      <c r="F151" s="279"/>
      <c r="G151" s="279"/>
      <c r="H151" s="279"/>
      <c r="I151" s="279"/>
      <c r="J151" s="279"/>
      <c r="K151" s="279"/>
      <c r="L151" s="279"/>
      <c r="M151" s="279"/>
      <c r="N151" s="279"/>
      <c r="O151" s="279"/>
      <c r="P151" s="279"/>
      <c r="Q151" s="279"/>
      <c r="R151" s="279"/>
      <c r="S151" s="279"/>
      <c r="T151" s="279"/>
      <c r="U151" s="279"/>
      <c r="V151" s="279"/>
      <c r="W151" s="279"/>
      <c r="X151" s="279"/>
      <c r="Y151" s="279"/>
      <c r="Z151" s="279"/>
      <c r="AA151" s="279"/>
      <c r="AB151" s="279"/>
      <c r="AC151" s="279"/>
      <c r="AD151" s="279"/>
      <c r="AE151" s="279"/>
      <c r="AF151" s="279"/>
      <c r="AG151" s="279"/>
      <c r="AH151" s="279"/>
      <c r="AI151" s="279"/>
      <c r="AJ151" s="279"/>
      <c r="AK151" s="279"/>
      <c r="AL151" s="279"/>
      <c r="AM151" s="279"/>
      <c r="AN151" s="279"/>
      <c r="AO151" s="279"/>
      <c r="AP151" s="279"/>
      <c r="AQ151" s="279"/>
      <c r="AR151" s="279"/>
      <c r="AS151" s="154"/>
      <c r="AT151" s="154"/>
      <c r="AU151" s="155"/>
      <c r="AV151" s="155"/>
      <c r="AW151" s="155"/>
      <c r="AX151" s="279"/>
      <c r="AY151" s="279"/>
      <c r="AZ151" s="279"/>
      <c r="BA151" s="279"/>
      <c r="BB151" s="279"/>
      <c r="BC151" s="279"/>
      <c r="BD151" s="279"/>
      <c r="BE151" s="279"/>
      <c r="BF151" s="279"/>
      <c r="BG151" s="279"/>
      <c r="BH151" s="279"/>
      <c r="BI151" s="279"/>
      <c r="BJ151" s="279"/>
      <c r="BK151" s="279"/>
      <c r="BL151" s="279"/>
      <c r="BM151" s="279"/>
      <c r="BN151" s="279"/>
      <c r="BO151" s="279"/>
      <c r="BP151" s="279"/>
      <c r="BQ151" s="279"/>
      <c r="BR151" s="279"/>
      <c r="BS151" s="154"/>
      <c r="BT151" s="154"/>
      <c r="BU151" s="154"/>
      <c r="BV151" s="154"/>
      <c r="BW151" s="154"/>
    </row>
    <row r="152" spans="6:75" ht="11.25" customHeight="1" x14ac:dyDescent="0.2">
      <c r="F152" s="279"/>
      <c r="G152" s="279"/>
      <c r="H152" s="279"/>
      <c r="I152" s="279"/>
      <c r="J152" s="279"/>
      <c r="K152" s="279"/>
      <c r="L152" s="279"/>
      <c r="M152" s="279"/>
      <c r="N152" s="279"/>
      <c r="O152" s="279"/>
      <c r="P152" s="279"/>
      <c r="Q152" s="279"/>
      <c r="R152" s="279"/>
      <c r="S152" s="279"/>
      <c r="T152" s="279"/>
      <c r="U152" s="279"/>
      <c r="V152" s="279"/>
      <c r="W152" s="279"/>
      <c r="X152" s="279"/>
      <c r="Y152" s="279"/>
      <c r="Z152" s="279"/>
      <c r="AA152" s="279"/>
      <c r="AB152" s="279"/>
      <c r="AC152" s="279"/>
      <c r="AD152" s="279"/>
      <c r="AE152" s="279"/>
      <c r="AF152" s="279"/>
      <c r="AG152" s="279"/>
      <c r="AH152" s="279"/>
      <c r="AI152" s="279"/>
      <c r="AJ152" s="279"/>
      <c r="AK152" s="279"/>
      <c r="AL152" s="279"/>
      <c r="AM152" s="279"/>
      <c r="AN152" s="279"/>
      <c r="AO152" s="279"/>
      <c r="AP152" s="279"/>
      <c r="AQ152" s="279"/>
      <c r="AR152" s="279"/>
      <c r="AS152" s="154"/>
      <c r="AT152" s="154"/>
      <c r="AU152" s="155"/>
      <c r="AV152" s="155"/>
      <c r="AW152" s="155"/>
      <c r="AX152" s="279"/>
      <c r="AY152" s="279"/>
      <c r="AZ152" s="279"/>
      <c r="BA152" s="279"/>
      <c r="BB152" s="279"/>
      <c r="BC152" s="279"/>
      <c r="BD152" s="279"/>
      <c r="BE152" s="279"/>
      <c r="BF152" s="279"/>
      <c r="BG152" s="279"/>
      <c r="BH152" s="279"/>
      <c r="BI152" s="279"/>
      <c r="BJ152" s="279"/>
      <c r="BK152" s="279"/>
      <c r="BL152" s="279"/>
      <c r="BM152" s="279"/>
      <c r="BN152" s="279"/>
      <c r="BO152" s="279"/>
      <c r="BP152" s="279"/>
      <c r="BQ152" s="279"/>
      <c r="BR152" s="279"/>
      <c r="BS152" s="154"/>
      <c r="BT152" s="154"/>
      <c r="BU152" s="154"/>
      <c r="BV152" s="154"/>
      <c r="BW152" s="154"/>
    </row>
    <row r="153" spans="6:75" ht="11.25" customHeight="1" x14ac:dyDescent="0.2">
      <c r="F153" s="279"/>
      <c r="G153" s="279"/>
      <c r="H153" s="279"/>
      <c r="I153" s="279"/>
      <c r="J153" s="279"/>
      <c r="K153" s="279"/>
      <c r="L153" s="279"/>
      <c r="M153" s="279"/>
      <c r="N153" s="279"/>
      <c r="O153" s="279"/>
      <c r="P153" s="279"/>
      <c r="Q153" s="279"/>
      <c r="R153" s="279"/>
      <c r="S153" s="279"/>
      <c r="T153" s="279"/>
      <c r="U153" s="279"/>
      <c r="V153" s="279"/>
      <c r="W153" s="279"/>
      <c r="X153" s="279"/>
      <c r="Y153" s="279"/>
      <c r="Z153" s="279"/>
      <c r="AA153" s="279"/>
      <c r="AB153" s="279"/>
      <c r="AC153" s="279"/>
      <c r="AD153" s="279"/>
      <c r="AE153" s="279"/>
      <c r="AF153" s="279"/>
      <c r="AG153" s="279"/>
      <c r="AH153" s="279"/>
      <c r="AI153" s="279"/>
      <c r="AJ153" s="279"/>
      <c r="AK153" s="279"/>
      <c r="AL153" s="279"/>
      <c r="AM153" s="279"/>
      <c r="AN153" s="279"/>
      <c r="AO153" s="279"/>
      <c r="AP153" s="279"/>
      <c r="AQ153" s="279"/>
      <c r="AR153" s="279"/>
      <c r="AS153" s="154"/>
      <c r="AT153" s="154"/>
      <c r="AU153" s="155"/>
      <c r="AV153" s="155"/>
      <c r="AW153" s="155"/>
      <c r="AX153" s="279"/>
      <c r="AY153" s="279"/>
      <c r="AZ153" s="279"/>
      <c r="BA153" s="279"/>
      <c r="BB153" s="279"/>
      <c r="BC153" s="279"/>
      <c r="BD153" s="279"/>
      <c r="BE153" s="279"/>
      <c r="BF153" s="279"/>
      <c r="BG153" s="279"/>
      <c r="BH153" s="279"/>
      <c r="BI153" s="279"/>
      <c r="BJ153" s="279"/>
      <c r="BK153" s="279"/>
      <c r="BL153" s="279"/>
      <c r="BM153" s="279"/>
      <c r="BN153" s="279"/>
      <c r="BO153" s="279"/>
      <c r="BP153" s="279"/>
      <c r="BQ153" s="279"/>
      <c r="BR153" s="279"/>
      <c r="BS153" s="154"/>
      <c r="BT153" s="154"/>
      <c r="BU153" s="154"/>
      <c r="BV153" s="154"/>
      <c r="BW153" s="154"/>
    </row>
    <row r="154" spans="6:75" ht="11.25" customHeight="1" x14ac:dyDescent="0.2">
      <c r="F154" s="279"/>
      <c r="G154" s="279"/>
      <c r="H154" s="279"/>
      <c r="I154" s="279"/>
      <c r="J154" s="279"/>
      <c r="K154" s="279"/>
      <c r="L154" s="279"/>
      <c r="M154" s="279"/>
      <c r="N154" s="279"/>
      <c r="O154" s="279"/>
      <c r="P154" s="279"/>
      <c r="Q154" s="279"/>
      <c r="R154" s="279"/>
      <c r="S154" s="279"/>
      <c r="T154" s="279"/>
      <c r="U154" s="279"/>
      <c r="V154" s="279"/>
      <c r="W154" s="279"/>
      <c r="X154" s="279"/>
      <c r="Y154" s="279"/>
      <c r="Z154" s="279"/>
      <c r="AA154" s="279"/>
      <c r="AB154" s="279"/>
      <c r="AC154" s="279"/>
      <c r="AD154" s="279"/>
      <c r="AE154" s="279"/>
      <c r="AF154" s="279"/>
      <c r="AG154" s="279"/>
      <c r="AH154" s="279"/>
      <c r="AI154" s="279"/>
      <c r="AJ154" s="279"/>
      <c r="AK154" s="279"/>
      <c r="AL154" s="279"/>
      <c r="AM154" s="279"/>
      <c r="AN154" s="279"/>
      <c r="AO154" s="279"/>
      <c r="AP154" s="279"/>
      <c r="AQ154" s="279"/>
      <c r="AR154" s="279"/>
      <c r="AS154" s="154"/>
      <c r="AT154" s="154"/>
      <c r="AU154" s="155"/>
      <c r="AV154" s="155"/>
      <c r="AW154" s="155"/>
      <c r="AX154" s="279"/>
      <c r="AY154" s="279"/>
      <c r="AZ154" s="279"/>
      <c r="BA154" s="279"/>
      <c r="BB154" s="279"/>
      <c r="BC154" s="279"/>
      <c r="BD154" s="279"/>
      <c r="BE154" s="279"/>
      <c r="BF154" s="279"/>
      <c r="BG154" s="279"/>
      <c r="BH154" s="279"/>
      <c r="BI154" s="279"/>
      <c r="BJ154" s="279"/>
      <c r="BK154" s="279"/>
      <c r="BL154" s="279"/>
      <c r="BM154" s="279"/>
      <c r="BN154" s="279"/>
      <c r="BO154" s="279"/>
      <c r="BP154" s="279"/>
      <c r="BQ154" s="279"/>
      <c r="BR154" s="279"/>
      <c r="BS154" s="154"/>
      <c r="BT154" s="154"/>
      <c r="BU154" s="154"/>
      <c r="BV154" s="154"/>
      <c r="BW154" s="154"/>
    </row>
    <row r="155" spans="6:75" ht="11.25" customHeight="1" x14ac:dyDescent="0.2">
      <c r="F155" s="279"/>
      <c r="G155" s="279"/>
      <c r="H155" s="279"/>
      <c r="I155" s="279"/>
      <c r="J155" s="279"/>
      <c r="K155" s="279"/>
      <c r="L155" s="279"/>
      <c r="M155" s="279"/>
      <c r="N155" s="279"/>
      <c r="O155" s="279"/>
      <c r="P155" s="279"/>
      <c r="Q155" s="279"/>
      <c r="R155" s="279"/>
      <c r="S155" s="279"/>
      <c r="T155" s="279"/>
      <c r="U155" s="279"/>
      <c r="V155" s="279"/>
      <c r="W155" s="279"/>
      <c r="X155" s="279"/>
      <c r="Y155" s="279"/>
      <c r="Z155" s="279"/>
      <c r="AA155" s="279"/>
      <c r="AB155" s="279"/>
      <c r="AC155" s="279"/>
      <c r="AD155" s="279"/>
      <c r="AE155" s="279"/>
      <c r="AF155" s="279"/>
      <c r="AG155" s="279"/>
      <c r="AH155" s="279"/>
      <c r="AI155" s="279"/>
      <c r="AJ155" s="279"/>
      <c r="AK155" s="279"/>
      <c r="AL155" s="279"/>
      <c r="AM155" s="279"/>
      <c r="AN155" s="279"/>
      <c r="AO155" s="279"/>
      <c r="AP155" s="279"/>
      <c r="AQ155" s="279"/>
      <c r="AR155" s="279"/>
      <c r="AS155" s="154"/>
      <c r="AT155" s="154"/>
      <c r="AU155" s="155"/>
      <c r="AV155" s="155"/>
      <c r="AW155" s="155"/>
      <c r="AX155" s="279"/>
      <c r="AY155" s="279"/>
      <c r="AZ155" s="279"/>
      <c r="BA155" s="279"/>
      <c r="BB155" s="279"/>
      <c r="BC155" s="279"/>
      <c r="BD155" s="279"/>
      <c r="BE155" s="279"/>
      <c r="BF155" s="279"/>
      <c r="BG155" s="279"/>
      <c r="BH155" s="279"/>
      <c r="BI155" s="279"/>
      <c r="BJ155" s="279"/>
      <c r="BK155" s="279"/>
      <c r="BL155" s="279"/>
      <c r="BM155" s="279"/>
      <c r="BN155" s="279"/>
      <c r="BO155" s="279"/>
      <c r="BP155" s="279"/>
      <c r="BQ155" s="279"/>
      <c r="BR155" s="279"/>
      <c r="BS155" s="154"/>
      <c r="BT155" s="154"/>
      <c r="BU155" s="154"/>
      <c r="BV155" s="154"/>
      <c r="BW155" s="154"/>
    </row>
    <row r="156" spans="6:75" ht="11.25" customHeight="1" x14ac:dyDescent="0.2">
      <c r="F156" s="279"/>
      <c r="G156" s="279"/>
      <c r="H156" s="279"/>
      <c r="I156" s="279"/>
      <c r="J156" s="279"/>
      <c r="K156" s="279"/>
      <c r="L156" s="279"/>
      <c r="M156" s="279"/>
      <c r="N156" s="279"/>
      <c r="O156" s="279"/>
      <c r="P156" s="279"/>
      <c r="Q156" s="279"/>
      <c r="R156" s="279"/>
      <c r="S156" s="279"/>
      <c r="T156" s="279"/>
      <c r="U156" s="279"/>
      <c r="V156" s="279"/>
      <c r="W156" s="279"/>
      <c r="X156" s="279"/>
      <c r="Y156" s="279"/>
      <c r="Z156" s="279"/>
      <c r="AA156" s="279"/>
      <c r="AB156" s="279"/>
      <c r="AC156" s="279"/>
      <c r="AD156" s="279"/>
      <c r="AE156" s="279"/>
      <c r="AF156" s="279"/>
      <c r="AG156" s="279"/>
      <c r="AH156" s="279"/>
      <c r="AI156" s="279"/>
      <c r="AJ156" s="279"/>
      <c r="AK156" s="279"/>
      <c r="AL156" s="279"/>
      <c r="AM156" s="279"/>
      <c r="AN156" s="279"/>
      <c r="AO156" s="279"/>
      <c r="AP156" s="279"/>
      <c r="AQ156" s="279"/>
      <c r="AR156" s="279"/>
      <c r="AS156" s="154"/>
      <c r="AT156" s="154"/>
      <c r="AU156" s="155"/>
      <c r="AV156" s="155"/>
      <c r="AW156" s="155"/>
      <c r="AX156" s="279"/>
      <c r="AY156" s="279"/>
      <c r="AZ156" s="279"/>
      <c r="BA156" s="279"/>
      <c r="BB156" s="279"/>
      <c r="BC156" s="279"/>
      <c r="BD156" s="279"/>
      <c r="BE156" s="279"/>
      <c r="BF156" s="279"/>
      <c r="BG156" s="279"/>
      <c r="BH156" s="279"/>
      <c r="BI156" s="279"/>
      <c r="BJ156" s="279"/>
      <c r="BK156" s="279"/>
      <c r="BL156" s="279"/>
      <c r="BM156" s="279"/>
      <c r="BN156" s="279"/>
      <c r="BO156" s="279"/>
      <c r="BP156" s="279"/>
      <c r="BQ156" s="279"/>
      <c r="BR156" s="279"/>
      <c r="BS156" s="154"/>
      <c r="BT156" s="154"/>
      <c r="BU156" s="154"/>
      <c r="BV156" s="154"/>
      <c r="BW156" s="154"/>
    </row>
    <row r="157" spans="6:75" ht="11.25" customHeight="1" x14ac:dyDescent="0.2">
      <c r="F157" s="279"/>
      <c r="G157" s="279"/>
      <c r="H157" s="279"/>
      <c r="I157" s="279"/>
      <c r="J157" s="279"/>
      <c r="K157" s="279"/>
      <c r="L157" s="279"/>
      <c r="M157" s="279"/>
      <c r="N157" s="279"/>
      <c r="O157" s="279"/>
      <c r="P157" s="279"/>
      <c r="Q157" s="279"/>
      <c r="R157" s="279"/>
      <c r="S157" s="279"/>
      <c r="T157" s="279"/>
      <c r="U157" s="279"/>
      <c r="V157" s="279"/>
      <c r="W157" s="279"/>
      <c r="X157" s="279"/>
      <c r="Y157" s="279"/>
      <c r="Z157" s="279"/>
      <c r="AA157" s="279"/>
      <c r="AB157" s="279"/>
      <c r="AC157" s="279"/>
      <c r="AD157" s="279"/>
      <c r="AE157" s="279"/>
      <c r="AF157" s="279"/>
      <c r="AG157" s="279"/>
      <c r="AH157" s="279"/>
      <c r="AI157" s="279"/>
      <c r="AJ157" s="279"/>
      <c r="AK157" s="279"/>
      <c r="AL157" s="279"/>
      <c r="AM157" s="279"/>
      <c r="AN157" s="279"/>
      <c r="AO157" s="279"/>
      <c r="AP157" s="279"/>
      <c r="AQ157" s="279"/>
      <c r="AR157" s="279"/>
      <c r="AS157" s="154"/>
      <c r="AT157" s="154"/>
      <c r="AU157" s="155"/>
      <c r="AV157" s="155"/>
      <c r="AW157" s="155"/>
      <c r="AX157" s="279"/>
      <c r="AY157" s="279"/>
      <c r="AZ157" s="279"/>
      <c r="BA157" s="279"/>
      <c r="BB157" s="279"/>
      <c r="BC157" s="279"/>
      <c r="BD157" s="279"/>
      <c r="BE157" s="279"/>
      <c r="BF157" s="279"/>
      <c r="BG157" s="279"/>
      <c r="BH157" s="279"/>
      <c r="BI157" s="279"/>
      <c r="BJ157" s="279"/>
      <c r="BK157" s="279"/>
      <c r="BL157" s="279"/>
      <c r="BM157" s="279"/>
      <c r="BN157" s="279"/>
      <c r="BO157" s="279"/>
      <c r="BP157" s="279"/>
      <c r="BQ157" s="279"/>
      <c r="BR157" s="279"/>
      <c r="BS157" s="154"/>
      <c r="BT157" s="154"/>
      <c r="BU157" s="154"/>
      <c r="BV157" s="154"/>
      <c r="BW157" s="154"/>
    </row>
    <row r="158" spans="6:75" ht="11.25" customHeight="1" x14ac:dyDescent="0.2">
      <c r="F158" s="279"/>
      <c r="G158" s="279"/>
      <c r="H158" s="279"/>
      <c r="I158" s="279"/>
      <c r="J158" s="279"/>
      <c r="K158" s="279"/>
      <c r="L158" s="279"/>
      <c r="M158" s="279"/>
      <c r="N158" s="279"/>
      <c r="O158" s="279"/>
      <c r="P158" s="279"/>
      <c r="Q158" s="279"/>
      <c r="R158" s="279"/>
      <c r="S158" s="279"/>
      <c r="T158" s="279"/>
      <c r="U158" s="279"/>
      <c r="V158" s="279"/>
      <c r="W158" s="279"/>
      <c r="X158" s="279"/>
      <c r="Y158" s="279"/>
      <c r="Z158" s="279"/>
      <c r="AA158" s="279"/>
      <c r="AB158" s="279"/>
      <c r="AC158" s="279"/>
      <c r="AD158" s="279"/>
      <c r="AE158" s="279"/>
      <c r="AF158" s="279"/>
      <c r="AG158" s="279"/>
      <c r="AH158" s="279"/>
      <c r="AI158" s="279"/>
      <c r="AJ158" s="279"/>
      <c r="AK158" s="279"/>
      <c r="AL158" s="279"/>
      <c r="AM158" s="279"/>
      <c r="AN158" s="279"/>
      <c r="AO158" s="279"/>
      <c r="AP158" s="279"/>
      <c r="AQ158" s="279"/>
      <c r="AR158" s="279"/>
      <c r="AS158" s="154"/>
      <c r="AT158" s="154"/>
      <c r="AU158" s="155"/>
      <c r="AV158" s="155"/>
      <c r="AW158" s="155"/>
      <c r="AX158" s="279"/>
      <c r="AY158" s="279"/>
      <c r="AZ158" s="279"/>
      <c r="BA158" s="279"/>
      <c r="BB158" s="279"/>
      <c r="BC158" s="279"/>
      <c r="BD158" s="279"/>
      <c r="BE158" s="279"/>
      <c r="BF158" s="279"/>
      <c r="BG158" s="279"/>
      <c r="BH158" s="279"/>
      <c r="BI158" s="279"/>
      <c r="BJ158" s="279"/>
      <c r="BK158" s="279"/>
      <c r="BL158" s="279"/>
      <c r="BM158" s="279"/>
      <c r="BN158" s="279"/>
      <c r="BO158" s="279"/>
      <c r="BP158" s="279"/>
      <c r="BQ158" s="279"/>
      <c r="BR158" s="279"/>
      <c r="BS158" s="154"/>
      <c r="BT158" s="154"/>
      <c r="BU158" s="154"/>
      <c r="BV158" s="154"/>
      <c r="BW158" s="154"/>
    </row>
    <row r="159" spans="6:75" ht="11.25" customHeight="1" x14ac:dyDescent="0.2">
      <c r="F159" s="279"/>
      <c r="G159" s="279"/>
      <c r="H159" s="279"/>
      <c r="I159" s="279"/>
      <c r="J159" s="279"/>
      <c r="K159" s="279"/>
      <c r="L159" s="279"/>
      <c r="M159" s="279"/>
      <c r="N159" s="279"/>
      <c r="O159" s="279"/>
      <c r="P159" s="279"/>
      <c r="Q159" s="279"/>
      <c r="R159" s="279"/>
      <c r="S159" s="279"/>
      <c r="T159" s="279"/>
      <c r="U159" s="279"/>
      <c r="V159" s="279"/>
      <c r="W159" s="279"/>
      <c r="X159" s="279"/>
      <c r="Y159" s="279"/>
      <c r="Z159" s="279"/>
      <c r="AA159" s="279"/>
      <c r="AB159" s="279"/>
      <c r="AC159" s="279"/>
      <c r="AD159" s="279"/>
      <c r="AE159" s="279"/>
      <c r="AF159" s="279"/>
      <c r="AG159" s="279"/>
      <c r="AH159" s="279"/>
      <c r="AI159" s="279"/>
      <c r="AJ159" s="279"/>
      <c r="AK159" s="279"/>
      <c r="AL159" s="279"/>
      <c r="AM159" s="279"/>
      <c r="AN159" s="279"/>
      <c r="AO159" s="279"/>
      <c r="AP159" s="279"/>
      <c r="AQ159" s="279"/>
      <c r="AR159" s="279"/>
      <c r="AS159" s="154"/>
      <c r="AT159" s="154"/>
      <c r="AU159" s="155"/>
      <c r="AV159" s="155"/>
      <c r="AW159" s="155"/>
      <c r="AX159" s="279"/>
      <c r="AY159" s="279"/>
      <c r="AZ159" s="279"/>
      <c r="BA159" s="279"/>
      <c r="BB159" s="279"/>
      <c r="BC159" s="279"/>
      <c r="BD159" s="279"/>
      <c r="BE159" s="279"/>
      <c r="BF159" s="279"/>
      <c r="BG159" s="279"/>
      <c r="BH159" s="279"/>
      <c r="BI159" s="279"/>
      <c r="BJ159" s="279"/>
      <c r="BK159" s="279"/>
      <c r="BL159" s="279"/>
      <c r="BM159" s="279"/>
      <c r="BN159" s="279"/>
      <c r="BO159" s="279"/>
      <c r="BP159" s="279"/>
      <c r="BQ159" s="279"/>
      <c r="BR159" s="279"/>
      <c r="BS159" s="154"/>
      <c r="BT159" s="154"/>
      <c r="BU159" s="154"/>
      <c r="BV159" s="154"/>
      <c r="BW159" s="154"/>
    </row>
    <row r="160" spans="6:75" ht="11.25" customHeight="1" x14ac:dyDescent="0.2">
      <c r="F160" s="279"/>
      <c r="G160" s="279"/>
      <c r="H160" s="279"/>
      <c r="I160" s="279"/>
      <c r="J160" s="279"/>
      <c r="K160" s="279"/>
      <c r="L160" s="279"/>
      <c r="M160" s="279"/>
      <c r="N160" s="279"/>
      <c r="O160" s="279"/>
      <c r="P160" s="279"/>
      <c r="Q160" s="279"/>
      <c r="R160" s="279"/>
      <c r="S160" s="279"/>
      <c r="T160" s="279"/>
      <c r="U160" s="279"/>
      <c r="V160" s="279"/>
      <c r="W160" s="279"/>
      <c r="X160" s="279"/>
      <c r="Y160" s="279"/>
      <c r="Z160" s="279"/>
      <c r="AA160" s="279"/>
      <c r="AB160" s="279"/>
      <c r="AC160" s="279"/>
      <c r="AD160" s="279"/>
      <c r="AE160" s="279"/>
      <c r="AF160" s="279"/>
      <c r="AG160" s="279"/>
      <c r="AH160" s="279"/>
      <c r="AI160" s="279"/>
      <c r="AJ160" s="279"/>
      <c r="AK160" s="279"/>
      <c r="AL160" s="279"/>
      <c r="AM160" s="279"/>
      <c r="AN160" s="279"/>
      <c r="AO160" s="279"/>
      <c r="AP160" s="279"/>
      <c r="AQ160" s="279"/>
      <c r="AR160" s="279"/>
      <c r="AS160" s="154"/>
      <c r="AT160" s="154"/>
      <c r="AU160" s="155"/>
      <c r="AV160" s="155"/>
      <c r="AW160" s="155"/>
      <c r="AX160" s="279"/>
      <c r="AY160" s="279"/>
      <c r="AZ160" s="279"/>
      <c r="BA160" s="279"/>
      <c r="BB160" s="279"/>
      <c r="BC160" s="279"/>
      <c r="BD160" s="279"/>
      <c r="BE160" s="279"/>
      <c r="BF160" s="279"/>
      <c r="BG160" s="279"/>
      <c r="BH160" s="279"/>
      <c r="BI160" s="279"/>
      <c r="BJ160" s="279"/>
      <c r="BK160" s="279"/>
      <c r="BL160" s="279"/>
      <c r="BM160" s="279"/>
      <c r="BN160" s="279"/>
      <c r="BO160" s="279"/>
      <c r="BP160" s="279"/>
      <c r="BQ160" s="279"/>
      <c r="BR160" s="279"/>
      <c r="BS160" s="154"/>
      <c r="BT160" s="154"/>
      <c r="BU160" s="154"/>
      <c r="BV160" s="154"/>
      <c r="BW160" s="154"/>
    </row>
    <row r="161" spans="6:75" ht="11.25" customHeight="1" x14ac:dyDescent="0.2">
      <c r="F161" s="279"/>
      <c r="G161" s="279"/>
      <c r="H161" s="279"/>
      <c r="I161" s="279"/>
      <c r="J161" s="279"/>
      <c r="K161" s="279"/>
      <c r="L161" s="279"/>
      <c r="M161" s="279"/>
      <c r="N161" s="279"/>
      <c r="O161" s="279"/>
      <c r="P161" s="279"/>
      <c r="Q161" s="279"/>
      <c r="R161" s="279"/>
      <c r="S161" s="279"/>
      <c r="T161" s="279"/>
      <c r="U161" s="279"/>
      <c r="V161" s="279"/>
      <c r="W161" s="279"/>
      <c r="X161" s="279"/>
      <c r="Y161" s="279"/>
      <c r="Z161" s="279"/>
      <c r="AA161" s="279"/>
      <c r="AB161" s="279"/>
      <c r="AC161" s="279"/>
      <c r="AD161" s="279"/>
      <c r="AE161" s="279"/>
      <c r="AF161" s="279"/>
      <c r="AG161" s="279"/>
      <c r="AH161" s="279"/>
      <c r="AI161" s="279"/>
      <c r="AJ161" s="279"/>
      <c r="AK161" s="279"/>
      <c r="AL161" s="279"/>
      <c r="AM161" s="279"/>
      <c r="AN161" s="279"/>
      <c r="AO161" s="279"/>
      <c r="AP161" s="279"/>
      <c r="AQ161" s="279"/>
      <c r="AR161" s="279"/>
      <c r="AS161" s="154"/>
      <c r="AT161" s="154"/>
      <c r="AU161" s="155"/>
      <c r="AV161" s="155"/>
      <c r="AW161" s="155"/>
      <c r="AX161" s="279"/>
      <c r="AY161" s="279"/>
      <c r="AZ161" s="279"/>
      <c r="BA161" s="279"/>
      <c r="BB161" s="279"/>
      <c r="BC161" s="279"/>
      <c r="BD161" s="279"/>
      <c r="BE161" s="279"/>
      <c r="BF161" s="279"/>
      <c r="BG161" s="279"/>
      <c r="BH161" s="279"/>
      <c r="BI161" s="279"/>
      <c r="BJ161" s="279"/>
      <c r="BK161" s="279"/>
      <c r="BL161" s="279"/>
      <c r="BM161" s="279"/>
      <c r="BN161" s="279"/>
      <c r="BO161" s="279"/>
      <c r="BP161" s="279"/>
      <c r="BQ161" s="279"/>
      <c r="BR161" s="279"/>
      <c r="BS161" s="154"/>
      <c r="BT161" s="154"/>
      <c r="BU161" s="154"/>
      <c r="BV161" s="154"/>
      <c r="BW161" s="154"/>
    </row>
    <row r="162" spans="6:75" ht="11.25" customHeight="1" x14ac:dyDescent="0.2">
      <c r="F162" s="279"/>
      <c r="G162" s="279"/>
      <c r="H162" s="279"/>
      <c r="I162" s="279"/>
      <c r="J162" s="279"/>
      <c r="K162" s="279"/>
      <c r="L162" s="279"/>
      <c r="M162" s="279"/>
      <c r="N162" s="279"/>
      <c r="O162" s="279"/>
      <c r="P162" s="279"/>
      <c r="Q162" s="279"/>
      <c r="R162" s="279"/>
      <c r="S162" s="279"/>
      <c r="T162" s="279"/>
      <c r="U162" s="279"/>
      <c r="V162" s="279"/>
      <c r="W162" s="279"/>
      <c r="X162" s="279"/>
      <c r="Y162" s="279"/>
      <c r="Z162" s="279"/>
      <c r="AA162" s="279"/>
      <c r="AB162" s="279"/>
      <c r="AC162" s="279"/>
      <c r="AD162" s="279"/>
      <c r="AE162" s="279"/>
      <c r="AF162" s="279"/>
      <c r="AG162" s="279"/>
      <c r="AH162" s="279"/>
      <c r="AI162" s="279"/>
      <c r="AJ162" s="279"/>
      <c r="AK162" s="279"/>
      <c r="AL162" s="279"/>
      <c r="AM162" s="279"/>
      <c r="AN162" s="279"/>
      <c r="AO162" s="279"/>
      <c r="AP162" s="279"/>
      <c r="AQ162" s="279"/>
      <c r="AR162" s="279"/>
      <c r="AS162" s="154"/>
      <c r="AT162" s="154"/>
      <c r="AU162" s="155"/>
      <c r="AV162" s="155"/>
      <c r="AW162" s="155"/>
      <c r="AX162" s="279"/>
      <c r="AY162" s="279"/>
      <c r="AZ162" s="279"/>
      <c r="BA162" s="279"/>
      <c r="BB162" s="279"/>
      <c r="BC162" s="279"/>
      <c r="BD162" s="279"/>
      <c r="BE162" s="279"/>
      <c r="BF162" s="279"/>
      <c r="BG162" s="279"/>
      <c r="BH162" s="279"/>
      <c r="BI162" s="279"/>
      <c r="BJ162" s="279"/>
      <c r="BK162" s="279"/>
      <c r="BL162" s="279"/>
      <c r="BM162" s="279"/>
      <c r="BN162" s="279"/>
      <c r="BO162" s="279"/>
      <c r="BP162" s="279"/>
      <c r="BQ162" s="279"/>
      <c r="BR162" s="279"/>
      <c r="BS162" s="154"/>
      <c r="BT162" s="154"/>
      <c r="BU162" s="154"/>
      <c r="BV162" s="154"/>
      <c r="BW162" s="154"/>
    </row>
    <row r="163" spans="6:75" ht="11.25" customHeight="1" x14ac:dyDescent="0.2">
      <c r="F163" s="279"/>
      <c r="G163" s="279"/>
      <c r="H163" s="279"/>
      <c r="I163" s="279"/>
      <c r="J163" s="279"/>
      <c r="K163" s="279"/>
      <c r="L163" s="279"/>
      <c r="M163" s="279"/>
      <c r="N163" s="279"/>
      <c r="O163" s="279"/>
      <c r="P163" s="279"/>
      <c r="Q163" s="279"/>
      <c r="R163" s="279"/>
      <c r="S163" s="279"/>
      <c r="T163" s="279"/>
      <c r="U163" s="279"/>
      <c r="V163" s="279"/>
      <c r="W163" s="279"/>
      <c r="X163" s="279"/>
      <c r="Y163" s="279"/>
      <c r="Z163" s="279"/>
      <c r="AA163" s="279"/>
      <c r="AB163" s="279"/>
      <c r="AC163" s="279"/>
      <c r="AD163" s="279"/>
      <c r="AE163" s="279"/>
      <c r="AF163" s="279"/>
      <c r="AG163" s="279"/>
      <c r="AH163" s="279"/>
      <c r="AI163" s="279"/>
      <c r="AJ163" s="279"/>
      <c r="AK163" s="279"/>
      <c r="AL163" s="279"/>
      <c r="AM163" s="279"/>
      <c r="AN163" s="279"/>
      <c r="AO163" s="279"/>
      <c r="AP163" s="279"/>
      <c r="AQ163" s="279"/>
      <c r="AR163" s="279"/>
      <c r="AS163" s="154"/>
      <c r="AT163" s="154"/>
      <c r="AU163" s="155"/>
      <c r="AV163" s="155"/>
      <c r="AW163" s="155"/>
      <c r="AX163" s="279"/>
      <c r="AY163" s="279"/>
      <c r="AZ163" s="279"/>
      <c r="BA163" s="279"/>
      <c r="BB163" s="279"/>
      <c r="BC163" s="279"/>
      <c r="BD163" s="279"/>
      <c r="BE163" s="279"/>
      <c r="BF163" s="279"/>
      <c r="BG163" s="279"/>
      <c r="BH163" s="279"/>
      <c r="BI163" s="279"/>
      <c r="BJ163" s="279"/>
      <c r="BK163" s="279"/>
      <c r="BL163" s="279"/>
      <c r="BM163" s="279"/>
      <c r="BN163" s="279"/>
      <c r="BO163" s="279"/>
      <c r="BP163" s="279"/>
      <c r="BQ163" s="279"/>
      <c r="BR163" s="279"/>
      <c r="BS163" s="154"/>
      <c r="BT163" s="154"/>
      <c r="BU163" s="154"/>
      <c r="BV163" s="154"/>
      <c r="BW163" s="154"/>
    </row>
    <row r="164" spans="6:75" ht="11.25" customHeight="1" x14ac:dyDescent="0.2">
      <c r="F164" s="279"/>
      <c r="G164" s="279"/>
      <c r="H164" s="279"/>
      <c r="I164" s="279"/>
      <c r="J164" s="279"/>
      <c r="K164" s="279"/>
      <c r="L164" s="279"/>
      <c r="M164" s="279"/>
      <c r="N164" s="279"/>
      <c r="O164" s="279"/>
      <c r="P164" s="279"/>
      <c r="Q164" s="279"/>
      <c r="R164" s="279"/>
      <c r="S164" s="279"/>
      <c r="T164" s="279"/>
      <c r="U164" s="279"/>
      <c r="V164" s="279"/>
      <c r="W164" s="279"/>
      <c r="X164" s="279"/>
      <c r="Y164" s="279"/>
      <c r="Z164" s="279"/>
      <c r="AA164" s="279"/>
      <c r="AB164" s="279"/>
      <c r="AC164" s="279"/>
      <c r="AD164" s="279"/>
      <c r="AE164" s="279"/>
      <c r="AF164" s="279"/>
      <c r="AG164" s="279"/>
      <c r="AH164" s="279"/>
      <c r="AI164" s="279"/>
      <c r="AJ164" s="279"/>
      <c r="AK164" s="279"/>
      <c r="AL164" s="279"/>
      <c r="AM164" s="279"/>
      <c r="AN164" s="279"/>
      <c r="AO164" s="279"/>
      <c r="AP164" s="279"/>
      <c r="AQ164" s="279"/>
      <c r="AR164" s="279"/>
      <c r="AS164" s="154"/>
      <c r="AT164" s="154"/>
      <c r="AU164" s="155"/>
      <c r="AV164" s="155"/>
      <c r="AW164" s="155"/>
      <c r="AX164" s="279"/>
      <c r="AY164" s="279"/>
      <c r="AZ164" s="279"/>
      <c r="BA164" s="279"/>
      <c r="BB164" s="279"/>
      <c r="BC164" s="279"/>
      <c r="BD164" s="279"/>
      <c r="BE164" s="279"/>
      <c r="BF164" s="279"/>
      <c r="BG164" s="279"/>
      <c r="BH164" s="279"/>
      <c r="BI164" s="279"/>
      <c r="BJ164" s="279"/>
      <c r="BK164" s="279"/>
      <c r="BL164" s="279"/>
      <c r="BM164" s="279"/>
      <c r="BN164" s="279"/>
      <c r="BO164" s="279"/>
      <c r="BP164" s="279"/>
      <c r="BQ164" s="279"/>
      <c r="BR164" s="279"/>
      <c r="BS164" s="154"/>
      <c r="BT164" s="154"/>
      <c r="BU164" s="154"/>
      <c r="BV164" s="154"/>
      <c r="BW164" s="154"/>
    </row>
    <row r="165" spans="6:75" ht="11.25" customHeight="1" x14ac:dyDescent="0.2">
      <c r="F165" s="279"/>
      <c r="G165" s="279"/>
      <c r="H165" s="279"/>
      <c r="I165" s="279"/>
      <c r="J165" s="279"/>
      <c r="K165" s="279"/>
      <c r="L165" s="279"/>
      <c r="M165" s="279"/>
      <c r="N165" s="279"/>
      <c r="O165" s="279"/>
      <c r="P165" s="279"/>
      <c r="Q165" s="279"/>
      <c r="R165" s="279"/>
      <c r="S165" s="279"/>
      <c r="T165" s="279"/>
      <c r="U165" s="279"/>
      <c r="V165" s="279"/>
      <c r="W165" s="279"/>
      <c r="X165" s="279"/>
      <c r="Y165" s="279"/>
      <c r="Z165" s="279"/>
      <c r="AA165" s="279"/>
      <c r="AB165" s="279"/>
      <c r="AC165" s="279"/>
      <c r="AD165" s="279"/>
      <c r="AE165" s="279"/>
      <c r="AF165" s="279"/>
      <c r="AG165" s="279"/>
      <c r="AH165" s="279"/>
      <c r="AI165" s="279"/>
      <c r="AJ165" s="279"/>
      <c r="AK165" s="279"/>
      <c r="AL165" s="279"/>
      <c r="AM165" s="279"/>
      <c r="AN165" s="279"/>
      <c r="AO165" s="279"/>
      <c r="AP165" s="279"/>
      <c r="AQ165" s="279"/>
      <c r="AR165" s="279"/>
      <c r="AS165" s="154"/>
      <c r="AT165" s="154"/>
      <c r="AU165" s="155"/>
      <c r="AV165" s="155"/>
      <c r="AW165" s="155"/>
      <c r="AX165" s="279"/>
      <c r="AY165" s="279"/>
      <c r="AZ165" s="279"/>
      <c r="BA165" s="279"/>
      <c r="BB165" s="279"/>
      <c r="BC165" s="279"/>
      <c r="BD165" s="279"/>
      <c r="BE165" s="279"/>
      <c r="BF165" s="279"/>
      <c r="BG165" s="279"/>
      <c r="BH165" s="279"/>
      <c r="BI165" s="279"/>
      <c r="BJ165" s="279"/>
      <c r="BK165" s="279"/>
      <c r="BL165" s="279"/>
      <c r="BM165" s="279"/>
      <c r="BN165" s="279"/>
      <c r="BO165" s="279"/>
      <c r="BP165" s="279"/>
      <c r="BQ165" s="279"/>
      <c r="BR165" s="279"/>
      <c r="BS165" s="154"/>
      <c r="BT165" s="154"/>
      <c r="BU165" s="154"/>
      <c r="BV165" s="154"/>
      <c r="BW165" s="154"/>
    </row>
    <row r="166" spans="6:75" ht="11.25" customHeight="1" x14ac:dyDescent="0.2">
      <c r="F166" s="279"/>
      <c r="G166" s="279"/>
      <c r="H166" s="279"/>
      <c r="I166" s="279"/>
      <c r="J166" s="279"/>
      <c r="K166" s="279"/>
      <c r="L166" s="279"/>
      <c r="M166" s="279"/>
      <c r="N166" s="279"/>
      <c r="O166" s="279"/>
      <c r="P166" s="279"/>
      <c r="Q166" s="279"/>
      <c r="R166" s="279"/>
      <c r="S166" s="279"/>
      <c r="T166" s="279"/>
      <c r="U166" s="279"/>
      <c r="V166" s="279"/>
      <c r="W166" s="279"/>
      <c r="X166" s="279"/>
      <c r="Y166" s="279"/>
      <c r="Z166" s="279"/>
      <c r="AA166" s="279"/>
      <c r="AB166" s="279"/>
      <c r="AC166" s="279"/>
      <c r="AD166" s="279"/>
      <c r="AE166" s="279"/>
      <c r="AF166" s="279"/>
      <c r="AG166" s="279"/>
      <c r="AH166" s="279"/>
      <c r="AI166" s="279"/>
      <c r="AJ166" s="279"/>
      <c r="AK166" s="279"/>
      <c r="AL166" s="279"/>
      <c r="AM166" s="279"/>
      <c r="AN166" s="279"/>
      <c r="AO166" s="279"/>
      <c r="AP166" s="279"/>
      <c r="AQ166" s="279"/>
      <c r="AR166" s="279"/>
      <c r="AS166" s="154"/>
      <c r="AT166" s="154"/>
      <c r="AU166" s="155"/>
      <c r="AV166" s="155"/>
      <c r="AW166" s="155"/>
      <c r="AX166" s="279"/>
      <c r="AY166" s="279"/>
      <c r="AZ166" s="279"/>
      <c r="BA166" s="279"/>
      <c r="BB166" s="279"/>
      <c r="BC166" s="279"/>
      <c r="BD166" s="279"/>
      <c r="BE166" s="279"/>
      <c r="BF166" s="279"/>
      <c r="BG166" s="279"/>
      <c r="BH166" s="279"/>
      <c r="BI166" s="279"/>
      <c r="BJ166" s="279"/>
      <c r="BK166" s="279"/>
      <c r="BL166" s="279"/>
      <c r="BM166" s="279"/>
      <c r="BN166" s="279"/>
      <c r="BO166" s="279"/>
      <c r="BP166" s="279"/>
      <c r="BQ166" s="279"/>
      <c r="BR166" s="279"/>
      <c r="BS166" s="154"/>
      <c r="BT166" s="154"/>
      <c r="BU166" s="154"/>
      <c r="BV166" s="154"/>
      <c r="BW166" s="154"/>
    </row>
    <row r="167" spans="6:75" ht="11.25" customHeight="1" x14ac:dyDescent="0.2">
      <c r="F167" s="279"/>
      <c r="G167" s="279"/>
      <c r="H167" s="279"/>
      <c r="I167" s="279"/>
      <c r="J167" s="279"/>
      <c r="K167" s="279"/>
      <c r="L167" s="279"/>
      <c r="M167" s="279"/>
      <c r="N167" s="279"/>
      <c r="O167" s="279"/>
      <c r="P167" s="279"/>
      <c r="Q167" s="279"/>
      <c r="R167" s="279"/>
      <c r="S167" s="279"/>
      <c r="T167" s="279"/>
      <c r="U167" s="279"/>
      <c r="V167" s="279"/>
      <c r="W167" s="279"/>
      <c r="X167" s="279"/>
      <c r="Y167" s="279"/>
      <c r="Z167" s="279"/>
      <c r="AA167" s="279"/>
      <c r="AB167" s="279"/>
      <c r="AC167" s="279"/>
      <c r="AD167" s="279"/>
      <c r="AE167" s="279"/>
      <c r="AF167" s="279"/>
      <c r="AG167" s="279"/>
      <c r="AH167" s="279"/>
      <c r="AI167" s="279"/>
      <c r="AJ167" s="279"/>
      <c r="AK167" s="279"/>
      <c r="AL167" s="279"/>
      <c r="AM167" s="279"/>
      <c r="AN167" s="279"/>
      <c r="AO167" s="279"/>
      <c r="AP167" s="279"/>
      <c r="AQ167" s="279"/>
      <c r="AR167" s="279"/>
      <c r="AS167" s="154"/>
      <c r="AT167" s="154"/>
      <c r="AU167" s="155"/>
      <c r="AV167" s="155"/>
      <c r="AW167" s="155"/>
      <c r="AX167" s="279"/>
      <c r="AY167" s="279"/>
      <c r="AZ167" s="279"/>
      <c r="BA167" s="279"/>
      <c r="BB167" s="279"/>
      <c r="BC167" s="279"/>
      <c r="BD167" s="279"/>
      <c r="BE167" s="279"/>
      <c r="BF167" s="279"/>
      <c r="BG167" s="279"/>
      <c r="BH167" s="279"/>
      <c r="BI167" s="279"/>
      <c r="BJ167" s="279"/>
      <c r="BK167" s="279"/>
      <c r="BL167" s="279"/>
      <c r="BM167" s="279"/>
      <c r="BN167" s="279"/>
      <c r="BO167" s="279"/>
      <c r="BP167" s="279"/>
      <c r="BQ167" s="279"/>
      <c r="BR167" s="279"/>
      <c r="BS167" s="154"/>
      <c r="BT167" s="154"/>
      <c r="BU167" s="154"/>
      <c r="BV167" s="154"/>
      <c r="BW167" s="154"/>
    </row>
    <row r="168" spans="6:75" ht="11.25" customHeight="1" x14ac:dyDescent="0.2">
      <c r="F168" s="279"/>
      <c r="G168" s="279"/>
      <c r="H168" s="279"/>
      <c r="I168" s="279"/>
      <c r="J168" s="279"/>
      <c r="K168" s="279"/>
      <c r="L168" s="279"/>
      <c r="M168" s="279"/>
      <c r="N168" s="279"/>
      <c r="O168" s="279"/>
      <c r="P168" s="279"/>
      <c r="Q168" s="279"/>
      <c r="R168" s="279"/>
      <c r="S168" s="279"/>
      <c r="T168" s="279"/>
      <c r="U168" s="279"/>
      <c r="V168" s="279"/>
      <c r="W168" s="279"/>
      <c r="X168" s="279"/>
      <c r="Y168" s="279"/>
      <c r="Z168" s="279"/>
      <c r="AA168" s="279"/>
      <c r="AB168" s="279"/>
      <c r="AC168" s="279"/>
      <c r="AD168" s="279"/>
      <c r="AE168" s="279"/>
      <c r="AF168" s="279"/>
      <c r="AG168" s="279"/>
      <c r="AH168" s="279"/>
      <c r="AI168" s="279"/>
      <c r="AJ168" s="279"/>
      <c r="AK168" s="279"/>
      <c r="AL168" s="279"/>
      <c r="AM168" s="279"/>
      <c r="AN168" s="279"/>
      <c r="AO168" s="279"/>
      <c r="AP168" s="279"/>
      <c r="AQ168" s="279"/>
      <c r="AR168" s="279"/>
      <c r="AS168" s="154"/>
      <c r="AT168" s="154"/>
      <c r="AU168" s="155"/>
      <c r="AV168" s="155"/>
      <c r="AW168" s="155"/>
      <c r="AX168" s="279"/>
      <c r="AY168" s="279"/>
      <c r="AZ168" s="279"/>
      <c r="BA168" s="279"/>
      <c r="BB168" s="279"/>
      <c r="BC168" s="279"/>
      <c r="BD168" s="279"/>
      <c r="BE168" s="279"/>
      <c r="BF168" s="279"/>
      <c r="BG168" s="279"/>
      <c r="BH168" s="279"/>
      <c r="BI168" s="279"/>
      <c r="BJ168" s="279"/>
      <c r="BK168" s="279"/>
      <c r="BL168" s="279"/>
      <c r="BM168" s="279"/>
      <c r="BN168" s="279"/>
      <c r="BO168" s="279"/>
      <c r="BP168" s="279"/>
      <c r="BQ168" s="279"/>
      <c r="BR168" s="279"/>
      <c r="BS168" s="154"/>
      <c r="BT168" s="154"/>
      <c r="BU168" s="154"/>
      <c r="BV168" s="154"/>
      <c r="BW168" s="154"/>
    </row>
    <row r="169" spans="6:75" ht="11.25" customHeight="1" x14ac:dyDescent="0.2">
      <c r="F169" s="279"/>
      <c r="G169" s="279"/>
      <c r="H169" s="279"/>
      <c r="I169" s="279"/>
      <c r="J169" s="279"/>
      <c r="K169" s="279"/>
      <c r="L169" s="279"/>
      <c r="M169" s="279"/>
      <c r="N169" s="279"/>
      <c r="O169" s="279"/>
      <c r="P169" s="279"/>
      <c r="Q169" s="279"/>
      <c r="R169" s="279"/>
      <c r="S169" s="279"/>
      <c r="T169" s="279"/>
      <c r="U169" s="279"/>
      <c r="V169" s="279"/>
      <c r="W169" s="279"/>
      <c r="X169" s="279"/>
      <c r="Y169" s="279"/>
      <c r="Z169" s="279"/>
      <c r="AA169" s="279"/>
      <c r="AB169" s="279"/>
      <c r="AC169" s="279"/>
      <c r="AD169" s="279"/>
      <c r="AE169" s="279"/>
      <c r="AF169" s="279"/>
      <c r="AG169" s="279"/>
      <c r="AH169" s="279"/>
      <c r="AI169" s="279"/>
      <c r="AJ169" s="279"/>
      <c r="AK169" s="279"/>
      <c r="AL169" s="279"/>
      <c r="AM169" s="279"/>
      <c r="AN169" s="279"/>
      <c r="AO169" s="279"/>
      <c r="AP169" s="279"/>
      <c r="AQ169" s="279"/>
      <c r="AR169" s="279"/>
      <c r="AS169" s="154"/>
      <c r="AT169" s="154"/>
      <c r="AU169" s="155"/>
      <c r="AV169" s="155"/>
      <c r="AW169" s="155"/>
      <c r="AX169" s="279"/>
      <c r="AY169" s="279"/>
      <c r="AZ169" s="279"/>
      <c r="BA169" s="279"/>
      <c r="BB169" s="279"/>
      <c r="BC169" s="279"/>
      <c r="BD169" s="279"/>
      <c r="BE169" s="279"/>
      <c r="BF169" s="279"/>
      <c r="BG169" s="279"/>
      <c r="BH169" s="279"/>
      <c r="BI169" s="279"/>
      <c r="BJ169" s="279"/>
      <c r="BK169" s="279"/>
      <c r="BL169" s="279"/>
      <c r="BM169" s="279"/>
      <c r="BN169" s="279"/>
      <c r="BO169" s="279"/>
      <c r="BP169" s="279"/>
      <c r="BQ169" s="279"/>
      <c r="BR169" s="279"/>
      <c r="BS169" s="154"/>
      <c r="BT169" s="154"/>
      <c r="BU169" s="154"/>
      <c r="BV169" s="154"/>
      <c r="BW169" s="154"/>
    </row>
    <row r="170" spans="6:75" ht="11.25" customHeight="1" x14ac:dyDescent="0.2">
      <c r="F170" s="279"/>
      <c r="G170" s="279"/>
      <c r="H170" s="279"/>
      <c r="I170" s="279"/>
      <c r="J170" s="279"/>
      <c r="K170" s="279"/>
      <c r="L170" s="279"/>
      <c r="M170" s="279"/>
      <c r="N170" s="279"/>
      <c r="O170" s="279"/>
      <c r="P170" s="279"/>
      <c r="Q170" s="279"/>
      <c r="R170" s="279"/>
      <c r="S170" s="279"/>
      <c r="T170" s="279"/>
      <c r="U170" s="279"/>
      <c r="V170" s="279"/>
      <c r="W170" s="279"/>
      <c r="X170" s="279"/>
      <c r="Y170" s="279"/>
      <c r="Z170" s="279"/>
      <c r="AA170" s="279"/>
      <c r="AB170" s="279"/>
      <c r="AC170" s="279"/>
      <c r="AD170" s="279"/>
      <c r="AE170" s="279"/>
      <c r="AF170" s="279"/>
      <c r="AG170" s="279"/>
      <c r="AH170" s="279"/>
      <c r="AI170" s="279"/>
      <c r="AJ170" s="279"/>
      <c r="AK170" s="279"/>
      <c r="AL170" s="279"/>
      <c r="AM170" s="279"/>
      <c r="AN170" s="279"/>
      <c r="AO170" s="279"/>
      <c r="AP170" s="279"/>
      <c r="AQ170" s="279"/>
      <c r="AR170" s="279"/>
      <c r="AS170" s="154"/>
      <c r="AT170" s="154"/>
      <c r="AU170" s="155"/>
      <c r="AV170" s="155"/>
      <c r="AW170" s="155"/>
      <c r="AX170" s="279"/>
      <c r="AY170" s="279"/>
      <c r="AZ170" s="279"/>
      <c r="BA170" s="279"/>
      <c r="BB170" s="279"/>
      <c r="BC170" s="279"/>
      <c r="BD170" s="279"/>
      <c r="BE170" s="279"/>
      <c r="BF170" s="279"/>
      <c r="BG170" s="279"/>
      <c r="BH170" s="279"/>
      <c r="BI170" s="279"/>
      <c r="BJ170" s="279"/>
      <c r="BK170" s="279"/>
      <c r="BL170" s="279"/>
      <c r="BM170" s="279"/>
      <c r="BN170" s="279"/>
      <c r="BO170" s="279"/>
      <c r="BP170" s="279"/>
      <c r="BQ170" s="279"/>
      <c r="BR170" s="279"/>
      <c r="BS170" s="154"/>
      <c r="BT170" s="154"/>
      <c r="BU170" s="154"/>
      <c r="BV170" s="154"/>
      <c r="BW170" s="154"/>
    </row>
    <row r="171" spans="6:75" ht="11.25" customHeight="1" x14ac:dyDescent="0.2">
      <c r="F171" s="279"/>
      <c r="G171" s="279"/>
      <c r="H171" s="279"/>
      <c r="I171" s="279"/>
      <c r="J171" s="279"/>
      <c r="K171" s="279"/>
      <c r="L171" s="279"/>
      <c r="M171" s="279"/>
      <c r="N171" s="279"/>
      <c r="O171" s="279"/>
      <c r="P171" s="279"/>
      <c r="Q171" s="279"/>
      <c r="R171" s="279"/>
      <c r="S171" s="279"/>
      <c r="T171" s="279"/>
      <c r="U171" s="279"/>
      <c r="V171" s="279"/>
      <c r="W171" s="279"/>
      <c r="X171" s="279"/>
      <c r="Y171" s="279"/>
      <c r="Z171" s="279"/>
      <c r="AA171" s="279"/>
      <c r="AB171" s="279"/>
      <c r="AC171" s="279"/>
      <c r="AD171" s="279"/>
      <c r="AE171" s="279"/>
      <c r="AF171" s="279"/>
      <c r="AG171" s="279"/>
      <c r="AH171" s="279"/>
      <c r="AI171" s="279"/>
      <c r="AJ171" s="279"/>
      <c r="AK171" s="279"/>
      <c r="AL171" s="279"/>
      <c r="AM171" s="279"/>
      <c r="AN171" s="279"/>
      <c r="AO171" s="279"/>
      <c r="AP171" s="279"/>
      <c r="AQ171" s="279"/>
      <c r="AR171" s="279"/>
      <c r="AS171" s="154"/>
      <c r="AT171" s="154"/>
      <c r="AU171" s="155"/>
      <c r="AV171" s="155"/>
      <c r="AW171" s="155"/>
      <c r="AX171" s="279"/>
      <c r="AY171" s="279"/>
      <c r="AZ171" s="279"/>
      <c r="BA171" s="279"/>
      <c r="BB171" s="279"/>
      <c r="BC171" s="279"/>
      <c r="BD171" s="279"/>
      <c r="BE171" s="279"/>
      <c r="BF171" s="279"/>
      <c r="BG171" s="279"/>
      <c r="BH171" s="279"/>
      <c r="BI171" s="279"/>
      <c r="BJ171" s="279"/>
      <c r="BK171" s="279"/>
      <c r="BL171" s="279"/>
      <c r="BM171" s="279"/>
      <c r="BN171" s="279"/>
      <c r="BO171" s="279"/>
      <c r="BP171" s="279"/>
      <c r="BQ171" s="279"/>
      <c r="BR171" s="279"/>
      <c r="BS171" s="154"/>
      <c r="BT171" s="154"/>
      <c r="BU171" s="154"/>
      <c r="BV171" s="154"/>
      <c r="BW171" s="154"/>
    </row>
    <row r="172" spans="6:75" ht="11.25" customHeight="1" x14ac:dyDescent="0.2">
      <c r="F172" s="279"/>
      <c r="G172" s="279"/>
      <c r="H172" s="279"/>
      <c r="I172" s="279"/>
      <c r="J172" s="279"/>
      <c r="K172" s="279"/>
      <c r="L172" s="279"/>
      <c r="M172" s="279"/>
      <c r="N172" s="279"/>
      <c r="O172" s="279"/>
      <c r="P172" s="279"/>
      <c r="Q172" s="279"/>
      <c r="R172" s="279"/>
      <c r="S172" s="279"/>
      <c r="T172" s="279"/>
      <c r="U172" s="279"/>
      <c r="V172" s="279"/>
      <c r="W172" s="279"/>
      <c r="X172" s="279"/>
      <c r="Y172" s="279"/>
      <c r="Z172" s="279"/>
      <c r="AA172" s="279"/>
      <c r="AB172" s="279"/>
      <c r="AC172" s="279"/>
      <c r="AD172" s="279"/>
      <c r="AE172" s="279"/>
      <c r="AF172" s="279"/>
      <c r="AG172" s="279"/>
      <c r="AH172" s="279"/>
      <c r="AI172" s="279"/>
      <c r="AJ172" s="279"/>
      <c r="AK172" s="279"/>
      <c r="AL172" s="279"/>
      <c r="AM172" s="279"/>
      <c r="AN172" s="279"/>
      <c r="AO172" s="279"/>
      <c r="AP172" s="279"/>
      <c r="AQ172" s="279"/>
      <c r="AR172" s="279"/>
      <c r="AS172" s="154"/>
      <c r="AT172" s="154"/>
      <c r="AU172" s="155"/>
      <c r="AV172" s="155"/>
      <c r="AW172" s="155"/>
      <c r="AX172" s="279"/>
      <c r="AY172" s="279"/>
      <c r="AZ172" s="279"/>
      <c r="BA172" s="279"/>
      <c r="BB172" s="279"/>
      <c r="BC172" s="279"/>
      <c r="BD172" s="279"/>
      <c r="BE172" s="279"/>
      <c r="BF172" s="279"/>
      <c r="BG172" s="279"/>
      <c r="BH172" s="279"/>
      <c r="BI172" s="279"/>
      <c r="BJ172" s="279"/>
      <c r="BK172" s="279"/>
      <c r="BL172" s="279"/>
      <c r="BM172" s="279"/>
      <c r="BN172" s="279"/>
      <c r="BO172" s="279"/>
      <c r="BP172" s="279"/>
      <c r="BQ172" s="279"/>
      <c r="BR172" s="279"/>
      <c r="BS172" s="154"/>
      <c r="BT172" s="154"/>
      <c r="BU172" s="154"/>
      <c r="BV172" s="154"/>
      <c r="BW172" s="154"/>
    </row>
    <row r="173" spans="6:75" ht="11.25" customHeight="1" x14ac:dyDescent="0.2">
      <c r="F173" s="279"/>
      <c r="G173" s="279"/>
      <c r="H173" s="279"/>
      <c r="I173" s="279"/>
      <c r="J173" s="279"/>
      <c r="K173" s="279"/>
      <c r="L173" s="279"/>
      <c r="M173" s="279"/>
      <c r="N173" s="279"/>
      <c r="O173" s="279"/>
      <c r="P173" s="279"/>
      <c r="Q173" s="279"/>
      <c r="R173" s="279"/>
      <c r="S173" s="279"/>
      <c r="T173" s="279"/>
      <c r="U173" s="279"/>
      <c r="V173" s="279"/>
      <c r="W173" s="279"/>
      <c r="X173" s="279"/>
      <c r="Y173" s="279"/>
      <c r="Z173" s="279"/>
      <c r="AA173" s="279"/>
      <c r="AB173" s="279"/>
      <c r="AC173" s="279"/>
      <c r="AD173" s="279"/>
      <c r="AE173" s="279"/>
      <c r="AF173" s="279"/>
      <c r="AG173" s="279"/>
      <c r="AH173" s="279"/>
      <c r="AI173" s="279"/>
      <c r="AJ173" s="279"/>
      <c r="AK173" s="279"/>
      <c r="AL173" s="279"/>
      <c r="AM173" s="279"/>
      <c r="AN173" s="279"/>
      <c r="AO173" s="279"/>
      <c r="AP173" s="279"/>
      <c r="AQ173" s="279"/>
      <c r="AR173" s="279"/>
      <c r="AS173" s="154"/>
      <c r="AT173" s="154"/>
      <c r="AU173" s="155"/>
      <c r="AV173" s="155"/>
      <c r="AW173" s="155"/>
      <c r="AX173" s="279"/>
      <c r="AY173" s="279"/>
      <c r="AZ173" s="279"/>
      <c r="BA173" s="279"/>
      <c r="BB173" s="279"/>
      <c r="BC173" s="279"/>
      <c r="BD173" s="279"/>
      <c r="BE173" s="279"/>
      <c r="BF173" s="279"/>
      <c r="BG173" s="279"/>
      <c r="BH173" s="279"/>
      <c r="BI173" s="279"/>
      <c r="BJ173" s="279"/>
      <c r="BK173" s="279"/>
      <c r="BL173" s="279"/>
      <c r="BM173" s="279"/>
      <c r="BN173" s="279"/>
      <c r="BO173" s="279"/>
      <c r="BP173" s="279"/>
      <c r="BQ173" s="279"/>
      <c r="BR173" s="279"/>
      <c r="BS173" s="154"/>
      <c r="BT173" s="154"/>
      <c r="BU173" s="154"/>
      <c r="BV173" s="154"/>
      <c r="BW173" s="154"/>
    </row>
    <row r="174" spans="6:75" ht="11.25" customHeight="1" x14ac:dyDescent="0.2">
      <c r="F174" s="279"/>
      <c r="G174" s="279"/>
      <c r="H174" s="279"/>
      <c r="I174" s="279"/>
      <c r="J174" s="279"/>
      <c r="K174" s="279"/>
      <c r="L174" s="279"/>
      <c r="M174" s="279"/>
      <c r="N174" s="279"/>
      <c r="O174" s="279"/>
      <c r="P174" s="279"/>
      <c r="Q174" s="279"/>
      <c r="R174" s="279"/>
      <c r="S174" s="279"/>
      <c r="T174" s="279"/>
      <c r="U174" s="279"/>
      <c r="V174" s="279"/>
      <c r="W174" s="279"/>
      <c r="X174" s="279"/>
      <c r="Y174" s="279"/>
      <c r="Z174" s="279"/>
      <c r="AA174" s="279"/>
      <c r="AB174" s="279"/>
      <c r="AC174" s="279"/>
      <c r="AD174" s="279"/>
      <c r="AE174" s="279"/>
      <c r="AF174" s="279"/>
      <c r="AG174" s="279"/>
      <c r="AH174" s="279"/>
      <c r="AI174" s="279"/>
      <c r="AJ174" s="279"/>
      <c r="AK174" s="279"/>
      <c r="AL174" s="279"/>
      <c r="AM174" s="279"/>
      <c r="AN174" s="279"/>
      <c r="AO174" s="279"/>
      <c r="AP174" s="279"/>
      <c r="AQ174" s="279"/>
      <c r="AR174" s="279"/>
      <c r="AS174" s="154"/>
      <c r="AT174" s="154"/>
      <c r="AU174" s="155"/>
      <c r="AV174" s="155"/>
      <c r="AW174" s="155"/>
      <c r="AX174" s="279"/>
      <c r="AY174" s="279"/>
      <c r="AZ174" s="279"/>
      <c r="BA174" s="279"/>
      <c r="BB174" s="279"/>
      <c r="BC174" s="279"/>
      <c r="BD174" s="279"/>
      <c r="BE174" s="279"/>
      <c r="BF174" s="279"/>
      <c r="BG174" s="279"/>
      <c r="BH174" s="279"/>
      <c r="BI174" s="279"/>
      <c r="BJ174" s="279"/>
      <c r="BK174" s="279"/>
      <c r="BL174" s="279"/>
      <c r="BM174" s="279"/>
      <c r="BN174" s="279"/>
      <c r="BO174" s="279"/>
      <c r="BP174" s="279"/>
      <c r="BQ174" s="279"/>
      <c r="BR174" s="279"/>
      <c r="BS174" s="154"/>
      <c r="BT174" s="154"/>
      <c r="BU174" s="154"/>
      <c r="BV174" s="154"/>
      <c r="BW174" s="154"/>
    </row>
    <row r="175" spans="6:75" ht="11.25" customHeight="1" x14ac:dyDescent="0.2">
      <c r="F175" s="279"/>
      <c r="G175" s="279"/>
      <c r="H175" s="279"/>
      <c r="I175" s="279"/>
      <c r="J175" s="279"/>
      <c r="K175" s="279"/>
      <c r="L175" s="279"/>
      <c r="M175" s="279"/>
      <c r="N175" s="279"/>
      <c r="O175" s="279"/>
      <c r="P175" s="279"/>
      <c r="Q175" s="279"/>
      <c r="R175" s="279"/>
      <c r="S175" s="279"/>
      <c r="T175" s="279"/>
      <c r="U175" s="279"/>
      <c r="V175" s="279"/>
      <c r="W175" s="279"/>
      <c r="X175" s="279"/>
      <c r="Y175" s="279"/>
      <c r="Z175" s="279"/>
      <c r="AA175" s="279"/>
      <c r="AB175" s="279"/>
      <c r="AC175" s="279"/>
      <c r="AD175" s="279"/>
      <c r="AE175" s="279"/>
      <c r="AF175" s="279"/>
      <c r="AG175" s="279"/>
      <c r="AH175" s="279"/>
      <c r="AI175" s="279"/>
      <c r="AJ175" s="279"/>
      <c r="AK175" s="279"/>
      <c r="AL175" s="279"/>
      <c r="AM175" s="279"/>
      <c r="AN175" s="279"/>
      <c r="AO175" s="279"/>
      <c r="AP175" s="279"/>
      <c r="AQ175" s="279"/>
      <c r="AR175" s="279"/>
      <c r="AS175" s="154"/>
      <c r="AT175" s="154"/>
      <c r="AU175" s="155"/>
      <c r="AV175" s="155"/>
      <c r="AW175" s="155"/>
      <c r="AX175" s="279"/>
      <c r="AY175" s="279"/>
      <c r="AZ175" s="279"/>
      <c r="BA175" s="279"/>
      <c r="BB175" s="279"/>
      <c r="BC175" s="279"/>
      <c r="BD175" s="279"/>
      <c r="BE175" s="279"/>
      <c r="BF175" s="279"/>
      <c r="BG175" s="279"/>
      <c r="BH175" s="279"/>
      <c r="BI175" s="279"/>
      <c r="BJ175" s="279"/>
      <c r="BK175" s="279"/>
      <c r="BL175" s="279"/>
      <c r="BM175" s="279"/>
      <c r="BN175" s="279"/>
      <c r="BO175" s="279"/>
      <c r="BP175" s="279"/>
      <c r="BQ175" s="279"/>
      <c r="BR175" s="279"/>
      <c r="BS175" s="154"/>
      <c r="BT175" s="154"/>
      <c r="BU175" s="154"/>
      <c r="BV175" s="154"/>
      <c r="BW175" s="154"/>
    </row>
    <row r="176" spans="6:75" ht="11.25" customHeight="1" x14ac:dyDescent="0.2">
      <c r="F176" s="279"/>
      <c r="G176" s="279"/>
      <c r="H176" s="279"/>
      <c r="I176" s="279"/>
      <c r="J176" s="279"/>
      <c r="K176" s="279"/>
      <c r="L176" s="279"/>
      <c r="M176" s="279"/>
      <c r="N176" s="279"/>
      <c r="O176" s="279"/>
      <c r="P176" s="279"/>
      <c r="Q176" s="279"/>
      <c r="R176" s="279"/>
      <c r="S176" s="279"/>
      <c r="T176" s="279"/>
      <c r="U176" s="279"/>
      <c r="V176" s="279"/>
      <c r="W176" s="279"/>
      <c r="X176" s="279"/>
      <c r="Y176" s="279"/>
      <c r="Z176" s="279"/>
      <c r="AA176" s="279"/>
      <c r="AB176" s="279"/>
      <c r="AC176" s="279"/>
      <c r="AD176" s="279"/>
      <c r="AE176" s="279"/>
      <c r="AF176" s="279"/>
      <c r="AG176" s="279"/>
      <c r="AH176" s="279"/>
      <c r="AI176" s="279"/>
      <c r="AJ176" s="279"/>
      <c r="AK176" s="279"/>
      <c r="AL176" s="279"/>
      <c r="AM176" s="279"/>
      <c r="AN176" s="279"/>
      <c r="AO176" s="279"/>
      <c r="AP176" s="279"/>
      <c r="AQ176" s="279"/>
      <c r="AR176" s="279"/>
      <c r="AS176" s="154"/>
      <c r="AT176" s="154"/>
      <c r="AU176" s="155"/>
      <c r="AV176" s="155"/>
      <c r="AW176" s="155"/>
      <c r="AX176" s="279"/>
      <c r="AY176" s="279"/>
      <c r="AZ176" s="279"/>
      <c r="BA176" s="279"/>
      <c r="BB176" s="279"/>
      <c r="BC176" s="279"/>
      <c r="BD176" s="279"/>
      <c r="BE176" s="279"/>
      <c r="BF176" s="279"/>
      <c r="BG176" s="279"/>
      <c r="BH176" s="279"/>
      <c r="BI176" s="279"/>
      <c r="BJ176" s="279"/>
      <c r="BK176" s="279"/>
      <c r="BL176" s="279"/>
      <c r="BM176" s="279"/>
      <c r="BN176" s="279"/>
      <c r="BO176" s="279"/>
      <c r="BP176" s="279"/>
      <c r="BQ176" s="279"/>
      <c r="BR176" s="279"/>
      <c r="BS176" s="154"/>
      <c r="BT176" s="154"/>
      <c r="BU176" s="154"/>
      <c r="BV176" s="154"/>
      <c r="BW176" s="154"/>
    </row>
    <row r="177" spans="6:75" ht="11.25" customHeight="1" x14ac:dyDescent="0.2">
      <c r="F177" s="279"/>
      <c r="G177" s="279"/>
      <c r="H177" s="279"/>
      <c r="I177" s="279"/>
      <c r="J177" s="279"/>
      <c r="K177" s="279"/>
      <c r="L177" s="279"/>
      <c r="M177" s="279"/>
      <c r="N177" s="279"/>
      <c r="O177" s="279"/>
      <c r="P177" s="279"/>
      <c r="Q177" s="279"/>
      <c r="R177" s="279"/>
      <c r="S177" s="279"/>
      <c r="T177" s="279"/>
      <c r="U177" s="279"/>
      <c r="V177" s="279"/>
      <c r="W177" s="279"/>
      <c r="X177" s="279"/>
      <c r="Y177" s="279"/>
      <c r="Z177" s="279"/>
      <c r="AA177" s="279"/>
      <c r="AB177" s="279"/>
      <c r="AC177" s="279"/>
      <c r="AD177" s="279"/>
      <c r="AE177" s="279"/>
      <c r="AF177" s="279"/>
      <c r="AG177" s="279"/>
      <c r="AH177" s="279"/>
      <c r="AI177" s="279"/>
      <c r="AJ177" s="279"/>
      <c r="AK177" s="279"/>
      <c r="AL177" s="279"/>
      <c r="AM177" s="279"/>
      <c r="AN177" s="279"/>
      <c r="AO177" s="279"/>
      <c r="AP177" s="279"/>
      <c r="AQ177" s="279"/>
      <c r="AR177" s="279"/>
      <c r="AS177" s="154"/>
      <c r="AT177" s="154"/>
      <c r="AU177" s="155"/>
      <c r="AV177" s="155"/>
      <c r="AW177" s="155"/>
      <c r="AX177" s="279"/>
      <c r="AY177" s="279"/>
      <c r="AZ177" s="279"/>
      <c r="BA177" s="279"/>
      <c r="BB177" s="279"/>
      <c r="BC177" s="279"/>
      <c r="BD177" s="279"/>
      <c r="BE177" s="279"/>
      <c r="BF177" s="279"/>
      <c r="BG177" s="279"/>
      <c r="BH177" s="279"/>
      <c r="BI177" s="279"/>
      <c r="BJ177" s="279"/>
      <c r="BK177" s="279"/>
      <c r="BL177" s="279"/>
      <c r="BM177" s="279"/>
      <c r="BN177" s="279"/>
      <c r="BO177" s="279"/>
      <c r="BP177" s="279"/>
      <c r="BQ177" s="279"/>
      <c r="BR177" s="279"/>
      <c r="BS177" s="154"/>
      <c r="BT177" s="154"/>
      <c r="BU177" s="154"/>
      <c r="BV177" s="154"/>
      <c r="BW177" s="154"/>
    </row>
    <row r="178" spans="6:75" ht="11.25" customHeight="1" x14ac:dyDescent="0.2">
      <c r="F178" s="279"/>
      <c r="G178" s="279"/>
      <c r="H178" s="279"/>
      <c r="I178" s="279"/>
      <c r="J178" s="279"/>
      <c r="K178" s="279"/>
      <c r="L178" s="279"/>
      <c r="M178" s="279"/>
      <c r="N178" s="279"/>
      <c r="O178" s="279"/>
      <c r="P178" s="279"/>
      <c r="Q178" s="279"/>
      <c r="R178" s="279"/>
      <c r="S178" s="279"/>
      <c r="T178" s="279"/>
      <c r="U178" s="279"/>
      <c r="V178" s="279"/>
      <c r="W178" s="279"/>
      <c r="X178" s="279"/>
      <c r="Y178" s="279"/>
      <c r="Z178" s="279"/>
      <c r="AA178" s="279"/>
      <c r="AB178" s="279"/>
      <c r="AC178" s="279"/>
      <c r="AD178" s="279"/>
      <c r="AE178" s="279"/>
      <c r="AF178" s="279"/>
      <c r="AG178" s="279"/>
      <c r="AH178" s="279"/>
      <c r="AI178" s="279"/>
      <c r="AJ178" s="279"/>
      <c r="AK178" s="279"/>
      <c r="AL178" s="279"/>
      <c r="AM178" s="279"/>
      <c r="AN178" s="279"/>
      <c r="AO178" s="279"/>
      <c r="AP178" s="279"/>
      <c r="AQ178" s="279"/>
      <c r="AR178" s="279"/>
      <c r="AS178" s="154"/>
      <c r="AT178" s="154"/>
      <c r="AU178" s="155"/>
      <c r="AV178" s="155"/>
      <c r="AW178" s="155"/>
      <c r="AX178" s="279"/>
      <c r="AY178" s="279"/>
      <c r="AZ178" s="279"/>
      <c r="BA178" s="279"/>
      <c r="BB178" s="279"/>
      <c r="BC178" s="279"/>
      <c r="BD178" s="279"/>
      <c r="BE178" s="279"/>
      <c r="BF178" s="279"/>
      <c r="BG178" s="279"/>
      <c r="BH178" s="279"/>
      <c r="BI178" s="279"/>
      <c r="BJ178" s="279"/>
      <c r="BK178" s="279"/>
      <c r="BL178" s="279"/>
      <c r="BM178" s="279"/>
      <c r="BN178" s="279"/>
      <c r="BO178" s="279"/>
      <c r="BP178" s="279"/>
      <c r="BQ178" s="279"/>
      <c r="BR178" s="279"/>
      <c r="BS178" s="154"/>
      <c r="BT178" s="154"/>
      <c r="BU178" s="154"/>
      <c r="BV178" s="154"/>
      <c r="BW178" s="154"/>
    </row>
    <row r="179" spans="6:75" ht="11.25" customHeight="1" x14ac:dyDescent="0.2">
      <c r="F179" s="279"/>
      <c r="G179" s="279"/>
      <c r="H179" s="279"/>
      <c r="I179" s="279"/>
      <c r="J179" s="279"/>
      <c r="K179" s="279"/>
      <c r="L179" s="279"/>
      <c r="M179" s="279"/>
      <c r="N179" s="279"/>
      <c r="O179" s="279"/>
      <c r="P179" s="279"/>
      <c r="Q179" s="279"/>
      <c r="R179" s="279"/>
      <c r="S179" s="279"/>
      <c r="T179" s="279"/>
      <c r="U179" s="279"/>
      <c r="V179" s="279"/>
      <c r="W179" s="279"/>
      <c r="X179" s="279"/>
      <c r="Y179" s="279"/>
      <c r="Z179" s="279"/>
      <c r="AA179" s="279"/>
      <c r="AB179" s="279"/>
      <c r="AC179" s="279"/>
      <c r="AD179" s="279"/>
      <c r="AE179" s="279"/>
      <c r="AF179" s="279"/>
      <c r="AG179" s="279"/>
      <c r="AH179" s="279"/>
      <c r="AI179" s="279"/>
      <c r="AJ179" s="279"/>
      <c r="AK179" s="279"/>
      <c r="AL179" s="279"/>
      <c r="AM179" s="279"/>
      <c r="AN179" s="279"/>
      <c r="AO179" s="279"/>
      <c r="AP179" s="279"/>
      <c r="AQ179" s="279"/>
      <c r="AR179" s="279"/>
      <c r="AS179" s="154"/>
      <c r="AT179" s="154"/>
      <c r="AU179" s="155"/>
      <c r="AV179" s="155"/>
      <c r="AW179" s="155"/>
      <c r="AX179" s="279"/>
      <c r="AY179" s="279"/>
      <c r="AZ179" s="279"/>
      <c r="BA179" s="279"/>
      <c r="BB179" s="279"/>
      <c r="BC179" s="279"/>
      <c r="BD179" s="279"/>
      <c r="BE179" s="279"/>
      <c r="BF179" s="279"/>
      <c r="BG179" s="279"/>
      <c r="BH179" s="279"/>
      <c r="BI179" s="279"/>
      <c r="BJ179" s="279"/>
      <c r="BK179" s="279"/>
      <c r="BL179" s="279"/>
      <c r="BM179" s="279"/>
      <c r="BN179" s="279"/>
      <c r="BO179" s="279"/>
      <c r="BP179" s="279"/>
      <c r="BQ179" s="279"/>
      <c r="BR179" s="279"/>
      <c r="BS179" s="154"/>
      <c r="BT179" s="154"/>
      <c r="BU179" s="154"/>
      <c r="BV179" s="154"/>
      <c r="BW179" s="154"/>
    </row>
    <row r="180" spans="6:75" ht="11.25" customHeight="1" x14ac:dyDescent="0.2">
      <c r="F180" s="279"/>
      <c r="G180" s="279"/>
      <c r="H180" s="279"/>
      <c r="I180" s="279"/>
      <c r="J180" s="279"/>
      <c r="K180" s="279"/>
      <c r="L180" s="279"/>
      <c r="M180" s="279"/>
      <c r="N180" s="279"/>
      <c r="O180" s="279"/>
      <c r="P180" s="279"/>
      <c r="Q180" s="279"/>
      <c r="R180" s="279"/>
      <c r="S180" s="279"/>
      <c r="T180" s="279"/>
      <c r="U180" s="279"/>
      <c r="V180" s="279"/>
      <c r="W180" s="279"/>
      <c r="X180" s="279"/>
      <c r="Y180" s="279"/>
      <c r="Z180" s="279"/>
      <c r="AA180" s="279"/>
      <c r="AB180" s="279"/>
      <c r="AC180" s="279"/>
      <c r="AD180" s="279"/>
      <c r="AE180" s="279"/>
      <c r="AF180" s="279"/>
      <c r="AG180" s="279"/>
      <c r="AH180" s="279"/>
      <c r="AI180" s="279"/>
      <c r="AJ180" s="279"/>
      <c r="AK180" s="279"/>
      <c r="AL180" s="279"/>
      <c r="AM180" s="279"/>
      <c r="AN180" s="279"/>
      <c r="AO180" s="279"/>
      <c r="AP180" s="279"/>
      <c r="AQ180" s="279"/>
      <c r="AR180" s="279"/>
      <c r="AS180" s="154"/>
      <c r="AT180" s="154"/>
      <c r="AU180" s="155"/>
      <c r="AV180" s="155"/>
      <c r="AW180" s="155"/>
      <c r="AX180" s="279"/>
      <c r="AY180" s="279"/>
      <c r="AZ180" s="279"/>
      <c r="BA180" s="279"/>
      <c r="BB180" s="279"/>
      <c r="BC180" s="279"/>
      <c r="BD180" s="279"/>
      <c r="BE180" s="279"/>
      <c r="BF180" s="279"/>
      <c r="BG180" s="279"/>
      <c r="BH180" s="279"/>
      <c r="BI180" s="279"/>
      <c r="BJ180" s="279"/>
      <c r="BK180" s="279"/>
      <c r="BL180" s="279"/>
      <c r="BM180" s="279"/>
      <c r="BN180" s="279"/>
      <c r="BO180" s="279"/>
      <c r="BP180" s="279"/>
      <c r="BQ180" s="279"/>
      <c r="BR180" s="279"/>
      <c r="BS180" s="154"/>
      <c r="BT180" s="154"/>
      <c r="BU180" s="154"/>
      <c r="BV180" s="154"/>
      <c r="BW180" s="154"/>
    </row>
    <row r="181" spans="6:75" ht="11.25" customHeight="1" x14ac:dyDescent="0.2">
      <c r="F181" s="279"/>
      <c r="G181" s="279"/>
      <c r="H181" s="279"/>
      <c r="I181" s="279"/>
      <c r="J181" s="279"/>
      <c r="K181" s="279"/>
      <c r="L181" s="279"/>
      <c r="M181" s="279"/>
      <c r="N181" s="279"/>
      <c r="O181" s="279"/>
      <c r="P181" s="279"/>
      <c r="Q181" s="279"/>
      <c r="R181" s="279"/>
      <c r="S181" s="279"/>
      <c r="T181" s="279"/>
      <c r="U181" s="279"/>
      <c r="V181" s="279"/>
      <c r="W181" s="279"/>
      <c r="X181" s="279"/>
      <c r="Y181" s="279"/>
      <c r="Z181" s="279"/>
      <c r="AA181" s="279"/>
      <c r="AB181" s="279"/>
      <c r="AC181" s="279"/>
      <c r="AD181" s="279"/>
      <c r="AE181" s="279"/>
      <c r="AF181" s="279"/>
      <c r="AG181" s="279"/>
      <c r="AH181" s="279"/>
      <c r="AI181" s="279"/>
      <c r="AJ181" s="279"/>
      <c r="AK181" s="279"/>
      <c r="AL181" s="279"/>
      <c r="AM181" s="279"/>
      <c r="AN181" s="279"/>
      <c r="AO181" s="279"/>
      <c r="AP181" s="279"/>
      <c r="AQ181" s="279"/>
      <c r="AR181" s="279"/>
      <c r="AS181" s="154"/>
      <c r="AT181" s="154"/>
      <c r="AU181" s="155"/>
      <c r="AV181" s="155"/>
      <c r="AW181" s="155"/>
      <c r="AX181" s="279"/>
      <c r="AY181" s="279"/>
      <c r="AZ181" s="279"/>
      <c r="BA181" s="279"/>
      <c r="BB181" s="279"/>
      <c r="BC181" s="279"/>
      <c r="BD181" s="279"/>
      <c r="BE181" s="279"/>
      <c r="BF181" s="279"/>
      <c r="BG181" s="279"/>
      <c r="BH181" s="279"/>
      <c r="BI181" s="279"/>
      <c r="BJ181" s="279"/>
      <c r="BK181" s="279"/>
      <c r="BL181" s="279"/>
      <c r="BM181" s="279"/>
      <c r="BN181" s="279"/>
      <c r="BO181" s="279"/>
      <c r="BP181" s="279"/>
      <c r="BQ181" s="279"/>
      <c r="BR181" s="279"/>
      <c r="BS181" s="154"/>
      <c r="BT181" s="154"/>
      <c r="BU181" s="154"/>
      <c r="BV181" s="154"/>
      <c r="BW181" s="154"/>
    </row>
    <row r="182" spans="6:75" ht="11.25" customHeight="1" x14ac:dyDescent="0.2">
      <c r="F182" s="279"/>
      <c r="G182" s="279"/>
      <c r="H182" s="279"/>
      <c r="I182" s="279"/>
      <c r="J182" s="279"/>
      <c r="K182" s="279"/>
      <c r="L182" s="279"/>
      <c r="M182" s="279"/>
      <c r="N182" s="279"/>
      <c r="O182" s="279"/>
      <c r="P182" s="279"/>
      <c r="Q182" s="279"/>
      <c r="R182" s="279"/>
      <c r="S182" s="279"/>
      <c r="T182" s="279"/>
      <c r="U182" s="279"/>
      <c r="V182" s="279"/>
      <c r="W182" s="279"/>
      <c r="X182" s="279"/>
      <c r="Y182" s="279"/>
      <c r="Z182" s="279"/>
      <c r="AA182" s="279"/>
      <c r="AB182" s="279"/>
      <c r="AC182" s="279"/>
      <c r="AD182" s="279"/>
      <c r="AE182" s="279"/>
      <c r="AF182" s="279"/>
      <c r="AG182" s="279"/>
      <c r="AH182" s="279"/>
      <c r="AI182" s="279"/>
      <c r="AJ182" s="279"/>
      <c r="AK182" s="279"/>
      <c r="AL182" s="279"/>
      <c r="AM182" s="279"/>
      <c r="AN182" s="279"/>
      <c r="AO182" s="279"/>
      <c r="AP182" s="279"/>
      <c r="AQ182" s="279"/>
      <c r="AR182" s="279"/>
      <c r="AS182" s="154"/>
      <c r="AT182" s="154"/>
      <c r="AU182" s="155"/>
      <c r="AV182" s="155"/>
      <c r="AW182" s="155"/>
      <c r="AX182" s="279"/>
      <c r="AY182" s="279"/>
      <c r="AZ182" s="279"/>
      <c r="BA182" s="279"/>
      <c r="BB182" s="279"/>
      <c r="BC182" s="279"/>
      <c r="BD182" s="279"/>
      <c r="BE182" s="279"/>
      <c r="BF182" s="279"/>
      <c r="BG182" s="279"/>
      <c r="BH182" s="279"/>
      <c r="BI182" s="279"/>
      <c r="BJ182" s="279"/>
      <c r="BK182" s="279"/>
      <c r="BL182" s="279"/>
      <c r="BM182" s="279"/>
      <c r="BN182" s="279"/>
      <c r="BO182" s="279"/>
      <c r="BP182" s="279"/>
      <c r="BQ182" s="279"/>
      <c r="BR182" s="279"/>
      <c r="BS182" s="154"/>
      <c r="BT182" s="154"/>
      <c r="BU182" s="154"/>
      <c r="BV182" s="154"/>
      <c r="BW182" s="154"/>
    </row>
    <row r="183" spans="6:75" ht="11.25" customHeight="1" x14ac:dyDescent="0.2">
      <c r="F183" s="279"/>
      <c r="G183" s="279"/>
      <c r="H183" s="279"/>
      <c r="I183" s="279"/>
      <c r="J183" s="279"/>
      <c r="K183" s="279"/>
      <c r="L183" s="279"/>
      <c r="M183" s="279"/>
      <c r="N183" s="279"/>
      <c r="O183" s="279"/>
      <c r="P183" s="279"/>
      <c r="Q183" s="279"/>
      <c r="R183" s="279"/>
      <c r="S183" s="279"/>
      <c r="T183" s="279"/>
      <c r="U183" s="279"/>
      <c r="V183" s="279"/>
      <c r="W183" s="279"/>
      <c r="X183" s="279"/>
      <c r="Y183" s="279"/>
      <c r="Z183" s="279"/>
      <c r="AA183" s="279"/>
      <c r="AB183" s="279"/>
      <c r="AC183" s="279"/>
      <c r="AD183" s="279"/>
      <c r="AE183" s="279"/>
      <c r="AF183" s="279"/>
      <c r="AG183" s="279"/>
      <c r="AH183" s="279"/>
      <c r="AI183" s="279"/>
      <c r="AJ183" s="279"/>
      <c r="AK183" s="279"/>
      <c r="AL183" s="279"/>
      <c r="AM183" s="279"/>
      <c r="AN183" s="279"/>
      <c r="AO183" s="279"/>
      <c r="AP183" s="279"/>
      <c r="AQ183" s="279"/>
      <c r="AR183" s="279"/>
      <c r="AS183" s="154"/>
      <c r="AT183" s="154"/>
      <c r="AU183" s="155"/>
      <c r="AV183" s="155"/>
      <c r="AW183" s="155"/>
      <c r="AX183" s="279"/>
      <c r="AY183" s="279"/>
      <c r="AZ183" s="279"/>
      <c r="BA183" s="279"/>
      <c r="BB183" s="279"/>
      <c r="BC183" s="279"/>
      <c r="BD183" s="279"/>
      <c r="BE183" s="279"/>
      <c r="BF183" s="279"/>
      <c r="BG183" s="279"/>
      <c r="BH183" s="279"/>
      <c r="BI183" s="279"/>
      <c r="BJ183" s="279"/>
      <c r="BK183" s="279"/>
      <c r="BL183" s="279"/>
      <c r="BM183" s="279"/>
      <c r="BN183" s="279"/>
      <c r="BO183" s="279"/>
      <c r="BP183" s="279"/>
      <c r="BQ183" s="279"/>
      <c r="BR183" s="279"/>
      <c r="BS183" s="154"/>
      <c r="BT183" s="154"/>
      <c r="BU183" s="154"/>
      <c r="BV183" s="154"/>
      <c r="BW183" s="154"/>
    </row>
    <row r="184" spans="6:75" ht="11.25" customHeight="1" x14ac:dyDescent="0.2">
      <c r="F184" s="279"/>
      <c r="G184" s="279"/>
      <c r="H184" s="279"/>
      <c r="I184" s="279"/>
      <c r="J184" s="279"/>
      <c r="K184" s="279"/>
      <c r="L184" s="279"/>
      <c r="M184" s="279"/>
      <c r="N184" s="279"/>
      <c r="O184" s="279"/>
      <c r="P184" s="279"/>
      <c r="Q184" s="279"/>
      <c r="R184" s="279"/>
      <c r="S184" s="279"/>
      <c r="T184" s="279"/>
      <c r="U184" s="279"/>
      <c r="V184" s="279"/>
      <c r="W184" s="279"/>
      <c r="X184" s="279"/>
      <c r="Y184" s="279"/>
      <c r="Z184" s="279"/>
      <c r="AA184" s="279"/>
      <c r="AB184" s="279"/>
      <c r="AC184" s="279"/>
      <c r="AD184" s="279"/>
      <c r="AE184" s="279"/>
      <c r="AF184" s="279"/>
      <c r="AG184" s="279"/>
      <c r="AH184" s="279"/>
      <c r="AI184" s="279"/>
      <c r="AJ184" s="279"/>
      <c r="AK184" s="279"/>
      <c r="AL184" s="279"/>
      <c r="AM184" s="279"/>
      <c r="AN184" s="279"/>
      <c r="AO184" s="279"/>
      <c r="AP184" s="279"/>
      <c r="AQ184" s="279"/>
      <c r="AR184" s="279"/>
      <c r="AS184" s="154"/>
      <c r="AT184" s="154"/>
      <c r="AU184" s="155"/>
      <c r="AV184" s="155"/>
      <c r="AW184" s="155"/>
      <c r="AX184" s="279"/>
      <c r="AY184" s="279"/>
      <c r="AZ184" s="279"/>
      <c r="BA184" s="279"/>
      <c r="BB184" s="279"/>
      <c r="BC184" s="279"/>
      <c r="BD184" s="279"/>
      <c r="BE184" s="279"/>
      <c r="BF184" s="279"/>
      <c r="BG184" s="279"/>
      <c r="BH184" s="279"/>
      <c r="BI184" s="279"/>
      <c r="BJ184" s="279"/>
      <c r="BK184" s="279"/>
      <c r="BL184" s="279"/>
      <c r="BM184" s="279"/>
      <c r="BN184" s="279"/>
      <c r="BO184" s="279"/>
      <c r="BP184" s="279"/>
      <c r="BQ184" s="279"/>
      <c r="BR184" s="279"/>
      <c r="BS184" s="154"/>
      <c r="BT184" s="154"/>
      <c r="BU184" s="154"/>
      <c r="BV184" s="154"/>
      <c r="BW184" s="154"/>
    </row>
    <row r="185" spans="6:75" ht="11.25" customHeight="1" x14ac:dyDescent="0.2">
      <c r="F185" s="279"/>
      <c r="G185" s="279"/>
      <c r="H185" s="279"/>
      <c r="I185" s="279"/>
      <c r="J185" s="279"/>
      <c r="K185" s="279"/>
      <c r="L185" s="279"/>
      <c r="M185" s="279"/>
      <c r="N185" s="279"/>
      <c r="O185" s="279"/>
      <c r="P185" s="279"/>
      <c r="Q185" s="279"/>
      <c r="R185" s="279"/>
      <c r="S185" s="279"/>
      <c r="T185" s="279"/>
      <c r="U185" s="279"/>
      <c r="V185" s="279"/>
      <c r="W185" s="279"/>
      <c r="X185" s="279"/>
      <c r="Y185" s="279"/>
      <c r="Z185" s="279"/>
      <c r="AA185" s="279"/>
      <c r="AB185" s="279"/>
      <c r="AC185" s="279"/>
      <c r="AD185" s="279"/>
      <c r="AE185" s="279"/>
      <c r="AF185" s="279"/>
      <c r="AG185" s="279"/>
      <c r="AH185" s="279"/>
      <c r="AI185" s="279"/>
      <c r="AJ185" s="279"/>
      <c r="AK185" s="279"/>
      <c r="AL185" s="279"/>
      <c r="AM185" s="279"/>
      <c r="AN185" s="279"/>
      <c r="AO185" s="279"/>
      <c r="AP185" s="279"/>
      <c r="AQ185" s="279"/>
      <c r="AR185" s="279"/>
      <c r="AS185" s="154"/>
      <c r="AT185" s="154"/>
      <c r="AU185" s="155"/>
      <c r="AV185" s="155"/>
      <c r="AW185" s="155"/>
      <c r="AX185" s="279"/>
      <c r="AY185" s="279"/>
      <c r="AZ185" s="279"/>
      <c r="BA185" s="279"/>
      <c r="BB185" s="279"/>
      <c r="BC185" s="279"/>
      <c r="BD185" s="279"/>
      <c r="BE185" s="279"/>
      <c r="BF185" s="279"/>
      <c r="BG185" s="279"/>
      <c r="BH185" s="279"/>
      <c r="BI185" s="279"/>
      <c r="BJ185" s="279"/>
      <c r="BK185" s="279"/>
      <c r="BL185" s="279"/>
      <c r="BM185" s="279"/>
      <c r="BN185" s="279"/>
      <c r="BO185" s="279"/>
      <c r="BP185" s="279"/>
      <c r="BQ185" s="279"/>
      <c r="BR185" s="279"/>
      <c r="BS185" s="154"/>
      <c r="BT185" s="154"/>
      <c r="BU185" s="154"/>
      <c r="BV185" s="154"/>
      <c r="BW185" s="154"/>
    </row>
    <row r="186" spans="6:75" ht="11.25" customHeight="1" x14ac:dyDescent="0.2">
      <c r="F186" s="279"/>
      <c r="G186" s="279"/>
      <c r="H186" s="279"/>
      <c r="I186" s="279"/>
      <c r="J186" s="279"/>
      <c r="K186" s="279"/>
      <c r="L186" s="279"/>
      <c r="M186" s="279"/>
      <c r="N186" s="279"/>
      <c r="O186" s="279"/>
      <c r="P186" s="279"/>
      <c r="Q186" s="279"/>
      <c r="R186" s="279"/>
      <c r="S186" s="279"/>
      <c r="T186" s="279"/>
      <c r="U186" s="279"/>
      <c r="V186" s="279"/>
      <c r="W186" s="279"/>
      <c r="X186" s="279"/>
      <c r="Y186" s="279"/>
      <c r="Z186" s="279"/>
      <c r="AA186" s="279"/>
      <c r="AB186" s="279"/>
      <c r="AC186" s="279"/>
      <c r="AD186" s="279"/>
      <c r="AE186" s="279"/>
      <c r="AF186" s="279"/>
      <c r="AG186" s="279"/>
      <c r="AH186" s="279"/>
      <c r="AI186" s="279"/>
      <c r="AJ186" s="279"/>
      <c r="AK186" s="279"/>
      <c r="AL186" s="279"/>
      <c r="AM186" s="279"/>
      <c r="AN186" s="279"/>
      <c r="AO186" s="279"/>
      <c r="AP186" s="279"/>
      <c r="AQ186" s="279"/>
      <c r="AR186" s="279"/>
      <c r="AS186" s="154"/>
      <c r="AT186" s="154"/>
      <c r="AU186" s="155"/>
      <c r="AV186" s="155"/>
      <c r="AW186" s="155"/>
      <c r="AX186" s="279"/>
      <c r="AY186" s="279"/>
      <c r="AZ186" s="279"/>
      <c r="BA186" s="279"/>
      <c r="BB186" s="279"/>
      <c r="BC186" s="279"/>
      <c r="BD186" s="279"/>
      <c r="BE186" s="279"/>
      <c r="BF186" s="279"/>
      <c r="BG186" s="279"/>
      <c r="BH186" s="279"/>
      <c r="BI186" s="279"/>
      <c r="BJ186" s="279"/>
      <c r="BK186" s="279"/>
      <c r="BL186" s="279"/>
      <c r="BM186" s="279"/>
      <c r="BN186" s="279"/>
      <c r="BO186" s="279"/>
      <c r="BP186" s="279"/>
      <c r="BQ186" s="279"/>
      <c r="BR186" s="279"/>
      <c r="BS186" s="154"/>
      <c r="BT186" s="154"/>
      <c r="BU186" s="154"/>
      <c r="BV186" s="154"/>
      <c r="BW186" s="154"/>
    </row>
    <row r="187" spans="6:75" ht="11.25" customHeight="1" x14ac:dyDescent="0.2">
      <c r="F187" s="279"/>
      <c r="G187" s="279"/>
      <c r="H187" s="279"/>
      <c r="I187" s="279"/>
      <c r="J187" s="279"/>
      <c r="K187" s="279"/>
      <c r="L187" s="279"/>
      <c r="M187" s="279"/>
      <c r="N187" s="279"/>
      <c r="O187" s="279"/>
      <c r="P187" s="279"/>
      <c r="Q187" s="279"/>
      <c r="R187" s="279"/>
      <c r="S187" s="279"/>
      <c r="T187" s="279"/>
      <c r="U187" s="279"/>
      <c r="V187" s="279"/>
      <c r="W187" s="279"/>
      <c r="X187" s="279"/>
      <c r="Y187" s="279"/>
      <c r="Z187" s="279"/>
      <c r="AA187" s="279"/>
      <c r="AB187" s="279"/>
      <c r="AC187" s="279"/>
      <c r="AD187" s="279"/>
      <c r="AE187" s="279"/>
      <c r="AF187" s="279"/>
      <c r="AG187" s="279"/>
      <c r="AH187" s="279"/>
      <c r="AI187" s="279"/>
      <c r="AJ187" s="279"/>
      <c r="AK187" s="279"/>
      <c r="AL187" s="279"/>
      <c r="AM187" s="279"/>
      <c r="AN187" s="279"/>
      <c r="AO187" s="279"/>
      <c r="AP187" s="279"/>
      <c r="AQ187" s="279"/>
      <c r="AR187" s="279"/>
      <c r="AS187" s="154"/>
      <c r="AT187" s="154"/>
      <c r="AU187" s="155"/>
      <c r="AV187" s="155"/>
      <c r="AW187" s="155"/>
      <c r="AX187" s="279"/>
      <c r="AY187" s="279"/>
      <c r="AZ187" s="279"/>
      <c r="BA187" s="279"/>
      <c r="BB187" s="279"/>
      <c r="BC187" s="279"/>
      <c r="BD187" s="279"/>
      <c r="BE187" s="279"/>
      <c r="BF187" s="279"/>
      <c r="BG187" s="279"/>
      <c r="BH187" s="279"/>
      <c r="BI187" s="279"/>
      <c r="BJ187" s="279"/>
      <c r="BK187" s="279"/>
      <c r="BL187" s="279"/>
      <c r="BM187" s="279"/>
      <c r="BN187" s="279"/>
      <c r="BO187" s="279"/>
      <c r="BP187" s="279"/>
      <c r="BQ187" s="279"/>
      <c r="BR187" s="279"/>
      <c r="BS187" s="154"/>
      <c r="BT187" s="154"/>
      <c r="BU187" s="154"/>
      <c r="BV187" s="154"/>
      <c r="BW187" s="154"/>
    </row>
    <row r="188" spans="6:75" ht="11.25" customHeight="1" x14ac:dyDescent="0.2">
      <c r="F188" s="279"/>
      <c r="G188" s="279"/>
      <c r="H188" s="279"/>
      <c r="I188" s="279"/>
      <c r="J188" s="279"/>
      <c r="K188" s="279"/>
      <c r="L188" s="279"/>
      <c r="M188" s="279"/>
      <c r="N188" s="279"/>
      <c r="O188" s="279"/>
      <c r="P188" s="279"/>
      <c r="Q188" s="279"/>
      <c r="R188" s="279"/>
      <c r="S188" s="279"/>
      <c r="T188" s="279"/>
      <c r="U188" s="279"/>
      <c r="V188" s="279"/>
      <c r="W188" s="279"/>
      <c r="X188" s="279"/>
      <c r="Y188" s="279"/>
      <c r="Z188" s="279"/>
      <c r="AA188" s="279"/>
      <c r="AB188" s="279"/>
      <c r="AC188" s="279"/>
      <c r="AD188" s="279"/>
      <c r="AE188" s="279"/>
      <c r="AF188" s="279"/>
      <c r="AG188" s="279"/>
      <c r="AH188" s="279"/>
      <c r="AI188" s="279"/>
      <c r="AJ188" s="279"/>
      <c r="AK188" s="279"/>
      <c r="AL188" s="279"/>
      <c r="AM188" s="279"/>
      <c r="AN188" s="279"/>
      <c r="AO188" s="279"/>
      <c r="AP188" s="279"/>
      <c r="AQ188" s="279"/>
      <c r="AR188" s="279"/>
      <c r="AS188" s="154"/>
      <c r="AT188" s="154"/>
      <c r="AU188" s="155"/>
      <c r="AV188" s="155"/>
      <c r="AW188" s="155"/>
      <c r="AX188" s="279"/>
      <c r="AY188" s="279"/>
      <c r="AZ188" s="279"/>
      <c r="BA188" s="279"/>
      <c r="BB188" s="279"/>
      <c r="BC188" s="279"/>
      <c r="BD188" s="279"/>
      <c r="BE188" s="279"/>
      <c r="BF188" s="279"/>
      <c r="BG188" s="279"/>
      <c r="BH188" s="279"/>
      <c r="BI188" s="279"/>
      <c r="BJ188" s="279"/>
      <c r="BK188" s="279"/>
      <c r="BL188" s="279"/>
      <c r="BM188" s="279"/>
      <c r="BN188" s="279"/>
      <c r="BO188" s="279"/>
      <c r="BP188" s="279"/>
      <c r="BQ188" s="279"/>
      <c r="BR188" s="279"/>
      <c r="BS188" s="154"/>
      <c r="BT188" s="154"/>
      <c r="BU188" s="154"/>
      <c r="BV188" s="154"/>
      <c r="BW188" s="154"/>
    </row>
    <row r="189" spans="6:75" ht="11.25" customHeight="1" x14ac:dyDescent="0.2">
      <c r="F189" s="279"/>
      <c r="G189" s="279"/>
      <c r="H189" s="279"/>
      <c r="I189" s="279"/>
      <c r="J189" s="279"/>
      <c r="K189" s="279"/>
      <c r="L189" s="279"/>
      <c r="M189" s="279"/>
      <c r="N189" s="279"/>
      <c r="O189" s="279"/>
      <c r="P189" s="279"/>
      <c r="Q189" s="279"/>
      <c r="R189" s="279"/>
      <c r="S189" s="279"/>
      <c r="T189" s="279"/>
      <c r="U189" s="279"/>
      <c r="V189" s="279"/>
      <c r="W189" s="279"/>
      <c r="X189" s="279"/>
      <c r="Y189" s="279"/>
      <c r="Z189" s="279"/>
      <c r="AA189" s="279"/>
      <c r="AB189" s="279"/>
      <c r="AC189" s="279"/>
      <c r="AD189" s="279"/>
      <c r="AE189" s="279"/>
      <c r="AF189" s="279"/>
      <c r="AG189" s="279"/>
      <c r="AH189" s="279"/>
      <c r="AI189" s="279"/>
      <c r="AJ189" s="279"/>
      <c r="AK189" s="279"/>
      <c r="AL189" s="279"/>
      <c r="AM189" s="279"/>
      <c r="AN189" s="279"/>
      <c r="AO189" s="279"/>
      <c r="AP189" s="279"/>
      <c r="AQ189" s="279"/>
      <c r="AR189" s="279"/>
      <c r="AS189" s="154"/>
      <c r="AT189" s="154"/>
      <c r="AU189" s="155"/>
      <c r="AV189" s="155"/>
      <c r="AW189" s="155"/>
      <c r="AX189" s="279"/>
      <c r="AY189" s="279"/>
      <c r="AZ189" s="279"/>
      <c r="BA189" s="279"/>
      <c r="BB189" s="279"/>
      <c r="BC189" s="279"/>
      <c r="BD189" s="279"/>
      <c r="BE189" s="279"/>
      <c r="BF189" s="279"/>
      <c r="BG189" s="279"/>
      <c r="BH189" s="279"/>
      <c r="BI189" s="279"/>
      <c r="BJ189" s="279"/>
      <c r="BK189" s="279"/>
      <c r="BL189" s="279"/>
      <c r="BM189" s="279"/>
      <c r="BN189" s="279"/>
      <c r="BO189" s="279"/>
      <c r="BP189" s="279"/>
      <c r="BQ189" s="279"/>
      <c r="BR189" s="279"/>
      <c r="BS189" s="154"/>
      <c r="BT189" s="154"/>
      <c r="BU189" s="154"/>
      <c r="BV189" s="154"/>
      <c r="BW189" s="154"/>
    </row>
    <row r="190" spans="6:75" ht="11.25" customHeight="1" x14ac:dyDescent="0.2">
      <c r="F190" s="279"/>
      <c r="G190" s="279"/>
      <c r="H190" s="279"/>
      <c r="I190" s="279"/>
      <c r="J190" s="279"/>
      <c r="K190" s="279"/>
      <c r="L190" s="279"/>
      <c r="M190" s="279"/>
      <c r="N190" s="279"/>
      <c r="O190" s="279"/>
      <c r="P190" s="279"/>
      <c r="Q190" s="279"/>
      <c r="R190" s="279"/>
      <c r="S190" s="279"/>
      <c r="T190" s="279"/>
      <c r="U190" s="279"/>
      <c r="V190" s="279"/>
      <c r="W190" s="279"/>
      <c r="X190" s="279"/>
      <c r="Y190" s="279"/>
      <c r="Z190" s="279"/>
      <c r="AA190" s="279"/>
      <c r="AB190" s="279"/>
      <c r="AC190" s="279"/>
      <c r="AD190" s="279"/>
      <c r="AE190" s="279"/>
      <c r="AF190" s="279"/>
      <c r="AG190" s="279"/>
      <c r="AH190" s="279"/>
      <c r="AI190" s="279"/>
      <c r="AJ190" s="279"/>
      <c r="AK190" s="279"/>
      <c r="AL190" s="279"/>
      <c r="AM190" s="279"/>
      <c r="AN190" s="279"/>
      <c r="AO190" s="279"/>
      <c r="AP190" s="279"/>
      <c r="AQ190" s="279"/>
      <c r="AR190" s="279"/>
      <c r="AS190" s="154"/>
      <c r="AT190" s="154"/>
      <c r="AU190" s="155"/>
      <c r="AV190" s="155"/>
      <c r="AW190" s="155"/>
      <c r="AX190" s="279"/>
      <c r="AY190" s="279"/>
      <c r="AZ190" s="279"/>
      <c r="BA190" s="279"/>
      <c r="BB190" s="279"/>
      <c r="BC190" s="279"/>
      <c r="BD190" s="279"/>
      <c r="BE190" s="279"/>
      <c r="BF190" s="279"/>
      <c r="BG190" s="279"/>
      <c r="BH190" s="279"/>
      <c r="BI190" s="279"/>
      <c r="BJ190" s="279"/>
      <c r="BK190" s="279"/>
      <c r="BL190" s="279"/>
      <c r="BM190" s="279"/>
      <c r="BN190" s="279"/>
      <c r="BO190" s="279"/>
      <c r="BP190" s="279"/>
      <c r="BQ190" s="279"/>
      <c r="BR190" s="279"/>
      <c r="BS190" s="154"/>
      <c r="BT190" s="154"/>
      <c r="BU190" s="154"/>
      <c r="BV190" s="154"/>
      <c r="BW190" s="154"/>
    </row>
    <row r="191" spans="6:75" ht="11.25" customHeight="1" x14ac:dyDescent="0.2">
      <c r="F191" s="279"/>
      <c r="G191" s="279"/>
      <c r="H191" s="279"/>
      <c r="I191" s="279"/>
      <c r="J191" s="279"/>
      <c r="K191" s="279"/>
      <c r="L191" s="279"/>
      <c r="M191" s="279"/>
      <c r="N191" s="279"/>
      <c r="O191" s="279"/>
      <c r="P191" s="279"/>
      <c r="Q191" s="279"/>
      <c r="R191" s="279"/>
      <c r="S191" s="279"/>
      <c r="T191" s="279"/>
      <c r="U191" s="279"/>
      <c r="V191" s="279"/>
      <c r="W191" s="279"/>
      <c r="X191" s="279"/>
      <c r="Y191" s="279"/>
      <c r="Z191" s="279"/>
      <c r="AA191" s="279"/>
      <c r="AB191" s="279"/>
      <c r="AC191" s="279"/>
      <c r="AD191" s="279"/>
      <c r="AE191" s="279"/>
      <c r="AF191" s="279"/>
      <c r="AG191" s="279"/>
      <c r="AH191" s="279"/>
      <c r="AI191" s="279"/>
      <c r="AJ191" s="279"/>
      <c r="AK191" s="279"/>
      <c r="AL191" s="279"/>
      <c r="AM191" s="279"/>
      <c r="AN191" s="279"/>
      <c r="AO191" s="279"/>
      <c r="AP191" s="279"/>
      <c r="AQ191" s="279"/>
      <c r="AR191" s="279"/>
      <c r="AS191" s="154"/>
      <c r="AT191" s="154"/>
      <c r="AU191" s="155"/>
      <c r="AV191" s="155"/>
      <c r="AW191" s="155"/>
      <c r="AX191" s="279"/>
      <c r="AY191" s="279"/>
      <c r="AZ191" s="279"/>
      <c r="BA191" s="279"/>
      <c r="BB191" s="279"/>
      <c r="BC191" s="279"/>
      <c r="BD191" s="279"/>
      <c r="BE191" s="279"/>
      <c r="BF191" s="279"/>
      <c r="BG191" s="279"/>
      <c r="BH191" s="279"/>
      <c r="BI191" s="279"/>
      <c r="BJ191" s="279"/>
      <c r="BK191" s="279"/>
      <c r="BL191" s="279"/>
      <c r="BM191" s="279"/>
      <c r="BN191" s="279"/>
      <c r="BO191" s="279"/>
      <c r="BP191" s="279"/>
      <c r="BQ191" s="279"/>
      <c r="BR191" s="279"/>
      <c r="BS191" s="154"/>
      <c r="BT191" s="154"/>
      <c r="BU191" s="154"/>
      <c r="BV191" s="154"/>
      <c r="BW191" s="154"/>
    </row>
    <row r="192" spans="6:75" ht="11.25" customHeight="1" x14ac:dyDescent="0.2">
      <c r="F192" s="279"/>
      <c r="G192" s="279"/>
      <c r="H192" s="279"/>
      <c r="I192" s="279"/>
      <c r="J192" s="279"/>
      <c r="K192" s="279"/>
      <c r="L192" s="279"/>
      <c r="M192" s="279"/>
      <c r="N192" s="279"/>
      <c r="O192" s="279"/>
      <c r="P192" s="279"/>
      <c r="Q192" s="279"/>
      <c r="R192" s="279"/>
      <c r="S192" s="279"/>
      <c r="T192" s="279"/>
      <c r="U192" s="279"/>
      <c r="V192" s="279"/>
      <c r="W192" s="279"/>
      <c r="X192" s="279"/>
      <c r="Y192" s="279"/>
      <c r="Z192" s="279"/>
      <c r="AA192" s="279"/>
      <c r="AB192" s="279"/>
      <c r="AC192" s="279"/>
      <c r="AD192" s="279"/>
      <c r="AE192" s="279"/>
      <c r="AF192" s="279"/>
      <c r="AG192" s="279"/>
      <c r="AH192" s="279"/>
      <c r="AI192" s="279"/>
      <c r="AJ192" s="279"/>
      <c r="AK192" s="279"/>
      <c r="AL192" s="279"/>
      <c r="AM192" s="279"/>
      <c r="AN192" s="279"/>
      <c r="AO192" s="279"/>
      <c r="AP192" s="279"/>
      <c r="AQ192" s="279"/>
      <c r="AR192" s="279"/>
      <c r="AS192" s="154"/>
      <c r="AT192" s="154"/>
      <c r="AU192" s="155"/>
      <c r="AV192" s="155"/>
      <c r="AW192" s="155"/>
      <c r="AX192" s="279"/>
      <c r="AY192" s="279"/>
      <c r="AZ192" s="279"/>
      <c r="BA192" s="279"/>
      <c r="BB192" s="279"/>
      <c r="BC192" s="279"/>
      <c r="BD192" s="279"/>
      <c r="BE192" s="279"/>
      <c r="BF192" s="279"/>
      <c r="BG192" s="279"/>
      <c r="BH192" s="279"/>
      <c r="BI192" s="279"/>
      <c r="BJ192" s="279"/>
      <c r="BK192" s="279"/>
      <c r="BL192" s="279"/>
      <c r="BM192" s="279"/>
      <c r="BN192" s="279"/>
      <c r="BO192" s="279"/>
      <c r="BP192" s="279"/>
      <c r="BQ192" s="279"/>
      <c r="BR192" s="279"/>
      <c r="BS192" s="154"/>
      <c r="BT192" s="154"/>
      <c r="BU192" s="154"/>
      <c r="BV192" s="154"/>
      <c r="BW192" s="154"/>
    </row>
    <row r="193" spans="6:75" ht="11.25" customHeight="1" x14ac:dyDescent="0.2">
      <c r="F193" s="279"/>
      <c r="G193" s="279"/>
      <c r="H193" s="279"/>
      <c r="I193" s="279"/>
      <c r="J193" s="279"/>
      <c r="K193" s="279"/>
      <c r="L193" s="279"/>
      <c r="M193" s="279"/>
      <c r="N193" s="279"/>
      <c r="O193" s="279"/>
      <c r="P193" s="279"/>
      <c r="Q193" s="279"/>
      <c r="R193" s="279"/>
      <c r="S193" s="279"/>
      <c r="T193" s="279"/>
      <c r="U193" s="279"/>
      <c r="V193" s="279"/>
      <c r="W193" s="279"/>
      <c r="X193" s="279"/>
      <c r="Y193" s="279"/>
      <c r="Z193" s="279"/>
      <c r="AA193" s="279"/>
      <c r="AB193" s="279"/>
      <c r="AC193" s="279"/>
      <c r="AD193" s="279"/>
      <c r="AE193" s="279"/>
      <c r="AF193" s="279"/>
      <c r="AG193" s="279"/>
      <c r="AH193" s="279"/>
      <c r="AI193" s="279"/>
      <c r="AJ193" s="279"/>
      <c r="AK193" s="279"/>
      <c r="AL193" s="279"/>
      <c r="AM193" s="279"/>
      <c r="AN193" s="279"/>
      <c r="AO193" s="279"/>
      <c r="AP193" s="279"/>
      <c r="AQ193" s="279"/>
      <c r="AR193" s="279"/>
      <c r="AS193" s="154"/>
      <c r="AT193" s="154"/>
      <c r="AU193" s="155"/>
      <c r="AV193" s="155"/>
      <c r="AW193" s="155"/>
      <c r="AX193" s="279"/>
      <c r="AY193" s="279"/>
      <c r="AZ193" s="279"/>
      <c r="BA193" s="279"/>
      <c r="BB193" s="279"/>
      <c r="BC193" s="279"/>
      <c r="BD193" s="279"/>
      <c r="BE193" s="279"/>
      <c r="BF193" s="279"/>
      <c r="BG193" s="279"/>
      <c r="BH193" s="279"/>
      <c r="BI193" s="279"/>
      <c r="BJ193" s="279"/>
      <c r="BK193" s="279"/>
      <c r="BL193" s="279"/>
      <c r="BM193" s="279"/>
      <c r="BN193" s="279"/>
      <c r="BO193" s="279"/>
      <c r="BP193" s="279"/>
      <c r="BQ193" s="279"/>
      <c r="BR193" s="279"/>
      <c r="BS193" s="154"/>
      <c r="BT193" s="154"/>
      <c r="BU193" s="154"/>
      <c r="BV193" s="154"/>
      <c r="BW193" s="154"/>
    </row>
    <row r="194" spans="6:75" ht="11.25" customHeight="1" x14ac:dyDescent="0.2">
      <c r="F194" s="279"/>
      <c r="G194" s="279"/>
      <c r="H194" s="279"/>
      <c r="I194" s="279"/>
      <c r="J194" s="279"/>
      <c r="K194" s="279"/>
      <c r="L194" s="279"/>
      <c r="M194" s="279"/>
      <c r="N194" s="279"/>
      <c r="O194" s="279"/>
      <c r="P194" s="279"/>
      <c r="Q194" s="279"/>
      <c r="R194" s="279"/>
      <c r="S194" s="279"/>
      <c r="T194" s="279"/>
      <c r="U194" s="279"/>
      <c r="V194" s="279"/>
      <c r="W194" s="279"/>
      <c r="X194" s="279"/>
      <c r="Y194" s="279"/>
      <c r="Z194" s="279"/>
      <c r="AA194" s="279"/>
      <c r="AB194" s="279"/>
      <c r="AC194" s="279"/>
      <c r="AD194" s="279"/>
      <c r="AE194" s="279"/>
      <c r="AF194" s="279"/>
      <c r="AG194" s="279"/>
      <c r="AH194" s="279"/>
      <c r="AI194" s="279"/>
      <c r="AJ194" s="279"/>
      <c r="AK194" s="279"/>
      <c r="AL194" s="279"/>
      <c r="AM194" s="279"/>
      <c r="AN194" s="279"/>
      <c r="AO194" s="279"/>
      <c r="AP194" s="279"/>
      <c r="AQ194" s="279"/>
      <c r="AR194" s="279"/>
      <c r="AS194" s="154"/>
      <c r="AT194" s="154"/>
      <c r="AU194" s="155"/>
      <c r="AV194" s="155"/>
      <c r="AW194" s="155"/>
      <c r="AX194" s="279"/>
      <c r="AY194" s="279"/>
      <c r="AZ194" s="279"/>
      <c r="BA194" s="279"/>
      <c r="BB194" s="279"/>
      <c r="BC194" s="279"/>
      <c r="BD194" s="279"/>
      <c r="BE194" s="279"/>
      <c r="BF194" s="279"/>
      <c r="BG194" s="279"/>
      <c r="BH194" s="279"/>
      <c r="BI194" s="279"/>
      <c r="BJ194" s="279"/>
      <c r="BK194" s="279"/>
      <c r="BL194" s="279"/>
      <c r="BM194" s="279"/>
      <c r="BN194" s="279"/>
      <c r="BO194" s="279"/>
      <c r="BP194" s="279"/>
      <c r="BQ194" s="279"/>
      <c r="BR194" s="279"/>
      <c r="BS194" s="154"/>
      <c r="BT194" s="154"/>
      <c r="BU194" s="154"/>
      <c r="BV194" s="154"/>
      <c r="BW194" s="154"/>
    </row>
    <row r="195" spans="6:75" ht="11.25" customHeight="1" x14ac:dyDescent="0.2">
      <c r="F195" s="279"/>
      <c r="G195" s="279"/>
      <c r="H195" s="279"/>
      <c r="I195" s="279"/>
      <c r="J195" s="279"/>
      <c r="K195" s="279"/>
      <c r="L195" s="279"/>
      <c r="M195" s="279"/>
      <c r="N195" s="279"/>
      <c r="O195" s="279"/>
      <c r="P195" s="279"/>
      <c r="Q195" s="279"/>
      <c r="R195" s="279"/>
      <c r="S195" s="279"/>
      <c r="T195" s="279"/>
      <c r="U195" s="279"/>
      <c r="V195" s="279"/>
      <c r="W195" s="279"/>
      <c r="X195" s="279"/>
      <c r="Y195" s="279"/>
      <c r="Z195" s="279"/>
      <c r="AA195" s="279"/>
      <c r="AB195" s="279"/>
      <c r="AC195" s="279"/>
      <c r="AD195" s="279"/>
      <c r="AE195" s="279"/>
      <c r="AF195" s="279"/>
      <c r="AG195" s="279"/>
      <c r="AH195" s="279"/>
      <c r="AI195" s="279"/>
      <c r="AJ195" s="279"/>
      <c r="AK195" s="279"/>
      <c r="AL195" s="279"/>
      <c r="AM195" s="279"/>
      <c r="AN195" s="279"/>
      <c r="AO195" s="279"/>
      <c r="AP195" s="279"/>
      <c r="AQ195" s="279"/>
      <c r="AR195" s="279"/>
      <c r="AS195" s="154"/>
      <c r="AT195" s="154"/>
      <c r="AU195" s="155"/>
      <c r="AV195" s="155"/>
      <c r="AW195" s="155"/>
      <c r="AX195" s="279"/>
      <c r="AY195" s="279"/>
      <c r="AZ195" s="279"/>
      <c r="BA195" s="279"/>
      <c r="BB195" s="279"/>
      <c r="BC195" s="279"/>
      <c r="BD195" s="279"/>
      <c r="BE195" s="279"/>
      <c r="BF195" s="279"/>
      <c r="BG195" s="279"/>
      <c r="BH195" s="279"/>
      <c r="BI195" s="279"/>
      <c r="BJ195" s="279"/>
      <c r="BK195" s="279"/>
      <c r="BL195" s="279"/>
      <c r="BM195" s="279"/>
      <c r="BN195" s="279"/>
      <c r="BO195" s="279"/>
      <c r="BP195" s="279"/>
      <c r="BQ195" s="279"/>
      <c r="BR195" s="279"/>
      <c r="BS195" s="154"/>
      <c r="BT195" s="154"/>
      <c r="BU195" s="154"/>
      <c r="BV195" s="154"/>
      <c r="BW195" s="154"/>
    </row>
    <row r="196" spans="6:75" ht="11.25" customHeight="1" x14ac:dyDescent="0.2">
      <c r="F196" s="279"/>
      <c r="G196" s="279"/>
      <c r="H196" s="279"/>
      <c r="I196" s="279"/>
      <c r="J196" s="279"/>
      <c r="K196" s="279"/>
      <c r="L196" s="279"/>
      <c r="M196" s="279"/>
      <c r="N196" s="279"/>
      <c r="O196" s="279"/>
      <c r="P196" s="279"/>
      <c r="Q196" s="279"/>
      <c r="R196" s="279"/>
      <c r="S196" s="279"/>
      <c r="T196" s="279"/>
      <c r="U196" s="279"/>
      <c r="V196" s="279"/>
      <c r="W196" s="279"/>
      <c r="X196" s="279"/>
      <c r="Y196" s="279"/>
      <c r="Z196" s="279"/>
      <c r="AA196" s="279"/>
      <c r="AB196" s="279"/>
      <c r="AC196" s="279"/>
      <c r="AD196" s="279"/>
      <c r="AE196" s="279"/>
      <c r="AF196" s="279"/>
      <c r="AG196" s="279"/>
      <c r="AH196" s="279"/>
      <c r="AI196" s="279"/>
      <c r="AJ196" s="279"/>
      <c r="AK196" s="279"/>
      <c r="AL196" s="279"/>
      <c r="AM196" s="279"/>
      <c r="AN196" s="279"/>
      <c r="AO196" s="279"/>
      <c r="AP196" s="279"/>
      <c r="AQ196" s="279"/>
      <c r="AR196" s="279"/>
      <c r="AS196" s="154"/>
      <c r="AT196" s="154"/>
      <c r="AU196" s="155"/>
      <c r="AV196" s="155"/>
      <c r="AW196" s="155"/>
      <c r="AX196" s="279"/>
      <c r="AY196" s="279"/>
      <c r="AZ196" s="279"/>
      <c r="BA196" s="279"/>
      <c r="BB196" s="279"/>
      <c r="BC196" s="279"/>
      <c r="BD196" s="279"/>
      <c r="BE196" s="279"/>
      <c r="BF196" s="279"/>
      <c r="BG196" s="279"/>
      <c r="BH196" s="279"/>
      <c r="BI196" s="279"/>
      <c r="BJ196" s="279"/>
      <c r="BK196" s="279"/>
      <c r="BL196" s="279"/>
      <c r="BM196" s="279"/>
      <c r="BN196" s="279"/>
      <c r="BO196" s="279"/>
      <c r="BP196" s="279"/>
      <c r="BQ196" s="279"/>
      <c r="BR196" s="279"/>
      <c r="BS196" s="154"/>
      <c r="BT196" s="154"/>
      <c r="BU196" s="154"/>
      <c r="BV196" s="154"/>
      <c r="BW196" s="154"/>
    </row>
    <row r="197" spans="6:75" ht="11.25" customHeight="1" x14ac:dyDescent="0.2">
      <c r="F197" s="279"/>
      <c r="G197" s="279"/>
      <c r="H197" s="279"/>
      <c r="I197" s="279"/>
      <c r="J197" s="279"/>
      <c r="K197" s="279"/>
      <c r="L197" s="279"/>
      <c r="M197" s="279"/>
      <c r="N197" s="279"/>
      <c r="O197" s="279"/>
      <c r="P197" s="279"/>
      <c r="Q197" s="279"/>
      <c r="R197" s="279"/>
      <c r="S197" s="279"/>
      <c r="T197" s="279"/>
      <c r="U197" s="279"/>
      <c r="V197" s="279"/>
      <c r="W197" s="279"/>
      <c r="X197" s="279"/>
      <c r="Y197" s="279"/>
      <c r="Z197" s="279"/>
      <c r="AA197" s="279"/>
      <c r="AB197" s="279"/>
      <c r="AC197" s="279"/>
      <c r="AD197" s="279"/>
      <c r="AE197" s="279"/>
      <c r="AF197" s="279"/>
      <c r="AG197" s="279"/>
      <c r="AH197" s="279"/>
      <c r="AI197" s="279"/>
      <c r="AJ197" s="279"/>
      <c r="AK197" s="279"/>
      <c r="AL197" s="279"/>
      <c r="AM197" s="279"/>
      <c r="AN197" s="279"/>
      <c r="AO197" s="279"/>
      <c r="AP197" s="279"/>
      <c r="AQ197" s="279"/>
      <c r="AR197" s="279"/>
      <c r="AS197" s="154"/>
      <c r="AT197" s="154"/>
      <c r="AU197" s="155"/>
      <c r="AV197" s="155"/>
      <c r="AW197" s="155"/>
      <c r="AX197" s="279"/>
      <c r="AY197" s="279"/>
      <c r="AZ197" s="279"/>
      <c r="BA197" s="279"/>
      <c r="BB197" s="279"/>
      <c r="BC197" s="279"/>
      <c r="BD197" s="279"/>
      <c r="BE197" s="279"/>
      <c r="BF197" s="279"/>
      <c r="BG197" s="279"/>
      <c r="BH197" s="279"/>
      <c r="BI197" s="279"/>
      <c r="BJ197" s="279"/>
      <c r="BK197" s="279"/>
      <c r="BL197" s="279"/>
      <c r="BM197" s="279"/>
      <c r="BN197" s="279"/>
      <c r="BO197" s="279"/>
      <c r="BP197" s="279"/>
      <c r="BQ197" s="279"/>
      <c r="BR197" s="279"/>
      <c r="BS197" s="154"/>
      <c r="BT197" s="154"/>
      <c r="BU197" s="154"/>
      <c r="BV197" s="154"/>
      <c r="BW197" s="154"/>
    </row>
    <row r="198" spans="6:75" ht="11.25" customHeight="1" x14ac:dyDescent="0.2">
      <c r="F198" s="279"/>
      <c r="G198" s="279"/>
      <c r="H198" s="279"/>
      <c r="I198" s="279"/>
      <c r="J198" s="279"/>
      <c r="K198" s="279"/>
      <c r="L198" s="279"/>
      <c r="M198" s="279"/>
      <c r="N198" s="279"/>
      <c r="O198" s="279"/>
      <c r="P198" s="279"/>
      <c r="Q198" s="279"/>
      <c r="R198" s="279"/>
      <c r="S198" s="279"/>
      <c r="T198" s="279"/>
      <c r="U198" s="279"/>
      <c r="V198" s="279"/>
      <c r="W198" s="279"/>
      <c r="X198" s="279"/>
      <c r="Y198" s="279"/>
      <c r="Z198" s="279"/>
      <c r="AA198" s="279"/>
      <c r="AB198" s="279"/>
      <c r="AC198" s="279"/>
      <c r="AD198" s="279"/>
      <c r="AE198" s="279"/>
      <c r="AF198" s="279"/>
      <c r="AG198" s="279"/>
      <c r="AH198" s="279"/>
      <c r="AI198" s="279"/>
      <c r="AJ198" s="279"/>
      <c r="AK198" s="279"/>
      <c r="AL198" s="279"/>
      <c r="AM198" s="279"/>
      <c r="AN198" s="279"/>
      <c r="AO198" s="279"/>
      <c r="AP198" s="279"/>
      <c r="AQ198" s="279"/>
      <c r="AR198" s="279"/>
      <c r="AS198" s="154"/>
      <c r="AT198" s="154"/>
      <c r="AU198" s="155"/>
      <c r="AV198" s="155"/>
      <c r="AW198" s="155"/>
      <c r="AX198" s="279"/>
      <c r="AY198" s="279"/>
      <c r="AZ198" s="279"/>
      <c r="BA198" s="279"/>
      <c r="BB198" s="279"/>
      <c r="BC198" s="279"/>
      <c r="BD198" s="279"/>
      <c r="BE198" s="279"/>
      <c r="BF198" s="279"/>
      <c r="BG198" s="279"/>
      <c r="BH198" s="279"/>
      <c r="BI198" s="279"/>
      <c r="BJ198" s="279"/>
      <c r="BK198" s="279"/>
      <c r="BL198" s="279"/>
      <c r="BM198" s="279"/>
      <c r="BN198" s="279"/>
      <c r="BO198" s="279"/>
      <c r="BP198" s="279"/>
      <c r="BQ198" s="279"/>
      <c r="BR198" s="279"/>
      <c r="BS198" s="154"/>
      <c r="BT198" s="154"/>
      <c r="BU198" s="154"/>
      <c r="BV198" s="154"/>
      <c r="BW198" s="154"/>
    </row>
    <row r="199" spans="6:75" ht="11.25" customHeight="1" x14ac:dyDescent="0.2">
      <c r="F199" s="279"/>
      <c r="G199" s="279"/>
      <c r="H199" s="279"/>
      <c r="I199" s="279"/>
      <c r="J199" s="279"/>
      <c r="K199" s="279"/>
      <c r="L199" s="279"/>
      <c r="M199" s="279"/>
      <c r="N199" s="279"/>
      <c r="O199" s="279"/>
      <c r="P199" s="279"/>
      <c r="Q199" s="279"/>
      <c r="R199" s="279"/>
      <c r="S199" s="279"/>
      <c r="T199" s="279"/>
      <c r="U199" s="279"/>
      <c r="V199" s="279"/>
      <c r="W199" s="279"/>
      <c r="X199" s="279"/>
      <c r="Y199" s="279"/>
      <c r="Z199" s="279"/>
      <c r="AA199" s="279"/>
      <c r="AB199" s="279"/>
      <c r="AC199" s="279"/>
      <c r="AD199" s="279"/>
      <c r="AE199" s="279"/>
      <c r="AF199" s="279"/>
      <c r="AG199" s="279"/>
      <c r="AH199" s="279"/>
      <c r="AI199" s="279"/>
      <c r="AJ199" s="279"/>
      <c r="AK199" s="279"/>
      <c r="AL199" s="279"/>
      <c r="AM199" s="279"/>
      <c r="AN199" s="279"/>
      <c r="AO199" s="279"/>
      <c r="AP199" s="279"/>
      <c r="AQ199" s="279"/>
      <c r="AR199" s="279"/>
      <c r="AS199" s="154"/>
      <c r="AT199" s="154"/>
      <c r="AU199" s="155"/>
      <c r="AV199" s="155"/>
      <c r="AW199" s="155"/>
      <c r="AX199" s="279"/>
      <c r="AY199" s="279"/>
      <c r="AZ199" s="279"/>
      <c r="BA199" s="279"/>
      <c r="BB199" s="279"/>
      <c r="BC199" s="279"/>
      <c r="BD199" s="279"/>
      <c r="BE199" s="279"/>
      <c r="BF199" s="279"/>
      <c r="BG199" s="279"/>
      <c r="BH199" s="279"/>
      <c r="BI199" s="279"/>
      <c r="BJ199" s="279"/>
      <c r="BK199" s="279"/>
      <c r="BL199" s="279"/>
      <c r="BM199" s="279"/>
      <c r="BN199" s="279"/>
      <c r="BO199" s="279"/>
      <c r="BP199" s="279"/>
      <c r="BQ199" s="279"/>
      <c r="BR199" s="279"/>
      <c r="BS199" s="154"/>
      <c r="BT199" s="154"/>
      <c r="BU199" s="154"/>
      <c r="BV199" s="154"/>
      <c r="BW199" s="154"/>
    </row>
    <row r="200" spans="6:75" ht="11.25" customHeight="1" x14ac:dyDescent="0.2">
      <c r="F200" s="279"/>
      <c r="G200" s="279"/>
      <c r="H200" s="279"/>
      <c r="I200" s="279"/>
      <c r="J200" s="279"/>
      <c r="K200" s="279"/>
      <c r="L200" s="279"/>
      <c r="M200" s="279"/>
      <c r="N200" s="279"/>
      <c r="O200" s="279"/>
      <c r="P200" s="279"/>
      <c r="Q200" s="279"/>
      <c r="R200" s="279"/>
      <c r="S200" s="279"/>
      <c r="T200" s="279"/>
      <c r="U200" s="279"/>
      <c r="V200" s="279"/>
      <c r="W200" s="279"/>
      <c r="X200" s="279"/>
      <c r="Y200" s="279"/>
      <c r="Z200" s="279"/>
      <c r="AA200" s="279"/>
      <c r="AB200" s="279"/>
      <c r="AC200" s="279"/>
      <c r="AD200" s="279"/>
      <c r="AE200" s="279"/>
      <c r="AF200" s="279"/>
      <c r="AG200" s="279"/>
      <c r="AH200" s="279"/>
      <c r="AI200" s="279"/>
      <c r="AJ200" s="279"/>
      <c r="AK200" s="279"/>
      <c r="AL200" s="279"/>
      <c r="AM200" s="279"/>
      <c r="AN200" s="279"/>
      <c r="AO200" s="279"/>
      <c r="AP200" s="279"/>
      <c r="AQ200" s="279"/>
      <c r="AR200" s="279"/>
      <c r="AS200" s="154"/>
      <c r="AT200" s="154"/>
      <c r="AU200" s="155"/>
      <c r="AV200" s="155"/>
      <c r="AW200" s="155"/>
      <c r="AX200" s="279"/>
      <c r="AY200" s="279"/>
      <c r="AZ200" s="279"/>
      <c r="BA200" s="279"/>
      <c r="BB200" s="279"/>
      <c r="BC200" s="279"/>
      <c r="BD200" s="279"/>
      <c r="BE200" s="279"/>
      <c r="BF200" s="279"/>
      <c r="BG200" s="279"/>
      <c r="BH200" s="279"/>
      <c r="BI200" s="279"/>
      <c r="BJ200" s="279"/>
      <c r="BK200" s="279"/>
      <c r="BL200" s="279"/>
      <c r="BM200" s="279"/>
      <c r="BN200" s="279"/>
      <c r="BO200" s="279"/>
      <c r="BP200" s="279"/>
      <c r="BQ200" s="279"/>
      <c r="BR200" s="279"/>
      <c r="BS200" s="154"/>
      <c r="BT200" s="154"/>
      <c r="BU200" s="154"/>
      <c r="BV200" s="154"/>
      <c r="BW200" s="154"/>
    </row>
    <row r="201" spans="6:75" ht="11.25" customHeight="1" x14ac:dyDescent="0.2">
      <c r="F201" s="279"/>
      <c r="G201" s="279"/>
      <c r="H201" s="279"/>
      <c r="I201" s="279"/>
      <c r="J201" s="279"/>
      <c r="K201" s="279"/>
      <c r="L201" s="279"/>
      <c r="M201" s="279"/>
      <c r="N201" s="279"/>
      <c r="O201" s="279"/>
      <c r="P201" s="279"/>
      <c r="Q201" s="279"/>
      <c r="R201" s="279"/>
      <c r="S201" s="279"/>
      <c r="T201" s="279"/>
      <c r="U201" s="279"/>
      <c r="V201" s="279"/>
      <c r="W201" s="279"/>
      <c r="X201" s="279"/>
      <c r="Y201" s="279"/>
      <c r="Z201" s="279"/>
      <c r="AA201" s="279"/>
      <c r="AB201" s="279"/>
      <c r="AC201" s="279"/>
      <c r="AD201" s="279"/>
      <c r="AE201" s="279"/>
      <c r="AF201" s="279"/>
      <c r="AG201" s="279"/>
      <c r="AH201" s="279"/>
      <c r="AI201" s="279"/>
      <c r="AJ201" s="279"/>
      <c r="AK201" s="279"/>
      <c r="AL201" s="279"/>
      <c r="AM201" s="279"/>
      <c r="AN201" s="279"/>
      <c r="AO201" s="279"/>
      <c r="AP201" s="279"/>
      <c r="AQ201" s="279"/>
      <c r="AR201" s="279"/>
      <c r="AS201" s="154"/>
      <c r="AT201" s="154"/>
      <c r="AU201" s="155"/>
      <c r="AV201" s="155"/>
      <c r="AW201" s="155"/>
      <c r="AX201" s="279"/>
      <c r="AY201" s="279"/>
      <c r="AZ201" s="279"/>
      <c r="BA201" s="279"/>
      <c r="BB201" s="279"/>
      <c r="BC201" s="279"/>
      <c r="BD201" s="279"/>
      <c r="BE201" s="279"/>
      <c r="BF201" s="279"/>
      <c r="BG201" s="279"/>
      <c r="BH201" s="279"/>
      <c r="BI201" s="279"/>
      <c r="BJ201" s="279"/>
      <c r="BK201" s="279"/>
      <c r="BL201" s="279"/>
      <c r="BM201" s="279"/>
      <c r="BN201" s="279"/>
      <c r="BO201" s="279"/>
      <c r="BP201" s="279"/>
      <c r="BQ201" s="279"/>
      <c r="BR201" s="279"/>
      <c r="BS201" s="154"/>
      <c r="BT201" s="154"/>
      <c r="BU201" s="154"/>
      <c r="BV201" s="154"/>
      <c r="BW201" s="154"/>
    </row>
    <row r="202" spans="6:75" ht="11.25" customHeight="1" x14ac:dyDescent="0.2">
      <c r="F202" s="279"/>
      <c r="G202" s="279"/>
      <c r="H202" s="279"/>
      <c r="I202" s="279"/>
      <c r="J202" s="279"/>
      <c r="K202" s="279"/>
      <c r="L202" s="279"/>
      <c r="M202" s="279"/>
      <c r="N202" s="279"/>
      <c r="O202" s="279"/>
      <c r="P202" s="279"/>
      <c r="Q202" s="279"/>
      <c r="R202" s="279"/>
      <c r="S202" s="279"/>
      <c r="T202" s="279"/>
      <c r="U202" s="279"/>
      <c r="V202" s="279"/>
      <c r="W202" s="279"/>
      <c r="X202" s="279"/>
      <c r="Y202" s="279"/>
      <c r="Z202" s="279"/>
      <c r="AA202" s="279"/>
      <c r="AB202" s="279"/>
      <c r="AC202" s="279"/>
      <c r="AD202" s="279"/>
      <c r="AE202" s="279"/>
      <c r="AF202" s="279"/>
      <c r="AG202" s="279"/>
      <c r="AH202" s="279"/>
      <c r="AI202" s="279"/>
      <c r="AJ202" s="279"/>
      <c r="AK202" s="279"/>
      <c r="AL202" s="279"/>
      <c r="AM202" s="279"/>
      <c r="AN202" s="279"/>
      <c r="AO202" s="279"/>
      <c r="AP202" s="279"/>
      <c r="AQ202" s="279"/>
      <c r="AR202" s="279"/>
      <c r="AS202" s="154"/>
      <c r="AT202" s="154"/>
      <c r="AU202" s="155"/>
      <c r="AV202" s="155"/>
      <c r="AW202" s="155"/>
      <c r="AX202" s="279"/>
      <c r="AY202" s="279"/>
      <c r="AZ202" s="279"/>
      <c r="BA202" s="279"/>
      <c r="BB202" s="279"/>
      <c r="BC202" s="279"/>
      <c r="BD202" s="279"/>
      <c r="BE202" s="279"/>
      <c r="BF202" s="279"/>
      <c r="BG202" s="279"/>
      <c r="BH202" s="279"/>
      <c r="BI202" s="279"/>
      <c r="BJ202" s="279"/>
      <c r="BK202" s="279"/>
      <c r="BL202" s="279"/>
      <c r="BM202" s="279"/>
      <c r="BN202" s="279"/>
      <c r="BO202" s="279"/>
      <c r="BP202" s="279"/>
      <c r="BQ202" s="279"/>
      <c r="BR202" s="279"/>
      <c r="BS202" s="154"/>
      <c r="BT202" s="154"/>
      <c r="BU202" s="154"/>
      <c r="BV202" s="154"/>
      <c r="BW202" s="154"/>
    </row>
    <row r="203" spans="6:75" ht="11.25" customHeight="1" x14ac:dyDescent="0.2">
      <c r="F203" s="279"/>
      <c r="G203" s="279"/>
      <c r="H203" s="279"/>
      <c r="I203" s="279"/>
      <c r="J203" s="279"/>
      <c r="K203" s="279"/>
      <c r="L203" s="279"/>
      <c r="M203" s="279"/>
      <c r="N203" s="279"/>
      <c r="O203" s="279"/>
      <c r="P203" s="279"/>
      <c r="Q203" s="279"/>
      <c r="R203" s="279"/>
      <c r="S203" s="279"/>
      <c r="T203" s="279"/>
      <c r="U203" s="279"/>
      <c r="V203" s="279"/>
      <c r="W203" s="279"/>
      <c r="X203" s="279"/>
      <c r="Y203" s="279"/>
      <c r="Z203" s="279"/>
      <c r="AA203" s="279"/>
      <c r="AB203" s="279"/>
      <c r="AC203" s="279"/>
      <c r="AD203" s="279"/>
      <c r="AE203" s="279"/>
      <c r="AF203" s="279"/>
      <c r="AG203" s="279"/>
      <c r="AH203" s="279"/>
      <c r="AI203" s="279"/>
      <c r="AJ203" s="279"/>
      <c r="AK203" s="279"/>
      <c r="AL203" s="279"/>
      <c r="AM203" s="279"/>
      <c r="AN203" s="279"/>
      <c r="AO203" s="279"/>
      <c r="AP203" s="279"/>
      <c r="AQ203" s="279"/>
      <c r="AR203" s="279"/>
      <c r="AS203" s="154"/>
      <c r="AT203" s="154"/>
      <c r="AU203" s="155"/>
      <c r="AV203" s="155"/>
      <c r="AW203" s="155"/>
      <c r="AX203" s="279"/>
      <c r="AY203" s="279"/>
      <c r="AZ203" s="279"/>
      <c r="BA203" s="279"/>
      <c r="BB203" s="279"/>
      <c r="BC203" s="279"/>
      <c r="BD203" s="279"/>
      <c r="BE203" s="279"/>
      <c r="BF203" s="279"/>
      <c r="BG203" s="279"/>
      <c r="BH203" s="279"/>
      <c r="BI203" s="279"/>
      <c r="BJ203" s="279"/>
      <c r="BK203" s="279"/>
      <c r="BL203" s="279"/>
      <c r="BM203" s="279"/>
      <c r="BN203" s="279"/>
      <c r="BO203" s="279"/>
      <c r="BP203" s="279"/>
      <c r="BQ203" s="279"/>
      <c r="BR203" s="279"/>
      <c r="BS203" s="154"/>
      <c r="BT203" s="154"/>
      <c r="BU203" s="154"/>
      <c r="BV203" s="154"/>
      <c r="BW203" s="154"/>
    </row>
    <row r="204" spans="6:75" ht="11.25" customHeight="1" x14ac:dyDescent="0.2">
      <c r="F204" s="279"/>
      <c r="G204" s="279"/>
      <c r="H204" s="279"/>
      <c r="I204" s="279"/>
      <c r="J204" s="279"/>
      <c r="K204" s="279"/>
      <c r="L204" s="279"/>
      <c r="M204" s="279"/>
      <c r="N204" s="279"/>
      <c r="O204" s="279"/>
      <c r="P204" s="279"/>
      <c r="Q204" s="279"/>
      <c r="R204" s="279"/>
      <c r="S204" s="279"/>
      <c r="T204" s="279"/>
      <c r="U204" s="279"/>
      <c r="V204" s="279"/>
      <c r="W204" s="279"/>
      <c r="X204" s="279"/>
      <c r="Y204" s="279"/>
      <c r="Z204" s="279"/>
      <c r="AA204" s="279"/>
      <c r="AB204" s="279"/>
      <c r="AC204" s="279"/>
      <c r="AD204" s="279"/>
      <c r="AE204" s="279"/>
      <c r="AF204" s="279"/>
      <c r="AG204" s="279"/>
      <c r="AH204" s="279"/>
      <c r="AI204" s="279"/>
      <c r="AJ204" s="279"/>
      <c r="AK204" s="279"/>
      <c r="AL204" s="279"/>
      <c r="AM204" s="279"/>
      <c r="AN204" s="279"/>
      <c r="AO204" s="279"/>
      <c r="AP204" s="279"/>
      <c r="AQ204" s="279"/>
      <c r="AR204" s="279"/>
      <c r="AS204" s="154"/>
      <c r="AT204" s="154"/>
      <c r="AU204" s="155"/>
      <c r="AV204" s="155"/>
      <c r="AW204" s="155"/>
      <c r="AX204" s="279"/>
      <c r="AY204" s="279"/>
      <c r="AZ204" s="279"/>
      <c r="BA204" s="279"/>
      <c r="BB204" s="279"/>
      <c r="BC204" s="279"/>
      <c r="BD204" s="279"/>
      <c r="BE204" s="279"/>
      <c r="BF204" s="279"/>
      <c r="BG204" s="279"/>
      <c r="BH204" s="279"/>
      <c r="BI204" s="279"/>
      <c r="BJ204" s="279"/>
      <c r="BK204" s="279"/>
      <c r="BL204" s="279"/>
      <c r="BM204" s="279"/>
      <c r="BN204" s="279"/>
      <c r="BO204" s="279"/>
      <c r="BP204" s="279"/>
      <c r="BQ204" s="279"/>
      <c r="BR204" s="279"/>
      <c r="BS204" s="154"/>
      <c r="BT204" s="154"/>
      <c r="BU204" s="154"/>
      <c r="BV204" s="154"/>
      <c r="BW204" s="154"/>
    </row>
    <row r="205" spans="6:75" ht="11.25" customHeight="1" x14ac:dyDescent="0.2">
      <c r="F205" s="279"/>
      <c r="G205" s="279"/>
      <c r="H205" s="279"/>
      <c r="I205" s="279"/>
      <c r="J205" s="279"/>
      <c r="K205" s="279"/>
      <c r="L205" s="279"/>
      <c r="M205" s="279"/>
      <c r="N205" s="279"/>
      <c r="O205" s="279"/>
      <c r="P205" s="279"/>
      <c r="Q205" s="279"/>
      <c r="R205" s="279"/>
      <c r="S205" s="279"/>
      <c r="T205" s="279"/>
      <c r="U205" s="279"/>
      <c r="V205" s="279"/>
      <c r="W205" s="279"/>
      <c r="X205" s="279"/>
      <c r="Y205" s="279"/>
      <c r="Z205" s="279"/>
      <c r="AA205" s="279"/>
      <c r="AB205" s="279"/>
      <c r="AC205" s="279"/>
      <c r="AD205" s="279"/>
      <c r="AE205" s="279"/>
      <c r="AF205" s="279"/>
      <c r="AG205" s="279"/>
      <c r="AH205" s="279"/>
      <c r="AI205" s="279"/>
      <c r="AJ205" s="279"/>
      <c r="AK205" s="279"/>
      <c r="AL205" s="279"/>
      <c r="AM205" s="279"/>
      <c r="AN205" s="279"/>
      <c r="AO205" s="279"/>
      <c r="AP205" s="279"/>
      <c r="AQ205" s="279"/>
      <c r="AR205" s="279"/>
      <c r="AS205" s="154"/>
      <c r="AT205" s="154"/>
      <c r="AU205" s="155"/>
      <c r="AV205" s="155"/>
      <c r="AW205" s="155"/>
      <c r="AX205" s="279"/>
      <c r="AY205" s="279"/>
      <c r="AZ205" s="279"/>
      <c r="BA205" s="279"/>
      <c r="BB205" s="279"/>
      <c r="BC205" s="279"/>
      <c r="BD205" s="279"/>
      <c r="BE205" s="279"/>
      <c r="BF205" s="279"/>
      <c r="BG205" s="279"/>
      <c r="BH205" s="279"/>
      <c r="BI205" s="279"/>
      <c r="BJ205" s="279"/>
      <c r="BK205" s="279"/>
      <c r="BL205" s="279"/>
      <c r="BM205" s="279"/>
      <c r="BN205" s="279"/>
      <c r="BO205" s="279"/>
      <c r="BP205" s="279"/>
      <c r="BQ205" s="279"/>
      <c r="BR205" s="279"/>
      <c r="BS205" s="154"/>
      <c r="BT205" s="154"/>
      <c r="BU205" s="154"/>
      <c r="BV205" s="154"/>
      <c r="BW205" s="154"/>
    </row>
    <row r="206" spans="6:75" ht="11.25" customHeight="1" x14ac:dyDescent="0.2">
      <c r="F206" s="279"/>
      <c r="G206" s="279"/>
      <c r="H206" s="279"/>
      <c r="I206" s="279"/>
      <c r="J206" s="279"/>
      <c r="K206" s="279"/>
      <c r="L206" s="279"/>
      <c r="M206" s="279"/>
      <c r="N206" s="279"/>
      <c r="O206" s="279"/>
      <c r="P206" s="279"/>
      <c r="Q206" s="279"/>
      <c r="R206" s="279"/>
      <c r="S206" s="279"/>
      <c r="T206" s="279"/>
      <c r="U206" s="279"/>
      <c r="V206" s="279"/>
      <c r="W206" s="279"/>
      <c r="X206" s="279"/>
      <c r="Y206" s="279"/>
      <c r="Z206" s="279"/>
      <c r="AA206" s="279"/>
      <c r="AB206" s="279"/>
      <c r="AC206" s="279"/>
      <c r="AD206" s="279"/>
      <c r="AE206" s="279"/>
      <c r="AF206" s="279"/>
      <c r="AG206" s="279"/>
      <c r="AH206" s="279"/>
      <c r="AI206" s="279"/>
      <c r="AJ206" s="279"/>
      <c r="AK206" s="279"/>
      <c r="AL206" s="279"/>
      <c r="AM206" s="279"/>
      <c r="AN206" s="279"/>
      <c r="AO206" s="279"/>
      <c r="AP206" s="279"/>
      <c r="AQ206" s="279"/>
      <c r="AR206" s="279"/>
      <c r="AS206" s="154"/>
      <c r="AT206" s="154"/>
      <c r="AU206" s="155"/>
      <c r="AV206" s="155"/>
      <c r="AW206" s="155"/>
      <c r="AX206" s="279"/>
      <c r="AY206" s="279"/>
      <c r="AZ206" s="279"/>
      <c r="BA206" s="279"/>
      <c r="BB206" s="279"/>
      <c r="BC206" s="279"/>
      <c r="BD206" s="279"/>
      <c r="BE206" s="279"/>
      <c r="BF206" s="279"/>
      <c r="BG206" s="279"/>
      <c r="BH206" s="279"/>
      <c r="BI206" s="279"/>
      <c r="BJ206" s="279"/>
      <c r="BK206" s="279"/>
      <c r="BL206" s="279"/>
      <c r="BM206" s="279"/>
      <c r="BN206" s="279"/>
      <c r="BO206" s="279"/>
      <c r="BP206" s="279"/>
      <c r="BQ206" s="279"/>
      <c r="BR206" s="279"/>
      <c r="BS206" s="154"/>
      <c r="BT206" s="154"/>
      <c r="BU206" s="154"/>
      <c r="BV206" s="154"/>
      <c r="BW206" s="154"/>
    </row>
    <row r="207" spans="6:75" ht="11.25" customHeight="1" x14ac:dyDescent="0.2">
      <c r="F207" s="279"/>
      <c r="G207" s="279"/>
      <c r="H207" s="279"/>
      <c r="I207" s="279"/>
      <c r="J207" s="279"/>
      <c r="K207" s="279"/>
      <c r="L207" s="279"/>
      <c r="M207" s="279"/>
      <c r="N207" s="279"/>
      <c r="O207" s="279"/>
      <c r="P207" s="279"/>
      <c r="Q207" s="279"/>
      <c r="R207" s="279"/>
      <c r="S207" s="279"/>
      <c r="T207" s="279"/>
      <c r="U207" s="279"/>
      <c r="V207" s="279"/>
      <c r="W207" s="279"/>
      <c r="X207" s="279"/>
      <c r="Y207" s="279"/>
      <c r="Z207" s="279"/>
      <c r="AA207" s="279"/>
      <c r="AB207" s="279"/>
      <c r="AC207" s="279"/>
      <c r="AD207" s="279"/>
      <c r="AE207" s="279"/>
      <c r="AF207" s="279"/>
      <c r="AG207" s="279"/>
      <c r="AH207" s="279"/>
      <c r="AI207" s="279"/>
      <c r="AJ207" s="279"/>
      <c r="AK207" s="279"/>
      <c r="AL207" s="279"/>
      <c r="AM207" s="279"/>
      <c r="AN207" s="279"/>
      <c r="AO207" s="279"/>
      <c r="AP207" s="279"/>
      <c r="AQ207" s="279"/>
      <c r="AR207" s="279"/>
      <c r="AS207" s="154"/>
      <c r="AT207" s="154"/>
      <c r="AU207" s="155"/>
      <c r="AV207" s="155"/>
      <c r="AW207" s="155"/>
      <c r="AX207" s="279"/>
      <c r="AY207" s="279"/>
      <c r="AZ207" s="279"/>
      <c r="BA207" s="279"/>
      <c r="BB207" s="279"/>
      <c r="BC207" s="279"/>
      <c r="BD207" s="279"/>
      <c r="BE207" s="279"/>
      <c r="BF207" s="279"/>
      <c r="BG207" s="279"/>
      <c r="BH207" s="279"/>
      <c r="BI207" s="279"/>
      <c r="BJ207" s="279"/>
      <c r="BK207" s="279"/>
      <c r="BL207" s="279"/>
      <c r="BM207" s="279"/>
      <c r="BN207" s="279"/>
      <c r="BO207" s="279"/>
      <c r="BP207" s="279"/>
      <c r="BQ207" s="279"/>
      <c r="BR207" s="279"/>
      <c r="BS207" s="154"/>
      <c r="BT207" s="154"/>
      <c r="BU207" s="154"/>
      <c r="BV207" s="154"/>
      <c r="BW207" s="154"/>
    </row>
    <row r="208" spans="6:75" ht="11.25" customHeight="1" x14ac:dyDescent="0.2">
      <c r="F208" s="279"/>
      <c r="G208" s="279"/>
      <c r="H208" s="279"/>
      <c r="I208" s="279"/>
      <c r="J208" s="279"/>
      <c r="K208" s="279"/>
      <c r="L208" s="279"/>
      <c r="M208" s="279"/>
      <c r="N208" s="279"/>
      <c r="O208" s="279"/>
      <c r="P208" s="279"/>
      <c r="Q208" s="279"/>
      <c r="R208" s="279"/>
      <c r="S208" s="279"/>
      <c r="T208" s="279"/>
      <c r="U208" s="279"/>
      <c r="V208" s="279"/>
      <c r="W208" s="279"/>
      <c r="X208" s="279"/>
      <c r="Y208" s="279"/>
      <c r="Z208" s="279"/>
      <c r="AA208" s="279"/>
      <c r="AB208" s="279"/>
      <c r="AC208" s="279"/>
      <c r="AD208" s="279"/>
      <c r="AE208" s="279"/>
      <c r="AF208" s="279"/>
      <c r="AG208" s="279"/>
      <c r="AH208" s="279"/>
      <c r="AI208" s="279"/>
      <c r="AJ208" s="279"/>
      <c r="AK208" s="279"/>
      <c r="AL208" s="279"/>
      <c r="AM208" s="279"/>
      <c r="AN208" s="279"/>
      <c r="AO208" s="279"/>
      <c r="AP208" s="279"/>
      <c r="AQ208" s="279"/>
      <c r="AR208" s="279"/>
      <c r="AS208" s="154"/>
      <c r="AT208" s="154"/>
      <c r="AU208" s="155"/>
      <c r="AV208" s="155"/>
      <c r="AW208" s="155"/>
      <c r="AX208" s="279"/>
      <c r="AY208" s="279"/>
      <c r="AZ208" s="279"/>
      <c r="BA208" s="279"/>
      <c r="BB208" s="279"/>
      <c r="BC208" s="279"/>
      <c r="BD208" s="279"/>
      <c r="BE208" s="279"/>
      <c r="BF208" s="279"/>
      <c r="BG208" s="279"/>
      <c r="BH208" s="279"/>
      <c r="BI208" s="279"/>
      <c r="BJ208" s="279"/>
      <c r="BK208" s="279"/>
      <c r="BL208" s="279"/>
      <c r="BM208" s="279"/>
      <c r="BN208" s="279"/>
      <c r="BO208" s="279"/>
      <c r="BP208" s="279"/>
      <c r="BQ208" s="279"/>
      <c r="BR208" s="279"/>
      <c r="BS208" s="154"/>
      <c r="BT208" s="154"/>
      <c r="BU208" s="154"/>
      <c r="BV208" s="154"/>
      <c r="BW208" s="154"/>
    </row>
    <row r="209" spans="6:75" ht="11.25" customHeight="1" x14ac:dyDescent="0.2">
      <c r="F209" s="279"/>
      <c r="G209" s="279"/>
      <c r="H209" s="279"/>
      <c r="I209" s="279"/>
      <c r="J209" s="279"/>
      <c r="K209" s="279"/>
      <c r="L209" s="279"/>
      <c r="M209" s="279"/>
      <c r="N209" s="279"/>
      <c r="O209" s="279"/>
      <c r="P209" s="279"/>
      <c r="Q209" s="279"/>
      <c r="R209" s="279"/>
      <c r="S209" s="279"/>
      <c r="T209" s="279"/>
      <c r="U209" s="279"/>
      <c r="V209" s="279"/>
      <c r="W209" s="279"/>
      <c r="X209" s="279"/>
      <c r="Y209" s="279"/>
      <c r="Z209" s="279"/>
      <c r="AA209" s="279"/>
      <c r="AB209" s="279"/>
      <c r="AC209" s="279"/>
      <c r="AD209" s="279"/>
      <c r="AE209" s="279"/>
      <c r="AF209" s="279"/>
      <c r="AG209" s="279"/>
      <c r="AH209" s="279"/>
      <c r="AI209" s="279"/>
      <c r="AJ209" s="279"/>
      <c r="AK209" s="279"/>
      <c r="AL209" s="279"/>
      <c r="AM209" s="279"/>
      <c r="AN209" s="279"/>
      <c r="AO209" s="279"/>
      <c r="AP209" s="279"/>
      <c r="AQ209" s="279"/>
      <c r="AR209" s="279"/>
      <c r="AS209" s="154"/>
      <c r="AT209" s="154"/>
      <c r="AU209" s="155"/>
      <c r="AV209" s="155"/>
      <c r="AW209" s="155"/>
      <c r="AX209" s="279"/>
      <c r="AY209" s="279"/>
      <c r="AZ209" s="279"/>
      <c r="BA209" s="279"/>
      <c r="BB209" s="279"/>
      <c r="BC209" s="279"/>
      <c r="BD209" s="279"/>
      <c r="BE209" s="279"/>
      <c r="BF209" s="279"/>
      <c r="BG209" s="279"/>
      <c r="BH209" s="279"/>
      <c r="BI209" s="279"/>
      <c r="BJ209" s="279"/>
      <c r="BK209" s="279"/>
      <c r="BL209" s="279"/>
      <c r="BM209" s="279"/>
      <c r="BN209" s="279"/>
      <c r="BO209" s="279"/>
      <c r="BP209" s="279"/>
      <c r="BQ209" s="279"/>
      <c r="BR209" s="279"/>
      <c r="BS209" s="154"/>
      <c r="BT209" s="154"/>
      <c r="BU209" s="154"/>
      <c r="BV209" s="154"/>
      <c r="BW209" s="154"/>
    </row>
    <row r="210" spans="6:75" ht="11.25" customHeight="1" x14ac:dyDescent="0.2">
      <c r="F210" s="279"/>
      <c r="G210" s="279"/>
      <c r="H210" s="279"/>
      <c r="I210" s="279"/>
      <c r="J210" s="279"/>
      <c r="K210" s="279"/>
      <c r="L210" s="279"/>
      <c r="M210" s="279"/>
      <c r="N210" s="279"/>
      <c r="O210" s="279"/>
      <c r="P210" s="279"/>
      <c r="Q210" s="279"/>
      <c r="R210" s="279"/>
      <c r="S210" s="279"/>
      <c r="T210" s="279"/>
      <c r="U210" s="279"/>
      <c r="V210" s="279"/>
      <c r="W210" s="279"/>
      <c r="X210" s="279"/>
      <c r="Y210" s="279"/>
      <c r="Z210" s="279"/>
      <c r="AA210" s="279"/>
      <c r="AB210" s="279"/>
      <c r="AC210" s="279"/>
      <c r="AD210" s="279"/>
      <c r="AE210" s="279"/>
      <c r="AF210" s="279"/>
      <c r="AG210" s="279"/>
      <c r="AH210" s="279"/>
      <c r="AI210" s="279"/>
      <c r="AJ210" s="279"/>
      <c r="AK210" s="279"/>
      <c r="AL210" s="279"/>
      <c r="AM210" s="279"/>
      <c r="AN210" s="279"/>
      <c r="AO210" s="279"/>
      <c r="AP210" s="279"/>
      <c r="AQ210" s="279"/>
      <c r="AR210" s="279"/>
      <c r="AS210" s="154"/>
      <c r="AT210" s="154"/>
      <c r="AU210" s="155"/>
      <c r="AV210" s="155"/>
      <c r="AW210" s="155"/>
      <c r="AX210" s="279"/>
      <c r="AY210" s="279"/>
      <c r="AZ210" s="279"/>
      <c r="BA210" s="279"/>
      <c r="BB210" s="279"/>
      <c r="BC210" s="279"/>
      <c r="BD210" s="279"/>
      <c r="BE210" s="279"/>
      <c r="BF210" s="279"/>
      <c r="BG210" s="279"/>
      <c r="BH210" s="279"/>
      <c r="BI210" s="279"/>
      <c r="BJ210" s="279"/>
      <c r="BK210" s="279"/>
      <c r="BL210" s="279"/>
      <c r="BM210" s="279"/>
      <c r="BN210" s="279"/>
      <c r="BO210" s="279"/>
      <c r="BP210" s="279"/>
      <c r="BQ210" s="279"/>
      <c r="BR210" s="279"/>
      <c r="BS210" s="154"/>
      <c r="BT210" s="154"/>
      <c r="BU210" s="154"/>
      <c r="BV210" s="154"/>
      <c r="BW210" s="154"/>
    </row>
    <row r="211" spans="6:75" ht="11.25" customHeight="1" x14ac:dyDescent="0.2">
      <c r="F211" s="279"/>
      <c r="G211" s="279"/>
      <c r="H211" s="279"/>
      <c r="I211" s="279"/>
      <c r="J211" s="279"/>
      <c r="K211" s="279"/>
      <c r="L211" s="279"/>
      <c r="M211" s="279"/>
      <c r="N211" s="279"/>
      <c r="O211" s="279"/>
      <c r="P211" s="279"/>
      <c r="Q211" s="279"/>
      <c r="R211" s="279"/>
      <c r="S211" s="279"/>
      <c r="T211" s="279"/>
      <c r="U211" s="279"/>
      <c r="V211" s="279"/>
      <c r="W211" s="279"/>
      <c r="X211" s="279"/>
      <c r="Y211" s="279"/>
      <c r="Z211" s="279"/>
      <c r="AA211" s="279"/>
      <c r="AB211" s="279"/>
      <c r="AC211" s="279"/>
      <c r="AD211" s="279"/>
      <c r="AE211" s="279"/>
      <c r="AF211" s="279"/>
      <c r="AG211" s="279"/>
      <c r="AH211" s="279"/>
      <c r="AI211" s="279"/>
      <c r="AJ211" s="279"/>
      <c r="AK211" s="279"/>
      <c r="AL211" s="279"/>
      <c r="AM211" s="279"/>
      <c r="AN211" s="279"/>
      <c r="AO211" s="279"/>
      <c r="AP211" s="279"/>
      <c r="AQ211" s="279"/>
      <c r="AR211" s="279"/>
      <c r="AS211" s="154"/>
      <c r="AT211" s="154"/>
      <c r="AU211" s="155"/>
      <c r="AV211" s="155"/>
      <c r="AW211" s="155"/>
      <c r="AX211" s="279"/>
      <c r="AY211" s="279"/>
      <c r="AZ211" s="279"/>
      <c r="BA211" s="279"/>
      <c r="BB211" s="279"/>
      <c r="BC211" s="279"/>
      <c r="BD211" s="279"/>
      <c r="BE211" s="279"/>
      <c r="BF211" s="279"/>
      <c r="BG211" s="279"/>
      <c r="BH211" s="279"/>
      <c r="BI211" s="279"/>
      <c r="BJ211" s="279"/>
      <c r="BK211" s="279"/>
      <c r="BL211" s="279"/>
      <c r="BM211" s="279"/>
      <c r="BN211" s="279"/>
      <c r="BO211" s="279"/>
      <c r="BP211" s="279"/>
      <c r="BQ211" s="279"/>
      <c r="BR211" s="279"/>
      <c r="BS211" s="154"/>
      <c r="BT211" s="154"/>
      <c r="BU211" s="154"/>
      <c r="BV211" s="154"/>
      <c r="BW211" s="154"/>
    </row>
    <row r="212" spans="6:75" ht="11.25" customHeight="1" x14ac:dyDescent="0.2">
      <c r="F212" s="279"/>
      <c r="G212" s="279"/>
      <c r="H212" s="279"/>
      <c r="I212" s="279"/>
      <c r="J212" s="279"/>
      <c r="K212" s="279"/>
      <c r="L212" s="279"/>
      <c r="M212" s="279"/>
      <c r="N212" s="279"/>
      <c r="O212" s="279"/>
      <c r="P212" s="279"/>
      <c r="Q212" s="279"/>
      <c r="R212" s="279"/>
      <c r="S212" s="279"/>
      <c r="T212" s="279"/>
      <c r="U212" s="279"/>
      <c r="V212" s="279"/>
      <c r="W212" s="279"/>
      <c r="X212" s="279"/>
      <c r="Y212" s="279"/>
      <c r="Z212" s="279"/>
      <c r="AA212" s="279"/>
      <c r="AB212" s="279"/>
      <c r="AC212" s="279"/>
      <c r="AD212" s="279"/>
      <c r="AE212" s="279"/>
      <c r="AF212" s="279"/>
      <c r="AG212" s="279"/>
      <c r="AH212" s="279"/>
      <c r="AI212" s="279"/>
      <c r="AJ212" s="279"/>
      <c r="AK212" s="279"/>
      <c r="AL212" s="279"/>
      <c r="AM212" s="279"/>
      <c r="AN212" s="279"/>
      <c r="AO212" s="279"/>
      <c r="AP212" s="279"/>
      <c r="AQ212" s="279"/>
      <c r="AR212" s="279"/>
      <c r="AS212" s="154"/>
      <c r="AT212" s="154"/>
      <c r="AU212" s="155"/>
      <c r="AV212" s="155"/>
      <c r="AW212" s="155"/>
      <c r="AX212" s="279"/>
      <c r="AY212" s="279"/>
      <c r="AZ212" s="279"/>
      <c r="BA212" s="279"/>
      <c r="BB212" s="279"/>
      <c r="BC212" s="279"/>
      <c r="BD212" s="279"/>
      <c r="BE212" s="279"/>
      <c r="BF212" s="279"/>
      <c r="BG212" s="279"/>
      <c r="BH212" s="279"/>
      <c r="BI212" s="279"/>
      <c r="BJ212" s="279"/>
      <c r="BK212" s="279"/>
      <c r="BL212" s="279"/>
      <c r="BM212" s="279"/>
      <c r="BN212" s="279"/>
      <c r="BO212" s="279"/>
      <c r="BP212" s="279"/>
      <c r="BQ212" s="279"/>
      <c r="BR212" s="279"/>
      <c r="BS212" s="154"/>
      <c r="BT212" s="154"/>
      <c r="BU212" s="154"/>
      <c r="BV212" s="154"/>
      <c r="BW212" s="154"/>
    </row>
    <row r="213" spans="6:75" ht="11.25" customHeight="1" x14ac:dyDescent="0.2">
      <c r="F213" s="279"/>
      <c r="G213" s="279"/>
      <c r="H213" s="279"/>
      <c r="I213" s="279"/>
      <c r="J213" s="279"/>
      <c r="K213" s="279"/>
      <c r="L213" s="279"/>
      <c r="M213" s="279"/>
      <c r="N213" s="279"/>
      <c r="O213" s="279"/>
      <c r="P213" s="279"/>
      <c r="Q213" s="279"/>
      <c r="R213" s="279"/>
      <c r="S213" s="279"/>
      <c r="T213" s="279"/>
      <c r="U213" s="279"/>
      <c r="V213" s="279"/>
      <c r="W213" s="279"/>
      <c r="X213" s="279"/>
      <c r="Y213" s="279"/>
      <c r="Z213" s="279"/>
      <c r="AA213" s="279"/>
      <c r="AB213" s="279"/>
      <c r="AC213" s="279"/>
      <c r="AD213" s="279"/>
      <c r="AE213" s="279"/>
      <c r="AF213" s="279"/>
      <c r="AG213" s="279"/>
      <c r="AH213" s="279"/>
      <c r="AI213" s="279"/>
      <c r="AJ213" s="279"/>
      <c r="AK213" s="279"/>
      <c r="AL213" s="279"/>
      <c r="AM213" s="279"/>
      <c r="AN213" s="279"/>
      <c r="AO213" s="279"/>
      <c r="AP213" s="279"/>
      <c r="AQ213" s="279"/>
      <c r="AR213" s="279"/>
      <c r="AS213" s="154"/>
      <c r="AT213" s="154"/>
      <c r="AU213" s="155"/>
      <c r="AV213" s="155"/>
      <c r="AW213" s="155"/>
      <c r="AX213" s="279"/>
      <c r="AY213" s="279"/>
      <c r="AZ213" s="279"/>
      <c r="BA213" s="279"/>
      <c r="BB213" s="279"/>
      <c r="BC213" s="279"/>
      <c r="BD213" s="279"/>
      <c r="BE213" s="279"/>
      <c r="BF213" s="279"/>
      <c r="BG213" s="279"/>
      <c r="BH213" s="279"/>
      <c r="BI213" s="279"/>
      <c r="BJ213" s="279"/>
      <c r="BK213" s="279"/>
      <c r="BL213" s="279"/>
      <c r="BM213" s="279"/>
      <c r="BN213" s="279"/>
      <c r="BO213" s="279"/>
      <c r="BP213" s="279"/>
      <c r="BQ213" s="279"/>
      <c r="BR213" s="279"/>
      <c r="BS213" s="154"/>
      <c r="BT213" s="154"/>
      <c r="BU213" s="154"/>
      <c r="BV213" s="154"/>
      <c r="BW213" s="154"/>
    </row>
    <row r="214" spans="6:75" ht="11.25" customHeight="1" x14ac:dyDescent="0.2">
      <c r="F214" s="279"/>
      <c r="G214" s="279"/>
      <c r="H214" s="279"/>
      <c r="I214" s="279"/>
      <c r="J214" s="279"/>
      <c r="K214" s="279"/>
      <c r="L214" s="279"/>
      <c r="M214" s="279"/>
      <c r="N214" s="279"/>
      <c r="O214" s="279"/>
      <c r="P214" s="279"/>
      <c r="Q214" s="279"/>
      <c r="R214" s="279"/>
      <c r="S214" s="279"/>
      <c r="T214" s="279"/>
      <c r="U214" s="279"/>
      <c r="V214" s="279"/>
      <c r="W214" s="279"/>
      <c r="X214" s="279"/>
      <c r="Y214" s="279"/>
      <c r="Z214" s="279"/>
      <c r="AA214" s="279"/>
      <c r="AB214" s="279"/>
      <c r="AC214" s="279"/>
      <c r="AD214" s="279"/>
      <c r="AE214" s="279"/>
      <c r="AF214" s="279"/>
      <c r="AG214" s="279"/>
      <c r="AH214" s="279"/>
      <c r="AI214" s="279"/>
      <c r="AJ214" s="279"/>
      <c r="AK214" s="279"/>
      <c r="AL214" s="279"/>
      <c r="AM214" s="279"/>
      <c r="AN214" s="279"/>
      <c r="AO214" s="279"/>
      <c r="AP214" s="279"/>
      <c r="AQ214" s="279"/>
      <c r="AR214" s="279"/>
      <c r="AS214" s="154"/>
      <c r="AT214" s="154"/>
      <c r="AU214" s="155"/>
      <c r="AV214" s="155"/>
      <c r="AW214" s="155"/>
      <c r="AX214" s="279"/>
      <c r="AY214" s="279"/>
      <c r="AZ214" s="279"/>
      <c r="BA214" s="279"/>
      <c r="BB214" s="279"/>
      <c r="BC214" s="279"/>
      <c r="BD214" s="279"/>
      <c r="BE214" s="279"/>
      <c r="BF214" s="279"/>
      <c r="BG214" s="279"/>
      <c r="BH214" s="279"/>
      <c r="BI214" s="279"/>
      <c r="BJ214" s="279"/>
      <c r="BK214" s="279"/>
      <c r="BL214" s="279"/>
      <c r="BM214" s="279"/>
      <c r="BN214" s="279"/>
      <c r="BO214" s="279"/>
      <c r="BP214" s="279"/>
      <c r="BQ214" s="279"/>
      <c r="BR214" s="279"/>
      <c r="BS214" s="154"/>
      <c r="BT214" s="154"/>
      <c r="BU214" s="154"/>
      <c r="BV214" s="154"/>
      <c r="BW214" s="154"/>
    </row>
    <row r="215" spans="6:75" ht="11.25" customHeight="1" x14ac:dyDescent="0.2">
      <c r="F215" s="279"/>
      <c r="G215" s="279"/>
      <c r="H215" s="279"/>
      <c r="I215" s="279"/>
      <c r="J215" s="279"/>
      <c r="K215" s="279"/>
      <c r="L215" s="279"/>
      <c r="M215" s="279"/>
      <c r="N215" s="279"/>
      <c r="O215" s="279"/>
      <c r="P215" s="279"/>
      <c r="Q215" s="279"/>
      <c r="R215" s="279"/>
      <c r="S215" s="279"/>
      <c r="T215" s="279"/>
      <c r="U215" s="279"/>
      <c r="V215" s="279"/>
      <c r="W215" s="279"/>
      <c r="X215" s="279"/>
      <c r="Y215" s="279"/>
      <c r="Z215" s="279"/>
      <c r="AA215" s="279"/>
      <c r="AB215" s="279"/>
      <c r="AC215" s="279"/>
      <c r="AD215" s="279"/>
      <c r="AE215" s="279"/>
      <c r="AF215" s="279"/>
      <c r="AG215" s="279"/>
      <c r="AH215" s="279"/>
      <c r="AI215" s="279"/>
      <c r="AJ215" s="279"/>
      <c r="AK215" s="279"/>
      <c r="AL215" s="279"/>
      <c r="AM215" s="279"/>
      <c r="AN215" s="279"/>
      <c r="AO215" s="279"/>
      <c r="AP215" s="279"/>
      <c r="AQ215" s="279"/>
      <c r="AR215" s="279"/>
      <c r="AS215" s="154"/>
      <c r="AT215" s="154"/>
      <c r="AU215" s="155"/>
      <c r="AV215" s="155"/>
      <c r="AW215" s="155"/>
      <c r="AX215" s="279"/>
      <c r="AY215" s="279"/>
      <c r="AZ215" s="279"/>
      <c r="BA215" s="279"/>
      <c r="BB215" s="279"/>
      <c r="BC215" s="279"/>
      <c r="BD215" s="279"/>
      <c r="BE215" s="279"/>
      <c r="BF215" s="279"/>
      <c r="BG215" s="279"/>
      <c r="BH215" s="279"/>
      <c r="BI215" s="279"/>
      <c r="BJ215" s="279"/>
      <c r="BK215" s="279"/>
      <c r="BL215" s="279"/>
      <c r="BM215" s="279"/>
      <c r="BN215" s="279"/>
      <c r="BO215" s="279"/>
      <c r="BP215" s="279"/>
      <c r="BQ215" s="279"/>
      <c r="BR215" s="279"/>
      <c r="BS215" s="154"/>
      <c r="BT215" s="154"/>
      <c r="BU215" s="154"/>
      <c r="BV215" s="154"/>
      <c r="BW215" s="154"/>
    </row>
    <row r="216" spans="6:75" ht="11.25" customHeight="1" x14ac:dyDescent="0.2">
      <c r="F216" s="279"/>
      <c r="G216" s="279"/>
      <c r="H216" s="279"/>
      <c r="I216" s="279"/>
      <c r="J216" s="279"/>
      <c r="K216" s="279"/>
      <c r="L216" s="279"/>
      <c r="M216" s="279"/>
      <c r="N216" s="279"/>
      <c r="O216" s="279"/>
      <c r="P216" s="279"/>
      <c r="Q216" s="279"/>
      <c r="R216" s="279"/>
      <c r="S216" s="279"/>
      <c r="T216" s="279"/>
      <c r="U216" s="279"/>
      <c r="V216" s="279"/>
      <c r="W216" s="279"/>
      <c r="X216" s="279"/>
      <c r="Y216" s="279"/>
      <c r="Z216" s="279"/>
      <c r="AA216" s="279"/>
      <c r="AB216" s="279"/>
      <c r="AC216" s="279"/>
      <c r="AD216" s="279"/>
      <c r="AE216" s="279"/>
      <c r="AF216" s="279"/>
      <c r="AG216" s="279"/>
      <c r="AH216" s="279"/>
      <c r="AI216" s="279"/>
      <c r="AJ216" s="279"/>
      <c r="AK216" s="279"/>
      <c r="AL216" s="279"/>
      <c r="AM216" s="279"/>
      <c r="AN216" s="279"/>
      <c r="AO216" s="279"/>
      <c r="AP216" s="279"/>
      <c r="AQ216" s="279"/>
      <c r="AR216" s="279"/>
      <c r="AS216" s="154"/>
      <c r="AT216" s="154"/>
      <c r="AU216" s="155"/>
      <c r="AV216" s="155"/>
      <c r="AW216" s="155"/>
      <c r="AX216" s="279"/>
      <c r="AY216" s="279"/>
      <c r="AZ216" s="279"/>
      <c r="BA216" s="279"/>
      <c r="BB216" s="279"/>
      <c r="BC216" s="279"/>
      <c r="BD216" s="279"/>
      <c r="BE216" s="279"/>
      <c r="BF216" s="279"/>
      <c r="BG216" s="279"/>
      <c r="BH216" s="279"/>
      <c r="BI216" s="279"/>
      <c r="BJ216" s="279"/>
      <c r="BK216" s="279"/>
      <c r="BL216" s="279"/>
      <c r="BM216" s="279"/>
      <c r="BN216" s="279"/>
      <c r="BO216" s="279"/>
      <c r="BP216" s="279"/>
      <c r="BQ216" s="279"/>
      <c r="BR216" s="279"/>
      <c r="BS216" s="154"/>
      <c r="BT216" s="154"/>
      <c r="BU216" s="154"/>
      <c r="BV216" s="154"/>
      <c r="BW216" s="154"/>
    </row>
    <row r="217" spans="6:75" ht="11.25" customHeight="1" x14ac:dyDescent="0.2">
      <c r="F217" s="279"/>
      <c r="G217" s="279"/>
      <c r="H217" s="279"/>
      <c r="I217" s="279"/>
      <c r="J217" s="279"/>
      <c r="K217" s="279"/>
      <c r="L217" s="279"/>
      <c r="M217" s="279"/>
      <c r="N217" s="279"/>
      <c r="O217" s="279"/>
      <c r="P217" s="279"/>
      <c r="Q217" s="279"/>
      <c r="R217" s="279"/>
      <c r="S217" s="279"/>
      <c r="T217" s="279"/>
      <c r="U217" s="279"/>
      <c r="V217" s="279"/>
      <c r="W217" s="279"/>
      <c r="X217" s="279"/>
      <c r="Y217" s="279"/>
      <c r="Z217" s="279"/>
      <c r="AA217" s="279"/>
      <c r="AB217" s="279"/>
      <c r="AC217" s="279"/>
      <c r="AD217" s="279"/>
      <c r="AE217" s="279"/>
      <c r="AF217" s="279"/>
      <c r="AG217" s="279"/>
      <c r="AH217" s="279"/>
      <c r="AI217" s="279"/>
      <c r="AJ217" s="279"/>
      <c r="AK217" s="279"/>
      <c r="AL217" s="279"/>
      <c r="AM217" s="279"/>
      <c r="AN217" s="279"/>
      <c r="AO217" s="279"/>
      <c r="AP217" s="279"/>
      <c r="AQ217" s="279"/>
      <c r="AR217" s="279"/>
      <c r="AS217" s="154"/>
      <c r="AT217" s="154"/>
      <c r="AU217" s="155"/>
      <c r="AV217" s="155"/>
      <c r="AW217" s="155"/>
      <c r="AX217" s="279"/>
      <c r="AY217" s="279"/>
      <c r="AZ217" s="279"/>
      <c r="BA217" s="279"/>
      <c r="BB217" s="279"/>
      <c r="BC217" s="279"/>
      <c r="BD217" s="279"/>
      <c r="BE217" s="279"/>
      <c r="BF217" s="279"/>
      <c r="BG217" s="279"/>
      <c r="BH217" s="279"/>
      <c r="BI217" s="279"/>
      <c r="BJ217" s="279"/>
      <c r="BK217" s="279"/>
      <c r="BL217" s="279"/>
      <c r="BM217" s="279"/>
      <c r="BN217" s="279"/>
      <c r="BO217" s="279"/>
      <c r="BP217" s="279"/>
      <c r="BQ217" s="279"/>
      <c r="BR217" s="279"/>
      <c r="BS217" s="154"/>
      <c r="BT217" s="154"/>
      <c r="BU217" s="154"/>
      <c r="BV217" s="154"/>
      <c r="BW217" s="154"/>
    </row>
    <row r="218" spans="6:75" ht="11.25" customHeight="1" x14ac:dyDescent="0.2">
      <c r="F218" s="279"/>
      <c r="G218" s="279"/>
      <c r="H218" s="279"/>
      <c r="I218" s="279"/>
      <c r="J218" s="279"/>
      <c r="K218" s="279"/>
      <c r="L218" s="279"/>
      <c r="M218" s="279"/>
      <c r="N218" s="279"/>
      <c r="O218" s="279"/>
      <c r="P218" s="279"/>
      <c r="Q218" s="279"/>
      <c r="R218" s="279"/>
      <c r="S218" s="279"/>
      <c r="T218" s="279"/>
      <c r="U218" s="279"/>
      <c r="V218" s="279"/>
      <c r="W218" s="279"/>
      <c r="X218" s="279"/>
      <c r="Y218" s="279"/>
      <c r="Z218" s="279"/>
      <c r="AA218" s="279"/>
      <c r="AB218" s="279"/>
      <c r="AC218" s="279"/>
      <c r="AD218" s="279"/>
      <c r="AE218" s="279"/>
      <c r="AF218" s="279"/>
      <c r="AG218" s="279"/>
      <c r="AH218" s="279"/>
      <c r="AI218" s="279"/>
      <c r="AJ218" s="279"/>
      <c r="AK218" s="279"/>
      <c r="AL218" s="279"/>
      <c r="AM218" s="279"/>
      <c r="AN218" s="279"/>
      <c r="AO218" s="279"/>
      <c r="AP218" s="279"/>
      <c r="AQ218" s="279"/>
      <c r="AR218" s="279"/>
      <c r="AS218" s="154"/>
      <c r="AT218" s="154"/>
      <c r="AU218" s="155"/>
      <c r="AV218" s="155"/>
      <c r="AW218" s="155"/>
      <c r="AX218" s="279"/>
      <c r="AY218" s="279"/>
      <c r="AZ218" s="279"/>
      <c r="BA218" s="279"/>
      <c r="BB218" s="279"/>
      <c r="BC218" s="279"/>
      <c r="BD218" s="279"/>
      <c r="BE218" s="279"/>
      <c r="BF218" s="279"/>
      <c r="BG218" s="279"/>
      <c r="BH218" s="279"/>
      <c r="BI218" s="279"/>
      <c r="BJ218" s="279"/>
      <c r="BK218" s="279"/>
      <c r="BL218" s="279"/>
      <c r="BM218" s="279"/>
      <c r="BN218" s="279"/>
      <c r="BO218" s="279"/>
      <c r="BP218" s="279"/>
      <c r="BQ218" s="279"/>
      <c r="BR218" s="279"/>
      <c r="BS218" s="154"/>
      <c r="BT218" s="154"/>
      <c r="BU218" s="154"/>
      <c r="BV218" s="154"/>
      <c r="BW218" s="154"/>
    </row>
    <row r="219" spans="6:75" ht="11.25" customHeight="1" x14ac:dyDescent="0.2">
      <c r="F219" s="279"/>
      <c r="G219" s="279"/>
      <c r="H219" s="279"/>
      <c r="I219" s="279"/>
      <c r="J219" s="279"/>
      <c r="K219" s="279"/>
      <c r="L219" s="279"/>
      <c r="M219" s="279"/>
      <c r="N219" s="279"/>
      <c r="O219" s="279"/>
      <c r="P219" s="279"/>
      <c r="Q219" s="279"/>
      <c r="R219" s="279"/>
      <c r="S219" s="279"/>
      <c r="T219" s="279"/>
      <c r="U219" s="279"/>
      <c r="V219" s="279"/>
      <c r="W219" s="279"/>
      <c r="X219" s="279"/>
      <c r="Y219" s="279"/>
      <c r="Z219" s="279"/>
      <c r="AA219" s="279"/>
      <c r="AB219" s="279"/>
      <c r="AC219" s="279"/>
      <c r="AD219" s="279"/>
      <c r="AE219" s="279"/>
      <c r="AF219" s="279"/>
      <c r="AG219" s="279"/>
      <c r="AH219" s="279"/>
      <c r="AI219" s="279"/>
      <c r="AJ219" s="279"/>
      <c r="AK219" s="279"/>
      <c r="AL219" s="279"/>
      <c r="AM219" s="279"/>
      <c r="AN219" s="279"/>
      <c r="AO219" s="279"/>
      <c r="AP219" s="279"/>
      <c r="AQ219" s="279"/>
      <c r="AR219" s="279"/>
      <c r="AS219" s="154"/>
      <c r="AT219" s="154"/>
      <c r="AU219" s="155"/>
      <c r="AV219" s="155"/>
      <c r="AW219" s="155"/>
      <c r="AX219" s="279"/>
      <c r="AY219" s="279"/>
      <c r="AZ219" s="279"/>
      <c r="BA219" s="279"/>
      <c r="BB219" s="279"/>
      <c r="BC219" s="279"/>
      <c r="BD219" s="279"/>
      <c r="BE219" s="279"/>
      <c r="BF219" s="279"/>
      <c r="BG219" s="279"/>
      <c r="BH219" s="279"/>
      <c r="BI219" s="279"/>
      <c r="BJ219" s="279"/>
      <c r="BK219" s="279"/>
      <c r="BL219" s="279"/>
      <c r="BM219" s="279"/>
      <c r="BN219" s="279"/>
      <c r="BO219" s="279"/>
      <c r="BP219" s="279"/>
      <c r="BQ219" s="279"/>
      <c r="BR219" s="279"/>
      <c r="BS219" s="154"/>
      <c r="BT219" s="154"/>
      <c r="BU219" s="154"/>
      <c r="BV219" s="154"/>
      <c r="BW219" s="154"/>
    </row>
    <row r="220" spans="6:75" ht="11.25" customHeight="1" x14ac:dyDescent="0.2">
      <c r="F220" s="279"/>
      <c r="G220" s="279"/>
      <c r="H220" s="279"/>
      <c r="I220" s="279"/>
      <c r="J220" s="279"/>
      <c r="K220" s="279"/>
      <c r="L220" s="279"/>
      <c r="M220" s="279"/>
      <c r="N220" s="279"/>
      <c r="O220" s="279"/>
      <c r="P220" s="279"/>
      <c r="Q220" s="279"/>
      <c r="R220" s="279"/>
      <c r="S220" s="279"/>
      <c r="T220" s="279"/>
      <c r="U220" s="279"/>
      <c r="V220" s="279"/>
      <c r="W220" s="279"/>
      <c r="X220" s="279"/>
      <c r="Y220" s="279"/>
      <c r="Z220" s="279"/>
      <c r="AA220" s="279"/>
      <c r="AB220" s="279"/>
      <c r="AC220" s="279"/>
      <c r="AD220" s="279"/>
      <c r="AE220" s="279"/>
      <c r="AF220" s="279"/>
      <c r="AG220" s="279"/>
      <c r="AH220" s="279"/>
      <c r="AI220" s="279"/>
      <c r="AJ220" s="279"/>
      <c r="AK220" s="279"/>
      <c r="AL220" s="279"/>
      <c r="AM220" s="279"/>
      <c r="AN220" s="279"/>
      <c r="AO220" s="279"/>
      <c r="AP220" s="279"/>
      <c r="AQ220" s="279"/>
      <c r="AR220" s="279"/>
      <c r="AS220" s="154"/>
      <c r="AT220" s="154"/>
      <c r="AU220" s="155"/>
      <c r="AV220" s="155"/>
      <c r="AW220" s="155"/>
      <c r="AX220" s="279"/>
      <c r="AY220" s="279"/>
      <c r="AZ220" s="279"/>
      <c r="BA220" s="279"/>
      <c r="BB220" s="279"/>
      <c r="BC220" s="279"/>
      <c r="BD220" s="279"/>
      <c r="BE220" s="279"/>
      <c r="BF220" s="279"/>
      <c r="BG220" s="279"/>
      <c r="BH220" s="279"/>
      <c r="BI220" s="279"/>
      <c r="BJ220" s="279"/>
      <c r="BK220" s="279"/>
      <c r="BL220" s="279"/>
      <c r="BM220" s="279"/>
      <c r="BN220" s="279"/>
      <c r="BO220" s="279"/>
      <c r="BP220" s="279"/>
      <c r="BQ220" s="279"/>
      <c r="BR220" s="279"/>
      <c r="BS220" s="154"/>
      <c r="BT220" s="154"/>
      <c r="BU220" s="154"/>
      <c r="BV220" s="154"/>
      <c r="BW220" s="154"/>
    </row>
    <row r="221" spans="6:75" ht="11.25" customHeight="1" x14ac:dyDescent="0.2">
      <c r="F221" s="279"/>
      <c r="G221" s="279"/>
      <c r="H221" s="279"/>
      <c r="I221" s="279"/>
      <c r="J221" s="279"/>
      <c r="K221" s="279"/>
      <c r="L221" s="279"/>
      <c r="M221" s="279"/>
      <c r="N221" s="279"/>
      <c r="O221" s="279"/>
      <c r="P221" s="279"/>
      <c r="Q221" s="279"/>
      <c r="R221" s="279"/>
      <c r="S221" s="279"/>
      <c r="T221" s="279"/>
      <c r="U221" s="279"/>
      <c r="V221" s="279"/>
      <c r="W221" s="279"/>
      <c r="X221" s="279"/>
      <c r="Y221" s="279"/>
      <c r="Z221" s="279"/>
      <c r="AA221" s="279"/>
      <c r="AB221" s="279"/>
      <c r="AC221" s="279"/>
      <c r="AD221" s="279"/>
      <c r="AE221" s="279"/>
      <c r="AF221" s="279"/>
      <c r="AG221" s="279"/>
      <c r="AH221" s="279"/>
      <c r="AI221" s="279"/>
      <c r="AJ221" s="279"/>
      <c r="AK221" s="279"/>
      <c r="AL221" s="279"/>
      <c r="AM221" s="279"/>
      <c r="AN221" s="279"/>
      <c r="AO221" s="279"/>
      <c r="AP221" s="279"/>
      <c r="AQ221" s="279"/>
      <c r="AR221" s="279"/>
      <c r="AS221" s="154"/>
      <c r="AT221" s="154"/>
      <c r="AU221" s="155"/>
      <c r="AV221" s="155"/>
      <c r="AW221" s="155"/>
      <c r="AX221" s="279"/>
      <c r="AY221" s="279"/>
      <c r="AZ221" s="279"/>
      <c r="BA221" s="279"/>
      <c r="BB221" s="279"/>
      <c r="BC221" s="279"/>
      <c r="BD221" s="279"/>
      <c r="BE221" s="279"/>
      <c r="BF221" s="279"/>
      <c r="BG221" s="279"/>
      <c r="BH221" s="279"/>
      <c r="BI221" s="279"/>
      <c r="BJ221" s="279"/>
      <c r="BK221" s="279"/>
      <c r="BL221" s="279"/>
      <c r="BM221" s="279"/>
      <c r="BN221" s="279"/>
      <c r="BO221" s="279"/>
      <c r="BP221" s="279"/>
      <c r="BQ221" s="279"/>
      <c r="BR221" s="279"/>
      <c r="BS221" s="154"/>
      <c r="BT221" s="154"/>
      <c r="BU221" s="154"/>
      <c r="BV221" s="154"/>
      <c r="BW221" s="154"/>
    </row>
    <row r="222" spans="6:75" ht="11.25" customHeight="1" x14ac:dyDescent="0.2">
      <c r="F222" s="279"/>
      <c r="G222" s="279"/>
      <c r="H222" s="279"/>
      <c r="I222" s="279"/>
      <c r="J222" s="279"/>
      <c r="K222" s="279"/>
      <c r="L222" s="279"/>
      <c r="M222" s="279"/>
      <c r="N222" s="279"/>
      <c r="O222" s="279"/>
      <c r="P222" s="279"/>
      <c r="Q222" s="279"/>
      <c r="R222" s="279"/>
      <c r="S222" s="279"/>
      <c r="T222" s="279"/>
      <c r="U222" s="279"/>
      <c r="V222" s="279"/>
      <c r="W222" s="279"/>
      <c r="X222" s="279"/>
      <c r="Y222" s="279"/>
      <c r="Z222" s="279"/>
      <c r="AA222" s="279"/>
      <c r="AB222" s="279"/>
      <c r="AC222" s="279"/>
      <c r="AD222" s="279"/>
      <c r="AE222" s="279"/>
      <c r="AF222" s="279"/>
      <c r="AG222" s="279"/>
      <c r="AH222" s="279"/>
      <c r="AI222" s="279"/>
      <c r="AJ222" s="279"/>
      <c r="AK222" s="279"/>
      <c r="AL222" s="279"/>
      <c r="AM222" s="279"/>
      <c r="AN222" s="279"/>
      <c r="AO222" s="279"/>
      <c r="AP222" s="279"/>
      <c r="AQ222" s="279"/>
      <c r="AR222" s="279"/>
      <c r="AS222" s="154"/>
      <c r="AT222" s="154"/>
      <c r="AU222" s="155"/>
      <c r="AV222" s="155"/>
      <c r="AW222" s="155"/>
      <c r="AX222" s="279"/>
      <c r="AY222" s="279"/>
      <c r="AZ222" s="279"/>
      <c r="BA222" s="279"/>
      <c r="BB222" s="279"/>
      <c r="BC222" s="279"/>
      <c r="BD222" s="279"/>
      <c r="BE222" s="279"/>
      <c r="BF222" s="279"/>
      <c r="BG222" s="279"/>
      <c r="BH222" s="279"/>
      <c r="BI222" s="279"/>
      <c r="BJ222" s="279"/>
      <c r="BK222" s="279"/>
      <c r="BL222" s="279"/>
      <c r="BM222" s="279"/>
      <c r="BN222" s="279"/>
      <c r="BO222" s="279"/>
      <c r="BP222" s="279"/>
      <c r="BQ222" s="279"/>
      <c r="BR222" s="279"/>
      <c r="BS222" s="154"/>
      <c r="BT222" s="154"/>
      <c r="BU222" s="154"/>
      <c r="BV222" s="154"/>
      <c r="BW222" s="154"/>
    </row>
    <row r="223" spans="6:75" ht="11.25" customHeight="1" x14ac:dyDescent="0.2">
      <c r="F223" s="279"/>
      <c r="G223" s="279"/>
      <c r="H223" s="279"/>
      <c r="I223" s="279"/>
      <c r="J223" s="279"/>
      <c r="K223" s="279"/>
      <c r="L223" s="279"/>
      <c r="M223" s="279"/>
      <c r="N223" s="279"/>
      <c r="O223" s="279"/>
      <c r="P223" s="279"/>
      <c r="Q223" s="279"/>
      <c r="R223" s="279"/>
      <c r="S223" s="279"/>
      <c r="T223" s="279"/>
      <c r="U223" s="279"/>
      <c r="V223" s="279"/>
      <c r="W223" s="279"/>
      <c r="X223" s="279"/>
      <c r="Y223" s="279"/>
      <c r="Z223" s="279"/>
      <c r="AA223" s="279"/>
      <c r="AB223" s="279"/>
      <c r="AC223" s="279"/>
      <c r="AD223" s="279"/>
      <c r="AE223" s="279"/>
      <c r="AF223" s="279"/>
      <c r="AG223" s="279"/>
      <c r="AH223" s="279"/>
      <c r="AI223" s="279"/>
      <c r="AJ223" s="279"/>
      <c r="AK223" s="279"/>
      <c r="AL223" s="279"/>
      <c r="AM223" s="279"/>
      <c r="AN223" s="279"/>
      <c r="AO223" s="279"/>
      <c r="AP223" s="279"/>
      <c r="AQ223" s="279"/>
      <c r="AR223" s="279"/>
      <c r="AS223" s="154"/>
      <c r="AT223" s="154"/>
      <c r="AU223" s="155"/>
      <c r="AV223" s="155"/>
      <c r="AW223" s="155"/>
      <c r="AX223" s="279"/>
      <c r="AY223" s="279"/>
      <c r="AZ223" s="279"/>
      <c r="BA223" s="279"/>
      <c r="BB223" s="279"/>
      <c r="BC223" s="279"/>
      <c r="BD223" s="279"/>
      <c r="BE223" s="279"/>
      <c r="BF223" s="279"/>
      <c r="BG223" s="279"/>
      <c r="BH223" s="279"/>
      <c r="BI223" s="279"/>
      <c r="BJ223" s="279"/>
      <c r="BK223" s="279"/>
      <c r="BL223" s="279"/>
      <c r="BM223" s="279"/>
      <c r="BN223" s="279"/>
      <c r="BO223" s="279"/>
      <c r="BP223" s="279"/>
      <c r="BQ223" s="279"/>
      <c r="BR223" s="279"/>
      <c r="BS223" s="154"/>
      <c r="BT223" s="154"/>
      <c r="BU223" s="154"/>
      <c r="BV223" s="154"/>
      <c r="BW223" s="154"/>
    </row>
    <row r="224" spans="6:75" ht="11.25" customHeight="1" x14ac:dyDescent="0.2">
      <c r="F224" s="279"/>
      <c r="G224" s="279"/>
      <c r="H224" s="279"/>
      <c r="I224" s="279"/>
      <c r="J224" s="279"/>
      <c r="K224" s="279"/>
      <c r="L224" s="279"/>
      <c r="M224" s="279"/>
      <c r="N224" s="279"/>
      <c r="O224" s="279"/>
      <c r="P224" s="279"/>
      <c r="Q224" s="279"/>
      <c r="R224" s="279"/>
      <c r="S224" s="279"/>
      <c r="T224" s="279"/>
      <c r="U224" s="279"/>
      <c r="V224" s="279"/>
      <c r="W224" s="279"/>
      <c r="X224" s="279"/>
      <c r="Y224" s="279"/>
      <c r="Z224" s="279"/>
      <c r="AA224" s="279"/>
      <c r="AB224" s="279"/>
      <c r="AC224" s="279"/>
      <c r="AD224" s="279"/>
      <c r="AE224" s="279"/>
      <c r="AF224" s="279"/>
      <c r="AG224" s="279"/>
      <c r="AH224" s="279"/>
      <c r="AI224" s="279"/>
      <c r="AJ224" s="279"/>
      <c r="AK224" s="279"/>
      <c r="AL224" s="279"/>
      <c r="AM224" s="279"/>
      <c r="AN224" s="279"/>
      <c r="AO224" s="279"/>
      <c r="AP224" s="279"/>
      <c r="AQ224" s="279"/>
      <c r="AR224" s="279"/>
      <c r="AS224" s="154"/>
      <c r="AT224" s="154"/>
      <c r="AU224" s="155"/>
      <c r="AV224" s="155"/>
      <c r="AW224" s="155"/>
      <c r="AX224" s="279"/>
      <c r="AY224" s="279"/>
      <c r="AZ224" s="279"/>
      <c r="BA224" s="279"/>
      <c r="BB224" s="279"/>
      <c r="BC224" s="279"/>
      <c r="BD224" s="279"/>
      <c r="BE224" s="279"/>
      <c r="BF224" s="279"/>
      <c r="BG224" s="279"/>
      <c r="BH224" s="279"/>
      <c r="BI224" s="279"/>
      <c r="BJ224" s="279"/>
      <c r="BK224" s="279"/>
      <c r="BL224" s="279"/>
      <c r="BM224" s="279"/>
      <c r="BN224" s="279"/>
      <c r="BO224" s="279"/>
      <c r="BP224" s="279"/>
      <c r="BQ224" s="279"/>
      <c r="BR224" s="279"/>
      <c r="BS224" s="154"/>
      <c r="BT224" s="154"/>
      <c r="BU224" s="154"/>
      <c r="BV224" s="154"/>
      <c r="BW224" s="154"/>
    </row>
    <row r="225" spans="6:75" ht="11.25" customHeight="1" x14ac:dyDescent="0.2">
      <c r="F225" s="279"/>
      <c r="G225" s="279"/>
      <c r="H225" s="279"/>
      <c r="I225" s="279"/>
      <c r="J225" s="279"/>
      <c r="K225" s="279"/>
      <c r="L225" s="279"/>
      <c r="M225" s="279"/>
      <c r="N225" s="279"/>
      <c r="O225" s="279"/>
      <c r="P225" s="279"/>
      <c r="Q225" s="279"/>
      <c r="R225" s="279"/>
      <c r="S225" s="279"/>
      <c r="T225" s="279"/>
      <c r="U225" s="279"/>
      <c r="V225" s="279"/>
      <c r="W225" s="279"/>
      <c r="X225" s="279"/>
      <c r="Y225" s="279"/>
      <c r="Z225" s="279"/>
      <c r="AA225" s="279"/>
      <c r="AB225" s="279"/>
      <c r="AC225" s="279"/>
      <c r="AD225" s="279"/>
      <c r="AE225" s="279"/>
      <c r="AF225" s="279"/>
      <c r="AG225" s="279"/>
      <c r="AH225" s="279"/>
      <c r="AI225" s="279"/>
      <c r="AJ225" s="279"/>
      <c r="AK225" s="279"/>
      <c r="AL225" s="279"/>
      <c r="AM225" s="279"/>
      <c r="AN225" s="279"/>
      <c r="AO225" s="279"/>
      <c r="AP225" s="279"/>
      <c r="AQ225" s="279"/>
      <c r="AR225" s="279"/>
      <c r="AS225" s="154"/>
      <c r="AT225" s="154"/>
      <c r="AU225" s="155"/>
      <c r="AV225" s="155"/>
      <c r="AW225" s="155"/>
      <c r="AX225" s="279"/>
      <c r="AY225" s="279"/>
      <c r="AZ225" s="279"/>
      <c r="BA225" s="279"/>
      <c r="BB225" s="279"/>
      <c r="BC225" s="279"/>
      <c r="BD225" s="279"/>
      <c r="BE225" s="279"/>
      <c r="BF225" s="279"/>
      <c r="BG225" s="279"/>
      <c r="BH225" s="279"/>
      <c r="BI225" s="279"/>
      <c r="BJ225" s="279"/>
      <c r="BK225" s="279"/>
      <c r="BL225" s="279"/>
      <c r="BM225" s="279"/>
      <c r="BN225" s="279"/>
      <c r="BO225" s="279"/>
      <c r="BP225" s="279"/>
      <c r="BQ225" s="279"/>
      <c r="BR225" s="279"/>
      <c r="BS225" s="154"/>
      <c r="BT225" s="154"/>
      <c r="BU225" s="154"/>
      <c r="BV225" s="154"/>
      <c r="BW225" s="154"/>
    </row>
    <row r="226" spans="6:75" ht="11.25" customHeight="1" x14ac:dyDescent="0.2">
      <c r="F226" s="279"/>
      <c r="G226" s="279"/>
      <c r="H226" s="279"/>
      <c r="I226" s="279"/>
      <c r="J226" s="279"/>
      <c r="K226" s="279"/>
      <c r="L226" s="279"/>
      <c r="M226" s="279"/>
      <c r="N226" s="279"/>
      <c r="O226" s="279"/>
      <c r="P226" s="279"/>
      <c r="Q226" s="279"/>
      <c r="R226" s="279"/>
      <c r="S226" s="279"/>
      <c r="T226" s="279"/>
      <c r="U226" s="279"/>
      <c r="V226" s="279"/>
      <c r="W226" s="279"/>
      <c r="X226" s="279"/>
      <c r="Y226" s="279"/>
      <c r="Z226" s="279"/>
      <c r="AA226" s="279"/>
      <c r="AB226" s="279"/>
      <c r="AC226" s="279"/>
      <c r="AD226" s="279"/>
      <c r="AE226" s="279"/>
      <c r="AF226" s="279"/>
      <c r="AG226" s="279"/>
      <c r="AH226" s="279"/>
      <c r="AI226" s="279"/>
      <c r="AJ226" s="279"/>
      <c r="AK226" s="279"/>
      <c r="AL226" s="279"/>
      <c r="AM226" s="279"/>
      <c r="AN226" s="279"/>
      <c r="AO226" s="279"/>
      <c r="AP226" s="279"/>
      <c r="AQ226" s="279"/>
      <c r="AR226" s="279"/>
      <c r="AS226" s="154"/>
      <c r="AT226" s="154"/>
      <c r="AU226" s="155"/>
      <c r="AV226" s="155"/>
      <c r="AW226" s="155"/>
      <c r="AX226" s="279"/>
      <c r="AY226" s="279"/>
      <c r="AZ226" s="279"/>
      <c r="BA226" s="279"/>
      <c r="BB226" s="279"/>
      <c r="BC226" s="279"/>
      <c r="BD226" s="279"/>
      <c r="BE226" s="279"/>
      <c r="BF226" s="279"/>
      <c r="BG226" s="279"/>
      <c r="BH226" s="279"/>
      <c r="BI226" s="279"/>
      <c r="BJ226" s="279"/>
      <c r="BK226" s="279"/>
      <c r="BL226" s="279"/>
      <c r="BM226" s="279"/>
      <c r="BN226" s="279"/>
      <c r="BO226" s="279"/>
      <c r="BP226" s="279"/>
      <c r="BQ226" s="279"/>
      <c r="BR226" s="279"/>
      <c r="BS226" s="154"/>
      <c r="BT226" s="154"/>
      <c r="BU226" s="154"/>
      <c r="BV226" s="154"/>
      <c r="BW226" s="154"/>
    </row>
    <row r="227" spans="6:75" ht="11.25" customHeight="1" x14ac:dyDescent="0.2">
      <c r="F227" s="279"/>
      <c r="G227" s="279"/>
      <c r="H227" s="279"/>
      <c r="I227" s="279"/>
      <c r="J227" s="279"/>
      <c r="K227" s="279"/>
      <c r="L227" s="279"/>
      <c r="M227" s="279"/>
      <c r="N227" s="279"/>
      <c r="O227" s="279"/>
      <c r="P227" s="279"/>
      <c r="Q227" s="279"/>
      <c r="R227" s="279"/>
      <c r="S227" s="279"/>
      <c r="T227" s="279"/>
      <c r="U227" s="279"/>
      <c r="V227" s="279"/>
      <c r="W227" s="279"/>
      <c r="X227" s="279"/>
      <c r="Y227" s="279"/>
      <c r="Z227" s="279"/>
      <c r="AA227" s="279"/>
      <c r="AB227" s="279"/>
      <c r="AC227" s="279"/>
      <c r="AD227" s="279"/>
      <c r="AE227" s="279"/>
      <c r="AF227" s="279"/>
      <c r="AG227" s="279"/>
      <c r="AH227" s="279"/>
      <c r="AI227" s="279"/>
      <c r="AJ227" s="279"/>
      <c r="AK227" s="279"/>
      <c r="AL227" s="279"/>
      <c r="AM227" s="279"/>
      <c r="AN227" s="279"/>
      <c r="AO227" s="279"/>
      <c r="AP227" s="279"/>
      <c r="AQ227" s="279"/>
      <c r="AR227" s="279"/>
      <c r="AS227" s="154"/>
      <c r="AT227" s="154"/>
      <c r="AU227" s="155"/>
      <c r="AV227" s="155"/>
      <c r="AW227" s="155"/>
      <c r="AX227" s="279"/>
      <c r="AY227" s="279"/>
      <c r="AZ227" s="279"/>
      <c r="BA227" s="279"/>
      <c r="BB227" s="279"/>
      <c r="BC227" s="279"/>
      <c r="BD227" s="279"/>
      <c r="BE227" s="279"/>
      <c r="BF227" s="279"/>
      <c r="BG227" s="279"/>
      <c r="BH227" s="279"/>
      <c r="BI227" s="279"/>
      <c r="BJ227" s="279"/>
      <c r="BK227" s="279"/>
      <c r="BL227" s="279"/>
      <c r="BM227" s="279"/>
      <c r="BN227" s="279"/>
      <c r="BO227" s="279"/>
      <c r="BP227" s="279"/>
      <c r="BQ227" s="279"/>
      <c r="BR227" s="279"/>
      <c r="BS227" s="154"/>
      <c r="BT227" s="154"/>
      <c r="BU227" s="154"/>
      <c r="BV227" s="154"/>
      <c r="BW227" s="154"/>
    </row>
    <row r="228" spans="6:75" ht="11.25" customHeight="1" x14ac:dyDescent="0.2">
      <c r="F228" s="279"/>
      <c r="G228" s="279"/>
      <c r="H228" s="279"/>
      <c r="I228" s="279"/>
      <c r="J228" s="279"/>
      <c r="K228" s="279"/>
      <c r="L228" s="279"/>
      <c r="M228" s="279"/>
      <c r="N228" s="279"/>
      <c r="O228" s="279"/>
      <c r="P228" s="279"/>
      <c r="Q228" s="279"/>
      <c r="R228" s="279"/>
      <c r="S228" s="279"/>
      <c r="T228" s="279"/>
      <c r="U228" s="279"/>
      <c r="V228" s="279"/>
      <c r="W228" s="279"/>
      <c r="X228" s="279"/>
      <c r="Y228" s="279"/>
      <c r="Z228" s="279"/>
      <c r="AA228" s="279"/>
      <c r="AB228" s="279"/>
      <c r="AC228" s="279"/>
      <c r="AD228" s="279"/>
      <c r="AE228" s="279"/>
      <c r="AF228" s="279"/>
      <c r="AG228" s="279"/>
      <c r="AH228" s="279"/>
      <c r="AI228" s="279"/>
      <c r="AJ228" s="279"/>
      <c r="AK228" s="279"/>
      <c r="AL228" s="279"/>
      <c r="AM228" s="279"/>
      <c r="AN228" s="279"/>
      <c r="AO228" s="279"/>
      <c r="AP228" s="279"/>
      <c r="AQ228" s="279"/>
      <c r="AR228" s="279"/>
      <c r="AS228" s="154"/>
      <c r="AT228" s="154"/>
      <c r="AU228" s="155"/>
      <c r="AV228" s="155"/>
      <c r="AW228" s="155"/>
      <c r="AX228" s="279"/>
      <c r="AY228" s="279"/>
      <c r="AZ228" s="279"/>
      <c r="BA228" s="279"/>
      <c r="BB228" s="279"/>
      <c r="BC228" s="279"/>
      <c r="BD228" s="279"/>
      <c r="BE228" s="279"/>
      <c r="BF228" s="279"/>
      <c r="BG228" s="279"/>
      <c r="BH228" s="279"/>
      <c r="BI228" s="279"/>
      <c r="BJ228" s="279"/>
      <c r="BK228" s="279"/>
      <c r="BL228" s="279"/>
      <c r="BM228" s="279"/>
      <c r="BN228" s="279"/>
      <c r="BO228" s="279"/>
      <c r="BP228" s="279"/>
      <c r="BQ228" s="279"/>
      <c r="BR228" s="279"/>
      <c r="BS228" s="154"/>
      <c r="BT228" s="154"/>
      <c r="BU228" s="154"/>
      <c r="BV228" s="154"/>
      <c r="BW228" s="154"/>
    </row>
    <row r="229" spans="6:75" ht="11.25" customHeight="1" x14ac:dyDescent="0.2">
      <c r="F229" s="279"/>
      <c r="G229" s="279"/>
      <c r="H229" s="279"/>
      <c r="I229" s="279"/>
      <c r="J229" s="279"/>
      <c r="K229" s="279"/>
      <c r="L229" s="279"/>
      <c r="M229" s="279"/>
      <c r="N229" s="279"/>
      <c r="O229" s="279"/>
      <c r="P229" s="279"/>
      <c r="Q229" s="279"/>
      <c r="R229" s="279"/>
      <c r="S229" s="279"/>
      <c r="T229" s="279"/>
      <c r="U229" s="279"/>
      <c r="V229" s="279"/>
      <c r="W229" s="279"/>
      <c r="X229" s="279"/>
      <c r="Y229" s="279"/>
      <c r="Z229" s="279"/>
      <c r="AA229" s="279"/>
      <c r="AB229" s="279"/>
      <c r="AC229" s="279"/>
      <c r="AD229" s="279"/>
      <c r="AE229" s="279"/>
      <c r="AF229" s="279"/>
      <c r="AG229" s="279"/>
      <c r="AH229" s="279"/>
      <c r="AI229" s="279"/>
      <c r="AJ229" s="279"/>
      <c r="AK229" s="279"/>
      <c r="AL229" s="279"/>
      <c r="AM229" s="279"/>
      <c r="AN229" s="279"/>
      <c r="AO229" s="279"/>
      <c r="AP229" s="279"/>
      <c r="AQ229" s="279"/>
      <c r="AR229" s="279"/>
      <c r="AS229" s="154"/>
      <c r="AT229" s="154"/>
      <c r="AU229" s="155"/>
      <c r="AV229" s="155"/>
      <c r="AW229" s="155"/>
      <c r="AX229" s="279"/>
      <c r="AY229" s="279"/>
      <c r="AZ229" s="279"/>
      <c r="BA229" s="279"/>
      <c r="BB229" s="279"/>
      <c r="BC229" s="279"/>
      <c r="BD229" s="279"/>
      <c r="BE229" s="279"/>
      <c r="BF229" s="279"/>
      <c r="BG229" s="279"/>
      <c r="BH229" s="279"/>
      <c r="BI229" s="279"/>
      <c r="BJ229" s="279"/>
      <c r="BK229" s="279"/>
      <c r="BL229" s="279"/>
      <c r="BM229" s="279"/>
      <c r="BN229" s="279"/>
      <c r="BO229" s="279"/>
      <c r="BP229" s="279"/>
      <c r="BQ229" s="279"/>
      <c r="BR229" s="279"/>
      <c r="BS229" s="154"/>
      <c r="BT229" s="154"/>
      <c r="BU229" s="154"/>
      <c r="BV229" s="154"/>
      <c r="BW229" s="154"/>
    </row>
    <row r="230" spans="6:75" ht="11.25" customHeight="1" x14ac:dyDescent="0.2">
      <c r="F230" s="279"/>
      <c r="G230" s="279"/>
      <c r="H230" s="279"/>
      <c r="I230" s="279"/>
      <c r="J230" s="279"/>
      <c r="K230" s="279"/>
      <c r="L230" s="279"/>
      <c r="M230" s="279"/>
      <c r="N230" s="279"/>
      <c r="O230" s="279"/>
      <c r="P230" s="279"/>
      <c r="Q230" s="279"/>
      <c r="R230" s="279"/>
      <c r="S230" s="279"/>
      <c r="T230" s="279"/>
      <c r="U230" s="279"/>
      <c r="V230" s="279"/>
      <c r="W230" s="279"/>
      <c r="X230" s="279"/>
      <c r="Y230" s="279"/>
      <c r="Z230" s="279"/>
      <c r="AA230" s="279"/>
      <c r="AB230" s="279"/>
      <c r="AC230" s="279"/>
      <c r="AD230" s="279"/>
      <c r="AE230" s="279"/>
      <c r="AF230" s="279"/>
      <c r="AG230" s="279"/>
      <c r="AH230" s="279"/>
      <c r="AI230" s="279"/>
      <c r="AJ230" s="279"/>
      <c r="AK230" s="279"/>
      <c r="AL230" s="279"/>
      <c r="AM230" s="279"/>
      <c r="AN230" s="279"/>
      <c r="AO230" s="279"/>
      <c r="AP230" s="279"/>
      <c r="AQ230" s="279"/>
      <c r="AR230" s="279"/>
      <c r="AS230" s="154"/>
      <c r="AT230" s="154"/>
      <c r="AU230" s="155"/>
      <c r="AV230" s="155"/>
      <c r="AW230" s="155"/>
      <c r="AX230" s="279"/>
      <c r="AY230" s="279"/>
      <c r="AZ230" s="279"/>
      <c r="BA230" s="279"/>
      <c r="BB230" s="279"/>
      <c r="BC230" s="279"/>
      <c r="BD230" s="279"/>
      <c r="BE230" s="279"/>
      <c r="BF230" s="279"/>
      <c r="BG230" s="279"/>
      <c r="BH230" s="279"/>
      <c r="BI230" s="279"/>
      <c r="BJ230" s="279"/>
      <c r="BK230" s="279"/>
      <c r="BL230" s="279"/>
      <c r="BM230" s="279"/>
      <c r="BN230" s="279"/>
      <c r="BO230" s="279"/>
      <c r="BP230" s="279"/>
      <c r="BQ230" s="279"/>
      <c r="BR230" s="279"/>
      <c r="BS230" s="154"/>
      <c r="BT230" s="154"/>
      <c r="BU230" s="154"/>
      <c r="BV230" s="154"/>
      <c r="BW230" s="154"/>
    </row>
    <row r="231" spans="6:75" ht="11.25" customHeight="1" x14ac:dyDescent="0.2">
      <c r="F231" s="279"/>
      <c r="G231" s="279"/>
      <c r="H231" s="279"/>
      <c r="I231" s="279"/>
      <c r="J231" s="279"/>
      <c r="K231" s="279"/>
      <c r="L231" s="279"/>
      <c r="M231" s="279"/>
      <c r="N231" s="279"/>
      <c r="O231" s="279"/>
      <c r="P231" s="279"/>
      <c r="Q231" s="279"/>
      <c r="R231" s="279"/>
      <c r="S231" s="279"/>
      <c r="T231" s="279"/>
      <c r="U231" s="279"/>
      <c r="V231" s="279"/>
      <c r="W231" s="279"/>
      <c r="X231" s="279"/>
      <c r="Y231" s="279"/>
      <c r="Z231" s="279"/>
      <c r="AA231" s="279"/>
      <c r="AB231" s="279"/>
      <c r="AC231" s="279"/>
      <c r="AD231" s="279"/>
      <c r="AE231" s="279"/>
      <c r="AF231" s="279"/>
      <c r="AG231" s="279"/>
      <c r="AH231" s="279"/>
      <c r="AI231" s="279"/>
      <c r="AJ231" s="279"/>
      <c r="AK231" s="279"/>
      <c r="AL231" s="279"/>
      <c r="AM231" s="279"/>
      <c r="AN231" s="279"/>
      <c r="AO231" s="279"/>
      <c r="AP231" s="279"/>
      <c r="AQ231" s="279"/>
      <c r="AR231" s="279"/>
      <c r="AS231" s="154"/>
      <c r="AT231" s="154"/>
      <c r="AU231" s="155"/>
      <c r="AV231" s="155"/>
      <c r="AW231" s="155"/>
      <c r="AX231" s="279"/>
      <c r="AY231" s="279"/>
      <c r="AZ231" s="279"/>
      <c r="BA231" s="279"/>
      <c r="BB231" s="279"/>
      <c r="BC231" s="279"/>
      <c r="BD231" s="279"/>
      <c r="BE231" s="279"/>
      <c r="BF231" s="279"/>
      <c r="BG231" s="279"/>
      <c r="BH231" s="279"/>
      <c r="BI231" s="279"/>
      <c r="BJ231" s="279"/>
      <c r="BK231" s="279"/>
      <c r="BL231" s="279"/>
      <c r="BM231" s="279"/>
      <c r="BN231" s="279"/>
      <c r="BO231" s="279"/>
      <c r="BP231" s="279"/>
      <c r="BQ231" s="279"/>
      <c r="BR231" s="279"/>
      <c r="BS231" s="154"/>
      <c r="BT231" s="154"/>
      <c r="BU231" s="154"/>
      <c r="BV231" s="154"/>
      <c r="BW231" s="154"/>
    </row>
    <row r="232" spans="6:75" ht="11.25" customHeight="1" x14ac:dyDescent="0.2">
      <c r="F232" s="279"/>
      <c r="G232" s="279"/>
      <c r="H232" s="279"/>
      <c r="I232" s="279"/>
      <c r="J232" s="279"/>
      <c r="K232" s="279"/>
      <c r="L232" s="279"/>
      <c r="M232" s="279"/>
      <c r="N232" s="279"/>
      <c r="O232" s="279"/>
      <c r="P232" s="279"/>
      <c r="Q232" s="279"/>
      <c r="R232" s="279"/>
      <c r="S232" s="279"/>
      <c r="T232" s="279"/>
      <c r="U232" s="279"/>
      <c r="V232" s="279"/>
      <c r="W232" s="279"/>
      <c r="X232" s="279"/>
      <c r="Y232" s="279"/>
      <c r="Z232" s="279"/>
      <c r="AA232" s="279"/>
      <c r="AB232" s="279"/>
      <c r="AC232" s="279"/>
      <c r="AD232" s="279"/>
      <c r="AE232" s="279"/>
      <c r="AF232" s="279"/>
      <c r="AG232" s="279"/>
      <c r="AH232" s="279"/>
      <c r="AI232" s="279"/>
      <c r="AJ232" s="279"/>
      <c r="AK232" s="279"/>
      <c r="AL232" s="279"/>
      <c r="AM232" s="279"/>
      <c r="AN232" s="279"/>
      <c r="AO232" s="279"/>
      <c r="AP232" s="279"/>
      <c r="AQ232" s="279"/>
      <c r="AR232" s="279"/>
      <c r="AS232" s="154"/>
      <c r="AT232" s="154"/>
      <c r="AU232" s="155"/>
      <c r="AV232" s="155"/>
      <c r="AW232" s="155"/>
      <c r="AX232" s="279"/>
      <c r="AY232" s="279"/>
      <c r="AZ232" s="279"/>
      <c r="BA232" s="279"/>
      <c r="BB232" s="279"/>
      <c r="BC232" s="279"/>
      <c r="BD232" s="279"/>
      <c r="BE232" s="279"/>
      <c r="BF232" s="279"/>
      <c r="BG232" s="279"/>
      <c r="BH232" s="279"/>
      <c r="BI232" s="279"/>
      <c r="BJ232" s="279"/>
      <c r="BK232" s="279"/>
      <c r="BL232" s="279"/>
      <c r="BM232" s="279"/>
      <c r="BN232" s="279"/>
      <c r="BO232" s="279"/>
      <c r="BP232" s="279"/>
      <c r="BQ232" s="279"/>
      <c r="BR232" s="279"/>
      <c r="BS232" s="154"/>
      <c r="BT232" s="154"/>
      <c r="BU232" s="154"/>
      <c r="BV232" s="154"/>
      <c r="BW232" s="154"/>
    </row>
    <row r="233" spans="6:75" ht="11.25" customHeight="1" x14ac:dyDescent="0.2">
      <c r="F233" s="279"/>
      <c r="G233" s="279"/>
      <c r="H233" s="279"/>
      <c r="I233" s="279"/>
      <c r="J233" s="279"/>
      <c r="K233" s="279"/>
      <c r="L233" s="279"/>
      <c r="M233" s="279"/>
      <c r="N233" s="279"/>
      <c r="O233" s="279"/>
      <c r="P233" s="279"/>
      <c r="Q233" s="279"/>
      <c r="R233" s="279"/>
      <c r="S233" s="279"/>
      <c r="T233" s="279"/>
      <c r="U233" s="279"/>
      <c r="V233" s="279"/>
      <c r="W233" s="279"/>
      <c r="X233" s="279"/>
      <c r="Y233" s="279"/>
      <c r="Z233" s="279"/>
      <c r="AA233" s="279"/>
      <c r="AB233" s="279"/>
      <c r="AC233" s="279"/>
      <c r="AD233" s="279"/>
      <c r="AE233" s="279"/>
      <c r="AF233" s="279"/>
      <c r="AG233" s="279"/>
      <c r="AH233" s="279"/>
      <c r="AI233" s="279"/>
      <c r="AJ233" s="279"/>
      <c r="AK233" s="279"/>
      <c r="AL233" s="279"/>
      <c r="AM233" s="279"/>
      <c r="AN233" s="279"/>
      <c r="AO233" s="279"/>
      <c r="AP233" s="279"/>
      <c r="AQ233" s="279"/>
      <c r="AR233" s="279"/>
      <c r="AS233" s="154"/>
      <c r="AT233" s="154"/>
      <c r="AU233" s="155"/>
      <c r="AV233" s="155"/>
      <c r="AW233" s="155"/>
      <c r="AX233" s="279"/>
      <c r="AY233" s="279"/>
      <c r="AZ233" s="279"/>
      <c r="BA233" s="279"/>
      <c r="BB233" s="279"/>
      <c r="BC233" s="279"/>
      <c r="BD233" s="279"/>
      <c r="BE233" s="279"/>
      <c r="BF233" s="279"/>
      <c r="BG233" s="279"/>
      <c r="BH233" s="279"/>
      <c r="BI233" s="279"/>
      <c r="BJ233" s="279"/>
      <c r="BK233" s="279"/>
      <c r="BL233" s="279"/>
      <c r="BM233" s="279"/>
      <c r="BN233" s="279"/>
      <c r="BO233" s="279"/>
      <c r="BP233" s="279"/>
      <c r="BQ233" s="279"/>
      <c r="BR233" s="279"/>
      <c r="BS233" s="154"/>
      <c r="BT233" s="154"/>
      <c r="BU233" s="154"/>
      <c r="BV233" s="154"/>
      <c r="BW233" s="154"/>
    </row>
    <row r="234" spans="6:75" ht="11.25" customHeight="1" x14ac:dyDescent="0.2">
      <c r="F234" s="279"/>
      <c r="G234" s="279"/>
      <c r="H234" s="279"/>
      <c r="I234" s="279"/>
      <c r="J234" s="279"/>
      <c r="K234" s="279"/>
      <c r="L234" s="279"/>
      <c r="M234" s="279"/>
      <c r="N234" s="279"/>
      <c r="O234" s="279"/>
      <c r="P234" s="279"/>
      <c r="Q234" s="279"/>
      <c r="R234" s="279"/>
      <c r="S234" s="279"/>
      <c r="T234" s="279"/>
      <c r="U234" s="279"/>
      <c r="V234" s="279"/>
      <c r="W234" s="279"/>
      <c r="X234" s="279"/>
      <c r="Y234" s="279"/>
      <c r="Z234" s="279"/>
      <c r="AA234" s="279"/>
      <c r="AB234" s="279"/>
      <c r="AC234" s="279"/>
      <c r="AD234" s="279"/>
      <c r="AE234" s="279"/>
      <c r="AF234" s="279"/>
      <c r="AG234" s="279"/>
      <c r="AH234" s="279"/>
      <c r="AI234" s="279"/>
      <c r="AJ234" s="279"/>
      <c r="AK234" s="279"/>
      <c r="AL234" s="279"/>
      <c r="AM234" s="279"/>
      <c r="AN234" s="279"/>
      <c r="AO234" s="279"/>
      <c r="AP234" s="279"/>
      <c r="AQ234" s="279"/>
      <c r="AR234" s="279"/>
      <c r="AS234" s="154"/>
      <c r="AT234" s="154"/>
      <c r="AU234" s="155"/>
      <c r="AV234" s="155"/>
      <c r="AW234" s="155"/>
      <c r="AX234" s="279"/>
      <c r="AY234" s="279"/>
      <c r="AZ234" s="279"/>
      <c r="BA234" s="279"/>
      <c r="BB234" s="279"/>
      <c r="BC234" s="279"/>
      <c r="BD234" s="279"/>
      <c r="BE234" s="279"/>
      <c r="BF234" s="279"/>
      <c r="BG234" s="279"/>
      <c r="BH234" s="279"/>
      <c r="BI234" s="279"/>
      <c r="BJ234" s="279"/>
      <c r="BK234" s="279"/>
      <c r="BL234" s="279"/>
      <c r="BM234" s="279"/>
      <c r="BN234" s="279"/>
      <c r="BO234" s="279"/>
      <c r="BP234" s="279"/>
      <c r="BQ234" s="279"/>
      <c r="BR234" s="279"/>
      <c r="BS234" s="154"/>
      <c r="BT234" s="154"/>
      <c r="BU234" s="154"/>
      <c r="BV234" s="154"/>
      <c r="BW234" s="154"/>
    </row>
    <row r="235" spans="6:75" ht="11.25" customHeight="1" x14ac:dyDescent="0.2">
      <c r="F235" s="279"/>
      <c r="G235" s="279"/>
      <c r="H235" s="279"/>
      <c r="I235" s="279"/>
      <c r="J235" s="279"/>
      <c r="K235" s="279"/>
      <c r="L235" s="279"/>
      <c r="M235" s="279"/>
      <c r="N235" s="279"/>
      <c r="O235" s="279"/>
      <c r="P235" s="279"/>
      <c r="Q235" s="279"/>
      <c r="R235" s="279"/>
      <c r="S235" s="279"/>
      <c r="T235" s="279"/>
      <c r="U235" s="279"/>
      <c r="V235" s="279"/>
      <c r="W235" s="279"/>
      <c r="X235" s="279"/>
      <c r="Y235" s="279"/>
      <c r="Z235" s="279"/>
      <c r="AA235" s="279"/>
      <c r="AB235" s="279"/>
      <c r="AC235" s="279"/>
      <c r="AD235" s="279"/>
      <c r="AE235" s="279"/>
      <c r="AF235" s="279"/>
      <c r="AG235" s="279"/>
      <c r="AH235" s="279"/>
      <c r="AI235" s="279"/>
      <c r="AJ235" s="279"/>
      <c r="AK235" s="279"/>
      <c r="AL235" s="279"/>
      <c r="AM235" s="279"/>
      <c r="AN235" s="279"/>
      <c r="AO235" s="279"/>
      <c r="AP235" s="279"/>
      <c r="AQ235" s="279"/>
      <c r="AR235" s="279"/>
      <c r="AS235" s="154"/>
      <c r="AT235" s="154"/>
      <c r="AU235" s="155"/>
      <c r="AV235" s="155"/>
      <c r="AW235" s="155"/>
      <c r="AX235" s="279"/>
      <c r="AY235" s="279"/>
      <c r="AZ235" s="279"/>
      <c r="BA235" s="279"/>
      <c r="BB235" s="279"/>
      <c r="BC235" s="279"/>
      <c r="BD235" s="279"/>
      <c r="BE235" s="279"/>
      <c r="BF235" s="279"/>
      <c r="BG235" s="279"/>
      <c r="BH235" s="279"/>
      <c r="BI235" s="279"/>
      <c r="BJ235" s="279"/>
      <c r="BK235" s="279"/>
      <c r="BL235" s="279"/>
      <c r="BM235" s="279"/>
      <c r="BN235" s="279"/>
      <c r="BO235" s="279"/>
      <c r="BP235" s="279"/>
      <c r="BQ235" s="279"/>
      <c r="BR235" s="279"/>
      <c r="BS235" s="154"/>
      <c r="BT235" s="154"/>
      <c r="BU235" s="154"/>
      <c r="BV235" s="154"/>
      <c r="BW235" s="154"/>
    </row>
    <row r="236" spans="6:75" ht="11.25" customHeight="1" x14ac:dyDescent="0.2">
      <c r="F236" s="279"/>
      <c r="G236" s="279"/>
      <c r="H236" s="279"/>
      <c r="I236" s="279"/>
      <c r="J236" s="279"/>
      <c r="K236" s="279"/>
      <c r="L236" s="279"/>
      <c r="M236" s="279"/>
      <c r="N236" s="279"/>
      <c r="O236" s="279"/>
      <c r="P236" s="279"/>
      <c r="Q236" s="279"/>
      <c r="R236" s="279"/>
      <c r="S236" s="279"/>
      <c r="T236" s="279"/>
      <c r="U236" s="279"/>
      <c r="V236" s="279"/>
      <c r="W236" s="279"/>
      <c r="X236" s="279"/>
      <c r="Y236" s="279"/>
      <c r="Z236" s="279"/>
      <c r="AA236" s="279"/>
      <c r="AB236" s="279"/>
      <c r="AC236" s="279"/>
      <c r="AD236" s="279"/>
      <c r="AE236" s="279"/>
      <c r="AF236" s="279"/>
      <c r="AG236" s="279"/>
      <c r="AH236" s="279"/>
      <c r="AI236" s="279"/>
      <c r="AJ236" s="279"/>
      <c r="AK236" s="279"/>
      <c r="AL236" s="279"/>
      <c r="AM236" s="279"/>
      <c r="AN236" s="279"/>
      <c r="AO236" s="279"/>
      <c r="AP236" s="279"/>
      <c r="AQ236" s="279"/>
      <c r="AR236" s="279"/>
      <c r="AS236" s="154"/>
      <c r="AT236" s="154"/>
      <c r="AU236" s="155"/>
      <c r="AV236" s="155"/>
      <c r="AW236" s="155"/>
      <c r="AX236" s="279"/>
      <c r="AY236" s="279"/>
      <c r="AZ236" s="279"/>
      <c r="BA236" s="279"/>
      <c r="BB236" s="279"/>
      <c r="BC236" s="279"/>
      <c r="BD236" s="279"/>
      <c r="BE236" s="279"/>
      <c r="BF236" s="279"/>
      <c r="BG236" s="279"/>
      <c r="BH236" s="279"/>
      <c r="BI236" s="279"/>
      <c r="BJ236" s="279"/>
      <c r="BK236" s="279"/>
      <c r="BL236" s="279"/>
      <c r="BM236" s="279"/>
      <c r="BN236" s="279"/>
      <c r="BO236" s="279"/>
      <c r="BP236" s="279"/>
      <c r="BQ236" s="279"/>
      <c r="BR236" s="279"/>
      <c r="BS236" s="154"/>
      <c r="BT236" s="154"/>
      <c r="BU236" s="154"/>
      <c r="BV236" s="154"/>
      <c r="BW236" s="154"/>
    </row>
    <row r="237" spans="6:75" ht="11.25" customHeight="1" x14ac:dyDescent="0.2">
      <c r="F237" s="279"/>
      <c r="G237" s="279"/>
      <c r="H237" s="279"/>
      <c r="I237" s="279"/>
      <c r="J237" s="279"/>
      <c r="K237" s="279"/>
      <c r="L237" s="279"/>
      <c r="M237" s="279"/>
      <c r="N237" s="279"/>
      <c r="O237" s="279"/>
      <c r="P237" s="279"/>
      <c r="Q237" s="279"/>
      <c r="R237" s="279"/>
      <c r="S237" s="279"/>
      <c r="T237" s="279"/>
      <c r="U237" s="279"/>
      <c r="V237" s="279"/>
      <c r="W237" s="279"/>
      <c r="X237" s="279"/>
      <c r="Y237" s="279"/>
      <c r="Z237" s="279"/>
      <c r="AA237" s="279"/>
      <c r="AB237" s="279"/>
      <c r="AC237" s="279"/>
      <c r="AD237" s="279"/>
      <c r="AE237" s="279"/>
      <c r="AF237" s="279"/>
      <c r="AG237" s="279"/>
      <c r="AH237" s="279"/>
      <c r="AI237" s="279"/>
      <c r="AJ237" s="279"/>
      <c r="AK237" s="279"/>
      <c r="AL237" s="279"/>
      <c r="AM237" s="279"/>
      <c r="AN237" s="279"/>
      <c r="AO237" s="279"/>
      <c r="AP237" s="279"/>
      <c r="AQ237" s="279"/>
      <c r="AR237" s="279"/>
      <c r="AS237" s="154"/>
      <c r="AT237" s="154"/>
      <c r="AU237" s="155"/>
      <c r="AV237" s="155"/>
      <c r="AW237" s="155"/>
      <c r="AX237" s="279"/>
      <c r="AY237" s="279"/>
      <c r="AZ237" s="279"/>
      <c r="BA237" s="279"/>
      <c r="BB237" s="279"/>
      <c r="BC237" s="279"/>
      <c r="BD237" s="279"/>
      <c r="BE237" s="279"/>
      <c r="BF237" s="279"/>
      <c r="BG237" s="279"/>
      <c r="BH237" s="279"/>
      <c r="BI237" s="279"/>
      <c r="BJ237" s="279"/>
      <c r="BK237" s="279"/>
      <c r="BL237" s="279"/>
      <c r="BM237" s="279"/>
      <c r="BN237" s="279"/>
      <c r="BO237" s="279"/>
      <c r="BP237" s="279"/>
      <c r="BQ237" s="279"/>
      <c r="BR237" s="279"/>
      <c r="BS237" s="154"/>
      <c r="BT237" s="154"/>
      <c r="BU237" s="154"/>
      <c r="BV237" s="154"/>
      <c r="BW237" s="154"/>
    </row>
    <row r="238" spans="6:75" ht="11.25" customHeight="1" x14ac:dyDescent="0.2">
      <c r="F238" s="279"/>
      <c r="G238" s="279"/>
      <c r="H238" s="279"/>
      <c r="I238" s="279"/>
      <c r="J238" s="279"/>
      <c r="K238" s="279"/>
      <c r="L238" s="279"/>
      <c r="M238" s="279"/>
      <c r="N238" s="279"/>
      <c r="O238" s="279"/>
      <c r="P238" s="279"/>
      <c r="Q238" s="279"/>
      <c r="R238" s="279"/>
      <c r="S238" s="279"/>
      <c r="T238" s="279"/>
      <c r="U238" s="279"/>
      <c r="V238" s="279"/>
      <c r="W238" s="279"/>
      <c r="X238" s="279"/>
      <c r="Y238" s="279"/>
      <c r="Z238" s="279"/>
      <c r="AA238" s="279"/>
      <c r="AB238" s="279"/>
      <c r="AC238" s="279"/>
      <c r="AD238" s="279"/>
      <c r="AE238" s="279"/>
      <c r="AF238" s="279"/>
      <c r="AG238" s="279"/>
      <c r="AH238" s="279"/>
      <c r="AI238" s="279"/>
      <c r="AJ238" s="279"/>
      <c r="AK238" s="279"/>
      <c r="AL238" s="279"/>
      <c r="AM238" s="279"/>
      <c r="AN238" s="279"/>
      <c r="AO238" s="279"/>
      <c r="AP238" s="279"/>
      <c r="AQ238" s="279"/>
      <c r="AR238" s="279"/>
      <c r="AS238" s="154"/>
      <c r="AT238" s="154"/>
      <c r="AU238" s="155"/>
      <c r="AV238" s="155"/>
      <c r="AW238" s="155"/>
      <c r="AX238" s="279"/>
      <c r="AY238" s="279"/>
      <c r="AZ238" s="279"/>
      <c r="BA238" s="279"/>
      <c r="BB238" s="279"/>
      <c r="BC238" s="279"/>
      <c r="BD238" s="279"/>
      <c r="BE238" s="279"/>
      <c r="BF238" s="279"/>
      <c r="BG238" s="279"/>
      <c r="BH238" s="279"/>
      <c r="BI238" s="279"/>
      <c r="BJ238" s="279"/>
      <c r="BK238" s="279"/>
      <c r="BL238" s="279"/>
      <c r="BM238" s="279"/>
      <c r="BN238" s="279"/>
      <c r="BO238" s="279"/>
      <c r="BP238" s="279"/>
      <c r="BQ238" s="279"/>
      <c r="BR238" s="279"/>
      <c r="BS238" s="154"/>
      <c r="BT238" s="154"/>
      <c r="BU238" s="154"/>
      <c r="BV238" s="154"/>
      <c r="BW238" s="154"/>
    </row>
    <row r="239" spans="6:75" ht="11.25" customHeight="1" x14ac:dyDescent="0.2">
      <c r="F239" s="279"/>
      <c r="G239" s="279"/>
      <c r="H239" s="279"/>
      <c r="I239" s="279"/>
      <c r="J239" s="279"/>
      <c r="K239" s="279"/>
      <c r="L239" s="279"/>
      <c r="M239" s="279"/>
      <c r="N239" s="279"/>
      <c r="O239" s="279"/>
      <c r="P239" s="279"/>
      <c r="Q239" s="279"/>
      <c r="R239" s="279"/>
      <c r="S239" s="279"/>
      <c r="T239" s="279"/>
      <c r="U239" s="279"/>
      <c r="V239" s="279"/>
      <c r="W239" s="279"/>
      <c r="X239" s="279"/>
      <c r="Y239" s="279"/>
      <c r="Z239" s="279"/>
      <c r="AA239" s="279"/>
      <c r="AB239" s="279"/>
      <c r="AC239" s="279"/>
      <c r="AD239" s="279"/>
      <c r="AE239" s="279"/>
      <c r="AF239" s="279"/>
      <c r="AG239" s="279"/>
      <c r="AH239" s="279"/>
      <c r="AI239" s="279"/>
      <c r="AJ239" s="279"/>
      <c r="AK239" s="279"/>
      <c r="AL239" s="279"/>
      <c r="AM239" s="279"/>
      <c r="AN239" s="279"/>
      <c r="AO239" s="279"/>
      <c r="AP239" s="279"/>
      <c r="AQ239" s="279"/>
      <c r="AR239" s="279"/>
      <c r="AS239" s="154"/>
      <c r="AT239" s="154"/>
      <c r="AU239" s="155"/>
      <c r="AV239" s="155"/>
      <c r="AW239" s="155"/>
      <c r="AX239" s="279"/>
      <c r="AY239" s="279"/>
      <c r="AZ239" s="279"/>
      <c r="BA239" s="279"/>
      <c r="BB239" s="279"/>
      <c r="BC239" s="279"/>
      <c r="BD239" s="279"/>
      <c r="BE239" s="279"/>
      <c r="BF239" s="279"/>
      <c r="BG239" s="279"/>
      <c r="BH239" s="279"/>
      <c r="BI239" s="279"/>
      <c r="BJ239" s="279"/>
      <c r="BK239" s="279"/>
      <c r="BL239" s="279"/>
      <c r="BM239" s="279"/>
      <c r="BN239" s="279"/>
      <c r="BO239" s="279"/>
      <c r="BP239" s="279"/>
      <c r="BQ239" s="279"/>
      <c r="BR239" s="279"/>
      <c r="BS239" s="154"/>
      <c r="BT239" s="154"/>
      <c r="BU239" s="154"/>
      <c r="BV239" s="154"/>
      <c r="BW239" s="154"/>
    </row>
    <row r="240" spans="6:75" ht="11.25" customHeight="1" x14ac:dyDescent="0.2">
      <c r="F240" s="279"/>
      <c r="G240" s="279"/>
      <c r="H240" s="279"/>
      <c r="I240" s="279"/>
      <c r="J240" s="279"/>
      <c r="K240" s="279"/>
      <c r="L240" s="279"/>
      <c r="M240" s="279"/>
      <c r="N240" s="279"/>
      <c r="O240" s="279"/>
      <c r="P240" s="279"/>
      <c r="Q240" s="279"/>
      <c r="R240" s="279"/>
      <c r="S240" s="279"/>
      <c r="T240" s="279"/>
      <c r="U240" s="279"/>
      <c r="V240" s="279"/>
      <c r="W240" s="279"/>
      <c r="X240" s="279"/>
      <c r="Y240" s="279"/>
      <c r="Z240" s="279"/>
      <c r="AA240" s="279"/>
      <c r="AB240" s="279"/>
      <c r="AC240" s="279"/>
      <c r="AD240" s="279"/>
      <c r="AE240" s="279"/>
      <c r="AF240" s="279"/>
      <c r="AG240" s="279"/>
      <c r="AH240" s="279"/>
      <c r="AI240" s="279"/>
      <c r="AJ240" s="279"/>
      <c r="AK240" s="279"/>
      <c r="AL240" s="279"/>
      <c r="AM240" s="279"/>
      <c r="AN240" s="279"/>
      <c r="AO240" s="279"/>
      <c r="AP240" s="279"/>
      <c r="AQ240" s="279"/>
      <c r="AR240" s="279"/>
      <c r="AS240" s="154"/>
      <c r="AT240" s="154"/>
      <c r="AU240" s="155"/>
      <c r="AV240" s="155"/>
      <c r="AW240" s="155"/>
      <c r="AX240" s="279"/>
      <c r="AY240" s="279"/>
      <c r="AZ240" s="279"/>
      <c r="BA240" s="279"/>
      <c r="BB240" s="279"/>
      <c r="BC240" s="279"/>
      <c r="BD240" s="279"/>
      <c r="BE240" s="279"/>
      <c r="BF240" s="279"/>
      <c r="BG240" s="279"/>
      <c r="BH240" s="279"/>
      <c r="BI240" s="279"/>
      <c r="BJ240" s="279"/>
      <c r="BK240" s="279"/>
      <c r="BL240" s="279"/>
      <c r="BM240" s="279"/>
      <c r="BN240" s="279"/>
      <c r="BO240" s="279"/>
      <c r="BP240" s="279"/>
      <c r="BQ240" s="279"/>
      <c r="BR240" s="279"/>
      <c r="BS240" s="154"/>
      <c r="BT240" s="154"/>
      <c r="BU240" s="154"/>
      <c r="BV240" s="154"/>
      <c r="BW240" s="154"/>
    </row>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sheetData>
  <mergeCells count="4527">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6:BO26"/>
    <mergeCell ref="BP26:BR26"/>
    <mergeCell ref="A27:B27"/>
    <mergeCell ref="C27:D27"/>
    <mergeCell ref="F27:H27"/>
    <mergeCell ref="I27:K27"/>
    <mergeCell ref="L27:N27"/>
    <mergeCell ref="O27:Q27"/>
    <mergeCell ref="R27:T27"/>
    <mergeCell ref="U27:W27"/>
    <mergeCell ref="AP26:AR26"/>
    <mergeCell ref="AX26:AZ26"/>
    <mergeCell ref="BA26:BC26"/>
    <mergeCell ref="BD26:BF26"/>
    <mergeCell ref="BG26:BI26"/>
    <mergeCell ref="BJ26:BL26"/>
    <mergeCell ref="X26:Z26"/>
    <mergeCell ref="AA26:AC26"/>
    <mergeCell ref="AD26:AF26"/>
    <mergeCell ref="AG26:AI26"/>
    <mergeCell ref="AJ26:AL26"/>
    <mergeCell ref="AM26:AO26"/>
    <mergeCell ref="BM27:BO27"/>
    <mergeCell ref="BP27:BR27"/>
    <mergeCell ref="A29:B29"/>
    <mergeCell ref="C29:D29"/>
    <mergeCell ref="F29:H29"/>
    <mergeCell ref="I29:K29"/>
    <mergeCell ref="L29:N29"/>
    <mergeCell ref="O29:Q29"/>
    <mergeCell ref="R29:T29"/>
    <mergeCell ref="U29:W29"/>
    <mergeCell ref="AP27:AR27"/>
    <mergeCell ref="AX27:AZ27"/>
    <mergeCell ref="BA27:BC27"/>
    <mergeCell ref="BD27:BF27"/>
    <mergeCell ref="BG27:BI27"/>
    <mergeCell ref="BJ27:BL27"/>
    <mergeCell ref="X27:Z27"/>
    <mergeCell ref="AA27:AC27"/>
    <mergeCell ref="AD27:AF27"/>
    <mergeCell ref="AG27:AI27"/>
    <mergeCell ref="AJ27:AL27"/>
    <mergeCell ref="AM27:AO27"/>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4:BO34"/>
    <mergeCell ref="BP34:BR34"/>
    <mergeCell ref="A35:B35"/>
    <mergeCell ref="C35:D35"/>
    <mergeCell ref="F35:H35"/>
    <mergeCell ref="I35:K35"/>
    <mergeCell ref="L35:N35"/>
    <mergeCell ref="O35:Q35"/>
    <mergeCell ref="R35:T35"/>
    <mergeCell ref="U35:W35"/>
    <mergeCell ref="AP34:AR34"/>
    <mergeCell ref="AX34:AZ34"/>
    <mergeCell ref="BA34:BC34"/>
    <mergeCell ref="BD34:BF34"/>
    <mergeCell ref="BG34:BI34"/>
    <mergeCell ref="BJ34:BL34"/>
    <mergeCell ref="X34:Z34"/>
    <mergeCell ref="AA34:AC34"/>
    <mergeCell ref="AD34:AF34"/>
    <mergeCell ref="AG34:AI34"/>
    <mergeCell ref="AJ34:AL34"/>
    <mergeCell ref="AM34:AO34"/>
    <mergeCell ref="BM35:BO35"/>
    <mergeCell ref="BP35:BR35"/>
    <mergeCell ref="A36:B36"/>
    <mergeCell ref="C36:D36"/>
    <mergeCell ref="F36:H36"/>
    <mergeCell ref="I36:K36"/>
    <mergeCell ref="L36:N36"/>
    <mergeCell ref="O36:Q36"/>
    <mergeCell ref="R36:T36"/>
    <mergeCell ref="U36:W36"/>
    <mergeCell ref="AP35:AR35"/>
    <mergeCell ref="AX35:AZ35"/>
    <mergeCell ref="BA35:BC35"/>
    <mergeCell ref="BD35:BF35"/>
    <mergeCell ref="BG35:BI35"/>
    <mergeCell ref="BJ35:BL35"/>
    <mergeCell ref="X35:Z35"/>
    <mergeCell ref="AA35:AC35"/>
    <mergeCell ref="AD35:AF35"/>
    <mergeCell ref="AG35:AI35"/>
    <mergeCell ref="AJ35:AL35"/>
    <mergeCell ref="AM35:AO35"/>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7:BO37"/>
    <mergeCell ref="BP37:BR37"/>
    <mergeCell ref="A39:B39"/>
    <mergeCell ref="C39:D39"/>
    <mergeCell ref="F39:H39"/>
    <mergeCell ref="I39:K39"/>
    <mergeCell ref="L39:N39"/>
    <mergeCell ref="O39:Q39"/>
    <mergeCell ref="R39:T39"/>
    <mergeCell ref="U39:W39"/>
    <mergeCell ref="AP37:AR37"/>
    <mergeCell ref="AX37:AZ37"/>
    <mergeCell ref="BA37:BC37"/>
    <mergeCell ref="BD37:BF37"/>
    <mergeCell ref="BG37:BI37"/>
    <mergeCell ref="BJ37:BL37"/>
    <mergeCell ref="X37:Z37"/>
    <mergeCell ref="AA37:AC37"/>
    <mergeCell ref="AD37:AF37"/>
    <mergeCell ref="AG37:AI37"/>
    <mergeCell ref="AJ37:AL37"/>
    <mergeCell ref="AM37:AO37"/>
    <mergeCell ref="BM39:BO39"/>
    <mergeCell ref="BP39:BR39"/>
    <mergeCell ref="A41:B41"/>
    <mergeCell ref="C41:D41"/>
    <mergeCell ref="F41:H41"/>
    <mergeCell ref="I41:K41"/>
    <mergeCell ref="L41:N41"/>
    <mergeCell ref="O41:Q41"/>
    <mergeCell ref="R41:T41"/>
    <mergeCell ref="U41:W41"/>
    <mergeCell ref="AP39:AR39"/>
    <mergeCell ref="AX39:AZ39"/>
    <mergeCell ref="BA39:BC39"/>
    <mergeCell ref="BD39:BF39"/>
    <mergeCell ref="BG39:BI39"/>
    <mergeCell ref="BJ39:BL39"/>
    <mergeCell ref="X39:Z39"/>
    <mergeCell ref="AA39:AC39"/>
    <mergeCell ref="AD39:AF39"/>
    <mergeCell ref="AG39:AI39"/>
    <mergeCell ref="AJ39:AL39"/>
    <mergeCell ref="AM39:AO39"/>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2:BO52"/>
    <mergeCell ref="BP52:BR52"/>
    <mergeCell ref="A54:B54"/>
    <mergeCell ref="C54:D54"/>
    <mergeCell ref="F54:H54"/>
    <mergeCell ref="I54:K54"/>
    <mergeCell ref="L54:N54"/>
    <mergeCell ref="O54:Q54"/>
    <mergeCell ref="R54:T54"/>
    <mergeCell ref="U54:W54"/>
    <mergeCell ref="AP52:AR52"/>
    <mergeCell ref="AX52:AZ52"/>
    <mergeCell ref="BA52:BC52"/>
    <mergeCell ref="BD52:BF52"/>
    <mergeCell ref="BG52:BI52"/>
    <mergeCell ref="BJ52:BL52"/>
    <mergeCell ref="X52:Z52"/>
    <mergeCell ref="AA52:AC52"/>
    <mergeCell ref="AD52:AF52"/>
    <mergeCell ref="AG52:AI52"/>
    <mergeCell ref="AJ52:AL52"/>
    <mergeCell ref="AM52:AO52"/>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5:BO55"/>
    <mergeCell ref="BP55:BR55"/>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3:BO63"/>
    <mergeCell ref="BP63:BR63"/>
    <mergeCell ref="A65:B65"/>
    <mergeCell ref="C65:D65"/>
    <mergeCell ref="F65:H65"/>
    <mergeCell ref="I65:K65"/>
    <mergeCell ref="L65:N65"/>
    <mergeCell ref="O65:Q65"/>
    <mergeCell ref="R65:T65"/>
    <mergeCell ref="U65:W65"/>
    <mergeCell ref="AP63:AR63"/>
    <mergeCell ref="AX63:AZ63"/>
    <mergeCell ref="BA63:BC63"/>
    <mergeCell ref="BD63:BF63"/>
    <mergeCell ref="BG63:BI63"/>
    <mergeCell ref="BJ63:BL63"/>
    <mergeCell ref="X63:Z63"/>
    <mergeCell ref="AA63:AC63"/>
    <mergeCell ref="AD63:AF63"/>
    <mergeCell ref="AG63:AI63"/>
    <mergeCell ref="AJ63:AL63"/>
    <mergeCell ref="AM63:AO63"/>
    <mergeCell ref="BM65:BO65"/>
    <mergeCell ref="BP65:BR65"/>
    <mergeCell ref="A66:B66"/>
    <mergeCell ref="C66:D66"/>
    <mergeCell ref="F66:H66"/>
    <mergeCell ref="I66:K66"/>
    <mergeCell ref="L66:N66"/>
    <mergeCell ref="O66:Q66"/>
    <mergeCell ref="R66:T66"/>
    <mergeCell ref="U66:W66"/>
    <mergeCell ref="AP65:AR65"/>
    <mergeCell ref="AX65:AZ65"/>
    <mergeCell ref="BA65:BC65"/>
    <mergeCell ref="BD65:BF65"/>
    <mergeCell ref="BG65:BI65"/>
    <mergeCell ref="BJ65:BL65"/>
    <mergeCell ref="X65:Z65"/>
    <mergeCell ref="AA65:AC65"/>
    <mergeCell ref="AD65:AF65"/>
    <mergeCell ref="AG65:AI65"/>
    <mergeCell ref="AJ65:AL65"/>
    <mergeCell ref="AM65:AO65"/>
    <mergeCell ref="BM66:BO66"/>
    <mergeCell ref="BP66:BR66"/>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5:BO75"/>
    <mergeCell ref="BP75:BR75"/>
    <mergeCell ref="A77:B77"/>
    <mergeCell ref="C77:D77"/>
    <mergeCell ref="F77:H77"/>
    <mergeCell ref="I77:K77"/>
    <mergeCell ref="L77:N77"/>
    <mergeCell ref="O77:Q77"/>
    <mergeCell ref="R77:T77"/>
    <mergeCell ref="U77:W77"/>
    <mergeCell ref="AP75:AR75"/>
    <mergeCell ref="AX75:AZ75"/>
    <mergeCell ref="BA75:BC75"/>
    <mergeCell ref="BD75:BF75"/>
    <mergeCell ref="BG75:BI75"/>
    <mergeCell ref="BJ75:BL75"/>
    <mergeCell ref="X75:Z75"/>
    <mergeCell ref="AA75:AC75"/>
    <mergeCell ref="AD75:AF75"/>
    <mergeCell ref="AG75:AI75"/>
    <mergeCell ref="AJ75:AL75"/>
    <mergeCell ref="AM75:AO75"/>
    <mergeCell ref="BM77:BO77"/>
    <mergeCell ref="BP77:BR77"/>
    <mergeCell ref="A78:B78"/>
    <mergeCell ref="C78:D78"/>
    <mergeCell ref="F78:H78"/>
    <mergeCell ref="I78:K78"/>
    <mergeCell ref="L78:N78"/>
    <mergeCell ref="O78:Q78"/>
    <mergeCell ref="R78:T78"/>
    <mergeCell ref="U78:W78"/>
    <mergeCell ref="AP77:AR77"/>
    <mergeCell ref="AX77:AZ77"/>
    <mergeCell ref="BA77:BC77"/>
    <mergeCell ref="BD77:BF77"/>
    <mergeCell ref="BG77:BI77"/>
    <mergeCell ref="BJ77:BL77"/>
    <mergeCell ref="X77:Z77"/>
    <mergeCell ref="AA77:AC77"/>
    <mergeCell ref="AD77:AF77"/>
    <mergeCell ref="AG77:AI77"/>
    <mergeCell ref="AJ77:AL77"/>
    <mergeCell ref="AM77:AO77"/>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9:BO79"/>
    <mergeCell ref="BP79:BR79"/>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5:BO85"/>
    <mergeCell ref="BP85:BR85"/>
    <mergeCell ref="A87:B87"/>
    <mergeCell ref="C87:D87"/>
    <mergeCell ref="F87:H87"/>
    <mergeCell ref="I87:K87"/>
    <mergeCell ref="L87:N87"/>
    <mergeCell ref="O87:Q87"/>
    <mergeCell ref="R87:T87"/>
    <mergeCell ref="U87:W87"/>
    <mergeCell ref="AP85:AR85"/>
    <mergeCell ref="AX85:AZ85"/>
    <mergeCell ref="BA85:BC85"/>
    <mergeCell ref="BD85:BF85"/>
    <mergeCell ref="BG85:BI85"/>
    <mergeCell ref="BJ85:BL85"/>
    <mergeCell ref="X85:Z85"/>
    <mergeCell ref="AA85:AC85"/>
    <mergeCell ref="AD85:AF85"/>
    <mergeCell ref="AG85:AI85"/>
    <mergeCell ref="AJ85:AL85"/>
    <mergeCell ref="AM85:AO85"/>
    <mergeCell ref="BM87:BO87"/>
    <mergeCell ref="BP87:BR87"/>
    <mergeCell ref="A88:B88"/>
    <mergeCell ref="C88:D88"/>
    <mergeCell ref="F88:H88"/>
    <mergeCell ref="I88:K88"/>
    <mergeCell ref="L88:N88"/>
    <mergeCell ref="O88:Q88"/>
    <mergeCell ref="R88:T88"/>
    <mergeCell ref="U88:W88"/>
    <mergeCell ref="AP87:AR87"/>
    <mergeCell ref="AX87:AZ87"/>
    <mergeCell ref="BA87:BC87"/>
    <mergeCell ref="BD87:BF87"/>
    <mergeCell ref="BG87:BI87"/>
    <mergeCell ref="BJ87:BL87"/>
    <mergeCell ref="X87:Z87"/>
    <mergeCell ref="AA87:AC87"/>
    <mergeCell ref="AD87:AF87"/>
    <mergeCell ref="AG87:AI87"/>
    <mergeCell ref="AJ87:AL87"/>
    <mergeCell ref="AM87:AO87"/>
    <mergeCell ref="BM88:BO88"/>
    <mergeCell ref="BP88:BR88"/>
    <mergeCell ref="A89:B89"/>
    <mergeCell ref="C89:D89"/>
    <mergeCell ref="F89:H89"/>
    <mergeCell ref="I89:K89"/>
    <mergeCell ref="L89:N89"/>
    <mergeCell ref="O89:Q89"/>
    <mergeCell ref="R89:T89"/>
    <mergeCell ref="U89:W89"/>
    <mergeCell ref="AP88:AR88"/>
    <mergeCell ref="AX88:AZ88"/>
    <mergeCell ref="BA88:BC88"/>
    <mergeCell ref="BD88:BF88"/>
    <mergeCell ref="BG88:BI88"/>
    <mergeCell ref="BJ88:BL88"/>
    <mergeCell ref="X88:Z88"/>
    <mergeCell ref="AA88:AC88"/>
    <mergeCell ref="AD88:AF88"/>
    <mergeCell ref="AG88:AI88"/>
    <mergeCell ref="AJ88:AL88"/>
    <mergeCell ref="AM88:AO88"/>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90:BO90"/>
    <mergeCell ref="BP90:BR90"/>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7:BO97"/>
    <mergeCell ref="BP97:BR97"/>
    <mergeCell ref="A99:B99"/>
    <mergeCell ref="C99:D99"/>
    <mergeCell ref="F99:H99"/>
    <mergeCell ref="I99:K99"/>
    <mergeCell ref="L99:N99"/>
    <mergeCell ref="O99:Q99"/>
    <mergeCell ref="R99:T99"/>
    <mergeCell ref="U99:W99"/>
    <mergeCell ref="AP97:AR97"/>
    <mergeCell ref="AX97:AZ97"/>
    <mergeCell ref="BA97:BC97"/>
    <mergeCell ref="BD97:BF97"/>
    <mergeCell ref="BG97:BI97"/>
    <mergeCell ref="BJ97:BL97"/>
    <mergeCell ref="X97:Z97"/>
    <mergeCell ref="AA97:AC97"/>
    <mergeCell ref="AD97:AF97"/>
    <mergeCell ref="AG97:AI97"/>
    <mergeCell ref="AJ97:AL97"/>
    <mergeCell ref="AM97:AO97"/>
    <mergeCell ref="BM99:BO99"/>
    <mergeCell ref="BP99:BR99"/>
    <mergeCell ref="A100:B100"/>
    <mergeCell ref="C100:D100"/>
    <mergeCell ref="F100:H100"/>
    <mergeCell ref="I100:K100"/>
    <mergeCell ref="L100:N100"/>
    <mergeCell ref="O100:Q100"/>
    <mergeCell ref="R100:T100"/>
    <mergeCell ref="U100:W100"/>
    <mergeCell ref="AP99:AR99"/>
    <mergeCell ref="AX99:AZ99"/>
    <mergeCell ref="BA99:BC99"/>
    <mergeCell ref="BD99:BF99"/>
    <mergeCell ref="BG99:BI99"/>
    <mergeCell ref="BJ99:BL99"/>
    <mergeCell ref="X99:Z99"/>
    <mergeCell ref="AA99:AC99"/>
    <mergeCell ref="AD99:AF99"/>
    <mergeCell ref="AG99:AI99"/>
    <mergeCell ref="AJ99:AL99"/>
    <mergeCell ref="AM99:AO99"/>
    <mergeCell ref="BM100:BO100"/>
    <mergeCell ref="BP100:BR100"/>
    <mergeCell ref="A101:B101"/>
    <mergeCell ref="C101:D101"/>
    <mergeCell ref="F101:H101"/>
    <mergeCell ref="I101:K101"/>
    <mergeCell ref="L101:N101"/>
    <mergeCell ref="O101:Q101"/>
    <mergeCell ref="R101:T101"/>
    <mergeCell ref="U101:W101"/>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101:BO101"/>
    <mergeCell ref="BP101:BR101"/>
    <mergeCell ref="A103:B103"/>
    <mergeCell ref="C103:D103"/>
    <mergeCell ref="F103:H103"/>
    <mergeCell ref="I103:K103"/>
    <mergeCell ref="L103:N103"/>
    <mergeCell ref="O103:Q103"/>
    <mergeCell ref="R103:T103"/>
    <mergeCell ref="U103:W103"/>
    <mergeCell ref="AP101:AR101"/>
    <mergeCell ref="AX101:AZ101"/>
    <mergeCell ref="BA101:BC101"/>
    <mergeCell ref="BD101:BF101"/>
    <mergeCell ref="BG101:BI101"/>
    <mergeCell ref="BJ101:BL101"/>
    <mergeCell ref="X101:Z101"/>
    <mergeCell ref="AA101:AC101"/>
    <mergeCell ref="AD101:AF101"/>
    <mergeCell ref="AG101:AI101"/>
    <mergeCell ref="AJ101:AL101"/>
    <mergeCell ref="AM101:AO101"/>
    <mergeCell ref="BM103:BO103"/>
    <mergeCell ref="BP103:BR103"/>
    <mergeCell ref="A104:B104"/>
    <mergeCell ref="C104:D104"/>
    <mergeCell ref="F104:H104"/>
    <mergeCell ref="I104:K104"/>
    <mergeCell ref="L104:N104"/>
    <mergeCell ref="O104:Q104"/>
    <mergeCell ref="R104:T104"/>
    <mergeCell ref="U104:W104"/>
    <mergeCell ref="AP103:AR103"/>
    <mergeCell ref="AX103:AZ103"/>
    <mergeCell ref="BA103:BC103"/>
    <mergeCell ref="BD103:BF103"/>
    <mergeCell ref="BG103:BI103"/>
    <mergeCell ref="BJ103:BL103"/>
    <mergeCell ref="X103:Z103"/>
    <mergeCell ref="AA103:AC103"/>
    <mergeCell ref="AD103:AF103"/>
    <mergeCell ref="AG103:AI103"/>
    <mergeCell ref="AJ103:AL103"/>
    <mergeCell ref="AM103:AO103"/>
    <mergeCell ref="BM104:BO104"/>
    <mergeCell ref="BP104:BR104"/>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X109:Z109"/>
    <mergeCell ref="AA109:AC109"/>
    <mergeCell ref="AD109:AF109"/>
    <mergeCell ref="AG109:AI109"/>
    <mergeCell ref="AJ109:AL109"/>
    <mergeCell ref="AM109:AO109"/>
    <mergeCell ref="BM107:BO107"/>
    <mergeCell ref="BP107:BR107"/>
    <mergeCell ref="A109:B109"/>
    <mergeCell ref="C109:D109"/>
    <mergeCell ref="F109:H109"/>
    <mergeCell ref="I109:K109"/>
    <mergeCell ref="L109:N109"/>
    <mergeCell ref="O109:Q109"/>
    <mergeCell ref="R109:T109"/>
    <mergeCell ref="U109:W109"/>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D110:BF110"/>
    <mergeCell ref="BG110:BI110"/>
    <mergeCell ref="BJ110:BL110"/>
    <mergeCell ref="BM110:BO110"/>
    <mergeCell ref="BP110:BR110"/>
    <mergeCell ref="F111:H111"/>
    <mergeCell ref="I111:K111"/>
    <mergeCell ref="L111:N111"/>
    <mergeCell ref="O111:Q111"/>
    <mergeCell ref="R111:T111"/>
    <mergeCell ref="AG110:AI110"/>
    <mergeCell ref="AJ110:AL110"/>
    <mergeCell ref="AM110:AO110"/>
    <mergeCell ref="AP110:AR110"/>
    <mergeCell ref="AX110:AZ110"/>
    <mergeCell ref="BA110:BC110"/>
    <mergeCell ref="BM109:BO109"/>
    <mergeCell ref="BP109:BR109"/>
    <mergeCell ref="I110:K110"/>
    <mergeCell ref="L110:N110"/>
    <mergeCell ref="O110:Q110"/>
    <mergeCell ref="R110:T110"/>
    <mergeCell ref="U110:W110"/>
    <mergeCell ref="X110:Z110"/>
    <mergeCell ref="AA110:AC110"/>
    <mergeCell ref="AD110:AF110"/>
    <mergeCell ref="AP109:AR109"/>
    <mergeCell ref="AX109:AZ109"/>
    <mergeCell ref="BA109:BC109"/>
    <mergeCell ref="BD109:BF109"/>
    <mergeCell ref="BG109:BI109"/>
    <mergeCell ref="BJ109:BL109"/>
    <mergeCell ref="AA112:AC112"/>
    <mergeCell ref="AD112:AF112"/>
    <mergeCell ref="AG112:AI112"/>
    <mergeCell ref="AJ112:AL112"/>
    <mergeCell ref="AM112:AO112"/>
    <mergeCell ref="AP112:AR112"/>
    <mergeCell ref="BJ111:BL111"/>
    <mergeCell ref="BM111:BO111"/>
    <mergeCell ref="BP111:BR111"/>
    <mergeCell ref="F112:H112"/>
    <mergeCell ref="I112:K112"/>
    <mergeCell ref="L112:N112"/>
    <mergeCell ref="O112:Q112"/>
    <mergeCell ref="R112:T112"/>
    <mergeCell ref="U112:W112"/>
    <mergeCell ref="X112:Z112"/>
    <mergeCell ref="AM111:AO111"/>
    <mergeCell ref="AP111:AR111"/>
    <mergeCell ref="AX111:AZ111"/>
    <mergeCell ref="BA111:BC111"/>
    <mergeCell ref="BD111:BF111"/>
    <mergeCell ref="BG111:BI111"/>
    <mergeCell ref="U111:W111"/>
    <mergeCell ref="X111:Z111"/>
    <mergeCell ref="AA111:AC111"/>
    <mergeCell ref="AD111:AF111"/>
    <mergeCell ref="AG111:AI111"/>
    <mergeCell ref="AJ111:AL111"/>
    <mergeCell ref="BD113:BF113"/>
    <mergeCell ref="BG113:BI113"/>
    <mergeCell ref="BJ113:BL113"/>
    <mergeCell ref="BM113:BO113"/>
    <mergeCell ref="BP113:BR113"/>
    <mergeCell ref="F114:H114"/>
    <mergeCell ref="I114:K114"/>
    <mergeCell ref="L114:N114"/>
    <mergeCell ref="O114:Q114"/>
    <mergeCell ref="R114:T114"/>
    <mergeCell ref="AG113:AI113"/>
    <mergeCell ref="AJ113:AL113"/>
    <mergeCell ref="AM113:AO113"/>
    <mergeCell ref="AP113:AR113"/>
    <mergeCell ref="AX113:AZ113"/>
    <mergeCell ref="BA113:BC113"/>
    <mergeCell ref="BP112:BR112"/>
    <mergeCell ref="F113:H113"/>
    <mergeCell ref="I113:K113"/>
    <mergeCell ref="L113:N113"/>
    <mergeCell ref="O113:Q113"/>
    <mergeCell ref="R113:T113"/>
    <mergeCell ref="U113:W113"/>
    <mergeCell ref="X113:Z113"/>
    <mergeCell ref="AA113:AC113"/>
    <mergeCell ref="AD113:AF113"/>
    <mergeCell ref="AX112:AZ112"/>
    <mergeCell ref="BA112:BC112"/>
    <mergeCell ref="BD112:BF112"/>
    <mergeCell ref="BG112:BI112"/>
    <mergeCell ref="BJ112:BL112"/>
    <mergeCell ref="BM112:BO112"/>
    <mergeCell ref="AA115:AC115"/>
    <mergeCell ref="AD115:AF115"/>
    <mergeCell ref="AG115:AI115"/>
    <mergeCell ref="AJ115:AL115"/>
    <mergeCell ref="AM115:AO115"/>
    <mergeCell ref="AP115:AR115"/>
    <mergeCell ref="BJ114:BL114"/>
    <mergeCell ref="BM114:BO114"/>
    <mergeCell ref="BP114:BR114"/>
    <mergeCell ref="F115:H115"/>
    <mergeCell ref="I115:K115"/>
    <mergeCell ref="L115:N115"/>
    <mergeCell ref="O115:Q115"/>
    <mergeCell ref="R115:T115"/>
    <mergeCell ref="U115:W115"/>
    <mergeCell ref="X115:Z115"/>
    <mergeCell ref="AM114:AO114"/>
    <mergeCell ref="AP114:AR114"/>
    <mergeCell ref="AX114:AZ114"/>
    <mergeCell ref="BA114:BC114"/>
    <mergeCell ref="BD114:BF114"/>
    <mergeCell ref="BG114:BI114"/>
    <mergeCell ref="U114:W114"/>
    <mergeCell ref="X114:Z114"/>
    <mergeCell ref="AA114:AC114"/>
    <mergeCell ref="AD114:AF114"/>
    <mergeCell ref="AG114:AI114"/>
    <mergeCell ref="AJ114:AL114"/>
    <mergeCell ref="BD116:BF116"/>
    <mergeCell ref="BG116:BI116"/>
    <mergeCell ref="BJ116:BL116"/>
    <mergeCell ref="BM116:BO116"/>
    <mergeCell ref="BP116:BR116"/>
    <mergeCell ref="F117:H117"/>
    <mergeCell ref="I117:K117"/>
    <mergeCell ref="L117:N117"/>
    <mergeCell ref="O117:Q117"/>
    <mergeCell ref="R117:T117"/>
    <mergeCell ref="AG116:AI116"/>
    <mergeCell ref="AJ116:AL116"/>
    <mergeCell ref="AM116:AO116"/>
    <mergeCell ref="AP116:AR116"/>
    <mergeCell ref="AX116:AZ116"/>
    <mergeCell ref="BA116:BC116"/>
    <mergeCell ref="BP115:BR115"/>
    <mergeCell ref="F116:H116"/>
    <mergeCell ref="I116:K116"/>
    <mergeCell ref="L116:N116"/>
    <mergeCell ref="O116:Q116"/>
    <mergeCell ref="R116:T116"/>
    <mergeCell ref="U116:W116"/>
    <mergeCell ref="X116:Z116"/>
    <mergeCell ref="AA116:AC116"/>
    <mergeCell ref="AD116:AF116"/>
    <mergeCell ref="AX115:AZ115"/>
    <mergeCell ref="BA115:BC115"/>
    <mergeCell ref="BD115:BF115"/>
    <mergeCell ref="BG115:BI115"/>
    <mergeCell ref="BJ115:BL115"/>
    <mergeCell ref="BM115:BO115"/>
    <mergeCell ref="AA118:AC118"/>
    <mergeCell ref="AD118:AF118"/>
    <mergeCell ref="AG118:AI118"/>
    <mergeCell ref="AJ118:AL118"/>
    <mergeCell ref="AM118:AO118"/>
    <mergeCell ref="AP118:AR118"/>
    <mergeCell ref="BJ117:BL117"/>
    <mergeCell ref="BM117:BO117"/>
    <mergeCell ref="BP117:BR117"/>
    <mergeCell ref="F118:H118"/>
    <mergeCell ref="I118:K118"/>
    <mergeCell ref="L118:N118"/>
    <mergeCell ref="O118:Q118"/>
    <mergeCell ref="R118:T118"/>
    <mergeCell ref="U118:W118"/>
    <mergeCell ref="X118:Z118"/>
    <mergeCell ref="AM117:AO117"/>
    <mergeCell ref="AP117:AR117"/>
    <mergeCell ref="AX117:AZ117"/>
    <mergeCell ref="BA117:BC117"/>
    <mergeCell ref="BD117:BF117"/>
    <mergeCell ref="BG117:BI117"/>
    <mergeCell ref="U117:W117"/>
    <mergeCell ref="X117:Z117"/>
    <mergeCell ref="AA117:AC117"/>
    <mergeCell ref="AD117:AF117"/>
    <mergeCell ref="AG117:AI117"/>
    <mergeCell ref="AJ117:AL117"/>
    <mergeCell ref="BD119:BF119"/>
    <mergeCell ref="BG119:BI119"/>
    <mergeCell ref="BJ119:BL119"/>
    <mergeCell ref="BM119:BO119"/>
    <mergeCell ref="BP119:BR119"/>
    <mergeCell ref="F120:H120"/>
    <mergeCell ref="I120:K120"/>
    <mergeCell ref="L120:N120"/>
    <mergeCell ref="O120:Q120"/>
    <mergeCell ref="R120:T120"/>
    <mergeCell ref="AG119:AI119"/>
    <mergeCell ref="AJ119:AL119"/>
    <mergeCell ref="AM119:AO119"/>
    <mergeCell ref="AP119:AR119"/>
    <mergeCell ref="AX119:AZ119"/>
    <mergeCell ref="BA119:BC119"/>
    <mergeCell ref="BP118:BR118"/>
    <mergeCell ref="F119:H119"/>
    <mergeCell ref="I119:K119"/>
    <mergeCell ref="L119:N119"/>
    <mergeCell ref="O119:Q119"/>
    <mergeCell ref="R119:T119"/>
    <mergeCell ref="U119:W119"/>
    <mergeCell ref="X119:Z119"/>
    <mergeCell ref="AA119:AC119"/>
    <mergeCell ref="AD119:AF119"/>
    <mergeCell ref="AX118:AZ118"/>
    <mergeCell ref="BA118:BC118"/>
    <mergeCell ref="BD118:BF118"/>
    <mergeCell ref="BG118:BI118"/>
    <mergeCell ref="BJ118:BL118"/>
    <mergeCell ref="BM118:BO118"/>
    <mergeCell ref="AA121:AC121"/>
    <mergeCell ref="AD121:AF121"/>
    <mergeCell ref="AG121:AI121"/>
    <mergeCell ref="AJ121:AL121"/>
    <mergeCell ref="AM121:AO121"/>
    <mergeCell ref="AP121:AR121"/>
    <mergeCell ref="BJ120:BL120"/>
    <mergeCell ref="BM120:BO120"/>
    <mergeCell ref="BP120:BR120"/>
    <mergeCell ref="F121:H121"/>
    <mergeCell ref="I121:K121"/>
    <mergeCell ref="L121:N121"/>
    <mergeCell ref="O121:Q121"/>
    <mergeCell ref="R121:T121"/>
    <mergeCell ref="U121:W121"/>
    <mergeCell ref="X121:Z121"/>
    <mergeCell ref="AM120:AO120"/>
    <mergeCell ref="AP120:AR120"/>
    <mergeCell ref="AX120:AZ120"/>
    <mergeCell ref="BA120:BC120"/>
    <mergeCell ref="BD120:BF120"/>
    <mergeCell ref="BG120:BI120"/>
    <mergeCell ref="U120:W120"/>
    <mergeCell ref="X120:Z120"/>
    <mergeCell ref="AA120:AC120"/>
    <mergeCell ref="AD120:AF120"/>
    <mergeCell ref="AG120:AI120"/>
    <mergeCell ref="AJ120:AL120"/>
    <mergeCell ref="BD122:BF122"/>
    <mergeCell ref="BG122:BI122"/>
    <mergeCell ref="BJ122:BL122"/>
    <mergeCell ref="BM122:BO122"/>
    <mergeCell ref="BP122:BR122"/>
    <mergeCell ref="F123:H123"/>
    <mergeCell ref="I123:K123"/>
    <mergeCell ref="L123:N123"/>
    <mergeCell ref="O123:Q123"/>
    <mergeCell ref="R123:T123"/>
    <mergeCell ref="AG122:AI122"/>
    <mergeCell ref="AJ122:AL122"/>
    <mergeCell ref="AM122:AO122"/>
    <mergeCell ref="AP122:AR122"/>
    <mergeCell ref="AX122:AZ122"/>
    <mergeCell ref="BA122:BC122"/>
    <mergeCell ref="BP121:BR121"/>
    <mergeCell ref="F122:H122"/>
    <mergeCell ref="I122:K122"/>
    <mergeCell ref="L122:N122"/>
    <mergeCell ref="O122:Q122"/>
    <mergeCell ref="R122:T122"/>
    <mergeCell ref="U122:W122"/>
    <mergeCell ref="X122:Z122"/>
    <mergeCell ref="AA122:AC122"/>
    <mergeCell ref="AD122:AF122"/>
    <mergeCell ref="AX121:AZ121"/>
    <mergeCell ref="BA121:BC121"/>
    <mergeCell ref="BD121:BF121"/>
    <mergeCell ref="BG121:BI121"/>
    <mergeCell ref="BJ121:BL121"/>
    <mergeCell ref="BM121:BO121"/>
    <mergeCell ref="AA124:AC124"/>
    <mergeCell ref="AD124:AF124"/>
    <mergeCell ref="AG124:AI124"/>
    <mergeCell ref="AJ124:AL124"/>
    <mergeCell ref="AM124:AO124"/>
    <mergeCell ref="AP124:AR124"/>
    <mergeCell ref="BJ123:BL123"/>
    <mergeCell ref="BM123:BO123"/>
    <mergeCell ref="BP123:BR123"/>
    <mergeCell ref="F124:H124"/>
    <mergeCell ref="I124:K124"/>
    <mergeCell ref="L124:N124"/>
    <mergeCell ref="O124:Q124"/>
    <mergeCell ref="R124:T124"/>
    <mergeCell ref="U124:W124"/>
    <mergeCell ref="X124:Z124"/>
    <mergeCell ref="AM123:AO123"/>
    <mergeCell ref="AP123:AR123"/>
    <mergeCell ref="AX123:AZ123"/>
    <mergeCell ref="BA123:BC123"/>
    <mergeCell ref="BD123:BF123"/>
    <mergeCell ref="BG123:BI123"/>
    <mergeCell ref="U123:W123"/>
    <mergeCell ref="X123:Z123"/>
    <mergeCell ref="AA123:AC123"/>
    <mergeCell ref="AD123:AF123"/>
    <mergeCell ref="AG123:AI123"/>
    <mergeCell ref="AJ123:AL123"/>
    <mergeCell ref="BD125:BF125"/>
    <mergeCell ref="BG125:BI125"/>
    <mergeCell ref="BJ125:BL125"/>
    <mergeCell ref="BM125:BO125"/>
    <mergeCell ref="BP125:BR125"/>
    <mergeCell ref="F126:H126"/>
    <mergeCell ref="I126:K126"/>
    <mergeCell ref="L126:N126"/>
    <mergeCell ref="O126:Q126"/>
    <mergeCell ref="R126:T126"/>
    <mergeCell ref="AG125:AI125"/>
    <mergeCell ref="AJ125:AL125"/>
    <mergeCell ref="AM125:AO125"/>
    <mergeCell ref="AP125:AR125"/>
    <mergeCell ref="AX125:AZ125"/>
    <mergeCell ref="BA125:BC125"/>
    <mergeCell ref="BP124:BR124"/>
    <mergeCell ref="F125:H125"/>
    <mergeCell ref="I125:K125"/>
    <mergeCell ref="L125:N125"/>
    <mergeCell ref="O125:Q125"/>
    <mergeCell ref="R125:T125"/>
    <mergeCell ref="U125:W125"/>
    <mergeCell ref="X125:Z125"/>
    <mergeCell ref="AA125:AC125"/>
    <mergeCell ref="AD125:AF125"/>
    <mergeCell ref="AX124:AZ124"/>
    <mergeCell ref="BA124:BC124"/>
    <mergeCell ref="BD124:BF124"/>
    <mergeCell ref="BG124:BI124"/>
    <mergeCell ref="BJ124:BL124"/>
    <mergeCell ref="BM124:BO124"/>
    <mergeCell ref="AA127:AC127"/>
    <mergeCell ref="AD127:AF127"/>
    <mergeCell ref="AG127:AI127"/>
    <mergeCell ref="AJ127:AL127"/>
    <mergeCell ref="AM127:AO127"/>
    <mergeCell ref="AP127:AR127"/>
    <mergeCell ref="BJ126:BL126"/>
    <mergeCell ref="BM126:BO126"/>
    <mergeCell ref="BP126:BR126"/>
    <mergeCell ref="F127:H127"/>
    <mergeCell ref="I127:K127"/>
    <mergeCell ref="L127:N127"/>
    <mergeCell ref="O127:Q127"/>
    <mergeCell ref="R127:T127"/>
    <mergeCell ref="U127:W127"/>
    <mergeCell ref="X127:Z127"/>
    <mergeCell ref="AM126:AO126"/>
    <mergeCell ref="AP126:AR126"/>
    <mergeCell ref="AX126:AZ126"/>
    <mergeCell ref="BA126:BC126"/>
    <mergeCell ref="BD126:BF126"/>
    <mergeCell ref="BG126:BI126"/>
    <mergeCell ref="U126:W126"/>
    <mergeCell ref="X126:Z126"/>
    <mergeCell ref="AA126:AC126"/>
    <mergeCell ref="AD126:AF126"/>
    <mergeCell ref="AG126:AI126"/>
    <mergeCell ref="AJ126:AL126"/>
    <mergeCell ref="BD128:BF128"/>
    <mergeCell ref="BG128:BI128"/>
    <mergeCell ref="BJ128:BL128"/>
    <mergeCell ref="BM128:BO128"/>
    <mergeCell ref="BP128:BR128"/>
    <mergeCell ref="F129:H129"/>
    <mergeCell ref="I129:K129"/>
    <mergeCell ref="L129:N129"/>
    <mergeCell ref="O129:Q129"/>
    <mergeCell ref="R129:T129"/>
    <mergeCell ref="AG128:AI128"/>
    <mergeCell ref="AJ128:AL128"/>
    <mergeCell ref="AM128:AO128"/>
    <mergeCell ref="AP128:AR128"/>
    <mergeCell ref="AX128:AZ128"/>
    <mergeCell ref="BA128:BC128"/>
    <mergeCell ref="BP127:BR127"/>
    <mergeCell ref="F128:H128"/>
    <mergeCell ref="I128:K128"/>
    <mergeCell ref="L128:N128"/>
    <mergeCell ref="O128:Q128"/>
    <mergeCell ref="R128:T128"/>
    <mergeCell ref="U128:W128"/>
    <mergeCell ref="X128:Z128"/>
    <mergeCell ref="AA128:AC128"/>
    <mergeCell ref="AD128:AF128"/>
    <mergeCell ref="AX127:AZ127"/>
    <mergeCell ref="BA127:BC127"/>
    <mergeCell ref="BD127:BF127"/>
    <mergeCell ref="BG127:BI127"/>
    <mergeCell ref="BJ127:BL127"/>
    <mergeCell ref="BM127:BO127"/>
    <mergeCell ref="AA130:AC130"/>
    <mergeCell ref="AD130:AF130"/>
    <mergeCell ref="AG130:AI130"/>
    <mergeCell ref="AJ130:AL130"/>
    <mergeCell ref="AM130:AO130"/>
    <mergeCell ref="AP130:AR130"/>
    <mergeCell ref="BJ129:BL129"/>
    <mergeCell ref="BM129:BO129"/>
    <mergeCell ref="BP129:BR129"/>
    <mergeCell ref="F130:H130"/>
    <mergeCell ref="I130:K130"/>
    <mergeCell ref="L130:N130"/>
    <mergeCell ref="O130:Q130"/>
    <mergeCell ref="R130:T130"/>
    <mergeCell ref="U130:W130"/>
    <mergeCell ref="X130:Z130"/>
    <mergeCell ref="AM129:AO129"/>
    <mergeCell ref="AP129:AR129"/>
    <mergeCell ref="AX129:AZ129"/>
    <mergeCell ref="BA129:BC129"/>
    <mergeCell ref="BD129:BF129"/>
    <mergeCell ref="BG129:BI129"/>
    <mergeCell ref="U129:W129"/>
    <mergeCell ref="X129:Z129"/>
    <mergeCell ref="AA129:AC129"/>
    <mergeCell ref="AD129:AF129"/>
    <mergeCell ref="AG129:AI129"/>
    <mergeCell ref="AJ129:AL129"/>
    <mergeCell ref="BD131:BF131"/>
    <mergeCell ref="BG131:BI131"/>
    <mergeCell ref="BJ131:BL131"/>
    <mergeCell ref="BM131:BO131"/>
    <mergeCell ref="BP131:BR131"/>
    <mergeCell ref="F132:H132"/>
    <mergeCell ref="I132:K132"/>
    <mergeCell ref="L132:N132"/>
    <mergeCell ref="O132:Q132"/>
    <mergeCell ref="R132:T132"/>
    <mergeCell ref="AG131:AI131"/>
    <mergeCell ref="AJ131:AL131"/>
    <mergeCell ref="AM131:AO131"/>
    <mergeCell ref="AP131:AR131"/>
    <mergeCell ref="AX131:AZ131"/>
    <mergeCell ref="BA131:BC131"/>
    <mergeCell ref="BP130:BR130"/>
    <mergeCell ref="F131:H131"/>
    <mergeCell ref="I131:K131"/>
    <mergeCell ref="L131:N131"/>
    <mergeCell ref="O131:Q131"/>
    <mergeCell ref="R131:T131"/>
    <mergeCell ref="U131:W131"/>
    <mergeCell ref="X131:Z131"/>
    <mergeCell ref="AA131:AC131"/>
    <mergeCell ref="AD131:AF131"/>
    <mergeCell ref="AX130:AZ130"/>
    <mergeCell ref="BA130:BC130"/>
    <mergeCell ref="BD130:BF130"/>
    <mergeCell ref="BG130:BI130"/>
    <mergeCell ref="BJ130:BL130"/>
    <mergeCell ref="BM130:BO130"/>
    <mergeCell ref="AA133:AC133"/>
    <mergeCell ref="AD133:AF133"/>
    <mergeCell ref="AG133:AI133"/>
    <mergeCell ref="AJ133:AL133"/>
    <mergeCell ref="AM133:AO133"/>
    <mergeCell ref="AP133:AR133"/>
    <mergeCell ref="BJ132:BL132"/>
    <mergeCell ref="BM132:BO132"/>
    <mergeCell ref="BP132:BR132"/>
    <mergeCell ref="F133:H133"/>
    <mergeCell ref="I133:K133"/>
    <mergeCell ref="L133:N133"/>
    <mergeCell ref="O133:Q133"/>
    <mergeCell ref="R133:T133"/>
    <mergeCell ref="U133:W133"/>
    <mergeCell ref="X133:Z133"/>
    <mergeCell ref="AM132:AO132"/>
    <mergeCell ref="AP132:AR132"/>
    <mergeCell ref="AX132:AZ132"/>
    <mergeCell ref="BA132:BC132"/>
    <mergeCell ref="BD132:BF132"/>
    <mergeCell ref="BG132:BI132"/>
    <mergeCell ref="U132:W132"/>
    <mergeCell ref="X132:Z132"/>
    <mergeCell ref="AA132:AC132"/>
    <mergeCell ref="AD132:AF132"/>
    <mergeCell ref="AG132:AI132"/>
    <mergeCell ref="AJ132:AL132"/>
    <mergeCell ref="BD134:BF134"/>
    <mergeCell ref="BG134:BI134"/>
    <mergeCell ref="BJ134:BL134"/>
    <mergeCell ref="BM134:BO134"/>
    <mergeCell ref="BP134:BR134"/>
    <mergeCell ref="F135:H135"/>
    <mergeCell ref="I135:K135"/>
    <mergeCell ref="L135:N135"/>
    <mergeCell ref="O135:Q135"/>
    <mergeCell ref="R135:T135"/>
    <mergeCell ref="AG134:AI134"/>
    <mergeCell ref="AJ134:AL134"/>
    <mergeCell ref="AM134:AO134"/>
    <mergeCell ref="AP134:AR134"/>
    <mergeCell ref="AX134:AZ134"/>
    <mergeCell ref="BA134:BC134"/>
    <mergeCell ref="BP133:BR133"/>
    <mergeCell ref="F134:H134"/>
    <mergeCell ref="I134:K134"/>
    <mergeCell ref="L134:N134"/>
    <mergeCell ref="O134:Q134"/>
    <mergeCell ref="R134:T134"/>
    <mergeCell ref="U134:W134"/>
    <mergeCell ref="X134:Z134"/>
    <mergeCell ref="AA134:AC134"/>
    <mergeCell ref="AD134:AF134"/>
    <mergeCell ref="AX133:AZ133"/>
    <mergeCell ref="BA133:BC133"/>
    <mergeCell ref="BD133:BF133"/>
    <mergeCell ref="BG133:BI133"/>
    <mergeCell ref="BJ133:BL133"/>
    <mergeCell ref="BM133:BO133"/>
    <mergeCell ref="AA136:AC136"/>
    <mergeCell ref="AD136:AF136"/>
    <mergeCell ref="AG136:AI136"/>
    <mergeCell ref="AJ136:AL136"/>
    <mergeCell ref="AM136:AO136"/>
    <mergeCell ref="AP136:AR136"/>
    <mergeCell ref="BJ135:BL135"/>
    <mergeCell ref="BM135:BO135"/>
    <mergeCell ref="BP135:BR135"/>
    <mergeCell ref="F136:H136"/>
    <mergeCell ref="I136:K136"/>
    <mergeCell ref="L136:N136"/>
    <mergeCell ref="O136:Q136"/>
    <mergeCell ref="R136:T136"/>
    <mergeCell ref="U136:W136"/>
    <mergeCell ref="X136:Z136"/>
    <mergeCell ref="AM135:AO135"/>
    <mergeCell ref="AP135:AR135"/>
    <mergeCell ref="AX135:AZ135"/>
    <mergeCell ref="BA135:BC135"/>
    <mergeCell ref="BD135:BF135"/>
    <mergeCell ref="BG135:BI135"/>
    <mergeCell ref="U135:W135"/>
    <mergeCell ref="X135:Z135"/>
    <mergeCell ref="AA135:AC135"/>
    <mergeCell ref="AD135:AF135"/>
    <mergeCell ref="AG135:AI135"/>
    <mergeCell ref="AJ135:AL135"/>
    <mergeCell ref="BD137:BF137"/>
    <mergeCell ref="BG137:BI137"/>
    <mergeCell ref="BJ137:BL137"/>
    <mergeCell ref="BM137:BO137"/>
    <mergeCell ref="BP137:BR137"/>
    <mergeCell ref="F138:H138"/>
    <mergeCell ref="I138:K138"/>
    <mergeCell ref="L138:N138"/>
    <mergeCell ref="O138:Q138"/>
    <mergeCell ref="R138:T138"/>
    <mergeCell ref="AG137:AI137"/>
    <mergeCell ref="AJ137:AL137"/>
    <mergeCell ref="AM137:AO137"/>
    <mergeCell ref="AP137:AR137"/>
    <mergeCell ref="AX137:AZ137"/>
    <mergeCell ref="BA137:BC137"/>
    <mergeCell ref="BP136:BR136"/>
    <mergeCell ref="F137:H137"/>
    <mergeCell ref="I137:K137"/>
    <mergeCell ref="L137:N137"/>
    <mergeCell ref="O137:Q137"/>
    <mergeCell ref="R137:T137"/>
    <mergeCell ref="U137:W137"/>
    <mergeCell ref="X137:Z137"/>
    <mergeCell ref="AA137:AC137"/>
    <mergeCell ref="AD137:AF137"/>
    <mergeCell ref="AX136:AZ136"/>
    <mergeCell ref="BA136:BC136"/>
    <mergeCell ref="BD136:BF136"/>
    <mergeCell ref="BG136:BI136"/>
    <mergeCell ref="BJ136:BL136"/>
    <mergeCell ref="BM136:BO136"/>
    <mergeCell ref="AA139:AC139"/>
    <mergeCell ref="AD139:AF139"/>
    <mergeCell ref="AG139:AI139"/>
    <mergeCell ref="AJ139:AL139"/>
    <mergeCell ref="AM139:AO139"/>
    <mergeCell ref="AP139:AR139"/>
    <mergeCell ref="BJ138:BL138"/>
    <mergeCell ref="BM138:BO138"/>
    <mergeCell ref="BP138:BR138"/>
    <mergeCell ref="F139:H139"/>
    <mergeCell ref="I139:K139"/>
    <mergeCell ref="L139:N139"/>
    <mergeCell ref="O139:Q139"/>
    <mergeCell ref="R139:T139"/>
    <mergeCell ref="U139:W139"/>
    <mergeCell ref="X139:Z139"/>
    <mergeCell ref="AM138:AO138"/>
    <mergeCell ref="AP138:AR138"/>
    <mergeCell ref="AX138:AZ138"/>
    <mergeCell ref="BA138:BC138"/>
    <mergeCell ref="BD138:BF138"/>
    <mergeCell ref="BG138:BI138"/>
    <mergeCell ref="U138:W138"/>
    <mergeCell ref="X138:Z138"/>
    <mergeCell ref="AA138:AC138"/>
    <mergeCell ref="AD138:AF138"/>
    <mergeCell ref="AG138:AI138"/>
    <mergeCell ref="AJ138:AL138"/>
    <mergeCell ref="BD140:BF140"/>
    <mergeCell ref="BG140:BI140"/>
    <mergeCell ref="BJ140:BL140"/>
    <mergeCell ref="BM140:BO140"/>
    <mergeCell ref="BP140:BR140"/>
    <mergeCell ref="F141:H141"/>
    <mergeCell ref="I141:K141"/>
    <mergeCell ref="L141:N141"/>
    <mergeCell ref="O141:Q141"/>
    <mergeCell ref="R141:T141"/>
    <mergeCell ref="AG140:AI140"/>
    <mergeCell ref="AJ140:AL140"/>
    <mergeCell ref="AM140:AO140"/>
    <mergeCell ref="AP140:AR140"/>
    <mergeCell ref="AX140:AZ140"/>
    <mergeCell ref="BA140:BC140"/>
    <mergeCell ref="BP139:BR139"/>
    <mergeCell ref="F140:H140"/>
    <mergeCell ref="I140:K140"/>
    <mergeCell ref="L140:N140"/>
    <mergeCell ref="O140:Q140"/>
    <mergeCell ref="R140:T140"/>
    <mergeCell ref="U140:W140"/>
    <mergeCell ref="X140:Z140"/>
    <mergeCell ref="AA140:AC140"/>
    <mergeCell ref="AD140:AF140"/>
    <mergeCell ref="AX139:AZ139"/>
    <mergeCell ref="BA139:BC139"/>
    <mergeCell ref="BD139:BF139"/>
    <mergeCell ref="BG139:BI139"/>
    <mergeCell ref="BJ139:BL139"/>
    <mergeCell ref="BM139:BO139"/>
    <mergeCell ref="AA142:AC142"/>
    <mergeCell ref="AD142:AF142"/>
    <mergeCell ref="AG142:AI142"/>
    <mergeCell ref="AJ142:AL142"/>
    <mergeCell ref="AM142:AO142"/>
    <mergeCell ref="AP142:AR142"/>
    <mergeCell ref="BJ141:BL141"/>
    <mergeCell ref="BM141:BO141"/>
    <mergeCell ref="BP141:BR141"/>
    <mergeCell ref="F142:H142"/>
    <mergeCell ref="I142:K142"/>
    <mergeCell ref="L142:N142"/>
    <mergeCell ref="O142:Q142"/>
    <mergeCell ref="R142:T142"/>
    <mergeCell ref="U142:W142"/>
    <mergeCell ref="X142:Z142"/>
    <mergeCell ref="AM141:AO141"/>
    <mergeCell ref="AP141:AR141"/>
    <mergeCell ref="AX141:AZ141"/>
    <mergeCell ref="BA141:BC141"/>
    <mergeCell ref="BD141:BF141"/>
    <mergeCell ref="BG141:BI141"/>
    <mergeCell ref="U141:W141"/>
    <mergeCell ref="X141:Z141"/>
    <mergeCell ref="AA141:AC141"/>
    <mergeCell ref="AD141:AF141"/>
    <mergeCell ref="AG141:AI141"/>
    <mergeCell ref="AJ141:AL141"/>
    <mergeCell ref="BD143:BF143"/>
    <mergeCell ref="BG143:BI143"/>
    <mergeCell ref="BJ143:BL143"/>
    <mergeCell ref="BM143:BO143"/>
    <mergeCell ref="BP143:BR143"/>
    <mergeCell ref="F144:H144"/>
    <mergeCell ref="I144:K144"/>
    <mergeCell ref="L144:N144"/>
    <mergeCell ref="O144:Q144"/>
    <mergeCell ref="R144:T144"/>
    <mergeCell ref="AG143:AI143"/>
    <mergeCell ref="AJ143:AL143"/>
    <mergeCell ref="AM143:AO143"/>
    <mergeCell ref="AP143:AR143"/>
    <mergeCell ref="AX143:AZ143"/>
    <mergeCell ref="BA143:BC143"/>
    <mergeCell ref="BP142:BR142"/>
    <mergeCell ref="F143:H143"/>
    <mergeCell ref="I143:K143"/>
    <mergeCell ref="L143:N143"/>
    <mergeCell ref="O143:Q143"/>
    <mergeCell ref="R143:T143"/>
    <mergeCell ref="U143:W143"/>
    <mergeCell ref="X143:Z143"/>
    <mergeCell ref="AA143:AC143"/>
    <mergeCell ref="AD143:AF143"/>
    <mergeCell ref="AX142:AZ142"/>
    <mergeCell ref="BA142:BC142"/>
    <mergeCell ref="BD142:BF142"/>
    <mergeCell ref="BG142:BI142"/>
    <mergeCell ref="BJ142:BL142"/>
    <mergeCell ref="BM142:BO142"/>
    <mergeCell ref="AA145:AC145"/>
    <mergeCell ref="AD145:AF145"/>
    <mergeCell ref="AG145:AI145"/>
    <mergeCell ref="AJ145:AL145"/>
    <mergeCell ref="AM145:AO145"/>
    <mergeCell ref="AP145:AR145"/>
    <mergeCell ref="BJ144:BL144"/>
    <mergeCell ref="BM144:BO144"/>
    <mergeCell ref="BP144:BR144"/>
    <mergeCell ref="F145:H145"/>
    <mergeCell ref="I145:K145"/>
    <mergeCell ref="L145:N145"/>
    <mergeCell ref="O145:Q145"/>
    <mergeCell ref="R145:T145"/>
    <mergeCell ref="U145:W145"/>
    <mergeCell ref="X145:Z145"/>
    <mergeCell ref="AM144:AO144"/>
    <mergeCell ref="AP144:AR144"/>
    <mergeCell ref="AX144:AZ144"/>
    <mergeCell ref="BA144:BC144"/>
    <mergeCell ref="BD144:BF144"/>
    <mergeCell ref="BG144:BI144"/>
    <mergeCell ref="U144:W144"/>
    <mergeCell ref="X144:Z144"/>
    <mergeCell ref="AA144:AC144"/>
    <mergeCell ref="AD144:AF144"/>
    <mergeCell ref="AG144:AI144"/>
    <mergeCell ref="AJ144:AL144"/>
    <mergeCell ref="BD146:BF146"/>
    <mergeCell ref="BG146:BI146"/>
    <mergeCell ref="BJ146:BL146"/>
    <mergeCell ref="BM146:BO146"/>
    <mergeCell ref="BP146:BR146"/>
    <mergeCell ref="F147:H147"/>
    <mergeCell ref="I147:K147"/>
    <mergeCell ref="L147:N147"/>
    <mergeCell ref="O147:Q147"/>
    <mergeCell ref="R147:T147"/>
    <mergeCell ref="AG146:AI146"/>
    <mergeCell ref="AJ146:AL146"/>
    <mergeCell ref="AM146:AO146"/>
    <mergeCell ref="AP146:AR146"/>
    <mergeCell ref="AX146:AZ146"/>
    <mergeCell ref="BA146:BC146"/>
    <mergeCell ref="BP145:BR145"/>
    <mergeCell ref="F146:H146"/>
    <mergeCell ref="I146:K146"/>
    <mergeCell ref="L146:N146"/>
    <mergeCell ref="O146:Q146"/>
    <mergeCell ref="R146:T146"/>
    <mergeCell ref="U146:W146"/>
    <mergeCell ref="X146:Z146"/>
    <mergeCell ref="AA146:AC146"/>
    <mergeCell ref="AD146:AF146"/>
    <mergeCell ref="AX145:AZ145"/>
    <mergeCell ref="BA145:BC145"/>
    <mergeCell ref="BD145:BF145"/>
    <mergeCell ref="BG145:BI145"/>
    <mergeCell ref="BJ145:BL145"/>
    <mergeCell ref="BM145:BO145"/>
    <mergeCell ref="AA148:AC148"/>
    <mergeCell ref="AD148:AF148"/>
    <mergeCell ref="AG148:AI148"/>
    <mergeCell ref="AJ148:AL148"/>
    <mergeCell ref="AM148:AO148"/>
    <mergeCell ref="AP148:AR148"/>
    <mergeCell ref="BJ147:BL147"/>
    <mergeCell ref="BM147:BO147"/>
    <mergeCell ref="BP147:BR147"/>
    <mergeCell ref="F148:H148"/>
    <mergeCell ref="I148:K148"/>
    <mergeCell ref="L148:N148"/>
    <mergeCell ref="O148:Q148"/>
    <mergeCell ref="R148:T148"/>
    <mergeCell ref="U148:W148"/>
    <mergeCell ref="X148:Z148"/>
    <mergeCell ref="AM147:AO147"/>
    <mergeCell ref="AP147:AR147"/>
    <mergeCell ref="AX147:AZ147"/>
    <mergeCell ref="BA147:BC147"/>
    <mergeCell ref="BD147:BF147"/>
    <mergeCell ref="BG147:BI147"/>
    <mergeCell ref="U147:W147"/>
    <mergeCell ref="X147:Z147"/>
    <mergeCell ref="AA147:AC147"/>
    <mergeCell ref="AD147:AF147"/>
    <mergeCell ref="AG147:AI147"/>
    <mergeCell ref="AJ147:AL147"/>
    <mergeCell ref="BD149:BF149"/>
    <mergeCell ref="BG149:BI149"/>
    <mergeCell ref="BJ149:BL149"/>
    <mergeCell ref="BM149:BO149"/>
    <mergeCell ref="BP149:BR149"/>
    <mergeCell ref="F150:H150"/>
    <mergeCell ref="I150:K150"/>
    <mergeCell ref="L150:N150"/>
    <mergeCell ref="O150:Q150"/>
    <mergeCell ref="R150:T150"/>
    <mergeCell ref="AG149:AI149"/>
    <mergeCell ref="AJ149:AL149"/>
    <mergeCell ref="AM149:AO149"/>
    <mergeCell ref="AP149:AR149"/>
    <mergeCell ref="AX149:AZ149"/>
    <mergeCell ref="BA149:BC149"/>
    <mergeCell ref="BP148:BR148"/>
    <mergeCell ref="F149:H149"/>
    <mergeCell ref="I149:K149"/>
    <mergeCell ref="L149:N149"/>
    <mergeCell ref="O149:Q149"/>
    <mergeCell ref="R149:T149"/>
    <mergeCell ref="U149:W149"/>
    <mergeCell ref="X149:Z149"/>
    <mergeCell ref="AA149:AC149"/>
    <mergeCell ref="AD149:AF149"/>
    <mergeCell ref="AX148:AZ148"/>
    <mergeCell ref="BA148:BC148"/>
    <mergeCell ref="BD148:BF148"/>
    <mergeCell ref="BG148:BI148"/>
    <mergeCell ref="BJ148:BL148"/>
    <mergeCell ref="BM148:BO148"/>
    <mergeCell ref="AA151:AC151"/>
    <mergeCell ref="AD151:AF151"/>
    <mergeCell ref="AG151:AI151"/>
    <mergeCell ref="AJ151:AL151"/>
    <mergeCell ref="AM151:AO151"/>
    <mergeCell ref="AP151:AR151"/>
    <mergeCell ref="BJ150:BL150"/>
    <mergeCell ref="BM150:BO150"/>
    <mergeCell ref="BP150:BR150"/>
    <mergeCell ref="F151:H151"/>
    <mergeCell ref="I151:K151"/>
    <mergeCell ref="L151:N151"/>
    <mergeCell ref="O151:Q151"/>
    <mergeCell ref="R151:T151"/>
    <mergeCell ref="U151:W151"/>
    <mergeCell ref="X151:Z151"/>
    <mergeCell ref="AM150:AO150"/>
    <mergeCell ref="AP150:AR150"/>
    <mergeCell ref="AX150:AZ150"/>
    <mergeCell ref="BA150:BC150"/>
    <mergeCell ref="BD150:BF150"/>
    <mergeCell ref="BG150:BI150"/>
    <mergeCell ref="U150:W150"/>
    <mergeCell ref="X150:Z150"/>
    <mergeCell ref="AA150:AC150"/>
    <mergeCell ref="AD150:AF150"/>
    <mergeCell ref="AG150:AI150"/>
    <mergeCell ref="AJ150:AL150"/>
    <mergeCell ref="BD152:BF152"/>
    <mergeCell ref="BG152:BI152"/>
    <mergeCell ref="BJ152:BL152"/>
    <mergeCell ref="BM152:BO152"/>
    <mergeCell ref="BP152:BR152"/>
    <mergeCell ref="F153:H153"/>
    <mergeCell ref="I153:K153"/>
    <mergeCell ref="L153:N153"/>
    <mergeCell ref="O153:Q153"/>
    <mergeCell ref="R153:T153"/>
    <mergeCell ref="AG152:AI152"/>
    <mergeCell ref="AJ152:AL152"/>
    <mergeCell ref="AM152:AO152"/>
    <mergeCell ref="AP152:AR152"/>
    <mergeCell ref="AX152:AZ152"/>
    <mergeCell ref="BA152:BC152"/>
    <mergeCell ref="BP151:BR151"/>
    <mergeCell ref="F152:H152"/>
    <mergeCell ref="I152:K152"/>
    <mergeCell ref="L152:N152"/>
    <mergeCell ref="O152:Q152"/>
    <mergeCell ref="R152:T152"/>
    <mergeCell ref="U152:W152"/>
    <mergeCell ref="X152:Z152"/>
    <mergeCell ref="AA152:AC152"/>
    <mergeCell ref="AD152:AF152"/>
    <mergeCell ref="AX151:AZ151"/>
    <mergeCell ref="BA151:BC151"/>
    <mergeCell ref="BD151:BF151"/>
    <mergeCell ref="BG151:BI151"/>
    <mergeCell ref="BJ151:BL151"/>
    <mergeCell ref="BM151:BO151"/>
    <mergeCell ref="AA154:AC154"/>
    <mergeCell ref="AD154:AF154"/>
    <mergeCell ref="AG154:AI154"/>
    <mergeCell ref="AJ154:AL154"/>
    <mergeCell ref="AM154:AO154"/>
    <mergeCell ref="AP154:AR154"/>
    <mergeCell ref="BJ153:BL153"/>
    <mergeCell ref="BM153:BO153"/>
    <mergeCell ref="BP153:BR153"/>
    <mergeCell ref="F154:H154"/>
    <mergeCell ref="I154:K154"/>
    <mergeCell ref="L154:N154"/>
    <mergeCell ref="O154:Q154"/>
    <mergeCell ref="R154:T154"/>
    <mergeCell ref="U154:W154"/>
    <mergeCell ref="X154:Z154"/>
    <mergeCell ref="AM153:AO153"/>
    <mergeCell ref="AP153:AR153"/>
    <mergeCell ref="AX153:AZ153"/>
    <mergeCell ref="BA153:BC153"/>
    <mergeCell ref="BD153:BF153"/>
    <mergeCell ref="BG153:BI153"/>
    <mergeCell ref="U153:W153"/>
    <mergeCell ref="X153:Z153"/>
    <mergeCell ref="AA153:AC153"/>
    <mergeCell ref="AD153:AF153"/>
    <mergeCell ref="AG153:AI153"/>
    <mergeCell ref="AJ153:AL153"/>
    <mergeCell ref="BD155:BF155"/>
    <mergeCell ref="BG155:BI155"/>
    <mergeCell ref="BJ155:BL155"/>
    <mergeCell ref="BM155:BO155"/>
    <mergeCell ref="BP155:BR155"/>
    <mergeCell ref="F156:H156"/>
    <mergeCell ref="I156:K156"/>
    <mergeCell ref="L156:N156"/>
    <mergeCell ref="O156:Q156"/>
    <mergeCell ref="R156:T156"/>
    <mergeCell ref="AG155:AI155"/>
    <mergeCell ref="AJ155:AL155"/>
    <mergeCell ref="AM155:AO155"/>
    <mergeCell ref="AP155:AR155"/>
    <mergeCell ref="AX155:AZ155"/>
    <mergeCell ref="BA155:BC155"/>
    <mergeCell ref="BP154:BR154"/>
    <mergeCell ref="F155:H155"/>
    <mergeCell ref="I155:K155"/>
    <mergeCell ref="L155:N155"/>
    <mergeCell ref="O155:Q155"/>
    <mergeCell ref="R155:T155"/>
    <mergeCell ref="U155:W155"/>
    <mergeCell ref="X155:Z155"/>
    <mergeCell ref="AA155:AC155"/>
    <mergeCell ref="AD155:AF155"/>
    <mergeCell ref="AX154:AZ154"/>
    <mergeCell ref="BA154:BC154"/>
    <mergeCell ref="BD154:BF154"/>
    <mergeCell ref="BG154:BI154"/>
    <mergeCell ref="BJ154:BL154"/>
    <mergeCell ref="BM154:BO154"/>
    <mergeCell ref="AA157:AC157"/>
    <mergeCell ref="AD157:AF157"/>
    <mergeCell ref="AG157:AI157"/>
    <mergeCell ref="AJ157:AL157"/>
    <mergeCell ref="AM157:AO157"/>
    <mergeCell ref="AP157:AR157"/>
    <mergeCell ref="BJ156:BL156"/>
    <mergeCell ref="BM156:BO156"/>
    <mergeCell ref="BP156:BR156"/>
    <mergeCell ref="F157:H157"/>
    <mergeCell ref="I157:K157"/>
    <mergeCell ref="L157:N157"/>
    <mergeCell ref="O157:Q157"/>
    <mergeCell ref="R157:T157"/>
    <mergeCell ref="U157:W157"/>
    <mergeCell ref="X157:Z157"/>
    <mergeCell ref="AM156:AO156"/>
    <mergeCell ref="AP156:AR156"/>
    <mergeCell ref="AX156:AZ156"/>
    <mergeCell ref="BA156:BC156"/>
    <mergeCell ref="BD156:BF156"/>
    <mergeCell ref="BG156:BI156"/>
    <mergeCell ref="U156:W156"/>
    <mergeCell ref="X156:Z156"/>
    <mergeCell ref="AA156:AC156"/>
    <mergeCell ref="AD156:AF156"/>
    <mergeCell ref="AG156:AI156"/>
    <mergeCell ref="AJ156:AL156"/>
    <mergeCell ref="BD158:BF158"/>
    <mergeCell ref="BG158:BI158"/>
    <mergeCell ref="BJ158:BL158"/>
    <mergeCell ref="BM158:BO158"/>
    <mergeCell ref="BP158:BR158"/>
    <mergeCell ref="F159:H159"/>
    <mergeCell ref="I159:K159"/>
    <mergeCell ref="L159:N159"/>
    <mergeCell ref="O159:Q159"/>
    <mergeCell ref="R159:T159"/>
    <mergeCell ref="AG158:AI158"/>
    <mergeCell ref="AJ158:AL158"/>
    <mergeCell ref="AM158:AO158"/>
    <mergeCell ref="AP158:AR158"/>
    <mergeCell ref="AX158:AZ158"/>
    <mergeCell ref="BA158:BC158"/>
    <mergeCell ref="BP157:BR157"/>
    <mergeCell ref="F158:H158"/>
    <mergeCell ref="I158:K158"/>
    <mergeCell ref="L158:N158"/>
    <mergeCell ref="O158:Q158"/>
    <mergeCell ref="R158:T158"/>
    <mergeCell ref="U158:W158"/>
    <mergeCell ref="X158:Z158"/>
    <mergeCell ref="AA158:AC158"/>
    <mergeCell ref="AD158:AF158"/>
    <mergeCell ref="AX157:AZ157"/>
    <mergeCell ref="BA157:BC157"/>
    <mergeCell ref="BD157:BF157"/>
    <mergeCell ref="BG157:BI157"/>
    <mergeCell ref="BJ157:BL157"/>
    <mergeCell ref="BM157:BO157"/>
    <mergeCell ref="AA160:AC160"/>
    <mergeCell ref="AD160:AF160"/>
    <mergeCell ref="AG160:AI160"/>
    <mergeCell ref="AJ160:AL160"/>
    <mergeCell ref="AM160:AO160"/>
    <mergeCell ref="AP160:AR160"/>
    <mergeCell ref="BJ159:BL159"/>
    <mergeCell ref="BM159:BO159"/>
    <mergeCell ref="BP159:BR159"/>
    <mergeCell ref="F160:H160"/>
    <mergeCell ref="I160:K160"/>
    <mergeCell ref="L160:N160"/>
    <mergeCell ref="O160:Q160"/>
    <mergeCell ref="R160:T160"/>
    <mergeCell ref="U160:W160"/>
    <mergeCell ref="X160:Z160"/>
    <mergeCell ref="AM159:AO159"/>
    <mergeCell ref="AP159:AR159"/>
    <mergeCell ref="AX159:AZ159"/>
    <mergeCell ref="BA159:BC159"/>
    <mergeCell ref="BD159:BF159"/>
    <mergeCell ref="BG159:BI159"/>
    <mergeCell ref="U159:W159"/>
    <mergeCell ref="X159:Z159"/>
    <mergeCell ref="AA159:AC159"/>
    <mergeCell ref="AD159:AF159"/>
    <mergeCell ref="AG159:AI159"/>
    <mergeCell ref="AJ159:AL159"/>
    <mergeCell ref="BD161:BF161"/>
    <mergeCell ref="BG161:BI161"/>
    <mergeCell ref="BJ161:BL161"/>
    <mergeCell ref="BM161:BO161"/>
    <mergeCell ref="BP161:BR161"/>
    <mergeCell ref="F162:H162"/>
    <mergeCell ref="I162:K162"/>
    <mergeCell ref="L162:N162"/>
    <mergeCell ref="O162:Q162"/>
    <mergeCell ref="R162:T162"/>
    <mergeCell ref="AG161:AI161"/>
    <mergeCell ref="AJ161:AL161"/>
    <mergeCell ref="AM161:AO161"/>
    <mergeCell ref="AP161:AR161"/>
    <mergeCell ref="AX161:AZ161"/>
    <mergeCell ref="BA161:BC161"/>
    <mergeCell ref="BP160:BR160"/>
    <mergeCell ref="F161:H161"/>
    <mergeCell ref="I161:K161"/>
    <mergeCell ref="L161:N161"/>
    <mergeCell ref="O161:Q161"/>
    <mergeCell ref="R161:T161"/>
    <mergeCell ref="U161:W161"/>
    <mergeCell ref="X161:Z161"/>
    <mergeCell ref="AA161:AC161"/>
    <mergeCell ref="AD161:AF161"/>
    <mergeCell ref="AX160:AZ160"/>
    <mergeCell ref="BA160:BC160"/>
    <mergeCell ref="BD160:BF160"/>
    <mergeCell ref="BG160:BI160"/>
    <mergeCell ref="BJ160:BL160"/>
    <mergeCell ref="BM160:BO160"/>
    <mergeCell ref="AA163:AC163"/>
    <mergeCell ref="AD163:AF163"/>
    <mergeCell ref="AG163:AI163"/>
    <mergeCell ref="AJ163:AL163"/>
    <mergeCell ref="AM163:AO163"/>
    <mergeCell ref="AP163:AR163"/>
    <mergeCell ref="BJ162:BL162"/>
    <mergeCell ref="BM162:BO162"/>
    <mergeCell ref="BP162:BR162"/>
    <mergeCell ref="F163:H163"/>
    <mergeCell ref="I163:K163"/>
    <mergeCell ref="L163:N163"/>
    <mergeCell ref="O163:Q163"/>
    <mergeCell ref="R163:T163"/>
    <mergeCell ref="U163:W163"/>
    <mergeCell ref="X163:Z163"/>
    <mergeCell ref="AM162:AO162"/>
    <mergeCell ref="AP162:AR162"/>
    <mergeCell ref="AX162:AZ162"/>
    <mergeCell ref="BA162:BC162"/>
    <mergeCell ref="BD162:BF162"/>
    <mergeCell ref="BG162:BI162"/>
    <mergeCell ref="U162:W162"/>
    <mergeCell ref="X162:Z162"/>
    <mergeCell ref="AA162:AC162"/>
    <mergeCell ref="AD162:AF162"/>
    <mergeCell ref="AG162:AI162"/>
    <mergeCell ref="AJ162:AL162"/>
    <mergeCell ref="BD164:BF164"/>
    <mergeCell ref="BG164:BI164"/>
    <mergeCell ref="BJ164:BL164"/>
    <mergeCell ref="BM164:BO164"/>
    <mergeCell ref="BP164:BR164"/>
    <mergeCell ref="F165:H165"/>
    <mergeCell ref="I165:K165"/>
    <mergeCell ref="L165:N165"/>
    <mergeCell ref="O165:Q165"/>
    <mergeCell ref="R165:T165"/>
    <mergeCell ref="AG164:AI164"/>
    <mergeCell ref="AJ164:AL164"/>
    <mergeCell ref="AM164:AO164"/>
    <mergeCell ref="AP164:AR164"/>
    <mergeCell ref="AX164:AZ164"/>
    <mergeCell ref="BA164:BC164"/>
    <mergeCell ref="BP163:BR163"/>
    <mergeCell ref="F164:H164"/>
    <mergeCell ref="I164:K164"/>
    <mergeCell ref="L164:N164"/>
    <mergeCell ref="O164:Q164"/>
    <mergeCell ref="R164:T164"/>
    <mergeCell ref="U164:W164"/>
    <mergeCell ref="X164:Z164"/>
    <mergeCell ref="AA164:AC164"/>
    <mergeCell ref="AD164:AF164"/>
    <mergeCell ref="AX163:AZ163"/>
    <mergeCell ref="BA163:BC163"/>
    <mergeCell ref="BD163:BF163"/>
    <mergeCell ref="BG163:BI163"/>
    <mergeCell ref="BJ163:BL163"/>
    <mergeCell ref="BM163:BO163"/>
    <mergeCell ref="AA166:AC166"/>
    <mergeCell ref="AD166:AF166"/>
    <mergeCell ref="AG166:AI166"/>
    <mergeCell ref="AJ166:AL166"/>
    <mergeCell ref="AM166:AO166"/>
    <mergeCell ref="AP166:AR166"/>
    <mergeCell ref="BJ165:BL165"/>
    <mergeCell ref="BM165:BO165"/>
    <mergeCell ref="BP165:BR165"/>
    <mergeCell ref="F166:H166"/>
    <mergeCell ref="I166:K166"/>
    <mergeCell ref="L166:N166"/>
    <mergeCell ref="O166:Q166"/>
    <mergeCell ref="R166:T166"/>
    <mergeCell ref="U166:W166"/>
    <mergeCell ref="X166:Z166"/>
    <mergeCell ref="AM165:AO165"/>
    <mergeCell ref="AP165:AR165"/>
    <mergeCell ref="AX165:AZ165"/>
    <mergeCell ref="BA165:BC165"/>
    <mergeCell ref="BD165:BF165"/>
    <mergeCell ref="BG165:BI165"/>
    <mergeCell ref="U165:W165"/>
    <mergeCell ref="X165:Z165"/>
    <mergeCell ref="AA165:AC165"/>
    <mergeCell ref="AD165:AF165"/>
    <mergeCell ref="AG165:AI165"/>
    <mergeCell ref="AJ165:AL165"/>
    <mergeCell ref="BD167:BF167"/>
    <mergeCell ref="BG167:BI167"/>
    <mergeCell ref="BJ167:BL167"/>
    <mergeCell ref="BM167:BO167"/>
    <mergeCell ref="BP167:BR167"/>
    <mergeCell ref="F168:H168"/>
    <mergeCell ref="I168:K168"/>
    <mergeCell ref="L168:N168"/>
    <mergeCell ref="O168:Q168"/>
    <mergeCell ref="R168:T168"/>
    <mergeCell ref="AG167:AI167"/>
    <mergeCell ref="AJ167:AL167"/>
    <mergeCell ref="AM167:AO167"/>
    <mergeCell ref="AP167:AR167"/>
    <mergeCell ref="AX167:AZ167"/>
    <mergeCell ref="BA167:BC167"/>
    <mergeCell ref="BP166:BR166"/>
    <mergeCell ref="F167:H167"/>
    <mergeCell ref="I167:K167"/>
    <mergeCell ref="L167:N167"/>
    <mergeCell ref="O167:Q167"/>
    <mergeCell ref="R167:T167"/>
    <mergeCell ref="U167:W167"/>
    <mergeCell ref="X167:Z167"/>
    <mergeCell ref="AA167:AC167"/>
    <mergeCell ref="AD167:AF167"/>
    <mergeCell ref="AX166:AZ166"/>
    <mergeCell ref="BA166:BC166"/>
    <mergeCell ref="BD166:BF166"/>
    <mergeCell ref="BG166:BI166"/>
    <mergeCell ref="BJ166:BL166"/>
    <mergeCell ref="BM166:BO166"/>
    <mergeCell ref="AA169:AC169"/>
    <mergeCell ref="AD169:AF169"/>
    <mergeCell ref="AG169:AI169"/>
    <mergeCell ref="AJ169:AL169"/>
    <mergeCell ref="AM169:AO169"/>
    <mergeCell ref="AP169:AR169"/>
    <mergeCell ref="BJ168:BL168"/>
    <mergeCell ref="BM168:BO168"/>
    <mergeCell ref="BP168:BR168"/>
    <mergeCell ref="F169:H169"/>
    <mergeCell ref="I169:K169"/>
    <mergeCell ref="L169:N169"/>
    <mergeCell ref="O169:Q169"/>
    <mergeCell ref="R169:T169"/>
    <mergeCell ref="U169:W169"/>
    <mergeCell ref="X169:Z169"/>
    <mergeCell ref="AM168:AO168"/>
    <mergeCell ref="AP168:AR168"/>
    <mergeCell ref="AX168:AZ168"/>
    <mergeCell ref="BA168:BC168"/>
    <mergeCell ref="BD168:BF168"/>
    <mergeCell ref="BG168:BI168"/>
    <mergeCell ref="U168:W168"/>
    <mergeCell ref="X168:Z168"/>
    <mergeCell ref="AA168:AC168"/>
    <mergeCell ref="AD168:AF168"/>
    <mergeCell ref="AG168:AI168"/>
    <mergeCell ref="AJ168:AL168"/>
    <mergeCell ref="BD170:BF170"/>
    <mergeCell ref="BG170:BI170"/>
    <mergeCell ref="BJ170:BL170"/>
    <mergeCell ref="BM170:BO170"/>
    <mergeCell ref="BP170:BR170"/>
    <mergeCell ref="F171:H171"/>
    <mergeCell ref="I171:K171"/>
    <mergeCell ref="L171:N171"/>
    <mergeCell ref="O171:Q171"/>
    <mergeCell ref="R171:T171"/>
    <mergeCell ref="AG170:AI170"/>
    <mergeCell ref="AJ170:AL170"/>
    <mergeCell ref="AM170:AO170"/>
    <mergeCell ref="AP170:AR170"/>
    <mergeCell ref="AX170:AZ170"/>
    <mergeCell ref="BA170:BC170"/>
    <mergeCell ref="BP169:BR169"/>
    <mergeCell ref="F170:H170"/>
    <mergeCell ref="I170:K170"/>
    <mergeCell ref="L170:N170"/>
    <mergeCell ref="O170:Q170"/>
    <mergeCell ref="R170:T170"/>
    <mergeCell ref="U170:W170"/>
    <mergeCell ref="X170:Z170"/>
    <mergeCell ref="AA170:AC170"/>
    <mergeCell ref="AD170:AF170"/>
    <mergeCell ref="AX169:AZ169"/>
    <mergeCell ref="BA169:BC169"/>
    <mergeCell ref="BD169:BF169"/>
    <mergeCell ref="BG169:BI169"/>
    <mergeCell ref="BJ169:BL169"/>
    <mergeCell ref="BM169:BO169"/>
    <mergeCell ref="AA172:AC172"/>
    <mergeCell ref="AD172:AF172"/>
    <mergeCell ref="AG172:AI172"/>
    <mergeCell ref="AJ172:AL172"/>
    <mergeCell ref="AM172:AO172"/>
    <mergeCell ref="AP172:AR172"/>
    <mergeCell ref="BJ171:BL171"/>
    <mergeCell ref="BM171:BO171"/>
    <mergeCell ref="BP171:BR171"/>
    <mergeCell ref="F172:H172"/>
    <mergeCell ref="I172:K172"/>
    <mergeCell ref="L172:N172"/>
    <mergeCell ref="O172:Q172"/>
    <mergeCell ref="R172:T172"/>
    <mergeCell ref="U172:W172"/>
    <mergeCell ref="X172:Z172"/>
    <mergeCell ref="AM171:AO171"/>
    <mergeCell ref="AP171:AR171"/>
    <mergeCell ref="AX171:AZ171"/>
    <mergeCell ref="BA171:BC171"/>
    <mergeCell ref="BD171:BF171"/>
    <mergeCell ref="BG171:BI171"/>
    <mergeCell ref="U171:W171"/>
    <mergeCell ref="X171:Z171"/>
    <mergeCell ref="AA171:AC171"/>
    <mergeCell ref="AD171:AF171"/>
    <mergeCell ref="AG171:AI171"/>
    <mergeCell ref="AJ171:AL171"/>
    <mergeCell ref="BD173:BF173"/>
    <mergeCell ref="BG173:BI173"/>
    <mergeCell ref="BJ173:BL173"/>
    <mergeCell ref="BM173:BO173"/>
    <mergeCell ref="BP173:BR173"/>
    <mergeCell ref="F174:H174"/>
    <mergeCell ref="I174:K174"/>
    <mergeCell ref="L174:N174"/>
    <mergeCell ref="O174:Q174"/>
    <mergeCell ref="R174:T174"/>
    <mergeCell ref="AG173:AI173"/>
    <mergeCell ref="AJ173:AL173"/>
    <mergeCell ref="AM173:AO173"/>
    <mergeCell ref="AP173:AR173"/>
    <mergeCell ref="AX173:AZ173"/>
    <mergeCell ref="BA173:BC173"/>
    <mergeCell ref="BP172:BR172"/>
    <mergeCell ref="F173:H173"/>
    <mergeCell ref="I173:K173"/>
    <mergeCell ref="L173:N173"/>
    <mergeCell ref="O173:Q173"/>
    <mergeCell ref="R173:T173"/>
    <mergeCell ref="U173:W173"/>
    <mergeCell ref="X173:Z173"/>
    <mergeCell ref="AA173:AC173"/>
    <mergeCell ref="AD173:AF173"/>
    <mergeCell ref="AX172:AZ172"/>
    <mergeCell ref="BA172:BC172"/>
    <mergeCell ref="BD172:BF172"/>
    <mergeCell ref="BG172:BI172"/>
    <mergeCell ref="BJ172:BL172"/>
    <mergeCell ref="BM172:BO172"/>
    <mergeCell ref="AA175:AC175"/>
    <mergeCell ref="AD175:AF175"/>
    <mergeCell ref="AG175:AI175"/>
    <mergeCell ref="AJ175:AL175"/>
    <mergeCell ref="AM175:AO175"/>
    <mergeCell ref="AP175:AR175"/>
    <mergeCell ref="BJ174:BL174"/>
    <mergeCell ref="BM174:BO174"/>
    <mergeCell ref="BP174:BR174"/>
    <mergeCell ref="F175:H175"/>
    <mergeCell ref="I175:K175"/>
    <mergeCell ref="L175:N175"/>
    <mergeCell ref="O175:Q175"/>
    <mergeCell ref="R175:T175"/>
    <mergeCell ref="U175:W175"/>
    <mergeCell ref="X175:Z175"/>
    <mergeCell ref="AM174:AO174"/>
    <mergeCell ref="AP174:AR174"/>
    <mergeCell ref="AX174:AZ174"/>
    <mergeCell ref="BA174:BC174"/>
    <mergeCell ref="BD174:BF174"/>
    <mergeCell ref="BG174:BI174"/>
    <mergeCell ref="U174:W174"/>
    <mergeCell ref="X174:Z174"/>
    <mergeCell ref="AA174:AC174"/>
    <mergeCell ref="AD174:AF174"/>
    <mergeCell ref="AG174:AI174"/>
    <mergeCell ref="AJ174:AL174"/>
    <mergeCell ref="BD176:BF176"/>
    <mergeCell ref="BG176:BI176"/>
    <mergeCell ref="BJ176:BL176"/>
    <mergeCell ref="BM176:BO176"/>
    <mergeCell ref="BP176:BR176"/>
    <mergeCell ref="F177:H177"/>
    <mergeCell ref="I177:K177"/>
    <mergeCell ref="L177:N177"/>
    <mergeCell ref="O177:Q177"/>
    <mergeCell ref="R177:T177"/>
    <mergeCell ref="AG176:AI176"/>
    <mergeCell ref="AJ176:AL176"/>
    <mergeCell ref="AM176:AO176"/>
    <mergeCell ref="AP176:AR176"/>
    <mergeCell ref="AX176:AZ176"/>
    <mergeCell ref="BA176:BC176"/>
    <mergeCell ref="BP175:BR175"/>
    <mergeCell ref="F176:H176"/>
    <mergeCell ref="I176:K176"/>
    <mergeCell ref="L176:N176"/>
    <mergeCell ref="O176:Q176"/>
    <mergeCell ref="R176:T176"/>
    <mergeCell ref="U176:W176"/>
    <mergeCell ref="X176:Z176"/>
    <mergeCell ref="AA176:AC176"/>
    <mergeCell ref="AD176:AF176"/>
    <mergeCell ref="AX175:AZ175"/>
    <mergeCell ref="BA175:BC175"/>
    <mergeCell ref="BD175:BF175"/>
    <mergeCell ref="BG175:BI175"/>
    <mergeCell ref="BJ175:BL175"/>
    <mergeCell ref="BM175:BO175"/>
    <mergeCell ref="AA178:AC178"/>
    <mergeCell ref="AD178:AF178"/>
    <mergeCell ref="AG178:AI178"/>
    <mergeCell ref="AJ178:AL178"/>
    <mergeCell ref="AM178:AO178"/>
    <mergeCell ref="AP178:AR178"/>
    <mergeCell ref="BJ177:BL177"/>
    <mergeCell ref="BM177:BO177"/>
    <mergeCell ref="BP177:BR177"/>
    <mergeCell ref="F178:H178"/>
    <mergeCell ref="I178:K178"/>
    <mergeCell ref="L178:N178"/>
    <mergeCell ref="O178:Q178"/>
    <mergeCell ref="R178:T178"/>
    <mergeCell ref="U178:W178"/>
    <mergeCell ref="X178:Z178"/>
    <mergeCell ref="AM177:AO177"/>
    <mergeCell ref="AP177:AR177"/>
    <mergeCell ref="AX177:AZ177"/>
    <mergeCell ref="BA177:BC177"/>
    <mergeCell ref="BD177:BF177"/>
    <mergeCell ref="BG177:BI177"/>
    <mergeCell ref="U177:W177"/>
    <mergeCell ref="X177:Z177"/>
    <mergeCell ref="AA177:AC177"/>
    <mergeCell ref="AD177:AF177"/>
    <mergeCell ref="AG177:AI177"/>
    <mergeCell ref="AJ177:AL177"/>
    <mergeCell ref="BD179:BF179"/>
    <mergeCell ref="BG179:BI179"/>
    <mergeCell ref="BJ179:BL179"/>
    <mergeCell ref="BM179:BO179"/>
    <mergeCell ref="BP179:BR179"/>
    <mergeCell ref="F180:H180"/>
    <mergeCell ref="I180:K180"/>
    <mergeCell ref="L180:N180"/>
    <mergeCell ref="O180:Q180"/>
    <mergeCell ref="R180:T180"/>
    <mergeCell ref="AG179:AI179"/>
    <mergeCell ref="AJ179:AL179"/>
    <mergeCell ref="AM179:AO179"/>
    <mergeCell ref="AP179:AR179"/>
    <mergeCell ref="AX179:AZ179"/>
    <mergeCell ref="BA179:BC179"/>
    <mergeCell ref="BP178:BR178"/>
    <mergeCell ref="F179:H179"/>
    <mergeCell ref="I179:K179"/>
    <mergeCell ref="L179:N179"/>
    <mergeCell ref="O179:Q179"/>
    <mergeCell ref="R179:T179"/>
    <mergeCell ref="U179:W179"/>
    <mergeCell ref="X179:Z179"/>
    <mergeCell ref="AA179:AC179"/>
    <mergeCell ref="AD179:AF179"/>
    <mergeCell ref="AX178:AZ178"/>
    <mergeCell ref="BA178:BC178"/>
    <mergeCell ref="BD178:BF178"/>
    <mergeCell ref="BG178:BI178"/>
    <mergeCell ref="BJ178:BL178"/>
    <mergeCell ref="BM178:BO178"/>
    <mergeCell ref="AA181:AC181"/>
    <mergeCell ref="AD181:AF181"/>
    <mergeCell ref="AG181:AI181"/>
    <mergeCell ref="AJ181:AL181"/>
    <mergeCell ref="AM181:AO181"/>
    <mergeCell ref="AP181:AR181"/>
    <mergeCell ref="BJ180:BL180"/>
    <mergeCell ref="BM180:BO180"/>
    <mergeCell ref="BP180:BR180"/>
    <mergeCell ref="F181:H181"/>
    <mergeCell ref="I181:K181"/>
    <mergeCell ref="L181:N181"/>
    <mergeCell ref="O181:Q181"/>
    <mergeCell ref="R181:T181"/>
    <mergeCell ref="U181:W181"/>
    <mergeCell ref="X181:Z181"/>
    <mergeCell ref="AM180:AO180"/>
    <mergeCell ref="AP180:AR180"/>
    <mergeCell ref="AX180:AZ180"/>
    <mergeCell ref="BA180:BC180"/>
    <mergeCell ref="BD180:BF180"/>
    <mergeCell ref="BG180:BI180"/>
    <mergeCell ref="U180:W180"/>
    <mergeCell ref="X180:Z180"/>
    <mergeCell ref="AA180:AC180"/>
    <mergeCell ref="AD180:AF180"/>
    <mergeCell ref="AG180:AI180"/>
    <mergeCell ref="AJ180:AL180"/>
    <mergeCell ref="BD182:BF182"/>
    <mergeCell ref="BG182:BI182"/>
    <mergeCell ref="BJ182:BL182"/>
    <mergeCell ref="BM182:BO182"/>
    <mergeCell ref="BP182:BR182"/>
    <mergeCell ref="F183:H183"/>
    <mergeCell ref="I183:K183"/>
    <mergeCell ref="L183:N183"/>
    <mergeCell ref="O183:Q183"/>
    <mergeCell ref="R183:T183"/>
    <mergeCell ref="AG182:AI182"/>
    <mergeCell ref="AJ182:AL182"/>
    <mergeCell ref="AM182:AO182"/>
    <mergeCell ref="AP182:AR182"/>
    <mergeCell ref="AX182:AZ182"/>
    <mergeCell ref="BA182:BC182"/>
    <mergeCell ref="BP181:BR181"/>
    <mergeCell ref="F182:H182"/>
    <mergeCell ref="I182:K182"/>
    <mergeCell ref="L182:N182"/>
    <mergeCell ref="O182:Q182"/>
    <mergeCell ref="R182:T182"/>
    <mergeCell ref="U182:W182"/>
    <mergeCell ref="X182:Z182"/>
    <mergeCell ref="AA182:AC182"/>
    <mergeCell ref="AD182:AF182"/>
    <mergeCell ref="AX181:AZ181"/>
    <mergeCell ref="BA181:BC181"/>
    <mergeCell ref="BD181:BF181"/>
    <mergeCell ref="BG181:BI181"/>
    <mergeCell ref="BJ181:BL181"/>
    <mergeCell ref="BM181:BO181"/>
    <mergeCell ref="AA184:AC184"/>
    <mergeCell ref="AD184:AF184"/>
    <mergeCell ref="AG184:AI184"/>
    <mergeCell ref="AJ184:AL184"/>
    <mergeCell ref="AM184:AO184"/>
    <mergeCell ref="AP184:AR184"/>
    <mergeCell ref="BJ183:BL183"/>
    <mergeCell ref="BM183:BO183"/>
    <mergeCell ref="BP183:BR183"/>
    <mergeCell ref="F184:H184"/>
    <mergeCell ref="I184:K184"/>
    <mergeCell ref="L184:N184"/>
    <mergeCell ref="O184:Q184"/>
    <mergeCell ref="R184:T184"/>
    <mergeCell ref="U184:W184"/>
    <mergeCell ref="X184:Z184"/>
    <mergeCell ref="AM183:AO183"/>
    <mergeCell ref="AP183:AR183"/>
    <mergeCell ref="AX183:AZ183"/>
    <mergeCell ref="BA183:BC183"/>
    <mergeCell ref="BD183:BF183"/>
    <mergeCell ref="BG183:BI183"/>
    <mergeCell ref="U183:W183"/>
    <mergeCell ref="X183:Z183"/>
    <mergeCell ref="AA183:AC183"/>
    <mergeCell ref="AD183:AF183"/>
    <mergeCell ref="AG183:AI183"/>
    <mergeCell ref="AJ183:AL183"/>
    <mergeCell ref="BD185:BF185"/>
    <mergeCell ref="BG185:BI185"/>
    <mergeCell ref="BJ185:BL185"/>
    <mergeCell ref="BM185:BO185"/>
    <mergeCell ref="BP185:BR185"/>
    <mergeCell ref="F186:H186"/>
    <mergeCell ref="I186:K186"/>
    <mergeCell ref="L186:N186"/>
    <mergeCell ref="O186:Q186"/>
    <mergeCell ref="R186:T186"/>
    <mergeCell ref="AG185:AI185"/>
    <mergeCell ref="AJ185:AL185"/>
    <mergeCell ref="AM185:AO185"/>
    <mergeCell ref="AP185:AR185"/>
    <mergeCell ref="AX185:AZ185"/>
    <mergeCell ref="BA185:BC185"/>
    <mergeCell ref="BP184:BR184"/>
    <mergeCell ref="F185:H185"/>
    <mergeCell ref="I185:K185"/>
    <mergeCell ref="L185:N185"/>
    <mergeCell ref="O185:Q185"/>
    <mergeCell ref="R185:T185"/>
    <mergeCell ref="U185:W185"/>
    <mergeCell ref="X185:Z185"/>
    <mergeCell ref="AA185:AC185"/>
    <mergeCell ref="AD185:AF185"/>
    <mergeCell ref="AX184:AZ184"/>
    <mergeCell ref="BA184:BC184"/>
    <mergeCell ref="BD184:BF184"/>
    <mergeCell ref="BG184:BI184"/>
    <mergeCell ref="BJ184:BL184"/>
    <mergeCell ref="BM184:BO184"/>
    <mergeCell ref="AA187:AC187"/>
    <mergeCell ref="AD187:AF187"/>
    <mergeCell ref="AG187:AI187"/>
    <mergeCell ref="AJ187:AL187"/>
    <mergeCell ref="AM187:AO187"/>
    <mergeCell ref="AP187:AR187"/>
    <mergeCell ref="BJ186:BL186"/>
    <mergeCell ref="BM186:BO186"/>
    <mergeCell ref="BP186:BR186"/>
    <mergeCell ref="F187:H187"/>
    <mergeCell ref="I187:K187"/>
    <mergeCell ref="L187:N187"/>
    <mergeCell ref="O187:Q187"/>
    <mergeCell ref="R187:T187"/>
    <mergeCell ref="U187:W187"/>
    <mergeCell ref="X187:Z187"/>
    <mergeCell ref="AM186:AO186"/>
    <mergeCell ref="AP186:AR186"/>
    <mergeCell ref="AX186:AZ186"/>
    <mergeCell ref="BA186:BC186"/>
    <mergeCell ref="BD186:BF186"/>
    <mergeCell ref="BG186:BI186"/>
    <mergeCell ref="U186:W186"/>
    <mergeCell ref="X186:Z186"/>
    <mergeCell ref="AA186:AC186"/>
    <mergeCell ref="AD186:AF186"/>
    <mergeCell ref="AG186:AI186"/>
    <mergeCell ref="AJ186:AL186"/>
    <mergeCell ref="BD188:BF188"/>
    <mergeCell ref="BG188:BI188"/>
    <mergeCell ref="BJ188:BL188"/>
    <mergeCell ref="BM188:BO188"/>
    <mergeCell ref="BP188:BR188"/>
    <mergeCell ref="F189:H189"/>
    <mergeCell ref="I189:K189"/>
    <mergeCell ref="L189:N189"/>
    <mergeCell ref="O189:Q189"/>
    <mergeCell ref="R189:T189"/>
    <mergeCell ref="AG188:AI188"/>
    <mergeCell ref="AJ188:AL188"/>
    <mergeCell ref="AM188:AO188"/>
    <mergeCell ref="AP188:AR188"/>
    <mergeCell ref="AX188:AZ188"/>
    <mergeCell ref="BA188:BC188"/>
    <mergeCell ref="BP187:BR187"/>
    <mergeCell ref="F188:H188"/>
    <mergeCell ref="I188:K188"/>
    <mergeCell ref="L188:N188"/>
    <mergeCell ref="O188:Q188"/>
    <mergeCell ref="R188:T188"/>
    <mergeCell ref="U188:W188"/>
    <mergeCell ref="X188:Z188"/>
    <mergeCell ref="AA188:AC188"/>
    <mergeCell ref="AD188:AF188"/>
    <mergeCell ref="AX187:AZ187"/>
    <mergeCell ref="BA187:BC187"/>
    <mergeCell ref="BD187:BF187"/>
    <mergeCell ref="BG187:BI187"/>
    <mergeCell ref="BJ187:BL187"/>
    <mergeCell ref="BM187:BO187"/>
    <mergeCell ref="AA190:AC190"/>
    <mergeCell ref="AD190:AF190"/>
    <mergeCell ref="AG190:AI190"/>
    <mergeCell ref="AJ190:AL190"/>
    <mergeCell ref="AM190:AO190"/>
    <mergeCell ref="AP190:AR190"/>
    <mergeCell ref="BJ189:BL189"/>
    <mergeCell ref="BM189:BO189"/>
    <mergeCell ref="BP189:BR189"/>
    <mergeCell ref="F190:H190"/>
    <mergeCell ref="I190:K190"/>
    <mergeCell ref="L190:N190"/>
    <mergeCell ref="O190:Q190"/>
    <mergeCell ref="R190:T190"/>
    <mergeCell ref="U190:W190"/>
    <mergeCell ref="X190:Z190"/>
    <mergeCell ref="AM189:AO189"/>
    <mergeCell ref="AP189:AR189"/>
    <mergeCell ref="AX189:AZ189"/>
    <mergeCell ref="BA189:BC189"/>
    <mergeCell ref="BD189:BF189"/>
    <mergeCell ref="BG189:BI189"/>
    <mergeCell ref="U189:W189"/>
    <mergeCell ref="X189:Z189"/>
    <mergeCell ref="AA189:AC189"/>
    <mergeCell ref="AD189:AF189"/>
    <mergeCell ref="AG189:AI189"/>
    <mergeCell ref="AJ189:AL189"/>
    <mergeCell ref="BD191:BF191"/>
    <mergeCell ref="BG191:BI191"/>
    <mergeCell ref="BJ191:BL191"/>
    <mergeCell ref="BM191:BO191"/>
    <mergeCell ref="BP191:BR191"/>
    <mergeCell ref="F192:H192"/>
    <mergeCell ref="I192:K192"/>
    <mergeCell ref="L192:N192"/>
    <mergeCell ref="O192:Q192"/>
    <mergeCell ref="R192:T192"/>
    <mergeCell ref="AG191:AI191"/>
    <mergeCell ref="AJ191:AL191"/>
    <mergeCell ref="AM191:AO191"/>
    <mergeCell ref="AP191:AR191"/>
    <mergeCell ref="AX191:AZ191"/>
    <mergeCell ref="BA191:BC191"/>
    <mergeCell ref="BP190:BR190"/>
    <mergeCell ref="F191:H191"/>
    <mergeCell ref="I191:K191"/>
    <mergeCell ref="L191:N191"/>
    <mergeCell ref="O191:Q191"/>
    <mergeCell ref="R191:T191"/>
    <mergeCell ref="U191:W191"/>
    <mergeCell ref="X191:Z191"/>
    <mergeCell ref="AA191:AC191"/>
    <mergeCell ref="AD191:AF191"/>
    <mergeCell ref="AX190:AZ190"/>
    <mergeCell ref="BA190:BC190"/>
    <mergeCell ref="BD190:BF190"/>
    <mergeCell ref="BG190:BI190"/>
    <mergeCell ref="BJ190:BL190"/>
    <mergeCell ref="BM190:BO190"/>
    <mergeCell ref="AA193:AC193"/>
    <mergeCell ref="AD193:AF193"/>
    <mergeCell ref="AG193:AI193"/>
    <mergeCell ref="AJ193:AL193"/>
    <mergeCell ref="AM193:AO193"/>
    <mergeCell ref="AP193:AR193"/>
    <mergeCell ref="BJ192:BL192"/>
    <mergeCell ref="BM192:BO192"/>
    <mergeCell ref="BP192:BR192"/>
    <mergeCell ref="F193:H193"/>
    <mergeCell ref="I193:K193"/>
    <mergeCell ref="L193:N193"/>
    <mergeCell ref="O193:Q193"/>
    <mergeCell ref="R193:T193"/>
    <mergeCell ref="U193:W193"/>
    <mergeCell ref="X193:Z193"/>
    <mergeCell ref="AM192:AO192"/>
    <mergeCell ref="AP192:AR192"/>
    <mergeCell ref="AX192:AZ192"/>
    <mergeCell ref="BA192:BC192"/>
    <mergeCell ref="BD192:BF192"/>
    <mergeCell ref="BG192:BI192"/>
    <mergeCell ref="U192:W192"/>
    <mergeCell ref="X192:Z192"/>
    <mergeCell ref="AA192:AC192"/>
    <mergeCell ref="AD192:AF192"/>
    <mergeCell ref="AG192:AI192"/>
    <mergeCell ref="AJ192:AL192"/>
    <mergeCell ref="BD194:BF194"/>
    <mergeCell ref="BG194:BI194"/>
    <mergeCell ref="BJ194:BL194"/>
    <mergeCell ref="BM194:BO194"/>
    <mergeCell ref="BP194:BR194"/>
    <mergeCell ref="F195:H195"/>
    <mergeCell ref="I195:K195"/>
    <mergeCell ref="L195:N195"/>
    <mergeCell ref="O195:Q195"/>
    <mergeCell ref="R195:T195"/>
    <mergeCell ref="AG194:AI194"/>
    <mergeCell ref="AJ194:AL194"/>
    <mergeCell ref="AM194:AO194"/>
    <mergeCell ref="AP194:AR194"/>
    <mergeCell ref="AX194:AZ194"/>
    <mergeCell ref="BA194:BC194"/>
    <mergeCell ref="BP193:BR193"/>
    <mergeCell ref="F194:H194"/>
    <mergeCell ref="I194:K194"/>
    <mergeCell ref="L194:N194"/>
    <mergeCell ref="O194:Q194"/>
    <mergeCell ref="R194:T194"/>
    <mergeCell ref="U194:W194"/>
    <mergeCell ref="X194:Z194"/>
    <mergeCell ref="AA194:AC194"/>
    <mergeCell ref="AD194:AF194"/>
    <mergeCell ref="AX193:AZ193"/>
    <mergeCell ref="BA193:BC193"/>
    <mergeCell ref="BD193:BF193"/>
    <mergeCell ref="BG193:BI193"/>
    <mergeCell ref="BJ193:BL193"/>
    <mergeCell ref="BM193:BO193"/>
    <mergeCell ref="AA196:AC196"/>
    <mergeCell ref="AD196:AF196"/>
    <mergeCell ref="AG196:AI196"/>
    <mergeCell ref="AJ196:AL196"/>
    <mergeCell ref="AM196:AO196"/>
    <mergeCell ref="AP196:AR196"/>
    <mergeCell ref="BJ195:BL195"/>
    <mergeCell ref="BM195:BO195"/>
    <mergeCell ref="BP195:BR195"/>
    <mergeCell ref="F196:H196"/>
    <mergeCell ref="I196:K196"/>
    <mergeCell ref="L196:N196"/>
    <mergeCell ref="O196:Q196"/>
    <mergeCell ref="R196:T196"/>
    <mergeCell ref="U196:W196"/>
    <mergeCell ref="X196:Z196"/>
    <mergeCell ref="AM195:AO195"/>
    <mergeCell ref="AP195:AR195"/>
    <mergeCell ref="AX195:AZ195"/>
    <mergeCell ref="BA195:BC195"/>
    <mergeCell ref="BD195:BF195"/>
    <mergeCell ref="BG195:BI195"/>
    <mergeCell ref="U195:W195"/>
    <mergeCell ref="X195:Z195"/>
    <mergeCell ref="AA195:AC195"/>
    <mergeCell ref="AD195:AF195"/>
    <mergeCell ref="AG195:AI195"/>
    <mergeCell ref="AJ195:AL195"/>
    <mergeCell ref="BD197:BF197"/>
    <mergeCell ref="BG197:BI197"/>
    <mergeCell ref="BJ197:BL197"/>
    <mergeCell ref="BM197:BO197"/>
    <mergeCell ref="BP197:BR197"/>
    <mergeCell ref="F198:H198"/>
    <mergeCell ref="I198:K198"/>
    <mergeCell ref="L198:N198"/>
    <mergeCell ref="O198:Q198"/>
    <mergeCell ref="R198:T198"/>
    <mergeCell ref="AG197:AI197"/>
    <mergeCell ref="AJ197:AL197"/>
    <mergeCell ref="AM197:AO197"/>
    <mergeCell ref="AP197:AR197"/>
    <mergeCell ref="AX197:AZ197"/>
    <mergeCell ref="BA197:BC197"/>
    <mergeCell ref="BP196:BR196"/>
    <mergeCell ref="F197:H197"/>
    <mergeCell ref="I197:K197"/>
    <mergeCell ref="L197:N197"/>
    <mergeCell ref="O197:Q197"/>
    <mergeCell ref="R197:T197"/>
    <mergeCell ref="U197:W197"/>
    <mergeCell ref="X197:Z197"/>
    <mergeCell ref="AA197:AC197"/>
    <mergeCell ref="AD197:AF197"/>
    <mergeCell ref="AX196:AZ196"/>
    <mergeCell ref="BA196:BC196"/>
    <mergeCell ref="BD196:BF196"/>
    <mergeCell ref="BG196:BI196"/>
    <mergeCell ref="BJ196:BL196"/>
    <mergeCell ref="BM196:BO196"/>
    <mergeCell ref="AA199:AC199"/>
    <mergeCell ref="AD199:AF199"/>
    <mergeCell ref="AG199:AI199"/>
    <mergeCell ref="AJ199:AL199"/>
    <mergeCell ref="AM199:AO199"/>
    <mergeCell ref="AP199:AR199"/>
    <mergeCell ref="BJ198:BL198"/>
    <mergeCell ref="BM198:BO198"/>
    <mergeCell ref="BP198:BR198"/>
    <mergeCell ref="F199:H199"/>
    <mergeCell ref="I199:K199"/>
    <mergeCell ref="L199:N199"/>
    <mergeCell ref="O199:Q199"/>
    <mergeCell ref="R199:T199"/>
    <mergeCell ref="U199:W199"/>
    <mergeCell ref="X199:Z199"/>
    <mergeCell ref="AM198:AO198"/>
    <mergeCell ref="AP198:AR198"/>
    <mergeCell ref="AX198:AZ198"/>
    <mergeCell ref="BA198:BC198"/>
    <mergeCell ref="BD198:BF198"/>
    <mergeCell ref="BG198:BI198"/>
    <mergeCell ref="U198:W198"/>
    <mergeCell ref="X198:Z198"/>
    <mergeCell ref="AA198:AC198"/>
    <mergeCell ref="AD198:AF198"/>
    <mergeCell ref="AG198:AI198"/>
    <mergeCell ref="AJ198:AL198"/>
    <mergeCell ref="BD200:BF200"/>
    <mergeCell ref="BG200:BI200"/>
    <mergeCell ref="BJ200:BL200"/>
    <mergeCell ref="BM200:BO200"/>
    <mergeCell ref="BP200:BR200"/>
    <mergeCell ref="F201:H201"/>
    <mergeCell ref="I201:K201"/>
    <mergeCell ref="L201:N201"/>
    <mergeCell ref="O201:Q201"/>
    <mergeCell ref="R201:T201"/>
    <mergeCell ref="AG200:AI200"/>
    <mergeCell ref="AJ200:AL200"/>
    <mergeCell ref="AM200:AO200"/>
    <mergeCell ref="AP200:AR200"/>
    <mergeCell ref="AX200:AZ200"/>
    <mergeCell ref="BA200:BC200"/>
    <mergeCell ref="BP199:BR199"/>
    <mergeCell ref="F200:H200"/>
    <mergeCell ref="I200:K200"/>
    <mergeCell ref="L200:N200"/>
    <mergeCell ref="O200:Q200"/>
    <mergeCell ref="R200:T200"/>
    <mergeCell ref="U200:W200"/>
    <mergeCell ref="X200:Z200"/>
    <mergeCell ref="AA200:AC200"/>
    <mergeCell ref="AD200:AF200"/>
    <mergeCell ref="AX199:AZ199"/>
    <mergeCell ref="BA199:BC199"/>
    <mergeCell ref="BD199:BF199"/>
    <mergeCell ref="BG199:BI199"/>
    <mergeCell ref="BJ199:BL199"/>
    <mergeCell ref="BM199:BO199"/>
    <mergeCell ref="AA202:AC202"/>
    <mergeCell ref="AD202:AF202"/>
    <mergeCell ref="AG202:AI202"/>
    <mergeCell ref="AJ202:AL202"/>
    <mergeCell ref="AM202:AO202"/>
    <mergeCell ref="AP202:AR202"/>
    <mergeCell ref="BJ201:BL201"/>
    <mergeCell ref="BM201:BO201"/>
    <mergeCell ref="BP201:BR201"/>
    <mergeCell ref="F202:H202"/>
    <mergeCell ref="I202:K202"/>
    <mergeCell ref="L202:N202"/>
    <mergeCell ref="O202:Q202"/>
    <mergeCell ref="R202:T202"/>
    <mergeCell ref="U202:W202"/>
    <mergeCell ref="X202:Z202"/>
    <mergeCell ref="AM201:AO201"/>
    <mergeCell ref="AP201:AR201"/>
    <mergeCell ref="AX201:AZ201"/>
    <mergeCell ref="BA201:BC201"/>
    <mergeCell ref="BD201:BF201"/>
    <mergeCell ref="BG201:BI201"/>
    <mergeCell ref="U201:W201"/>
    <mergeCell ref="X201:Z201"/>
    <mergeCell ref="AA201:AC201"/>
    <mergeCell ref="AD201:AF201"/>
    <mergeCell ref="AG201:AI201"/>
    <mergeCell ref="AJ201:AL201"/>
    <mergeCell ref="BD203:BF203"/>
    <mergeCell ref="BG203:BI203"/>
    <mergeCell ref="BJ203:BL203"/>
    <mergeCell ref="BM203:BO203"/>
    <mergeCell ref="BP203:BR203"/>
    <mergeCell ref="F204:H204"/>
    <mergeCell ref="I204:K204"/>
    <mergeCell ref="L204:N204"/>
    <mergeCell ref="O204:Q204"/>
    <mergeCell ref="R204:T204"/>
    <mergeCell ref="AG203:AI203"/>
    <mergeCell ref="AJ203:AL203"/>
    <mergeCell ref="AM203:AO203"/>
    <mergeCell ref="AP203:AR203"/>
    <mergeCell ref="AX203:AZ203"/>
    <mergeCell ref="BA203:BC203"/>
    <mergeCell ref="BP202:BR202"/>
    <mergeCell ref="F203:H203"/>
    <mergeCell ref="I203:K203"/>
    <mergeCell ref="L203:N203"/>
    <mergeCell ref="O203:Q203"/>
    <mergeCell ref="R203:T203"/>
    <mergeCell ref="U203:W203"/>
    <mergeCell ref="X203:Z203"/>
    <mergeCell ref="AA203:AC203"/>
    <mergeCell ref="AD203:AF203"/>
    <mergeCell ref="AX202:AZ202"/>
    <mergeCell ref="BA202:BC202"/>
    <mergeCell ref="BD202:BF202"/>
    <mergeCell ref="BG202:BI202"/>
    <mergeCell ref="BJ202:BL202"/>
    <mergeCell ref="BM202:BO202"/>
    <mergeCell ref="AA205:AC205"/>
    <mergeCell ref="AD205:AF205"/>
    <mergeCell ref="AG205:AI205"/>
    <mergeCell ref="AJ205:AL205"/>
    <mergeCell ref="AM205:AO205"/>
    <mergeCell ref="AP205:AR205"/>
    <mergeCell ref="BJ204:BL204"/>
    <mergeCell ref="BM204:BO204"/>
    <mergeCell ref="BP204:BR204"/>
    <mergeCell ref="F205:H205"/>
    <mergeCell ref="I205:K205"/>
    <mergeCell ref="L205:N205"/>
    <mergeCell ref="O205:Q205"/>
    <mergeCell ref="R205:T205"/>
    <mergeCell ref="U205:W205"/>
    <mergeCell ref="X205:Z205"/>
    <mergeCell ref="AM204:AO204"/>
    <mergeCell ref="AP204:AR204"/>
    <mergeCell ref="AX204:AZ204"/>
    <mergeCell ref="BA204:BC204"/>
    <mergeCell ref="BD204:BF204"/>
    <mergeCell ref="BG204:BI204"/>
    <mergeCell ref="U204:W204"/>
    <mergeCell ref="X204:Z204"/>
    <mergeCell ref="AA204:AC204"/>
    <mergeCell ref="AD204:AF204"/>
    <mergeCell ref="AG204:AI204"/>
    <mergeCell ref="AJ204:AL204"/>
    <mergeCell ref="BD206:BF206"/>
    <mergeCell ref="BG206:BI206"/>
    <mergeCell ref="BJ206:BL206"/>
    <mergeCell ref="BM206:BO206"/>
    <mergeCell ref="BP206:BR206"/>
    <mergeCell ref="F207:H207"/>
    <mergeCell ref="I207:K207"/>
    <mergeCell ref="L207:N207"/>
    <mergeCell ref="O207:Q207"/>
    <mergeCell ref="R207:T207"/>
    <mergeCell ref="AG206:AI206"/>
    <mergeCell ref="AJ206:AL206"/>
    <mergeCell ref="AM206:AO206"/>
    <mergeCell ref="AP206:AR206"/>
    <mergeCell ref="AX206:AZ206"/>
    <mergeCell ref="BA206:BC206"/>
    <mergeCell ref="BP205:BR205"/>
    <mergeCell ref="F206:H206"/>
    <mergeCell ref="I206:K206"/>
    <mergeCell ref="L206:N206"/>
    <mergeCell ref="O206:Q206"/>
    <mergeCell ref="R206:T206"/>
    <mergeCell ref="U206:W206"/>
    <mergeCell ref="X206:Z206"/>
    <mergeCell ref="AA206:AC206"/>
    <mergeCell ref="AD206:AF206"/>
    <mergeCell ref="AX205:AZ205"/>
    <mergeCell ref="BA205:BC205"/>
    <mergeCell ref="BD205:BF205"/>
    <mergeCell ref="BG205:BI205"/>
    <mergeCell ref="BJ205:BL205"/>
    <mergeCell ref="BM205:BO205"/>
    <mergeCell ref="AA208:AC208"/>
    <mergeCell ref="AD208:AF208"/>
    <mergeCell ref="AG208:AI208"/>
    <mergeCell ref="AJ208:AL208"/>
    <mergeCell ref="AM208:AO208"/>
    <mergeCell ref="AP208:AR208"/>
    <mergeCell ref="BJ207:BL207"/>
    <mergeCell ref="BM207:BO207"/>
    <mergeCell ref="BP207:BR207"/>
    <mergeCell ref="F208:H208"/>
    <mergeCell ref="I208:K208"/>
    <mergeCell ref="L208:N208"/>
    <mergeCell ref="O208:Q208"/>
    <mergeCell ref="R208:T208"/>
    <mergeCell ref="U208:W208"/>
    <mergeCell ref="X208:Z208"/>
    <mergeCell ref="AM207:AO207"/>
    <mergeCell ref="AP207:AR207"/>
    <mergeCell ref="AX207:AZ207"/>
    <mergeCell ref="BA207:BC207"/>
    <mergeCell ref="BD207:BF207"/>
    <mergeCell ref="BG207:BI207"/>
    <mergeCell ref="U207:W207"/>
    <mergeCell ref="X207:Z207"/>
    <mergeCell ref="AA207:AC207"/>
    <mergeCell ref="AD207:AF207"/>
    <mergeCell ref="AG207:AI207"/>
    <mergeCell ref="AJ207:AL207"/>
    <mergeCell ref="BD209:BF209"/>
    <mergeCell ref="BG209:BI209"/>
    <mergeCell ref="BJ209:BL209"/>
    <mergeCell ref="BM209:BO209"/>
    <mergeCell ref="BP209:BR209"/>
    <mergeCell ref="F210:H210"/>
    <mergeCell ref="I210:K210"/>
    <mergeCell ref="L210:N210"/>
    <mergeCell ref="O210:Q210"/>
    <mergeCell ref="R210:T210"/>
    <mergeCell ref="AG209:AI209"/>
    <mergeCell ref="AJ209:AL209"/>
    <mergeCell ref="AM209:AO209"/>
    <mergeCell ref="AP209:AR209"/>
    <mergeCell ref="AX209:AZ209"/>
    <mergeCell ref="BA209:BC209"/>
    <mergeCell ref="BP208:BR208"/>
    <mergeCell ref="F209:H209"/>
    <mergeCell ref="I209:K209"/>
    <mergeCell ref="L209:N209"/>
    <mergeCell ref="O209:Q209"/>
    <mergeCell ref="R209:T209"/>
    <mergeCell ref="U209:W209"/>
    <mergeCell ref="X209:Z209"/>
    <mergeCell ref="AA209:AC209"/>
    <mergeCell ref="AD209:AF209"/>
    <mergeCell ref="AX208:AZ208"/>
    <mergeCell ref="BA208:BC208"/>
    <mergeCell ref="BD208:BF208"/>
    <mergeCell ref="BG208:BI208"/>
    <mergeCell ref="BJ208:BL208"/>
    <mergeCell ref="BM208:BO208"/>
    <mergeCell ref="AA211:AC211"/>
    <mergeCell ref="AD211:AF211"/>
    <mergeCell ref="AG211:AI211"/>
    <mergeCell ref="AJ211:AL211"/>
    <mergeCell ref="AM211:AO211"/>
    <mergeCell ref="AP211:AR211"/>
    <mergeCell ref="BJ210:BL210"/>
    <mergeCell ref="BM210:BO210"/>
    <mergeCell ref="BP210:BR210"/>
    <mergeCell ref="F211:H211"/>
    <mergeCell ref="I211:K211"/>
    <mergeCell ref="L211:N211"/>
    <mergeCell ref="O211:Q211"/>
    <mergeCell ref="R211:T211"/>
    <mergeCell ref="U211:W211"/>
    <mergeCell ref="X211:Z211"/>
    <mergeCell ref="AM210:AO210"/>
    <mergeCell ref="AP210:AR210"/>
    <mergeCell ref="AX210:AZ210"/>
    <mergeCell ref="BA210:BC210"/>
    <mergeCell ref="BD210:BF210"/>
    <mergeCell ref="BG210:BI210"/>
    <mergeCell ref="U210:W210"/>
    <mergeCell ref="X210:Z210"/>
    <mergeCell ref="AA210:AC210"/>
    <mergeCell ref="AD210:AF210"/>
    <mergeCell ref="AG210:AI210"/>
    <mergeCell ref="AJ210:AL210"/>
    <mergeCell ref="BD212:BF212"/>
    <mergeCell ref="BG212:BI212"/>
    <mergeCell ref="BJ212:BL212"/>
    <mergeCell ref="BM212:BO212"/>
    <mergeCell ref="BP212:BR212"/>
    <mergeCell ref="F213:H213"/>
    <mergeCell ref="I213:K213"/>
    <mergeCell ref="L213:N213"/>
    <mergeCell ref="O213:Q213"/>
    <mergeCell ref="R213:T213"/>
    <mergeCell ref="AG212:AI212"/>
    <mergeCell ref="AJ212:AL212"/>
    <mergeCell ref="AM212:AO212"/>
    <mergeCell ref="AP212:AR212"/>
    <mergeCell ref="AX212:AZ212"/>
    <mergeCell ref="BA212:BC212"/>
    <mergeCell ref="BP211:BR211"/>
    <mergeCell ref="F212:H212"/>
    <mergeCell ref="I212:K212"/>
    <mergeCell ref="L212:N212"/>
    <mergeCell ref="O212:Q212"/>
    <mergeCell ref="R212:T212"/>
    <mergeCell ref="U212:W212"/>
    <mergeCell ref="X212:Z212"/>
    <mergeCell ref="AA212:AC212"/>
    <mergeCell ref="AD212:AF212"/>
    <mergeCell ref="AX211:AZ211"/>
    <mergeCell ref="BA211:BC211"/>
    <mergeCell ref="BD211:BF211"/>
    <mergeCell ref="BG211:BI211"/>
    <mergeCell ref="BJ211:BL211"/>
    <mergeCell ref="BM211:BO211"/>
    <mergeCell ref="AA214:AC214"/>
    <mergeCell ref="AD214:AF214"/>
    <mergeCell ref="AG214:AI214"/>
    <mergeCell ref="AJ214:AL214"/>
    <mergeCell ref="AM214:AO214"/>
    <mergeCell ref="AP214:AR214"/>
    <mergeCell ref="BJ213:BL213"/>
    <mergeCell ref="BM213:BO213"/>
    <mergeCell ref="BP213:BR213"/>
    <mergeCell ref="F214:H214"/>
    <mergeCell ref="I214:K214"/>
    <mergeCell ref="L214:N214"/>
    <mergeCell ref="O214:Q214"/>
    <mergeCell ref="R214:T214"/>
    <mergeCell ref="U214:W214"/>
    <mergeCell ref="X214:Z214"/>
    <mergeCell ref="AM213:AO213"/>
    <mergeCell ref="AP213:AR213"/>
    <mergeCell ref="AX213:AZ213"/>
    <mergeCell ref="BA213:BC213"/>
    <mergeCell ref="BD213:BF213"/>
    <mergeCell ref="BG213:BI213"/>
    <mergeCell ref="U213:W213"/>
    <mergeCell ref="X213:Z213"/>
    <mergeCell ref="AA213:AC213"/>
    <mergeCell ref="AD213:AF213"/>
    <mergeCell ref="AG213:AI213"/>
    <mergeCell ref="AJ213:AL213"/>
    <mergeCell ref="BD215:BF215"/>
    <mergeCell ref="BG215:BI215"/>
    <mergeCell ref="BJ215:BL215"/>
    <mergeCell ref="BM215:BO215"/>
    <mergeCell ref="BP215:BR215"/>
    <mergeCell ref="F216:H216"/>
    <mergeCell ref="I216:K216"/>
    <mergeCell ref="L216:N216"/>
    <mergeCell ref="O216:Q216"/>
    <mergeCell ref="R216:T216"/>
    <mergeCell ref="AG215:AI215"/>
    <mergeCell ref="AJ215:AL215"/>
    <mergeCell ref="AM215:AO215"/>
    <mergeCell ref="AP215:AR215"/>
    <mergeCell ref="AX215:AZ215"/>
    <mergeCell ref="BA215:BC215"/>
    <mergeCell ref="BP214:BR214"/>
    <mergeCell ref="F215:H215"/>
    <mergeCell ref="I215:K215"/>
    <mergeCell ref="L215:N215"/>
    <mergeCell ref="O215:Q215"/>
    <mergeCell ref="R215:T215"/>
    <mergeCell ref="U215:W215"/>
    <mergeCell ref="X215:Z215"/>
    <mergeCell ref="AA215:AC215"/>
    <mergeCell ref="AD215:AF215"/>
    <mergeCell ref="AX214:AZ214"/>
    <mergeCell ref="BA214:BC214"/>
    <mergeCell ref="BD214:BF214"/>
    <mergeCell ref="BG214:BI214"/>
    <mergeCell ref="BJ214:BL214"/>
    <mergeCell ref="BM214:BO214"/>
    <mergeCell ref="AA217:AC217"/>
    <mergeCell ref="AD217:AF217"/>
    <mergeCell ref="AG217:AI217"/>
    <mergeCell ref="AJ217:AL217"/>
    <mergeCell ref="AM217:AO217"/>
    <mergeCell ref="AP217:AR217"/>
    <mergeCell ref="BJ216:BL216"/>
    <mergeCell ref="BM216:BO216"/>
    <mergeCell ref="BP216:BR216"/>
    <mergeCell ref="F217:H217"/>
    <mergeCell ref="I217:K217"/>
    <mergeCell ref="L217:N217"/>
    <mergeCell ref="O217:Q217"/>
    <mergeCell ref="R217:T217"/>
    <mergeCell ref="U217:W217"/>
    <mergeCell ref="X217:Z217"/>
    <mergeCell ref="AM216:AO216"/>
    <mergeCell ref="AP216:AR216"/>
    <mergeCell ref="AX216:AZ216"/>
    <mergeCell ref="BA216:BC216"/>
    <mergeCell ref="BD216:BF216"/>
    <mergeCell ref="BG216:BI216"/>
    <mergeCell ref="U216:W216"/>
    <mergeCell ref="X216:Z216"/>
    <mergeCell ref="AA216:AC216"/>
    <mergeCell ref="AD216:AF216"/>
    <mergeCell ref="AG216:AI216"/>
    <mergeCell ref="AJ216:AL216"/>
    <mergeCell ref="BD218:BF218"/>
    <mergeCell ref="BG218:BI218"/>
    <mergeCell ref="BJ218:BL218"/>
    <mergeCell ref="BM218:BO218"/>
    <mergeCell ref="BP218:BR218"/>
    <mergeCell ref="F219:H219"/>
    <mergeCell ref="I219:K219"/>
    <mergeCell ref="L219:N219"/>
    <mergeCell ref="O219:Q219"/>
    <mergeCell ref="R219:T219"/>
    <mergeCell ref="AG218:AI218"/>
    <mergeCell ref="AJ218:AL218"/>
    <mergeCell ref="AM218:AO218"/>
    <mergeCell ref="AP218:AR218"/>
    <mergeCell ref="AX218:AZ218"/>
    <mergeCell ref="BA218:BC218"/>
    <mergeCell ref="BP217:BR217"/>
    <mergeCell ref="F218:H218"/>
    <mergeCell ref="I218:K218"/>
    <mergeCell ref="L218:N218"/>
    <mergeCell ref="O218:Q218"/>
    <mergeCell ref="R218:T218"/>
    <mergeCell ref="U218:W218"/>
    <mergeCell ref="X218:Z218"/>
    <mergeCell ref="AA218:AC218"/>
    <mergeCell ref="AD218:AF218"/>
    <mergeCell ref="AX217:AZ217"/>
    <mergeCell ref="BA217:BC217"/>
    <mergeCell ref="BD217:BF217"/>
    <mergeCell ref="BG217:BI217"/>
    <mergeCell ref="BJ217:BL217"/>
    <mergeCell ref="BM217:BO217"/>
    <mergeCell ref="AA220:AC220"/>
    <mergeCell ref="AD220:AF220"/>
    <mergeCell ref="AG220:AI220"/>
    <mergeCell ref="AJ220:AL220"/>
    <mergeCell ref="AM220:AO220"/>
    <mergeCell ref="AP220:AR220"/>
    <mergeCell ref="BJ219:BL219"/>
    <mergeCell ref="BM219:BO219"/>
    <mergeCell ref="BP219:BR219"/>
    <mergeCell ref="F220:H220"/>
    <mergeCell ref="I220:K220"/>
    <mergeCell ref="L220:N220"/>
    <mergeCell ref="O220:Q220"/>
    <mergeCell ref="R220:T220"/>
    <mergeCell ref="U220:W220"/>
    <mergeCell ref="X220:Z220"/>
    <mergeCell ref="AM219:AO219"/>
    <mergeCell ref="AP219:AR219"/>
    <mergeCell ref="AX219:AZ219"/>
    <mergeCell ref="BA219:BC219"/>
    <mergeCell ref="BD219:BF219"/>
    <mergeCell ref="BG219:BI219"/>
    <mergeCell ref="U219:W219"/>
    <mergeCell ref="X219:Z219"/>
    <mergeCell ref="AA219:AC219"/>
    <mergeCell ref="AD219:AF219"/>
    <mergeCell ref="AG219:AI219"/>
    <mergeCell ref="AJ219:AL219"/>
    <mergeCell ref="BD221:BF221"/>
    <mergeCell ref="BG221:BI221"/>
    <mergeCell ref="BJ221:BL221"/>
    <mergeCell ref="BM221:BO221"/>
    <mergeCell ref="BP221:BR221"/>
    <mergeCell ref="F222:H222"/>
    <mergeCell ref="I222:K222"/>
    <mergeCell ref="L222:N222"/>
    <mergeCell ref="O222:Q222"/>
    <mergeCell ref="R222:T222"/>
    <mergeCell ref="AG221:AI221"/>
    <mergeCell ref="AJ221:AL221"/>
    <mergeCell ref="AM221:AO221"/>
    <mergeCell ref="AP221:AR221"/>
    <mergeCell ref="AX221:AZ221"/>
    <mergeCell ref="BA221:BC221"/>
    <mergeCell ref="BP220:BR220"/>
    <mergeCell ref="F221:H221"/>
    <mergeCell ref="I221:K221"/>
    <mergeCell ref="L221:N221"/>
    <mergeCell ref="O221:Q221"/>
    <mergeCell ref="R221:T221"/>
    <mergeCell ref="U221:W221"/>
    <mergeCell ref="X221:Z221"/>
    <mergeCell ref="AA221:AC221"/>
    <mergeCell ref="AD221:AF221"/>
    <mergeCell ref="AX220:AZ220"/>
    <mergeCell ref="BA220:BC220"/>
    <mergeCell ref="BD220:BF220"/>
    <mergeCell ref="BG220:BI220"/>
    <mergeCell ref="BJ220:BL220"/>
    <mergeCell ref="BM220:BO220"/>
    <mergeCell ref="AA223:AC223"/>
    <mergeCell ref="AD223:AF223"/>
    <mergeCell ref="AG223:AI223"/>
    <mergeCell ref="AJ223:AL223"/>
    <mergeCell ref="AM223:AO223"/>
    <mergeCell ref="AP223:AR223"/>
    <mergeCell ref="BJ222:BL222"/>
    <mergeCell ref="BM222:BO222"/>
    <mergeCell ref="BP222:BR222"/>
    <mergeCell ref="F223:H223"/>
    <mergeCell ref="I223:K223"/>
    <mergeCell ref="L223:N223"/>
    <mergeCell ref="O223:Q223"/>
    <mergeCell ref="R223:T223"/>
    <mergeCell ref="U223:W223"/>
    <mergeCell ref="X223:Z223"/>
    <mergeCell ref="AM222:AO222"/>
    <mergeCell ref="AP222:AR222"/>
    <mergeCell ref="AX222:AZ222"/>
    <mergeCell ref="BA222:BC222"/>
    <mergeCell ref="BD222:BF222"/>
    <mergeCell ref="BG222:BI222"/>
    <mergeCell ref="U222:W222"/>
    <mergeCell ref="X222:Z222"/>
    <mergeCell ref="AA222:AC222"/>
    <mergeCell ref="AD222:AF222"/>
    <mergeCell ref="AG222:AI222"/>
    <mergeCell ref="AJ222:AL222"/>
    <mergeCell ref="BD224:BF224"/>
    <mergeCell ref="BG224:BI224"/>
    <mergeCell ref="BJ224:BL224"/>
    <mergeCell ref="BM224:BO224"/>
    <mergeCell ref="BP224:BR224"/>
    <mergeCell ref="F225:H225"/>
    <mergeCell ref="I225:K225"/>
    <mergeCell ref="L225:N225"/>
    <mergeCell ref="O225:Q225"/>
    <mergeCell ref="R225:T225"/>
    <mergeCell ref="AG224:AI224"/>
    <mergeCell ref="AJ224:AL224"/>
    <mergeCell ref="AM224:AO224"/>
    <mergeCell ref="AP224:AR224"/>
    <mergeCell ref="AX224:AZ224"/>
    <mergeCell ref="BA224:BC224"/>
    <mergeCell ref="BP223:BR223"/>
    <mergeCell ref="F224:H224"/>
    <mergeCell ref="I224:K224"/>
    <mergeCell ref="L224:N224"/>
    <mergeCell ref="O224:Q224"/>
    <mergeCell ref="R224:T224"/>
    <mergeCell ref="U224:W224"/>
    <mergeCell ref="X224:Z224"/>
    <mergeCell ref="AA224:AC224"/>
    <mergeCell ref="AD224:AF224"/>
    <mergeCell ref="AX223:AZ223"/>
    <mergeCell ref="BA223:BC223"/>
    <mergeCell ref="BD223:BF223"/>
    <mergeCell ref="BG223:BI223"/>
    <mergeCell ref="BJ223:BL223"/>
    <mergeCell ref="BM223:BO223"/>
    <mergeCell ref="AA226:AC226"/>
    <mergeCell ref="AD226:AF226"/>
    <mergeCell ref="AG226:AI226"/>
    <mergeCell ref="AJ226:AL226"/>
    <mergeCell ref="AM226:AO226"/>
    <mergeCell ref="AP226:AR226"/>
    <mergeCell ref="BJ225:BL225"/>
    <mergeCell ref="BM225:BO225"/>
    <mergeCell ref="BP225:BR225"/>
    <mergeCell ref="F226:H226"/>
    <mergeCell ref="I226:K226"/>
    <mergeCell ref="L226:N226"/>
    <mergeCell ref="O226:Q226"/>
    <mergeCell ref="R226:T226"/>
    <mergeCell ref="U226:W226"/>
    <mergeCell ref="X226:Z226"/>
    <mergeCell ref="AM225:AO225"/>
    <mergeCell ref="AP225:AR225"/>
    <mergeCell ref="AX225:AZ225"/>
    <mergeCell ref="BA225:BC225"/>
    <mergeCell ref="BD225:BF225"/>
    <mergeCell ref="BG225:BI225"/>
    <mergeCell ref="U225:W225"/>
    <mergeCell ref="X225:Z225"/>
    <mergeCell ref="AA225:AC225"/>
    <mergeCell ref="AD225:AF225"/>
    <mergeCell ref="AG225:AI225"/>
    <mergeCell ref="AJ225:AL225"/>
    <mergeCell ref="BD227:BF227"/>
    <mergeCell ref="BG227:BI227"/>
    <mergeCell ref="BJ227:BL227"/>
    <mergeCell ref="BM227:BO227"/>
    <mergeCell ref="BP227:BR227"/>
    <mergeCell ref="F228:H228"/>
    <mergeCell ref="I228:K228"/>
    <mergeCell ref="L228:N228"/>
    <mergeCell ref="O228:Q228"/>
    <mergeCell ref="R228:T228"/>
    <mergeCell ref="AG227:AI227"/>
    <mergeCell ref="AJ227:AL227"/>
    <mergeCell ref="AM227:AO227"/>
    <mergeCell ref="AP227:AR227"/>
    <mergeCell ref="AX227:AZ227"/>
    <mergeCell ref="BA227:BC227"/>
    <mergeCell ref="BP226:BR226"/>
    <mergeCell ref="F227:H227"/>
    <mergeCell ref="I227:K227"/>
    <mergeCell ref="L227:N227"/>
    <mergeCell ref="O227:Q227"/>
    <mergeCell ref="R227:T227"/>
    <mergeCell ref="U227:W227"/>
    <mergeCell ref="X227:Z227"/>
    <mergeCell ref="AA227:AC227"/>
    <mergeCell ref="AD227:AF227"/>
    <mergeCell ref="AX226:AZ226"/>
    <mergeCell ref="BA226:BC226"/>
    <mergeCell ref="BD226:BF226"/>
    <mergeCell ref="BG226:BI226"/>
    <mergeCell ref="BJ226:BL226"/>
    <mergeCell ref="BM226:BO226"/>
    <mergeCell ref="AA229:AC229"/>
    <mergeCell ref="AD229:AF229"/>
    <mergeCell ref="AG229:AI229"/>
    <mergeCell ref="AJ229:AL229"/>
    <mergeCell ref="AM229:AO229"/>
    <mergeCell ref="AP229:AR229"/>
    <mergeCell ref="BJ228:BL228"/>
    <mergeCell ref="BM228:BO228"/>
    <mergeCell ref="BP228:BR228"/>
    <mergeCell ref="F229:H229"/>
    <mergeCell ref="I229:K229"/>
    <mergeCell ref="L229:N229"/>
    <mergeCell ref="O229:Q229"/>
    <mergeCell ref="R229:T229"/>
    <mergeCell ref="U229:W229"/>
    <mergeCell ref="X229:Z229"/>
    <mergeCell ref="AM228:AO228"/>
    <mergeCell ref="AP228:AR228"/>
    <mergeCell ref="AX228:AZ228"/>
    <mergeCell ref="BA228:BC228"/>
    <mergeCell ref="BD228:BF228"/>
    <mergeCell ref="BG228:BI228"/>
    <mergeCell ref="U228:W228"/>
    <mergeCell ref="X228:Z228"/>
    <mergeCell ref="AA228:AC228"/>
    <mergeCell ref="AD228:AF228"/>
    <mergeCell ref="AG228:AI228"/>
    <mergeCell ref="AJ228:AL228"/>
    <mergeCell ref="BD230:BF230"/>
    <mergeCell ref="BG230:BI230"/>
    <mergeCell ref="BJ230:BL230"/>
    <mergeCell ref="BM230:BO230"/>
    <mergeCell ref="BP230:BR230"/>
    <mergeCell ref="F231:H231"/>
    <mergeCell ref="I231:K231"/>
    <mergeCell ref="L231:N231"/>
    <mergeCell ref="O231:Q231"/>
    <mergeCell ref="R231:T231"/>
    <mergeCell ref="AG230:AI230"/>
    <mergeCell ref="AJ230:AL230"/>
    <mergeCell ref="AM230:AO230"/>
    <mergeCell ref="AP230:AR230"/>
    <mergeCell ref="AX230:AZ230"/>
    <mergeCell ref="BA230:BC230"/>
    <mergeCell ref="BP229:BR229"/>
    <mergeCell ref="F230:H230"/>
    <mergeCell ref="I230:K230"/>
    <mergeCell ref="L230:N230"/>
    <mergeCell ref="O230:Q230"/>
    <mergeCell ref="R230:T230"/>
    <mergeCell ref="U230:W230"/>
    <mergeCell ref="X230:Z230"/>
    <mergeCell ref="AA230:AC230"/>
    <mergeCell ref="AD230:AF230"/>
    <mergeCell ref="AX229:AZ229"/>
    <mergeCell ref="BA229:BC229"/>
    <mergeCell ref="BD229:BF229"/>
    <mergeCell ref="BG229:BI229"/>
    <mergeCell ref="BJ229:BL229"/>
    <mergeCell ref="BM229:BO229"/>
    <mergeCell ref="AA232:AC232"/>
    <mergeCell ref="AD232:AF232"/>
    <mergeCell ref="AG232:AI232"/>
    <mergeCell ref="AJ232:AL232"/>
    <mergeCell ref="AM232:AO232"/>
    <mergeCell ref="AP232:AR232"/>
    <mergeCell ref="BJ231:BL231"/>
    <mergeCell ref="BM231:BO231"/>
    <mergeCell ref="BP231:BR231"/>
    <mergeCell ref="F232:H232"/>
    <mergeCell ref="I232:K232"/>
    <mergeCell ref="L232:N232"/>
    <mergeCell ref="O232:Q232"/>
    <mergeCell ref="R232:T232"/>
    <mergeCell ref="U232:W232"/>
    <mergeCell ref="X232:Z232"/>
    <mergeCell ref="AM231:AO231"/>
    <mergeCell ref="AP231:AR231"/>
    <mergeCell ref="AX231:AZ231"/>
    <mergeCell ref="BA231:BC231"/>
    <mergeCell ref="BD231:BF231"/>
    <mergeCell ref="BG231:BI231"/>
    <mergeCell ref="U231:W231"/>
    <mergeCell ref="X231:Z231"/>
    <mergeCell ref="AA231:AC231"/>
    <mergeCell ref="AD231:AF231"/>
    <mergeCell ref="AG231:AI231"/>
    <mergeCell ref="AJ231:AL231"/>
    <mergeCell ref="BD233:BF233"/>
    <mergeCell ref="BG233:BI233"/>
    <mergeCell ref="BJ233:BL233"/>
    <mergeCell ref="BM233:BO233"/>
    <mergeCell ref="BP233:BR233"/>
    <mergeCell ref="F234:H234"/>
    <mergeCell ref="I234:K234"/>
    <mergeCell ref="L234:N234"/>
    <mergeCell ref="O234:Q234"/>
    <mergeCell ref="R234:T234"/>
    <mergeCell ref="AG233:AI233"/>
    <mergeCell ref="AJ233:AL233"/>
    <mergeCell ref="AM233:AO233"/>
    <mergeCell ref="AP233:AR233"/>
    <mergeCell ref="AX233:AZ233"/>
    <mergeCell ref="BA233:BC233"/>
    <mergeCell ref="BP232:BR232"/>
    <mergeCell ref="F233:H233"/>
    <mergeCell ref="I233:K233"/>
    <mergeCell ref="L233:N233"/>
    <mergeCell ref="O233:Q233"/>
    <mergeCell ref="R233:T233"/>
    <mergeCell ref="U233:W233"/>
    <mergeCell ref="X233:Z233"/>
    <mergeCell ref="AA233:AC233"/>
    <mergeCell ref="AD233:AF233"/>
    <mergeCell ref="AX232:AZ232"/>
    <mergeCell ref="BA232:BC232"/>
    <mergeCell ref="BD232:BF232"/>
    <mergeCell ref="BG232:BI232"/>
    <mergeCell ref="BJ232:BL232"/>
    <mergeCell ref="BM232:BO232"/>
    <mergeCell ref="AA235:AC235"/>
    <mergeCell ref="AD235:AF235"/>
    <mergeCell ref="AG235:AI235"/>
    <mergeCell ref="AJ235:AL235"/>
    <mergeCell ref="AM235:AO235"/>
    <mergeCell ref="AP235:AR235"/>
    <mergeCell ref="BJ234:BL234"/>
    <mergeCell ref="BM234:BO234"/>
    <mergeCell ref="BP234:BR234"/>
    <mergeCell ref="F235:H235"/>
    <mergeCell ref="I235:K235"/>
    <mergeCell ref="L235:N235"/>
    <mergeCell ref="O235:Q235"/>
    <mergeCell ref="R235:T235"/>
    <mergeCell ref="U235:W235"/>
    <mergeCell ref="X235:Z235"/>
    <mergeCell ref="AM234:AO234"/>
    <mergeCell ref="AP234:AR234"/>
    <mergeCell ref="AX234:AZ234"/>
    <mergeCell ref="BA234:BC234"/>
    <mergeCell ref="BD234:BF234"/>
    <mergeCell ref="BG234:BI234"/>
    <mergeCell ref="U234:W234"/>
    <mergeCell ref="X234:Z234"/>
    <mergeCell ref="AA234:AC234"/>
    <mergeCell ref="AD234:AF234"/>
    <mergeCell ref="AG234:AI234"/>
    <mergeCell ref="AJ234:AL234"/>
    <mergeCell ref="BD236:BF236"/>
    <mergeCell ref="BG236:BI236"/>
    <mergeCell ref="BJ236:BL236"/>
    <mergeCell ref="BM236:BO236"/>
    <mergeCell ref="BP236:BR236"/>
    <mergeCell ref="F237:H237"/>
    <mergeCell ref="I237:K237"/>
    <mergeCell ref="L237:N237"/>
    <mergeCell ref="O237:Q237"/>
    <mergeCell ref="R237:T237"/>
    <mergeCell ref="AG236:AI236"/>
    <mergeCell ref="AJ236:AL236"/>
    <mergeCell ref="AM236:AO236"/>
    <mergeCell ref="AP236:AR236"/>
    <mergeCell ref="AX236:AZ236"/>
    <mergeCell ref="BA236:BC236"/>
    <mergeCell ref="BP235:BR235"/>
    <mergeCell ref="F236:H236"/>
    <mergeCell ref="I236:K236"/>
    <mergeCell ref="L236:N236"/>
    <mergeCell ref="O236:Q236"/>
    <mergeCell ref="R236:T236"/>
    <mergeCell ref="U236:W236"/>
    <mergeCell ref="X236:Z236"/>
    <mergeCell ref="AA236:AC236"/>
    <mergeCell ref="AD236:AF236"/>
    <mergeCell ref="AX235:AZ235"/>
    <mergeCell ref="BA235:BC235"/>
    <mergeCell ref="BD235:BF235"/>
    <mergeCell ref="BG235:BI235"/>
    <mergeCell ref="BJ235:BL235"/>
    <mergeCell ref="BM235:BO235"/>
    <mergeCell ref="AP238:AR238"/>
    <mergeCell ref="BJ237:BL237"/>
    <mergeCell ref="BM237:BO237"/>
    <mergeCell ref="BP237:BR237"/>
    <mergeCell ref="F238:H238"/>
    <mergeCell ref="I238:K238"/>
    <mergeCell ref="L238:N238"/>
    <mergeCell ref="O238:Q238"/>
    <mergeCell ref="R238:T238"/>
    <mergeCell ref="U238:W238"/>
    <mergeCell ref="X238:Z238"/>
    <mergeCell ref="AM237:AO237"/>
    <mergeCell ref="AP237:AR237"/>
    <mergeCell ref="AX237:AZ237"/>
    <mergeCell ref="BA237:BC237"/>
    <mergeCell ref="BD237:BF237"/>
    <mergeCell ref="BG237:BI237"/>
    <mergeCell ref="U237:W237"/>
    <mergeCell ref="X237:Z237"/>
    <mergeCell ref="AA237:AC237"/>
    <mergeCell ref="AD237:AF237"/>
    <mergeCell ref="AG237:AI237"/>
    <mergeCell ref="AJ237:AL237"/>
    <mergeCell ref="F240:H240"/>
    <mergeCell ref="I240:K240"/>
    <mergeCell ref="L240:N240"/>
    <mergeCell ref="O240:Q240"/>
    <mergeCell ref="R240:T240"/>
    <mergeCell ref="AG239:AI239"/>
    <mergeCell ref="AJ239:AL239"/>
    <mergeCell ref="AM239:AO239"/>
    <mergeCell ref="AP239:AR239"/>
    <mergeCell ref="AX239:AZ239"/>
    <mergeCell ref="BA239:BC239"/>
    <mergeCell ref="BP238:BR238"/>
    <mergeCell ref="F239:H239"/>
    <mergeCell ref="I239:K239"/>
    <mergeCell ref="L239:N239"/>
    <mergeCell ref="O239:Q239"/>
    <mergeCell ref="R239:T239"/>
    <mergeCell ref="U239:W239"/>
    <mergeCell ref="X239:Z239"/>
    <mergeCell ref="AA239:AC239"/>
    <mergeCell ref="AD239:AF239"/>
    <mergeCell ref="AX238:AZ238"/>
    <mergeCell ref="BA238:BC238"/>
    <mergeCell ref="BD238:BF238"/>
    <mergeCell ref="BG238:BI238"/>
    <mergeCell ref="BJ238:BL238"/>
    <mergeCell ref="BM238:BO238"/>
    <mergeCell ref="AA238:AC238"/>
    <mergeCell ref="AD238:AF238"/>
    <mergeCell ref="AG238:AI238"/>
    <mergeCell ref="AJ238:AL238"/>
    <mergeCell ref="AM238:AO238"/>
    <mergeCell ref="BJ240:BL240"/>
    <mergeCell ref="BM240:BO240"/>
    <mergeCell ref="BP240:BR240"/>
    <mergeCell ref="AM240:AO240"/>
    <mergeCell ref="AP240:AR240"/>
    <mergeCell ref="AX240:AZ240"/>
    <mergeCell ref="BA240:BC240"/>
    <mergeCell ref="BD240:BF240"/>
    <mergeCell ref="BG240:BI240"/>
    <mergeCell ref="U240:W240"/>
    <mergeCell ref="X240:Z240"/>
    <mergeCell ref="AA240:AC240"/>
    <mergeCell ref="AD240:AF240"/>
    <mergeCell ref="AG240:AI240"/>
    <mergeCell ref="AJ240:AL240"/>
    <mergeCell ref="BD239:BF239"/>
    <mergeCell ref="BG239:BI239"/>
    <mergeCell ref="BJ239:BL239"/>
    <mergeCell ref="BM239:BO239"/>
    <mergeCell ref="BP239:BR239"/>
  </mergeCells>
  <printOptions horizontalCentered="1"/>
  <pageMargins left="0.23622047244094499" right="0.23622047244094499" top="0.74803149606299202" bottom="0.511811023622047" header="0" footer="0"/>
  <pageSetup paperSize="9" scale="64"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3" max="74"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1]!PDF">
                <anchor moveWithCells="1" sizeWithCells="1">
                  <from>
                    <xdr:col>75</xdr:col>
                    <xdr:colOff>781050</xdr:colOff>
                    <xdr:row>3</xdr:row>
                    <xdr:rowOff>133350</xdr:rowOff>
                  </from>
                  <to>
                    <xdr:col>76</xdr:col>
                    <xdr:colOff>295275</xdr:colOff>
                    <xdr:row>5</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3"/>
  <sheetViews>
    <sheetView showGridLines="0" view="pageBreakPreview" topLeftCell="A55" zoomScale="80" zoomScaleNormal="100" zoomScaleSheetLayoutView="80" workbookViewId="0">
      <selection activeCell="BG116" sqref="BG116:BI116"/>
    </sheetView>
  </sheetViews>
  <sheetFormatPr baseColWidth="10" defaultRowHeight="12.75" customHeight="1" x14ac:dyDescent="0.2"/>
  <cols>
    <col min="1" max="4" width="3.28515625" style="158" customWidth="1"/>
    <col min="5" max="5" width="4.42578125" style="158" customWidth="1"/>
    <col min="6" max="7" width="3.28515625" style="158" customWidth="1"/>
    <col min="8" max="8" width="2.28515625" style="158" customWidth="1"/>
    <col min="9" max="9" width="5.42578125" style="213" customWidth="1"/>
    <col min="10" max="10" width="3.28515625" style="158" customWidth="1"/>
    <col min="11" max="11" width="5.85546875" style="158" customWidth="1"/>
    <col min="12" max="13" width="3.28515625" style="158" customWidth="1"/>
    <col min="14" max="14" width="1.28515625" style="158" customWidth="1"/>
    <col min="15" max="25" width="3.28515625" style="158" customWidth="1"/>
    <col min="26" max="26" width="3.42578125" style="158" customWidth="1"/>
    <col min="27" max="32" width="3.28515625" style="158" customWidth="1"/>
    <col min="33" max="33" width="4.5703125" style="158" customWidth="1"/>
    <col min="34" max="34" width="3.28515625" style="158" customWidth="1"/>
    <col min="35" max="35" width="3" style="158" customWidth="1"/>
    <col min="36" max="40" width="3.28515625" style="158" customWidth="1"/>
    <col min="41" max="41" width="4" style="158" customWidth="1"/>
    <col min="42" max="43" width="3.28515625" style="158" customWidth="1"/>
    <col min="44" max="44" width="3.42578125" style="158" customWidth="1"/>
    <col min="45" max="45" width="8.140625" style="158" customWidth="1"/>
    <col min="46" max="46" width="8.28515625" style="158" customWidth="1"/>
    <col min="47" max="47" width="6.140625" style="158" customWidth="1"/>
    <col min="48" max="48" width="3.28515625" style="158" customWidth="1"/>
    <col min="49" max="49" width="5.140625" style="158" customWidth="1"/>
    <col min="50" max="50" width="4.42578125" style="158" customWidth="1"/>
    <col min="51" max="51" width="11.42578125" style="158"/>
    <col min="52" max="52" width="3.140625" style="158" customWidth="1"/>
    <col min="53" max="54" width="11.42578125" style="158"/>
    <col min="55" max="55" width="2.42578125" style="158" customWidth="1"/>
    <col min="56" max="63" width="11.42578125" style="158"/>
    <col min="64" max="64" width="2.42578125" style="158" customWidth="1"/>
    <col min="65" max="72" width="11.42578125" style="158"/>
    <col min="73" max="73" width="6.140625" style="158" customWidth="1"/>
    <col min="74" max="74" width="9.5703125" style="158" customWidth="1"/>
    <col min="75" max="81" width="11.42578125" style="158"/>
    <col min="82" max="82" width="5.28515625" style="158" customWidth="1"/>
    <col min="83" max="278" width="11.42578125" style="158"/>
    <col min="279" max="279" width="14.5703125" style="158" customWidth="1"/>
    <col min="280" max="280" width="12.7109375" style="158" customWidth="1"/>
    <col min="281" max="281" width="1.5703125" style="158" customWidth="1"/>
    <col min="282" max="282" width="18.28515625" style="158" customWidth="1"/>
    <col min="283" max="283" width="11" style="158" customWidth="1"/>
    <col min="284" max="284" width="13.28515625" style="158" bestFit="1" customWidth="1"/>
    <col min="285" max="285" width="18" style="158" customWidth="1"/>
    <col min="286" max="286" width="11.42578125" style="158"/>
    <col min="287" max="287" width="11.140625" style="158" customWidth="1"/>
    <col min="288" max="288" width="11.42578125" style="158"/>
    <col min="289" max="289" width="17.42578125" style="158" customWidth="1"/>
    <col min="290" max="534" width="11.42578125" style="158"/>
    <col min="535" max="535" width="14.5703125" style="158" customWidth="1"/>
    <col min="536" max="536" width="12.7109375" style="158" customWidth="1"/>
    <col min="537" max="537" width="1.5703125" style="158" customWidth="1"/>
    <col min="538" max="538" width="18.28515625" style="158" customWidth="1"/>
    <col min="539" max="539" width="11" style="158" customWidth="1"/>
    <col min="540" max="540" width="13.28515625" style="158" bestFit="1" customWidth="1"/>
    <col min="541" max="541" width="18" style="158" customWidth="1"/>
    <col min="542" max="542" width="11.42578125" style="158"/>
    <col min="543" max="543" width="11.140625" style="158" customWidth="1"/>
    <col min="544" max="544" width="11.42578125" style="158"/>
    <col min="545" max="545" width="17.42578125" style="158" customWidth="1"/>
    <col min="546" max="790" width="11.42578125" style="158"/>
    <col min="791" max="791" width="14.5703125" style="158" customWidth="1"/>
    <col min="792" max="792" width="12.7109375" style="158" customWidth="1"/>
    <col min="793" max="793" width="1.5703125" style="158" customWidth="1"/>
    <col min="794" max="794" width="18.28515625" style="158" customWidth="1"/>
    <col min="795" max="795" width="11" style="158" customWidth="1"/>
    <col min="796" max="796" width="13.28515625" style="158" bestFit="1" customWidth="1"/>
    <col min="797" max="797" width="18" style="158" customWidth="1"/>
    <col min="798" max="798" width="11.42578125" style="158"/>
    <col min="799" max="799" width="11.140625" style="158" customWidth="1"/>
    <col min="800" max="800" width="11.42578125" style="158"/>
    <col min="801" max="801" width="17.42578125" style="158" customWidth="1"/>
    <col min="802" max="1046" width="11.42578125" style="158"/>
    <col min="1047" max="1047" width="14.5703125" style="158" customWidth="1"/>
    <col min="1048" max="1048" width="12.7109375" style="158" customWidth="1"/>
    <col min="1049" max="1049" width="1.5703125" style="158" customWidth="1"/>
    <col min="1050" max="1050" width="18.28515625" style="158" customWidth="1"/>
    <col min="1051" max="1051" width="11" style="158" customWidth="1"/>
    <col min="1052" max="1052" width="13.28515625" style="158" bestFit="1" customWidth="1"/>
    <col min="1053" max="1053" width="18" style="158" customWidth="1"/>
    <col min="1054" max="1054" width="11.42578125" style="158"/>
    <col min="1055" max="1055" width="11.140625" style="158" customWidth="1"/>
    <col min="1056" max="1056" width="11.42578125" style="158"/>
    <col min="1057" max="1057" width="17.42578125" style="158" customWidth="1"/>
    <col min="1058" max="1302" width="11.42578125" style="158"/>
    <col min="1303" max="1303" width="14.5703125" style="158" customWidth="1"/>
    <col min="1304" max="1304" width="12.7109375" style="158" customWidth="1"/>
    <col min="1305" max="1305" width="1.5703125" style="158" customWidth="1"/>
    <col min="1306" max="1306" width="18.28515625" style="158" customWidth="1"/>
    <col min="1307" max="1307" width="11" style="158" customWidth="1"/>
    <col min="1308" max="1308" width="13.28515625" style="158" bestFit="1" customWidth="1"/>
    <col min="1309" max="1309" width="18" style="158" customWidth="1"/>
    <col min="1310" max="1310" width="11.42578125" style="158"/>
    <col min="1311" max="1311" width="11.140625" style="158" customWidth="1"/>
    <col min="1312" max="1312" width="11.42578125" style="158"/>
    <col min="1313" max="1313" width="17.42578125" style="158" customWidth="1"/>
    <col min="1314" max="1558" width="11.42578125" style="158"/>
    <col min="1559" max="1559" width="14.5703125" style="158" customWidth="1"/>
    <col min="1560" max="1560" width="12.7109375" style="158" customWidth="1"/>
    <col min="1561" max="1561" width="1.5703125" style="158" customWidth="1"/>
    <col min="1562" max="1562" width="18.28515625" style="158" customWidth="1"/>
    <col min="1563" max="1563" width="11" style="158" customWidth="1"/>
    <col min="1564" max="1564" width="13.28515625" style="158" bestFit="1" customWidth="1"/>
    <col min="1565" max="1565" width="18" style="158" customWidth="1"/>
    <col min="1566" max="1566" width="11.42578125" style="158"/>
    <col min="1567" max="1567" width="11.140625" style="158" customWidth="1"/>
    <col min="1568" max="1568" width="11.42578125" style="158"/>
    <col min="1569" max="1569" width="17.42578125" style="158" customWidth="1"/>
    <col min="1570" max="1814" width="11.42578125" style="158"/>
    <col min="1815" max="1815" width="14.5703125" style="158" customWidth="1"/>
    <col min="1816" max="1816" width="12.7109375" style="158" customWidth="1"/>
    <col min="1817" max="1817" width="1.5703125" style="158" customWidth="1"/>
    <col min="1818" max="1818" width="18.28515625" style="158" customWidth="1"/>
    <col min="1819" max="1819" width="11" style="158" customWidth="1"/>
    <col min="1820" max="1820" width="13.28515625" style="158" bestFit="1" customWidth="1"/>
    <col min="1821" max="1821" width="18" style="158" customWidth="1"/>
    <col min="1822" max="1822" width="11.42578125" style="158"/>
    <col min="1823" max="1823" width="11.140625" style="158" customWidth="1"/>
    <col min="1824" max="1824" width="11.42578125" style="158"/>
    <col min="1825" max="1825" width="17.42578125" style="158" customWidth="1"/>
    <col min="1826" max="2070" width="11.42578125" style="158"/>
    <col min="2071" max="2071" width="14.5703125" style="158" customWidth="1"/>
    <col min="2072" max="2072" width="12.7109375" style="158" customWidth="1"/>
    <col min="2073" max="2073" width="1.5703125" style="158" customWidth="1"/>
    <col min="2074" max="2074" width="18.28515625" style="158" customWidth="1"/>
    <col min="2075" max="2075" width="11" style="158" customWidth="1"/>
    <col min="2076" max="2076" width="13.28515625" style="158" bestFit="1" customWidth="1"/>
    <col min="2077" max="2077" width="18" style="158" customWidth="1"/>
    <col min="2078" max="2078" width="11.42578125" style="158"/>
    <col min="2079" max="2079" width="11.140625" style="158" customWidth="1"/>
    <col min="2080" max="2080" width="11.42578125" style="158"/>
    <col min="2081" max="2081" width="17.42578125" style="158" customWidth="1"/>
    <col min="2082" max="2326" width="11.42578125" style="158"/>
    <col min="2327" max="2327" width="14.5703125" style="158" customWidth="1"/>
    <col min="2328" max="2328" width="12.7109375" style="158" customWidth="1"/>
    <col min="2329" max="2329" width="1.5703125" style="158" customWidth="1"/>
    <col min="2330" max="2330" width="18.28515625" style="158" customWidth="1"/>
    <col min="2331" max="2331" width="11" style="158" customWidth="1"/>
    <col min="2332" max="2332" width="13.28515625" style="158" bestFit="1" customWidth="1"/>
    <col min="2333" max="2333" width="18" style="158" customWidth="1"/>
    <col min="2334" max="2334" width="11.42578125" style="158"/>
    <col min="2335" max="2335" width="11.140625" style="158" customWidth="1"/>
    <col min="2336" max="2336" width="11.42578125" style="158"/>
    <col min="2337" max="2337" width="17.42578125" style="158" customWidth="1"/>
    <col min="2338" max="2582" width="11.42578125" style="158"/>
    <col min="2583" max="2583" width="14.5703125" style="158" customWidth="1"/>
    <col min="2584" max="2584" width="12.7109375" style="158" customWidth="1"/>
    <col min="2585" max="2585" width="1.5703125" style="158" customWidth="1"/>
    <col min="2586" max="2586" width="18.28515625" style="158" customWidth="1"/>
    <col min="2587" max="2587" width="11" style="158" customWidth="1"/>
    <col min="2588" max="2588" width="13.28515625" style="158" bestFit="1" customWidth="1"/>
    <col min="2589" max="2589" width="18" style="158" customWidth="1"/>
    <col min="2590" max="2590" width="11.42578125" style="158"/>
    <col min="2591" max="2591" width="11.140625" style="158" customWidth="1"/>
    <col min="2592" max="2592" width="11.42578125" style="158"/>
    <col min="2593" max="2593" width="17.42578125" style="158" customWidth="1"/>
    <col min="2594" max="2838" width="11.42578125" style="158"/>
    <col min="2839" max="2839" width="14.5703125" style="158" customWidth="1"/>
    <col min="2840" max="2840" width="12.7109375" style="158" customWidth="1"/>
    <col min="2841" max="2841" width="1.5703125" style="158" customWidth="1"/>
    <col min="2842" max="2842" width="18.28515625" style="158" customWidth="1"/>
    <col min="2843" max="2843" width="11" style="158" customWidth="1"/>
    <col min="2844" max="2844" width="13.28515625" style="158" bestFit="1" customWidth="1"/>
    <col min="2845" max="2845" width="18" style="158" customWidth="1"/>
    <col min="2846" max="2846" width="11.42578125" style="158"/>
    <col min="2847" max="2847" width="11.140625" style="158" customWidth="1"/>
    <col min="2848" max="2848" width="11.42578125" style="158"/>
    <col min="2849" max="2849" width="17.42578125" style="158" customWidth="1"/>
    <col min="2850" max="3094" width="11.42578125" style="158"/>
    <col min="3095" max="3095" width="14.5703125" style="158" customWidth="1"/>
    <col min="3096" max="3096" width="12.7109375" style="158" customWidth="1"/>
    <col min="3097" max="3097" width="1.5703125" style="158" customWidth="1"/>
    <col min="3098" max="3098" width="18.28515625" style="158" customWidth="1"/>
    <col min="3099" max="3099" width="11" style="158" customWidth="1"/>
    <col min="3100" max="3100" width="13.28515625" style="158" bestFit="1" customWidth="1"/>
    <col min="3101" max="3101" width="18" style="158" customWidth="1"/>
    <col min="3102" max="3102" width="11.42578125" style="158"/>
    <col min="3103" max="3103" width="11.140625" style="158" customWidth="1"/>
    <col min="3104" max="3104" width="11.42578125" style="158"/>
    <col min="3105" max="3105" width="17.42578125" style="158" customWidth="1"/>
    <col min="3106" max="3350" width="11.42578125" style="158"/>
    <col min="3351" max="3351" width="14.5703125" style="158" customWidth="1"/>
    <col min="3352" max="3352" width="12.7109375" style="158" customWidth="1"/>
    <col min="3353" max="3353" width="1.5703125" style="158" customWidth="1"/>
    <col min="3354" max="3354" width="18.28515625" style="158" customWidth="1"/>
    <col min="3355" max="3355" width="11" style="158" customWidth="1"/>
    <col min="3356" max="3356" width="13.28515625" style="158" bestFit="1" customWidth="1"/>
    <col min="3357" max="3357" width="18" style="158" customWidth="1"/>
    <col min="3358" max="3358" width="11.42578125" style="158"/>
    <col min="3359" max="3359" width="11.140625" style="158" customWidth="1"/>
    <col min="3360" max="3360" width="11.42578125" style="158"/>
    <col min="3361" max="3361" width="17.42578125" style="158" customWidth="1"/>
    <col min="3362" max="3606" width="11.42578125" style="158"/>
    <col min="3607" max="3607" width="14.5703125" style="158" customWidth="1"/>
    <col min="3608" max="3608" width="12.7109375" style="158" customWidth="1"/>
    <col min="3609" max="3609" width="1.5703125" style="158" customWidth="1"/>
    <col min="3610" max="3610" width="18.28515625" style="158" customWidth="1"/>
    <col min="3611" max="3611" width="11" style="158" customWidth="1"/>
    <col min="3612" max="3612" width="13.28515625" style="158" bestFit="1" customWidth="1"/>
    <col min="3613" max="3613" width="18" style="158" customWidth="1"/>
    <col min="3614" max="3614" width="11.42578125" style="158"/>
    <col min="3615" max="3615" width="11.140625" style="158" customWidth="1"/>
    <col min="3616" max="3616" width="11.42578125" style="158"/>
    <col min="3617" max="3617" width="17.42578125" style="158" customWidth="1"/>
    <col min="3618" max="3862" width="11.42578125" style="158"/>
    <col min="3863" max="3863" width="14.5703125" style="158" customWidth="1"/>
    <col min="3864" max="3864" width="12.7109375" style="158" customWidth="1"/>
    <col min="3865" max="3865" width="1.5703125" style="158" customWidth="1"/>
    <col min="3866" max="3866" width="18.28515625" style="158" customWidth="1"/>
    <col min="3867" max="3867" width="11" style="158" customWidth="1"/>
    <col min="3868" max="3868" width="13.28515625" style="158" bestFit="1" customWidth="1"/>
    <col min="3869" max="3869" width="18" style="158" customWidth="1"/>
    <col min="3870" max="3870" width="11.42578125" style="158"/>
    <col min="3871" max="3871" width="11.140625" style="158" customWidth="1"/>
    <col min="3872" max="3872" width="11.42578125" style="158"/>
    <col min="3873" max="3873" width="17.42578125" style="158" customWidth="1"/>
    <col min="3874" max="4118" width="11.42578125" style="158"/>
    <col min="4119" max="4119" width="14.5703125" style="158" customWidth="1"/>
    <col min="4120" max="4120" width="12.7109375" style="158" customWidth="1"/>
    <col min="4121" max="4121" width="1.5703125" style="158" customWidth="1"/>
    <col min="4122" max="4122" width="18.28515625" style="158" customWidth="1"/>
    <col min="4123" max="4123" width="11" style="158" customWidth="1"/>
    <col min="4124" max="4124" width="13.28515625" style="158" bestFit="1" customWidth="1"/>
    <col min="4125" max="4125" width="18" style="158" customWidth="1"/>
    <col min="4126" max="4126" width="11.42578125" style="158"/>
    <col min="4127" max="4127" width="11.140625" style="158" customWidth="1"/>
    <col min="4128" max="4128" width="11.42578125" style="158"/>
    <col min="4129" max="4129" width="17.42578125" style="158" customWidth="1"/>
    <col min="4130" max="4374" width="11.42578125" style="158"/>
    <col min="4375" max="4375" width="14.5703125" style="158" customWidth="1"/>
    <col min="4376" max="4376" width="12.7109375" style="158" customWidth="1"/>
    <col min="4377" max="4377" width="1.5703125" style="158" customWidth="1"/>
    <col min="4378" max="4378" width="18.28515625" style="158" customWidth="1"/>
    <col min="4379" max="4379" width="11" style="158" customWidth="1"/>
    <col min="4380" max="4380" width="13.28515625" style="158" bestFit="1" customWidth="1"/>
    <col min="4381" max="4381" width="18" style="158" customWidth="1"/>
    <col min="4382" max="4382" width="11.42578125" style="158"/>
    <col min="4383" max="4383" width="11.140625" style="158" customWidth="1"/>
    <col min="4384" max="4384" width="11.42578125" style="158"/>
    <col min="4385" max="4385" width="17.42578125" style="158" customWidth="1"/>
    <col min="4386" max="4630" width="11.42578125" style="158"/>
    <col min="4631" max="4631" width="14.5703125" style="158" customWidth="1"/>
    <col min="4632" max="4632" width="12.7109375" style="158" customWidth="1"/>
    <col min="4633" max="4633" width="1.5703125" style="158" customWidth="1"/>
    <col min="4634" max="4634" width="18.28515625" style="158" customWidth="1"/>
    <col min="4635" max="4635" width="11" style="158" customWidth="1"/>
    <col min="4636" max="4636" width="13.28515625" style="158" bestFit="1" customWidth="1"/>
    <col min="4637" max="4637" width="18" style="158" customWidth="1"/>
    <col min="4638" max="4638" width="11.42578125" style="158"/>
    <col min="4639" max="4639" width="11.140625" style="158" customWidth="1"/>
    <col min="4640" max="4640" width="11.42578125" style="158"/>
    <col min="4641" max="4641" width="17.42578125" style="158" customWidth="1"/>
    <col min="4642" max="4886" width="11.42578125" style="158"/>
    <col min="4887" max="4887" width="14.5703125" style="158" customWidth="1"/>
    <col min="4888" max="4888" width="12.7109375" style="158" customWidth="1"/>
    <col min="4889" max="4889" width="1.5703125" style="158" customWidth="1"/>
    <col min="4890" max="4890" width="18.28515625" style="158" customWidth="1"/>
    <col min="4891" max="4891" width="11" style="158" customWidth="1"/>
    <col min="4892" max="4892" width="13.28515625" style="158" bestFit="1" customWidth="1"/>
    <col min="4893" max="4893" width="18" style="158" customWidth="1"/>
    <col min="4894" max="4894" width="11.42578125" style="158"/>
    <col min="4895" max="4895" width="11.140625" style="158" customWidth="1"/>
    <col min="4896" max="4896" width="11.42578125" style="158"/>
    <col min="4897" max="4897" width="17.42578125" style="158" customWidth="1"/>
    <col min="4898" max="5142" width="11.42578125" style="158"/>
    <col min="5143" max="5143" width="14.5703125" style="158" customWidth="1"/>
    <col min="5144" max="5144" width="12.7109375" style="158" customWidth="1"/>
    <col min="5145" max="5145" width="1.5703125" style="158" customWidth="1"/>
    <col min="5146" max="5146" width="18.28515625" style="158" customWidth="1"/>
    <col min="5147" max="5147" width="11" style="158" customWidth="1"/>
    <col min="5148" max="5148" width="13.28515625" style="158" bestFit="1" customWidth="1"/>
    <col min="5149" max="5149" width="18" style="158" customWidth="1"/>
    <col min="5150" max="5150" width="11.42578125" style="158"/>
    <col min="5151" max="5151" width="11.140625" style="158" customWidth="1"/>
    <col min="5152" max="5152" width="11.42578125" style="158"/>
    <col min="5153" max="5153" width="17.42578125" style="158" customWidth="1"/>
    <col min="5154" max="5398" width="11.42578125" style="158"/>
    <col min="5399" max="5399" width="14.5703125" style="158" customWidth="1"/>
    <col min="5400" max="5400" width="12.7109375" style="158" customWidth="1"/>
    <col min="5401" max="5401" width="1.5703125" style="158" customWidth="1"/>
    <col min="5402" max="5402" width="18.28515625" style="158" customWidth="1"/>
    <col min="5403" max="5403" width="11" style="158" customWidth="1"/>
    <col min="5404" max="5404" width="13.28515625" style="158" bestFit="1" customWidth="1"/>
    <col min="5405" max="5405" width="18" style="158" customWidth="1"/>
    <col min="5406" max="5406" width="11.42578125" style="158"/>
    <col min="5407" max="5407" width="11.140625" style="158" customWidth="1"/>
    <col min="5408" max="5408" width="11.42578125" style="158"/>
    <col min="5409" max="5409" width="17.42578125" style="158" customWidth="1"/>
    <col min="5410" max="5654" width="11.42578125" style="158"/>
    <col min="5655" max="5655" width="14.5703125" style="158" customWidth="1"/>
    <col min="5656" max="5656" width="12.7109375" style="158" customWidth="1"/>
    <col min="5657" max="5657" width="1.5703125" style="158" customWidth="1"/>
    <col min="5658" max="5658" width="18.28515625" style="158" customWidth="1"/>
    <col min="5659" max="5659" width="11" style="158" customWidth="1"/>
    <col min="5660" max="5660" width="13.28515625" style="158" bestFit="1" customWidth="1"/>
    <col min="5661" max="5661" width="18" style="158" customWidth="1"/>
    <col min="5662" max="5662" width="11.42578125" style="158"/>
    <col min="5663" max="5663" width="11.140625" style="158" customWidth="1"/>
    <col min="5664" max="5664" width="11.42578125" style="158"/>
    <col min="5665" max="5665" width="17.42578125" style="158" customWidth="1"/>
    <col min="5666" max="5910" width="11.42578125" style="158"/>
    <col min="5911" max="5911" width="14.5703125" style="158" customWidth="1"/>
    <col min="5912" max="5912" width="12.7109375" style="158" customWidth="1"/>
    <col min="5913" max="5913" width="1.5703125" style="158" customWidth="1"/>
    <col min="5914" max="5914" width="18.28515625" style="158" customWidth="1"/>
    <col min="5915" max="5915" width="11" style="158" customWidth="1"/>
    <col min="5916" max="5916" width="13.28515625" style="158" bestFit="1" customWidth="1"/>
    <col min="5917" max="5917" width="18" style="158" customWidth="1"/>
    <col min="5918" max="5918" width="11.42578125" style="158"/>
    <col min="5919" max="5919" width="11.140625" style="158" customWidth="1"/>
    <col min="5920" max="5920" width="11.42578125" style="158"/>
    <col min="5921" max="5921" width="17.42578125" style="158" customWidth="1"/>
    <col min="5922" max="6166" width="11.42578125" style="158"/>
    <col min="6167" max="6167" width="14.5703125" style="158" customWidth="1"/>
    <col min="6168" max="6168" width="12.7109375" style="158" customWidth="1"/>
    <col min="6169" max="6169" width="1.5703125" style="158" customWidth="1"/>
    <col min="6170" max="6170" width="18.28515625" style="158" customWidth="1"/>
    <col min="6171" max="6171" width="11" style="158" customWidth="1"/>
    <col min="6172" max="6172" width="13.28515625" style="158" bestFit="1" customWidth="1"/>
    <col min="6173" max="6173" width="18" style="158" customWidth="1"/>
    <col min="6174" max="6174" width="11.42578125" style="158"/>
    <col min="6175" max="6175" width="11.140625" style="158" customWidth="1"/>
    <col min="6176" max="6176" width="11.42578125" style="158"/>
    <col min="6177" max="6177" width="17.42578125" style="158" customWidth="1"/>
    <col min="6178" max="6422" width="11.42578125" style="158"/>
    <col min="6423" max="6423" width="14.5703125" style="158" customWidth="1"/>
    <col min="6424" max="6424" width="12.7109375" style="158" customWidth="1"/>
    <col min="6425" max="6425" width="1.5703125" style="158" customWidth="1"/>
    <col min="6426" max="6426" width="18.28515625" style="158" customWidth="1"/>
    <col min="6427" max="6427" width="11" style="158" customWidth="1"/>
    <col min="6428" max="6428" width="13.28515625" style="158" bestFit="1" customWidth="1"/>
    <col min="6429" max="6429" width="18" style="158" customWidth="1"/>
    <col min="6430" max="6430" width="11.42578125" style="158"/>
    <col min="6431" max="6431" width="11.140625" style="158" customWidth="1"/>
    <col min="6432" max="6432" width="11.42578125" style="158"/>
    <col min="6433" max="6433" width="17.42578125" style="158" customWidth="1"/>
    <col min="6434" max="6678" width="11.42578125" style="158"/>
    <col min="6679" max="6679" width="14.5703125" style="158" customWidth="1"/>
    <col min="6680" max="6680" width="12.7109375" style="158" customWidth="1"/>
    <col min="6681" max="6681" width="1.5703125" style="158" customWidth="1"/>
    <col min="6682" max="6682" width="18.28515625" style="158" customWidth="1"/>
    <col min="6683" max="6683" width="11" style="158" customWidth="1"/>
    <col min="6684" max="6684" width="13.28515625" style="158" bestFit="1" customWidth="1"/>
    <col min="6685" max="6685" width="18" style="158" customWidth="1"/>
    <col min="6686" max="6686" width="11.42578125" style="158"/>
    <col min="6687" max="6687" width="11.140625" style="158" customWidth="1"/>
    <col min="6688" max="6688" width="11.42578125" style="158"/>
    <col min="6689" max="6689" width="17.42578125" style="158" customWidth="1"/>
    <col min="6690" max="6934" width="11.42578125" style="158"/>
    <col min="6935" max="6935" width="14.5703125" style="158" customWidth="1"/>
    <col min="6936" max="6936" width="12.7109375" style="158" customWidth="1"/>
    <col min="6937" max="6937" width="1.5703125" style="158" customWidth="1"/>
    <col min="6938" max="6938" width="18.28515625" style="158" customWidth="1"/>
    <col min="6939" max="6939" width="11" style="158" customWidth="1"/>
    <col min="6940" max="6940" width="13.28515625" style="158" bestFit="1" customWidth="1"/>
    <col min="6941" max="6941" width="18" style="158" customWidth="1"/>
    <col min="6942" max="6942" width="11.42578125" style="158"/>
    <col min="6943" max="6943" width="11.140625" style="158" customWidth="1"/>
    <col min="6944" max="6944" width="11.42578125" style="158"/>
    <col min="6945" max="6945" width="17.42578125" style="158" customWidth="1"/>
    <col min="6946" max="7190" width="11.42578125" style="158"/>
    <col min="7191" max="7191" width="14.5703125" style="158" customWidth="1"/>
    <col min="7192" max="7192" width="12.7109375" style="158" customWidth="1"/>
    <col min="7193" max="7193" width="1.5703125" style="158" customWidth="1"/>
    <col min="7194" max="7194" width="18.28515625" style="158" customWidth="1"/>
    <col min="7195" max="7195" width="11" style="158" customWidth="1"/>
    <col min="7196" max="7196" width="13.28515625" style="158" bestFit="1" customWidth="1"/>
    <col min="7197" max="7197" width="18" style="158" customWidth="1"/>
    <col min="7198" max="7198" width="11.42578125" style="158"/>
    <col min="7199" max="7199" width="11.140625" style="158" customWidth="1"/>
    <col min="7200" max="7200" width="11.42578125" style="158"/>
    <col min="7201" max="7201" width="17.42578125" style="158" customWidth="1"/>
    <col min="7202" max="7446" width="11.42578125" style="158"/>
    <col min="7447" max="7447" width="14.5703125" style="158" customWidth="1"/>
    <col min="7448" max="7448" width="12.7109375" style="158" customWidth="1"/>
    <col min="7449" max="7449" width="1.5703125" style="158" customWidth="1"/>
    <col min="7450" max="7450" width="18.28515625" style="158" customWidth="1"/>
    <col min="7451" max="7451" width="11" style="158" customWidth="1"/>
    <col min="7452" max="7452" width="13.28515625" style="158" bestFit="1" customWidth="1"/>
    <col min="7453" max="7453" width="18" style="158" customWidth="1"/>
    <col min="7454" max="7454" width="11.42578125" style="158"/>
    <col min="7455" max="7455" width="11.140625" style="158" customWidth="1"/>
    <col min="7456" max="7456" width="11.42578125" style="158"/>
    <col min="7457" max="7457" width="17.42578125" style="158" customWidth="1"/>
    <col min="7458" max="7702" width="11.42578125" style="158"/>
    <col min="7703" max="7703" width="14.5703125" style="158" customWidth="1"/>
    <col min="7704" max="7704" width="12.7109375" style="158" customWidth="1"/>
    <col min="7705" max="7705" width="1.5703125" style="158" customWidth="1"/>
    <col min="7706" max="7706" width="18.28515625" style="158" customWidth="1"/>
    <col min="7707" max="7707" width="11" style="158" customWidth="1"/>
    <col min="7708" max="7708" width="13.28515625" style="158" bestFit="1" customWidth="1"/>
    <col min="7709" max="7709" width="18" style="158" customWidth="1"/>
    <col min="7710" max="7710" width="11.42578125" style="158"/>
    <col min="7711" max="7711" width="11.140625" style="158" customWidth="1"/>
    <col min="7712" max="7712" width="11.42578125" style="158"/>
    <col min="7713" max="7713" width="17.42578125" style="158" customWidth="1"/>
    <col min="7714" max="7958" width="11.42578125" style="158"/>
    <col min="7959" max="7959" width="14.5703125" style="158" customWidth="1"/>
    <col min="7960" max="7960" width="12.7109375" style="158" customWidth="1"/>
    <col min="7961" max="7961" width="1.5703125" style="158" customWidth="1"/>
    <col min="7962" max="7962" width="18.28515625" style="158" customWidth="1"/>
    <col min="7963" max="7963" width="11" style="158" customWidth="1"/>
    <col min="7964" max="7964" width="13.28515625" style="158" bestFit="1" customWidth="1"/>
    <col min="7965" max="7965" width="18" style="158" customWidth="1"/>
    <col min="7966" max="7966" width="11.42578125" style="158"/>
    <col min="7967" max="7967" width="11.140625" style="158" customWidth="1"/>
    <col min="7968" max="7968" width="11.42578125" style="158"/>
    <col min="7969" max="7969" width="17.42578125" style="158" customWidth="1"/>
    <col min="7970" max="8214" width="11.42578125" style="158"/>
    <col min="8215" max="8215" width="14.5703125" style="158" customWidth="1"/>
    <col min="8216" max="8216" width="12.7109375" style="158" customWidth="1"/>
    <col min="8217" max="8217" width="1.5703125" style="158" customWidth="1"/>
    <col min="8218" max="8218" width="18.28515625" style="158" customWidth="1"/>
    <col min="8219" max="8219" width="11" style="158" customWidth="1"/>
    <col min="8220" max="8220" width="13.28515625" style="158" bestFit="1" customWidth="1"/>
    <col min="8221" max="8221" width="18" style="158" customWidth="1"/>
    <col min="8222" max="8222" width="11.42578125" style="158"/>
    <col min="8223" max="8223" width="11.140625" style="158" customWidth="1"/>
    <col min="8224" max="8224" width="11.42578125" style="158"/>
    <col min="8225" max="8225" width="17.42578125" style="158" customWidth="1"/>
    <col min="8226" max="8470" width="11.42578125" style="158"/>
    <col min="8471" max="8471" width="14.5703125" style="158" customWidth="1"/>
    <col min="8472" max="8472" width="12.7109375" style="158" customWidth="1"/>
    <col min="8473" max="8473" width="1.5703125" style="158" customWidth="1"/>
    <col min="8474" max="8474" width="18.28515625" style="158" customWidth="1"/>
    <col min="8475" max="8475" width="11" style="158" customWidth="1"/>
    <col min="8476" max="8476" width="13.28515625" style="158" bestFit="1" customWidth="1"/>
    <col min="8477" max="8477" width="18" style="158" customWidth="1"/>
    <col min="8478" max="8478" width="11.42578125" style="158"/>
    <col min="8479" max="8479" width="11.140625" style="158" customWidth="1"/>
    <col min="8480" max="8480" width="11.42578125" style="158"/>
    <col min="8481" max="8481" width="17.42578125" style="158" customWidth="1"/>
    <col min="8482" max="8726" width="11.42578125" style="158"/>
    <col min="8727" max="8727" width="14.5703125" style="158" customWidth="1"/>
    <col min="8728" max="8728" width="12.7109375" style="158" customWidth="1"/>
    <col min="8729" max="8729" width="1.5703125" style="158" customWidth="1"/>
    <col min="8730" max="8730" width="18.28515625" style="158" customWidth="1"/>
    <col min="8731" max="8731" width="11" style="158" customWidth="1"/>
    <col min="8732" max="8732" width="13.28515625" style="158" bestFit="1" customWidth="1"/>
    <col min="8733" max="8733" width="18" style="158" customWidth="1"/>
    <col min="8734" max="8734" width="11.42578125" style="158"/>
    <col min="8735" max="8735" width="11.140625" style="158" customWidth="1"/>
    <col min="8736" max="8736" width="11.42578125" style="158"/>
    <col min="8737" max="8737" width="17.42578125" style="158" customWidth="1"/>
    <col min="8738" max="8982" width="11.42578125" style="158"/>
    <col min="8983" max="8983" width="14.5703125" style="158" customWidth="1"/>
    <col min="8984" max="8984" width="12.7109375" style="158" customWidth="1"/>
    <col min="8985" max="8985" width="1.5703125" style="158" customWidth="1"/>
    <col min="8986" max="8986" width="18.28515625" style="158" customWidth="1"/>
    <col min="8987" max="8987" width="11" style="158" customWidth="1"/>
    <col min="8988" max="8988" width="13.28515625" style="158" bestFit="1" customWidth="1"/>
    <col min="8989" max="8989" width="18" style="158" customWidth="1"/>
    <col min="8990" max="8990" width="11.42578125" style="158"/>
    <col min="8991" max="8991" width="11.140625" style="158" customWidth="1"/>
    <col min="8992" max="8992" width="11.42578125" style="158"/>
    <col min="8993" max="8993" width="17.42578125" style="158" customWidth="1"/>
    <col min="8994" max="9238" width="11.42578125" style="158"/>
    <col min="9239" max="9239" width="14.5703125" style="158" customWidth="1"/>
    <col min="9240" max="9240" width="12.7109375" style="158" customWidth="1"/>
    <col min="9241" max="9241" width="1.5703125" style="158" customWidth="1"/>
    <col min="9242" max="9242" width="18.28515625" style="158" customWidth="1"/>
    <col min="9243" max="9243" width="11" style="158" customWidth="1"/>
    <col min="9244" max="9244" width="13.28515625" style="158" bestFit="1" customWidth="1"/>
    <col min="9245" max="9245" width="18" style="158" customWidth="1"/>
    <col min="9246" max="9246" width="11.42578125" style="158"/>
    <col min="9247" max="9247" width="11.140625" style="158" customWidth="1"/>
    <col min="9248" max="9248" width="11.42578125" style="158"/>
    <col min="9249" max="9249" width="17.42578125" style="158" customWidth="1"/>
    <col min="9250" max="9494" width="11.42578125" style="158"/>
    <col min="9495" max="9495" width="14.5703125" style="158" customWidth="1"/>
    <col min="9496" max="9496" width="12.7109375" style="158" customWidth="1"/>
    <col min="9497" max="9497" width="1.5703125" style="158" customWidth="1"/>
    <col min="9498" max="9498" width="18.28515625" style="158" customWidth="1"/>
    <col min="9499" max="9499" width="11" style="158" customWidth="1"/>
    <col min="9500" max="9500" width="13.28515625" style="158" bestFit="1" customWidth="1"/>
    <col min="9501" max="9501" width="18" style="158" customWidth="1"/>
    <col min="9502" max="9502" width="11.42578125" style="158"/>
    <col min="9503" max="9503" width="11.140625" style="158" customWidth="1"/>
    <col min="9504" max="9504" width="11.42578125" style="158"/>
    <col min="9505" max="9505" width="17.42578125" style="158" customWidth="1"/>
    <col min="9506" max="9750" width="11.42578125" style="158"/>
    <col min="9751" max="9751" width="14.5703125" style="158" customWidth="1"/>
    <col min="9752" max="9752" width="12.7109375" style="158" customWidth="1"/>
    <col min="9753" max="9753" width="1.5703125" style="158" customWidth="1"/>
    <col min="9754" max="9754" width="18.28515625" style="158" customWidth="1"/>
    <col min="9755" max="9755" width="11" style="158" customWidth="1"/>
    <col min="9756" max="9756" width="13.28515625" style="158" bestFit="1" customWidth="1"/>
    <col min="9757" max="9757" width="18" style="158" customWidth="1"/>
    <col min="9758" max="9758" width="11.42578125" style="158"/>
    <col min="9759" max="9759" width="11.140625" style="158" customWidth="1"/>
    <col min="9760" max="9760" width="11.42578125" style="158"/>
    <col min="9761" max="9761" width="17.42578125" style="158" customWidth="1"/>
    <col min="9762" max="10006" width="11.42578125" style="158"/>
    <col min="10007" max="10007" width="14.5703125" style="158" customWidth="1"/>
    <col min="10008" max="10008" width="12.7109375" style="158" customWidth="1"/>
    <col min="10009" max="10009" width="1.5703125" style="158" customWidth="1"/>
    <col min="10010" max="10010" width="18.28515625" style="158" customWidth="1"/>
    <col min="10011" max="10011" width="11" style="158" customWidth="1"/>
    <col min="10012" max="10012" width="13.28515625" style="158" bestFit="1" customWidth="1"/>
    <col min="10013" max="10013" width="18" style="158" customWidth="1"/>
    <col min="10014" max="10014" width="11.42578125" style="158"/>
    <col min="10015" max="10015" width="11.140625" style="158" customWidth="1"/>
    <col min="10016" max="10016" width="11.42578125" style="158"/>
    <col min="10017" max="10017" width="17.42578125" style="158" customWidth="1"/>
    <col min="10018" max="10262" width="11.42578125" style="158"/>
    <col min="10263" max="10263" width="14.5703125" style="158" customWidth="1"/>
    <col min="10264" max="10264" width="12.7109375" style="158" customWidth="1"/>
    <col min="10265" max="10265" width="1.5703125" style="158" customWidth="1"/>
    <col min="10266" max="10266" width="18.28515625" style="158" customWidth="1"/>
    <col min="10267" max="10267" width="11" style="158" customWidth="1"/>
    <col min="10268" max="10268" width="13.28515625" style="158" bestFit="1" customWidth="1"/>
    <col min="10269" max="10269" width="18" style="158" customWidth="1"/>
    <col min="10270" max="10270" width="11.42578125" style="158"/>
    <col min="10271" max="10271" width="11.140625" style="158" customWidth="1"/>
    <col min="10272" max="10272" width="11.42578125" style="158"/>
    <col min="10273" max="10273" width="17.42578125" style="158" customWidth="1"/>
    <col min="10274" max="10518" width="11.42578125" style="158"/>
    <col min="10519" max="10519" width="14.5703125" style="158" customWidth="1"/>
    <col min="10520" max="10520" width="12.7109375" style="158" customWidth="1"/>
    <col min="10521" max="10521" width="1.5703125" style="158" customWidth="1"/>
    <col min="10522" max="10522" width="18.28515625" style="158" customWidth="1"/>
    <col min="10523" max="10523" width="11" style="158" customWidth="1"/>
    <col min="10524" max="10524" width="13.28515625" style="158" bestFit="1" customWidth="1"/>
    <col min="10525" max="10525" width="18" style="158" customWidth="1"/>
    <col min="10526" max="10526" width="11.42578125" style="158"/>
    <col min="10527" max="10527" width="11.140625" style="158" customWidth="1"/>
    <col min="10528" max="10528" width="11.42578125" style="158"/>
    <col min="10529" max="10529" width="17.42578125" style="158" customWidth="1"/>
    <col min="10530" max="10774" width="11.42578125" style="158"/>
    <col min="10775" max="10775" width="14.5703125" style="158" customWidth="1"/>
    <col min="10776" max="10776" width="12.7109375" style="158" customWidth="1"/>
    <col min="10777" max="10777" width="1.5703125" style="158" customWidth="1"/>
    <col min="10778" max="10778" width="18.28515625" style="158" customWidth="1"/>
    <col min="10779" max="10779" width="11" style="158" customWidth="1"/>
    <col min="10780" max="10780" width="13.28515625" style="158" bestFit="1" customWidth="1"/>
    <col min="10781" max="10781" width="18" style="158" customWidth="1"/>
    <col min="10782" max="10782" width="11.42578125" style="158"/>
    <col min="10783" max="10783" width="11.140625" style="158" customWidth="1"/>
    <col min="10784" max="10784" width="11.42578125" style="158"/>
    <col min="10785" max="10785" width="17.42578125" style="158" customWidth="1"/>
    <col min="10786" max="11030" width="11.42578125" style="158"/>
    <col min="11031" max="11031" width="14.5703125" style="158" customWidth="1"/>
    <col min="11032" max="11032" width="12.7109375" style="158" customWidth="1"/>
    <col min="11033" max="11033" width="1.5703125" style="158" customWidth="1"/>
    <col min="11034" max="11034" width="18.28515625" style="158" customWidth="1"/>
    <col min="11035" max="11035" width="11" style="158" customWidth="1"/>
    <col min="11036" max="11036" width="13.28515625" style="158" bestFit="1" customWidth="1"/>
    <col min="11037" max="11037" width="18" style="158" customWidth="1"/>
    <col min="11038" max="11038" width="11.42578125" style="158"/>
    <col min="11039" max="11039" width="11.140625" style="158" customWidth="1"/>
    <col min="11040" max="11040" width="11.42578125" style="158"/>
    <col min="11041" max="11041" width="17.42578125" style="158" customWidth="1"/>
    <col min="11042" max="11286" width="11.42578125" style="158"/>
    <col min="11287" max="11287" width="14.5703125" style="158" customWidth="1"/>
    <col min="11288" max="11288" width="12.7109375" style="158" customWidth="1"/>
    <col min="11289" max="11289" width="1.5703125" style="158" customWidth="1"/>
    <col min="11290" max="11290" width="18.28515625" style="158" customWidth="1"/>
    <col min="11291" max="11291" width="11" style="158" customWidth="1"/>
    <col min="11292" max="11292" width="13.28515625" style="158" bestFit="1" customWidth="1"/>
    <col min="11293" max="11293" width="18" style="158" customWidth="1"/>
    <col min="11294" max="11294" width="11.42578125" style="158"/>
    <col min="11295" max="11295" width="11.140625" style="158" customWidth="1"/>
    <col min="11296" max="11296" width="11.42578125" style="158"/>
    <col min="11297" max="11297" width="17.42578125" style="158" customWidth="1"/>
    <col min="11298" max="11542" width="11.42578125" style="158"/>
    <col min="11543" max="11543" width="14.5703125" style="158" customWidth="1"/>
    <col min="11544" max="11544" width="12.7109375" style="158" customWidth="1"/>
    <col min="11545" max="11545" width="1.5703125" style="158" customWidth="1"/>
    <col min="11546" max="11546" width="18.28515625" style="158" customWidth="1"/>
    <col min="11547" max="11547" width="11" style="158" customWidth="1"/>
    <col min="11548" max="11548" width="13.28515625" style="158" bestFit="1" customWidth="1"/>
    <col min="11549" max="11549" width="18" style="158" customWidth="1"/>
    <col min="11550" max="11550" width="11.42578125" style="158"/>
    <col min="11551" max="11551" width="11.140625" style="158" customWidth="1"/>
    <col min="11552" max="11552" width="11.42578125" style="158"/>
    <col min="11553" max="11553" width="17.42578125" style="158" customWidth="1"/>
    <col min="11554" max="11798" width="11.42578125" style="158"/>
    <col min="11799" max="11799" width="14.5703125" style="158" customWidth="1"/>
    <col min="11800" max="11800" width="12.7109375" style="158" customWidth="1"/>
    <col min="11801" max="11801" width="1.5703125" style="158" customWidth="1"/>
    <col min="11802" max="11802" width="18.28515625" style="158" customWidth="1"/>
    <col min="11803" max="11803" width="11" style="158" customWidth="1"/>
    <col min="11804" max="11804" width="13.28515625" style="158" bestFit="1" customWidth="1"/>
    <col min="11805" max="11805" width="18" style="158" customWidth="1"/>
    <col min="11806" max="11806" width="11.42578125" style="158"/>
    <col min="11807" max="11807" width="11.140625" style="158" customWidth="1"/>
    <col min="11808" max="11808" width="11.42578125" style="158"/>
    <col min="11809" max="11809" width="17.42578125" style="158" customWidth="1"/>
    <col min="11810" max="12054" width="11.42578125" style="158"/>
    <col min="12055" max="12055" width="14.5703125" style="158" customWidth="1"/>
    <col min="12056" max="12056" width="12.7109375" style="158" customWidth="1"/>
    <col min="12057" max="12057" width="1.5703125" style="158" customWidth="1"/>
    <col min="12058" max="12058" width="18.28515625" style="158" customWidth="1"/>
    <col min="12059" max="12059" width="11" style="158" customWidth="1"/>
    <col min="12060" max="12060" width="13.28515625" style="158" bestFit="1" customWidth="1"/>
    <col min="12061" max="12061" width="18" style="158" customWidth="1"/>
    <col min="12062" max="12062" width="11.42578125" style="158"/>
    <col min="12063" max="12063" width="11.140625" style="158" customWidth="1"/>
    <col min="12064" max="12064" width="11.42578125" style="158"/>
    <col min="12065" max="12065" width="17.42578125" style="158" customWidth="1"/>
    <col min="12066" max="12310" width="11.42578125" style="158"/>
    <col min="12311" max="12311" width="14.5703125" style="158" customWidth="1"/>
    <col min="12312" max="12312" width="12.7109375" style="158" customWidth="1"/>
    <col min="12313" max="12313" width="1.5703125" style="158" customWidth="1"/>
    <col min="12314" max="12314" width="18.28515625" style="158" customWidth="1"/>
    <col min="12315" max="12315" width="11" style="158" customWidth="1"/>
    <col min="12316" max="12316" width="13.28515625" style="158" bestFit="1" customWidth="1"/>
    <col min="12317" max="12317" width="18" style="158" customWidth="1"/>
    <col min="12318" max="12318" width="11.42578125" style="158"/>
    <col min="12319" max="12319" width="11.140625" style="158" customWidth="1"/>
    <col min="12320" max="12320" width="11.42578125" style="158"/>
    <col min="12321" max="12321" width="17.42578125" style="158" customWidth="1"/>
    <col min="12322" max="12566" width="11.42578125" style="158"/>
    <col min="12567" max="12567" width="14.5703125" style="158" customWidth="1"/>
    <col min="12568" max="12568" width="12.7109375" style="158" customWidth="1"/>
    <col min="12569" max="12569" width="1.5703125" style="158" customWidth="1"/>
    <col min="12570" max="12570" width="18.28515625" style="158" customWidth="1"/>
    <col min="12571" max="12571" width="11" style="158" customWidth="1"/>
    <col min="12572" max="12572" width="13.28515625" style="158" bestFit="1" customWidth="1"/>
    <col min="12573" max="12573" width="18" style="158" customWidth="1"/>
    <col min="12574" max="12574" width="11.42578125" style="158"/>
    <col min="12575" max="12575" width="11.140625" style="158" customWidth="1"/>
    <col min="12576" max="12576" width="11.42578125" style="158"/>
    <col min="12577" max="12577" width="17.42578125" style="158" customWidth="1"/>
    <col min="12578" max="12822" width="11.42578125" style="158"/>
    <col min="12823" max="12823" width="14.5703125" style="158" customWidth="1"/>
    <col min="12824" max="12824" width="12.7109375" style="158" customWidth="1"/>
    <col min="12825" max="12825" width="1.5703125" style="158" customWidth="1"/>
    <col min="12826" max="12826" width="18.28515625" style="158" customWidth="1"/>
    <col min="12827" max="12827" width="11" style="158" customWidth="1"/>
    <col min="12828" max="12828" width="13.28515625" style="158" bestFit="1" customWidth="1"/>
    <col min="12829" max="12829" width="18" style="158" customWidth="1"/>
    <col min="12830" max="12830" width="11.42578125" style="158"/>
    <col min="12831" max="12831" width="11.140625" style="158" customWidth="1"/>
    <col min="12832" max="12832" width="11.42578125" style="158"/>
    <col min="12833" max="12833" width="17.42578125" style="158" customWidth="1"/>
    <col min="12834" max="13078" width="11.42578125" style="158"/>
    <col min="13079" max="13079" width="14.5703125" style="158" customWidth="1"/>
    <col min="13080" max="13080" width="12.7109375" style="158" customWidth="1"/>
    <col min="13081" max="13081" width="1.5703125" style="158" customWidth="1"/>
    <col min="13082" max="13082" width="18.28515625" style="158" customWidth="1"/>
    <col min="13083" max="13083" width="11" style="158" customWidth="1"/>
    <col min="13084" max="13084" width="13.28515625" style="158" bestFit="1" customWidth="1"/>
    <col min="13085" max="13085" width="18" style="158" customWidth="1"/>
    <col min="13086" max="13086" width="11.42578125" style="158"/>
    <col min="13087" max="13087" width="11.140625" style="158" customWidth="1"/>
    <col min="13088" max="13088" width="11.42578125" style="158"/>
    <col min="13089" max="13089" width="17.42578125" style="158" customWidth="1"/>
    <col min="13090" max="13334" width="11.42578125" style="158"/>
    <col min="13335" max="13335" width="14.5703125" style="158" customWidth="1"/>
    <col min="13336" max="13336" width="12.7109375" style="158" customWidth="1"/>
    <col min="13337" max="13337" width="1.5703125" style="158" customWidth="1"/>
    <col min="13338" max="13338" width="18.28515625" style="158" customWidth="1"/>
    <col min="13339" max="13339" width="11" style="158" customWidth="1"/>
    <col min="13340" max="13340" width="13.28515625" style="158" bestFit="1" customWidth="1"/>
    <col min="13341" max="13341" width="18" style="158" customWidth="1"/>
    <col min="13342" max="13342" width="11.42578125" style="158"/>
    <col min="13343" max="13343" width="11.140625" style="158" customWidth="1"/>
    <col min="13344" max="13344" width="11.42578125" style="158"/>
    <col min="13345" max="13345" width="17.42578125" style="158" customWidth="1"/>
    <col min="13346" max="13590" width="11.42578125" style="158"/>
    <col min="13591" max="13591" width="14.5703125" style="158" customWidth="1"/>
    <col min="13592" max="13592" width="12.7109375" style="158" customWidth="1"/>
    <col min="13593" max="13593" width="1.5703125" style="158" customWidth="1"/>
    <col min="13594" max="13594" width="18.28515625" style="158" customWidth="1"/>
    <col min="13595" max="13595" width="11" style="158" customWidth="1"/>
    <col min="13596" max="13596" width="13.28515625" style="158" bestFit="1" customWidth="1"/>
    <col min="13597" max="13597" width="18" style="158" customWidth="1"/>
    <col min="13598" max="13598" width="11.42578125" style="158"/>
    <col min="13599" max="13599" width="11.140625" style="158" customWidth="1"/>
    <col min="13600" max="13600" width="11.42578125" style="158"/>
    <col min="13601" max="13601" width="17.42578125" style="158" customWidth="1"/>
    <col min="13602" max="13846" width="11.42578125" style="158"/>
    <col min="13847" max="13847" width="14.5703125" style="158" customWidth="1"/>
    <col min="13848" max="13848" width="12.7109375" style="158" customWidth="1"/>
    <col min="13849" max="13849" width="1.5703125" style="158" customWidth="1"/>
    <col min="13850" max="13850" width="18.28515625" style="158" customWidth="1"/>
    <col min="13851" max="13851" width="11" style="158" customWidth="1"/>
    <col min="13852" max="13852" width="13.28515625" style="158" bestFit="1" customWidth="1"/>
    <col min="13853" max="13853" width="18" style="158" customWidth="1"/>
    <col min="13854" max="13854" width="11.42578125" style="158"/>
    <col min="13855" max="13855" width="11.140625" style="158" customWidth="1"/>
    <col min="13856" max="13856" width="11.42578125" style="158"/>
    <col min="13857" max="13857" width="17.42578125" style="158" customWidth="1"/>
    <col min="13858" max="14102" width="11.42578125" style="158"/>
    <col min="14103" max="14103" width="14.5703125" style="158" customWidth="1"/>
    <col min="14104" max="14104" width="12.7109375" style="158" customWidth="1"/>
    <col min="14105" max="14105" width="1.5703125" style="158" customWidth="1"/>
    <col min="14106" max="14106" width="18.28515625" style="158" customWidth="1"/>
    <col min="14107" max="14107" width="11" style="158" customWidth="1"/>
    <col min="14108" max="14108" width="13.28515625" style="158" bestFit="1" customWidth="1"/>
    <col min="14109" max="14109" width="18" style="158" customWidth="1"/>
    <col min="14110" max="14110" width="11.42578125" style="158"/>
    <col min="14111" max="14111" width="11.140625" style="158" customWidth="1"/>
    <col min="14112" max="14112" width="11.42578125" style="158"/>
    <col min="14113" max="14113" width="17.42578125" style="158" customWidth="1"/>
    <col min="14114" max="14358" width="11.42578125" style="158"/>
    <col min="14359" max="14359" width="14.5703125" style="158" customWidth="1"/>
    <col min="14360" max="14360" width="12.7109375" style="158" customWidth="1"/>
    <col min="14361" max="14361" width="1.5703125" style="158" customWidth="1"/>
    <col min="14362" max="14362" width="18.28515625" style="158" customWidth="1"/>
    <col min="14363" max="14363" width="11" style="158" customWidth="1"/>
    <col min="14364" max="14364" width="13.28515625" style="158" bestFit="1" customWidth="1"/>
    <col min="14365" max="14365" width="18" style="158" customWidth="1"/>
    <col min="14366" max="14366" width="11.42578125" style="158"/>
    <col min="14367" max="14367" width="11.140625" style="158" customWidth="1"/>
    <col min="14368" max="14368" width="11.42578125" style="158"/>
    <col min="14369" max="14369" width="17.42578125" style="158" customWidth="1"/>
    <col min="14370" max="14614" width="11.42578125" style="158"/>
    <col min="14615" max="14615" width="14.5703125" style="158" customWidth="1"/>
    <col min="14616" max="14616" width="12.7109375" style="158" customWidth="1"/>
    <col min="14617" max="14617" width="1.5703125" style="158" customWidth="1"/>
    <col min="14618" max="14618" width="18.28515625" style="158" customWidth="1"/>
    <col min="14619" max="14619" width="11" style="158" customWidth="1"/>
    <col min="14620" max="14620" width="13.28515625" style="158" bestFit="1" customWidth="1"/>
    <col min="14621" max="14621" width="18" style="158" customWidth="1"/>
    <col min="14622" max="14622" width="11.42578125" style="158"/>
    <col min="14623" max="14623" width="11.140625" style="158" customWidth="1"/>
    <col min="14624" max="14624" width="11.42578125" style="158"/>
    <col min="14625" max="14625" width="17.42578125" style="158" customWidth="1"/>
    <col min="14626" max="14870" width="11.42578125" style="158"/>
    <col min="14871" max="14871" width="14.5703125" style="158" customWidth="1"/>
    <col min="14872" max="14872" width="12.7109375" style="158" customWidth="1"/>
    <col min="14873" max="14873" width="1.5703125" style="158" customWidth="1"/>
    <col min="14874" max="14874" width="18.28515625" style="158" customWidth="1"/>
    <col min="14875" max="14875" width="11" style="158" customWidth="1"/>
    <col min="14876" max="14876" width="13.28515625" style="158" bestFit="1" customWidth="1"/>
    <col min="14877" max="14877" width="18" style="158" customWidth="1"/>
    <col min="14878" max="14878" width="11.42578125" style="158"/>
    <col min="14879" max="14879" width="11.140625" style="158" customWidth="1"/>
    <col min="14880" max="14880" width="11.42578125" style="158"/>
    <col min="14881" max="14881" width="17.42578125" style="158" customWidth="1"/>
    <col min="14882" max="15126" width="11.42578125" style="158"/>
    <col min="15127" max="15127" width="14.5703125" style="158" customWidth="1"/>
    <col min="15128" max="15128" width="12.7109375" style="158" customWidth="1"/>
    <col min="15129" max="15129" width="1.5703125" style="158" customWidth="1"/>
    <col min="15130" max="15130" width="18.28515625" style="158" customWidth="1"/>
    <col min="15131" max="15131" width="11" style="158" customWidth="1"/>
    <col min="15132" max="15132" width="13.28515625" style="158" bestFit="1" customWidth="1"/>
    <col min="15133" max="15133" width="18" style="158" customWidth="1"/>
    <col min="15134" max="15134" width="11.42578125" style="158"/>
    <col min="15135" max="15135" width="11.140625" style="158" customWidth="1"/>
    <col min="15136" max="15136" width="11.42578125" style="158"/>
    <col min="15137" max="15137" width="17.42578125" style="158" customWidth="1"/>
    <col min="15138" max="15382" width="11.42578125" style="158"/>
    <col min="15383" max="15383" width="14.5703125" style="158" customWidth="1"/>
    <col min="15384" max="15384" width="12.7109375" style="158" customWidth="1"/>
    <col min="15385" max="15385" width="1.5703125" style="158" customWidth="1"/>
    <col min="15386" max="15386" width="18.28515625" style="158" customWidth="1"/>
    <col min="15387" max="15387" width="11" style="158" customWidth="1"/>
    <col min="15388" max="15388" width="13.28515625" style="158" bestFit="1" customWidth="1"/>
    <col min="15389" max="15389" width="18" style="158" customWidth="1"/>
    <col min="15390" max="15390" width="11.42578125" style="158"/>
    <col min="15391" max="15391" width="11.140625" style="158" customWidth="1"/>
    <col min="15392" max="15392" width="11.42578125" style="158"/>
    <col min="15393" max="15393" width="17.42578125" style="158" customWidth="1"/>
    <col min="15394" max="15638" width="11.42578125" style="158"/>
    <col min="15639" max="15639" width="14.5703125" style="158" customWidth="1"/>
    <col min="15640" max="15640" width="12.7109375" style="158" customWidth="1"/>
    <col min="15641" max="15641" width="1.5703125" style="158" customWidth="1"/>
    <col min="15642" max="15642" width="18.28515625" style="158" customWidth="1"/>
    <col min="15643" max="15643" width="11" style="158" customWidth="1"/>
    <col min="15644" max="15644" width="13.28515625" style="158" bestFit="1" customWidth="1"/>
    <col min="15645" max="15645" width="18" style="158" customWidth="1"/>
    <col min="15646" max="15646" width="11.42578125" style="158"/>
    <col min="15647" max="15647" width="11.140625" style="158" customWidth="1"/>
    <col min="15648" max="15648" width="11.42578125" style="158"/>
    <col min="15649" max="15649" width="17.42578125" style="158" customWidth="1"/>
    <col min="15650" max="15894" width="11.42578125" style="158"/>
    <col min="15895" max="15895" width="14.5703125" style="158" customWidth="1"/>
    <col min="15896" max="15896" width="12.7109375" style="158" customWidth="1"/>
    <col min="15897" max="15897" width="1.5703125" style="158" customWidth="1"/>
    <col min="15898" max="15898" width="18.28515625" style="158" customWidth="1"/>
    <col min="15899" max="15899" width="11" style="158" customWidth="1"/>
    <col min="15900" max="15900" width="13.28515625" style="158" bestFit="1" customWidth="1"/>
    <col min="15901" max="15901" width="18" style="158" customWidth="1"/>
    <col min="15902" max="15902" width="11.42578125" style="158"/>
    <col min="15903" max="15903" width="11.140625" style="158" customWidth="1"/>
    <col min="15904" max="15904" width="11.42578125" style="158"/>
    <col min="15905" max="15905" width="17.42578125" style="158" customWidth="1"/>
    <col min="15906" max="16150" width="11.42578125" style="158"/>
    <col min="16151" max="16151" width="14.5703125" style="158" customWidth="1"/>
    <col min="16152" max="16152" width="12.7109375" style="158" customWidth="1"/>
    <col min="16153" max="16153" width="1.5703125" style="158" customWidth="1"/>
    <col min="16154" max="16154" width="18.28515625" style="158" customWidth="1"/>
    <col min="16155" max="16155" width="11" style="158" customWidth="1"/>
    <col min="16156" max="16156" width="13.28515625" style="158" bestFit="1" customWidth="1"/>
    <col min="16157" max="16157" width="18" style="158" customWidth="1"/>
    <col min="16158" max="16158" width="11.42578125" style="158"/>
    <col min="16159" max="16159" width="11.140625" style="158" customWidth="1"/>
    <col min="16160" max="16160" width="11.42578125" style="158"/>
    <col min="16161" max="16161" width="17.42578125" style="158" customWidth="1"/>
    <col min="16162" max="16384" width="11.42578125" style="158"/>
  </cols>
  <sheetData>
    <row r="1" spans="1:74" ht="12.75" customHeight="1" x14ac:dyDescent="0.2">
      <c r="A1" s="157" t="s">
        <v>136</v>
      </c>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c r="BL1" s="159"/>
      <c r="BM1" s="160" t="s">
        <v>1</v>
      </c>
    </row>
    <row r="2" spans="1:74" ht="12.75" customHeight="1" x14ac:dyDescent="0.2">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c r="AJ2" s="157"/>
      <c r="AK2" s="157"/>
      <c r="AL2" s="157"/>
      <c r="AM2" s="157"/>
      <c r="AN2" s="157"/>
      <c r="AO2" s="157"/>
      <c r="AP2" s="157"/>
      <c r="AQ2" s="157"/>
      <c r="AR2" s="157"/>
      <c r="AS2" s="157"/>
      <c r="AT2" s="157"/>
      <c r="AU2" s="157"/>
      <c r="AV2" s="157"/>
      <c r="AW2" s="157"/>
      <c r="AX2" s="157"/>
      <c r="AY2" s="157"/>
      <c r="AZ2" s="157"/>
      <c r="BA2" s="157"/>
      <c r="BB2" s="157"/>
      <c r="BC2" s="157"/>
      <c r="BD2" s="157"/>
      <c r="BE2" s="157"/>
      <c r="BF2" s="157"/>
      <c r="BG2" s="157"/>
      <c r="BH2" s="157"/>
      <c r="BI2" s="157"/>
      <c r="BL2" s="159"/>
    </row>
    <row r="3" spans="1:74" ht="12.75" customHeight="1" x14ac:dyDescent="0.2">
      <c r="A3" s="157"/>
      <c r="B3" s="157"/>
      <c r="C3" s="157"/>
      <c r="D3" s="157"/>
      <c r="E3" s="157"/>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c r="BL3" s="159"/>
    </row>
    <row r="4" spans="1:74" ht="12.75" customHeight="1" x14ac:dyDescent="0.2">
      <c r="A4" s="161"/>
      <c r="B4" s="161"/>
      <c r="C4" s="161"/>
      <c r="D4" s="161"/>
      <c r="E4" s="161"/>
      <c r="F4" s="161"/>
      <c r="G4" s="161"/>
      <c r="H4" s="161"/>
      <c r="I4" s="161"/>
      <c r="J4" s="161"/>
      <c r="K4" s="161"/>
      <c r="L4" s="161"/>
      <c r="M4" s="161"/>
      <c r="N4" s="161"/>
      <c r="O4" s="161"/>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1"/>
      <c r="AU4" s="161"/>
      <c r="AV4" s="161"/>
      <c r="AW4" s="161"/>
      <c r="AX4" s="161"/>
      <c r="AY4" s="161"/>
      <c r="AZ4" s="161"/>
      <c r="BA4" s="161"/>
      <c r="BB4" s="161"/>
      <c r="BC4" s="162"/>
      <c r="BL4" s="159"/>
    </row>
    <row r="5" spans="1:74" ht="12.75" customHeight="1" x14ac:dyDescent="0.2">
      <c r="A5" s="163" t="s">
        <v>137</v>
      </c>
      <c r="B5" s="163"/>
      <c r="C5" s="163"/>
      <c r="D5" s="163"/>
      <c r="E5" s="163"/>
      <c r="F5" s="163"/>
      <c r="G5" s="163"/>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3"/>
      <c r="AS5" s="163"/>
      <c r="AT5" s="163"/>
      <c r="AU5" s="163"/>
      <c r="AV5" s="163"/>
      <c r="AW5" s="163"/>
      <c r="AX5" s="163"/>
      <c r="AY5" s="163"/>
      <c r="AZ5" s="163"/>
      <c r="BA5" s="163"/>
      <c r="BB5" s="163"/>
      <c r="BC5" s="162"/>
      <c r="BL5" s="159"/>
    </row>
    <row r="6" spans="1:74" ht="20.100000000000001" customHeight="1" x14ac:dyDescent="0.2">
      <c r="A6" s="164" t="s">
        <v>138</v>
      </c>
      <c r="B6" s="163"/>
      <c r="C6" s="163"/>
      <c r="D6" s="163"/>
      <c r="E6" s="163"/>
      <c r="F6" s="163"/>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163"/>
      <c r="AV6" s="163"/>
      <c r="AW6" s="163"/>
      <c r="AX6" s="163"/>
      <c r="AY6" s="163"/>
      <c r="AZ6" s="163"/>
      <c r="BA6" s="163"/>
      <c r="BB6" s="163"/>
      <c r="BC6" s="165"/>
      <c r="BD6" s="166"/>
      <c r="BE6" s="166"/>
      <c r="BF6" s="166"/>
      <c r="BG6" s="166"/>
      <c r="BH6" s="166"/>
      <c r="BI6" s="166"/>
      <c r="BJ6" s="166"/>
      <c r="BK6" s="166"/>
      <c r="BL6" s="166"/>
      <c r="BM6" s="166"/>
      <c r="BN6" s="166"/>
      <c r="BO6" s="166"/>
      <c r="BP6" s="166"/>
      <c r="BQ6" s="166"/>
      <c r="BR6" s="166"/>
      <c r="BS6" s="166"/>
      <c r="BT6" s="166"/>
      <c r="BU6" s="166"/>
      <c r="BV6" s="166"/>
    </row>
    <row r="7" spans="1:74" ht="27" customHeight="1" x14ac:dyDescent="0.2">
      <c r="A7" s="167" t="s">
        <v>139</v>
      </c>
      <c r="B7" s="167"/>
      <c r="C7" s="167"/>
      <c r="D7" s="167"/>
      <c r="E7" s="167"/>
      <c r="F7" s="167"/>
      <c r="G7" s="167"/>
      <c r="H7" s="167"/>
      <c r="I7" s="167"/>
      <c r="J7" s="167"/>
      <c r="K7" s="167"/>
      <c r="L7" s="167"/>
      <c r="M7" s="167"/>
      <c r="N7" s="167"/>
      <c r="O7" s="167"/>
      <c r="P7" s="167"/>
      <c r="Q7" s="167"/>
      <c r="R7" s="167"/>
      <c r="S7" s="167"/>
      <c r="T7" s="167"/>
      <c r="U7" s="167"/>
      <c r="V7" s="167"/>
      <c r="W7" s="167"/>
      <c r="X7" s="167"/>
      <c r="Y7" s="167"/>
      <c r="Z7" s="167"/>
      <c r="AA7" s="167"/>
      <c r="AB7" s="167"/>
      <c r="AC7" s="167"/>
      <c r="AD7" s="167"/>
      <c r="AE7" s="167"/>
      <c r="AF7" s="167"/>
      <c r="AG7" s="167"/>
      <c r="AH7" s="167"/>
      <c r="AI7" s="167"/>
      <c r="AJ7" s="167"/>
      <c r="AK7" s="167"/>
      <c r="AL7" s="167"/>
      <c r="AM7" s="167"/>
      <c r="AN7" s="167"/>
      <c r="AO7" s="167"/>
      <c r="AP7" s="167"/>
      <c r="AQ7" s="167"/>
      <c r="AR7" s="167"/>
      <c r="AS7" s="167"/>
      <c r="AT7" s="167"/>
      <c r="AU7" s="167"/>
      <c r="AV7" s="167"/>
      <c r="AW7" s="167"/>
      <c r="AX7" s="167"/>
      <c r="AY7" s="167"/>
      <c r="AZ7" s="167"/>
      <c r="BA7" s="167"/>
      <c r="BB7" s="167"/>
      <c r="BC7" s="165"/>
      <c r="BD7" s="166"/>
      <c r="BE7" s="166"/>
      <c r="BF7" s="166"/>
      <c r="BG7" s="166"/>
      <c r="BH7" s="166"/>
      <c r="BI7" s="166"/>
      <c r="BJ7" s="166"/>
      <c r="BK7" s="166"/>
      <c r="BL7" s="166"/>
      <c r="BM7" s="166"/>
      <c r="BN7" s="166"/>
      <c r="BO7" s="166"/>
      <c r="BP7" s="166"/>
      <c r="BQ7" s="166"/>
      <c r="BR7" s="166"/>
      <c r="BS7" s="166"/>
      <c r="BT7" s="166"/>
      <c r="BU7" s="166"/>
      <c r="BV7" s="166"/>
    </row>
    <row r="8" spans="1:74" ht="20.100000000000001" customHeight="1" x14ac:dyDescent="0.2">
      <c r="A8" s="167" t="s">
        <v>140</v>
      </c>
      <c r="B8" s="167"/>
      <c r="C8" s="167"/>
      <c r="D8" s="167"/>
      <c r="E8" s="167"/>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U8" s="167"/>
      <c r="AV8" s="167"/>
      <c r="AW8" s="167"/>
      <c r="AX8" s="167"/>
      <c r="AY8" s="167"/>
      <c r="AZ8" s="167"/>
      <c r="BA8" s="167"/>
      <c r="BB8" s="167"/>
      <c r="BC8" s="165"/>
      <c r="BL8" s="159"/>
    </row>
    <row r="9" spans="1:74" ht="20.100000000000001" customHeight="1" x14ac:dyDescent="0.2">
      <c r="A9" s="168" t="s">
        <v>141</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5"/>
      <c r="BL9" s="159"/>
    </row>
    <row r="10" spans="1:74" ht="20.100000000000001" customHeight="1" x14ac:dyDescent="0.2">
      <c r="A10" s="167" t="s">
        <v>142</v>
      </c>
      <c r="B10" s="167"/>
      <c r="C10" s="167"/>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167"/>
      <c r="AE10" s="167"/>
      <c r="AF10" s="167"/>
      <c r="AG10" s="167"/>
      <c r="AH10" s="167"/>
      <c r="AI10" s="167"/>
      <c r="AJ10" s="167"/>
      <c r="AK10" s="167"/>
      <c r="AL10" s="167"/>
      <c r="AM10" s="167"/>
      <c r="AN10" s="167"/>
      <c r="AO10" s="167"/>
      <c r="AP10" s="167"/>
      <c r="AQ10" s="167"/>
      <c r="AR10" s="167"/>
      <c r="AS10" s="167"/>
      <c r="AT10" s="167"/>
      <c r="AU10" s="167"/>
      <c r="AV10" s="167"/>
      <c r="AW10" s="167"/>
      <c r="AX10" s="167"/>
      <c r="AY10" s="167"/>
      <c r="AZ10" s="167"/>
      <c r="BA10" s="167"/>
      <c r="BB10" s="167"/>
      <c r="BC10" s="165"/>
      <c r="BL10" s="159"/>
    </row>
    <row r="11" spans="1:74" ht="20.100000000000001" customHeight="1" x14ac:dyDescent="0.2">
      <c r="A11" s="167" t="s">
        <v>143</v>
      </c>
      <c r="B11" s="167"/>
      <c r="C11" s="167"/>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c r="BA11" s="167"/>
      <c r="BB11" s="167"/>
      <c r="BC11" s="165"/>
      <c r="BL11" s="159"/>
    </row>
    <row r="12" spans="1:74" ht="20.100000000000001" customHeight="1" x14ac:dyDescent="0.2">
      <c r="A12" s="167" t="s">
        <v>144</v>
      </c>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5"/>
      <c r="BL12" s="159"/>
    </row>
    <row r="13" spans="1:74" ht="20.100000000000001" customHeight="1" x14ac:dyDescent="0.2">
      <c r="A13" s="168" t="s">
        <v>145</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5"/>
      <c r="BD13" s="158" t="str">
        <f ca="1">IFERROR(_xll.BDP($BW13,"CUR_MKT_CAP")/1000000000,"-")</f>
        <v>-</v>
      </c>
      <c r="BG13" s="158" t="s">
        <v>42</v>
      </c>
      <c r="BJ13" s="158" t="str">
        <f ca="1">IFERROR(_xll.BDP($BW13,"PX_TO_BOOK_RATIO")*1,"-")</f>
        <v>-</v>
      </c>
      <c r="BL13" s="159"/>
      <c r="BM13" s="158" t="str">
        <f ca="1">IFERROR(_xll.BDP($BW13,"PE_RATIO")*1,"-")</f>
        <v>-</v>
      </c>
      <c r="BP13" s="158" t="str">
        <f ca="1">IFERROR(_xll.BDP($BW13,"PX_TO_SALES_RATIO")*1,"-")</f>
        <v>-</v>
      </c>
      <c r="BS13" s="158" t="str">
        <f ca="1">IFERROR(_xll.BDP($BW13,"PX_TO_FREE_CASH_FLOW")*1,"-")</f>
        <v>-</v>
      </c>
    </row>
    <row r="14" spans="1:74" ht="20.100000000000001" customHeight="1" x14ac:dyDescent="0.2">
      <c r="A14" s="463" t="s">
        <v>146</v>
      </c>
      <c r="B14" s="463"/>
      <c r="C14" s="463"/>
      <c r="D14" s="463"/>
      <c r="E14" s="463"/>
      <c r="F14" s="463"/>
      <c r="G14" s="463"/>
      <c r="H14" s="463"/>
      <c r="I14" s="463"/>
      <c r="J14" s="463"/>
      <c r="K14" s="463"/>
      <c r="L14" s="463"/>
      <c r="M14" s="463"/>
      <c r="N14" s="463"/>
      <c r="O14" s="463"/>
      <c r="P14" s="463"/>
      <c r="Q14" s="463"/>
      <c r="R14" s="463"/>
      <c r="S14" s="463"/>
      <c r="T14" s="463"/>
      <c r="U14" s="463"/>
      <c r="V14" s="463"/>
      <c r="W14" s="463"/>
      <c r="X14" s="463"/>
      <c r="Y14" s="463"/>
      <c r="Z14" s="463"/>
      <c r="AA14" s="463"/>
      <c r="AB14" s="463"/>
      <c r="AC14" s="463"/>
      <c r="AD14" s="463"/>
      <c r="AE14" s="463"/>
      <c r="AF14" s="463"/>
      <c r="AG14" s="463"/>
      <c r="AH14" s="463"/>
      <c r="AI14" s="463"/>
      <c r="AJ14" s="463"/>
      <c r="AK14" s="463"/>
      <c r="AL14" s="463"/>
      <c r="AM14" s="463"/>
      <c r="AN14" s="463"/>
      <c r="AO14" s="463"/>
      <c r="AP14" s="463"/>
      <c r="AQ14" s="463"/>
      <c r="AR14" s="463"/>
      <c r="AS14" s="463"/>
      <c r="AT14" s="463"/>
      <c r="AU14" s="463"/>
      <c r="AV14" s="463"/>
      <c r="AW14" s="463"/>
      <c r="AX14" s="463"/>
      <c r="AY14" s="463"/>
      <c r="AZ14" s="463"/>
      <c r="BA14" s="463"/>
      <c r="BB14" s="463"/>
      <c r="BC14" s="165"/>
    </row>
    <row r="15" spans="1:74" ht="20.100000000000001" customHeight="1" x14ac:dyDescent="0.2">
      <c r="A15" s="465" t="s">
        <v>147</v>
      </c>
      <c r="B15" s="465"/>
      <c r="C15" s="465"/>
      <c r="D15" s="465"/>
      <c r="E15" s="465"/>
      <c r="F15" s="465"/>
      <c r="G15" s="465"/>
      <c r="H15" s="465"/>
      <c r="I15" s="465"/>
      <c r="J15" s="465"/>
      <c r="K15" s="465"/>
      <c r="L15" s="465"/>
      <c r="M15" s="465"/>
      <c r="N15" s="465"/>
      <c r="O15" s="465"/>
      <c r="P15" s="465"/>
      <c r="Q15" s="465"/>
      <c r="R15" s="465"/>
      <c r="S15" s="465"/>
      <c r="T15" s="465"/>
      <c r="U15" s="465"/>
      <c r="V15" s="465"/>
      <c r="W15" s="465"/>
      <c r="X15" s="465"/>
      <c r="Y15" s="465"/>
      <c r="Z15" s="465"/>
      <c r="AA15" s="465"/>
      <c r="AB15" s="465"/>
      <c r="AC15" s="465"/>
      <c r="AD15" s="465"/>
      <c r="AE15" s="465"/>
      <c r="AF15" s="465"/>
      <c r="AG15" s="465"/>
      <c r="AH15" s="465"/>
      <c r="AI15" s="465"/>
      <c r="AJ15" s="465"/>
      <c r="AK15" s="465"/>
      <c r="AL15" s="465"/>
      <c r="AM15" s="465"/>
      <c r="AN15" s="465"/>
      <c r="AO15" s="465"/>
      <c r="AP15" s="465"/>
      <c r="AQ15" s="465"/>
      <c r="AR15" s="465"/>
      <c r="AS15" s="465"/>
      <c r="AT15" s="465"/>
      <c r="AU15" s="465"/>
      <c r="AV15" s="465"/>
      <c r="AW15" s="465"/>
      <c r="AX15" s="465"/>
      <c r="AY15" s="465"/>
      <c r="AZ15" s="465"/>
      <c r="BA15" s="465"/>
      <c r="BB15" s="465"/>
      <c r="BC15" s="165"/>
      <c r="BD15" s="169"/>
      <c r="BE15" s="169"/>
      <c r="BF15" s="169"/>
      <c r="BG15" s="169"/>
      <c r="BH15" s="169"/>
      <c r="BI15" s="169"/>
      <c r="BJ15" s="169"/>
      <c r="BK15" s="169"/>
      <c r="BL15" s="169"/>
      <c r="BM15" s="169"/>
      <c r="BN15" s="169"/>
      <c r="BO15" s="169"/>
      <c r="BP15" s="169"/>
      <c r="BQ15" s="169"/>
      <c r="BR15" s="169"/>
      <c r="BS15" s="169"/>
      <c r="BT15" s="169"/>
      <c r="BU15" s="169"/>
      <c r="BV15" s="169"/>
    </row>
    <row r="16" spans="1:74" ht="20.100000000000001" customHeight="1" x14ac:dyDescent="0.2">
      <c r="A16" s="168" t="s">
        <v>148</v>
      </c>
      <c r="B16" s="168"/>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8"/>
      <c r="AC16" s="168"/>
      <c r="AD16" s="168"/>
      <c r="AE16" s="168"/>
      <c r="AF16" s="168"/>
      <c r="AG16" s="168"/>
      <c r="AH16" s="168"/>
      <c r="AI16" s="168"/>
      <c r="AJ16" s="168"/>
      <c r="AK16" s="168"/>
      <c r="AL16" s="168"/>
      <c r="AM16" s="168"/>
      <c r="AN16" s="168"/>
      <c r="AO16" s="168"/>
      <c r="AP16" s="168"/>
      <c r="AQ16" s="168"/>
      <c r="AR16" s="168"/>
      <c r="AS16" s="168"/>
      <c r="AT16" s="168"/>
      <c r="AU16" s="168"/>
      <c r="AV16" s="168"/>
      <c r="AW16" s="168"/>
      <c r="AX16" s="168"/>
      <c r="AY16" s="168"/>
      <c r="AZ16" s="168"/>
      <c r="BA16" s="168"/>
      <c r="BB16" s="168"/>
      <c r="BC16" s="165"/>
      <c r="BD16" s="169"/>
      <c r="BE16" s="169"/>
      <c r="BF16" s="169"/>
      <c r="BG16" s="169"/>
      <c r="BH16" s="169"/>
      <c r="BI16" s="169"/>
      <c r="BJ16" s="169"/>
      <c r="BK16" s="169"/>
      <c r="BL16" s="169"/>
      <c r="BM16" s="169"/>
      <c r="BN16" s="169"/>
      <c r="BO16" s="169"/>
      <c r="BP16" s="169"/>
      <c r="BQ16" s="169" t="str">
        <f>IF(OR(IFERROR(VLOOKUP(CA16,[1]ARS!A:EL,MATCH("Price To Earnings",[1]ARS!$4:$4,0),FALSE),"-")&lt;0,IFERROR(VLOOKUP(CA16,[1]ARS!A:EL,MATCH("Price To Earnings",[1]ARS!$4:$4,0),FALSE),"-")&gt;500),"-",IFERROR(VLOOKUP(CA16,[1]ARS!A:EL,MATCH("Price To Earnings",[1]ARS!$4:$4,0),FALSE),"-"))</f>
        <v>-</v>
      </c>
      <c r="BR16" s="169"/>
      <c r="BS16" s="169"/>
      <c r="BT16" s="169"/>
      <c r="BU16" s="169"/>
      <c r="BV16" s="169"/>
    </row>
    <row r="17" spans="1:82" ht="20.100000000000001" customHeight="1" x14ac:dyDescent="0.2">
      <c r="A17" s="167" t="s">
        <v>149</v>
      </c>
      <c r="B17" s="167"/>
      <c r="C17" s="167"/>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7"/>
      <c r="AG17" s="167"/>
      <c r="AH17" s="167"/>
      <c r="AI17" s="167"/>
      <c r="AJ17" s="167"/>
      <c r="AK17" s="167"/>
      <c r="AL17" s="167"/>
      <c r="AM17" s="167"/>
      <c r="AN17" s="167"/>
      <c r="AO17" s="167"/>
      <c r="AP17" s="167"/>
      <c r="AQ17" s="167"/>
      <c r="AR17" s="167"/>
      <c r="AS17" s="167"/>
      <c r="AT17" s="167"/>
      <c r="AU17" s="167"/>
      <c r="AV17" s="167"/>
      <c r="AW17" s="167"/>
      <c r="AX17" s="167"/>
      <c r="AY17" s="167"/>
      <c r="AZ17" s="167"/>
      <c r="BA17" s="167"/>
      <c r="BB17" s="167"/>
      <c r="BC17" s="165"/>
      <c r="BD17" s="169"/>
      <c r="BE17" s="169"/>
      <c r="BF17" s="169"/>
      <c r="BG17" s="169"/>
      <c r="BH17" s="169"/>
      <c r="BI17" s="169"/>
      <c r="BJ17" s="169"/>
      <c r="BK17" s="169"/>
      <c r="BL17" s="169"/>
      <c r="BM17" s="169"/>
      <c r="BN17" s="169"/>
      <c r="BO17" s="169"/>
      <c r="BP17" s="169"/>
      <c r="BQ17" s="169" t="str">
        <f>IF(OR(IFERROR(VLOOKUP(CA17,[1]ARS!A:EL,MATCH("Price To Earnings",[1]ARS!$4:$4,0),FALSE),"-")&lt;0,IFERROR(VLOOKUP(CA17,[1]ARS!A:EL,MATCH("Price To Earnings",[1]ARS!$4:$4,0),FALSE),"-")&gt;500),"-",IFERROR(VLOOKUP(CA17,[1]ARS!A:EL,MATCH("Price To Earnings",[1]ARS!$4:$4,0),FALSE),"-"))</f>
        <v>-</v>
      </c>
      <c r="BR17" s="169"/>
      <c r="BS17" s="169"/>
      <c r="BT17" s="169"/>
      <c r="BU17" s="169"/>
      <c r="BV17" s="169"/>
    </row>
    <row r="18" spans="1:82" ht="20.100000000000001" customHeight="1" x14ac:dyDescent="0.2">
      <c r="A18" s="167" t="s">
        <v>150</v>
      </c>
      <c r="B18" s="167"/>
      <c r="C18" s="167"/>
      <c r="D18" s="167"/>
      <c r="E18" s="167"/>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c r="BA18" s="167"/>
      <c r="BB18" s="167"/>
      <c r="BC18" s="165"/>
      <c r="BD18" s="169"/>
      <c r="BE18" s="169"/>
      <c r="BF18" s="169"/>
      <c r="BG18" s="169"/>
      <c r="BH18" s="169"/>
      <c r="BI18" s="169"/>
      <c r="BJ18" s="169"/>
      <c r="BK18" s="169"/>
      <c r="BL18" s="169"/>
      <c r="BM18" s="169"/>
      <c r="BN18" s="169"/>
      <c r="BO18" s="169"/>
      <c r="BP18" s="169"/>
      <c r="BQ18" s="169" t="str">
        <f>IF(OR(IFERROR(VLOOKUP(CA18,[1]ARS!A:EL,MATCH("Price To Earnings",[1]ARS!$4:$4,0),FALSE),"-")&lt;0,IFERROR(VLOOKUP(CA18,[1]ARS!A:EL,MATCH("Price To Earnings",[1]ARS!$4:$4,0),FALSE),"-")&gt;500),"-",IFERROR(VLOOKUP(CA18,[1]ARS!A:EL,MATCH("Price To Earnings",[1]ARS!$4:$4,0),FALSE),"-"))</f>
        <v>-</v>
      </c>
      <c r="BR18" s="169"/>
      <c r="BS18" s="169"/>
      <c r="BT18" s="169"/>
      <c r="BU18" s="169"/>
      <c r="BV18" s="169"/>
    </row>
    <row r="19" spans="1:82" ht="20.100000000000001" customHeight="1" x14ac:dyDescent="0.2">
      <c r="A19" s="167" t="s">
        <v>151</v>
      </c>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7"/>
      <c r="AG19" s="167"/>
      <c r="AH19" s="167"/>
      <c r="AI19" s="167"/>
      <c r="AJ19" s="167"/>
      <c r="AK19" s="167"/>
      <c r="AL19" s="167"/>
      <c r="AM19" s="167"/>
      <c r="AN19" s="167"/>
      <c r="AO19" s="167"/>
      <c r="AP19" s="167"/>
      <c r="AQ19" s="167"/>
      <c r="AR19" s="167"/>
      <c r="AS19" s="167"/>
      <c r="AT19" s="167"/>
      <c r="AU19" s="167"/>
      <c r="AV19" s="167"/>
      <c r="AW19" s="167"/>
      <c r="AX19" s="167"/>
      <c r="AY19" s="167"/>
      <c r="AZ19" s="167"/>
      <c r="BA19" s="167"/>
      <c r="BB19" s="167"/>
      <c r="BC19" s="165"/>
      <c r="BD19" s="169"/>
      <c r="BE19" s="169"/>
      <c r="BF19" s="169"/>
      <c r="BG19" s="169"/>
      <c r="BH19" s="169"/>
      <c r="BI19" s="169"/>
      <c r="BJ19" s="169"/>
      <c r="BK19" s="169"/>
      <c r="BL19" s="169"/>
      <c r="BM19" s="169"/>
      <c r="BN19" s="169"/>
      <c r="BO19" s="169"/>
      <c r="BP19" s="169"/>
      <c r="BQ19" s="169" t="str">
        <f>IF(OR(IFERROR(VLOOKUP(CA19,[1]ARS!A:EL,MATCH("Price To Earnings",[1]ARS!$4:$4,0),FALSE),"-")&lt;0,IFERROR(VLOOKUP(CA19,[1]ARS!A:EL,MATCH("Price To Earnings",[1]ARS!$4:$4,0),FALSE),"-")&gt;500),"-",IFERROR(VLOOKUP(CA19,[1]ARS!A:EL,MATCH("Price To Earnings",[1]ARS!$4:$4,0),FALSE),"-"))</f>
        <v>-</v>
      </c>
      <c r="BR19" s="169"/>
      <c r="BS19" s="169"/>
      <c r="BT19" s="169"/>
      <c r="BU19" s="169"/>
      <c r="BV19" s="169"/>
    </row>
    <row r="20" spans="1:82" ht="20.100000000000001" customHeight="1" x14ac:dyDescent="0.2">
      <c r="A20" s="167" t="s">
        <v>152</v>
      </c>
      <c r="B20" s="167"/>
      <c r="C20" s="167"/>
      <c r="D20" s="167"/>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c r="BA20" s="167"/>
      <c r="BB20" s="167"/>
      <c r="BC20" s="165"/>
      <c r="BD20" s="169"/>
      <c r="BE20" s="169"/>
      <c r="BF20" s="169"/>
      <c r="BG20" s="169"/>
      <c r="BH20" s="169"/>
      <c r="BI20" s="169"/>
      <c r="BJ20" s="169"/>
      <c r="BK20" s="169"/>
      <c r="BL20" s="169"/>
      <c r="BM20" s="169"/>
      <c r="BN20" s="169"/>
      <c r="BO20" s="169"/>
      <c r="BP20" s="169"/>
      <c r="BQ20" s="169" t="str">
        <f>IF(OR(IFERROR(VLOOKUP(CA20,[1]ARS!A:EL,MATCH("Price To Earnings",[1]ARS!$4:$4,0),FALSE),"-")&lt;0,IFERROR(VLOOKUP(CA20,[1]ARS!A:EL,MATCH("Price To Earnings",[1]ARS!$4:$4,0),FALSE),"-")&gt;500),"-",IFERROR(VLOOKUP(CA20,[1]ARS!A:EL,MATCH("Price To Earnings",[1]ARS!$4:$4,0),FALSE),"-"))</f>
        <v>-</v>
      </c>
      <c r="BR20" s="169"/>
      <c r="BS20" s="169"/>
      <c r="BT20" s="169"/>
      <c r="BU20" s="169"/>
      <c r="BV20" s="169"/>
    </row>
    <row r="21" spans="1:82" ht="36" customHeight="1" x14ac:dyDescent="0.2">
      <c r="A21" s="463" t="s">
        <v>153</v>
      </c>
      <c r="B21" s="463"/>
      <c r="C21" s="463"/>
      <c r="D21" s="463"/>
      <c r="E21" s="463"/>
      <c r="F21" s="463"/>
      <c r="G21" s="463"/>
      <c r="H21" s="463"/>
      <c r="I21" s="463"/>
      <c r="J21" s="463"/>
      <c r="K21" s="463"/>
      <c r="L21" s="463"/>
      <c r="M21" s="463"/>
      <c r="N21" s="463"/>
      <c r="O21" s="463"/>
      <c r="P21" s="463"/>
      <c r="Q21" s="463"/>
      <c r="R21" s="463"/>
      <c r="S21" s="463"/>
      <c r="T21" s="463"/>
      <c r="U21" s="463"/>
      <c r="V21" s="463"/>
      <c r="W21" s="463"/>
      <c r="X21" s="463"/>
      <c r="Y21" s="463"/>
      <c r="Z21" s="463"/>
      <c r="AA21" s="463"/>
      <c r="AB21" s="463"/>
      <c r="AC21" s="463"/>
      <c r="AD21" s="463"/>
      <c r="AE21" s="463"/>
      <c r="AF21" s="463"/>
      <c r="AG21" s="463"/>
      <c r="AH21" s="463"/>
      <c r="AI21" s="463"/>
      <c r="AJ21" s="463"/>
      <c r="AK21" s="463"/>
      <c r="AL21" s="463"/>
      <c r="AM21" s="463"/>
      <c r="AN21" s="463"/>
      <c r="AO21" s="463"/>
      <c r="AP21" s="463"/>
      <c r="AQ21" s="463"/>
      <c r="AR21" s="463"/>
      <c r="AS21" s="463"/>
      <c r="AT21" s="463"/>
      <c r="AU21" s="463"/>
      <c r="AV21" s="463"/>
      <c r="AW21" s="463"/>
      <c r="AX21" s="463"/>
      <c r="AY21" s="463"/>
      <c r="AZ21" s="463"/>
      <c r="BA21" s="463"/>
      <c r="BB21" s="463"/>
      <c r="BC21" s="165"/>
      <c r="BD21" s="169"/>
      <c r="BE21" s="169"/>
      <c r="BF21" s="169"/>
      <c r="BG21" s="169"/>
      <c r="BH21" s="169"/>
      <c r="BI21" s="169"/>
      <c r="BJ21" s="169"/>
      <c r="BK21" s="169"/>
      <c r="BL21" s="170"/>
      <c r="BM21" s="169"/>
      <c r="BN21" s="169"/>
      <c r="BO21" s="169"/>
      <c r="BP21" s="169"/>
      <c r="BQ21" s="169" t="str">
        <f>IF(OR(IFERROR(VLOOKUP(CA21,[1]ARS!A:EL,MATCH("Price To Earnings",[1]ARS!$4:$4,0),FALSE),"-")&lt;0,IFERROR(VLOOKUP(CA21,[1]ARS!A:EL,MATCH("Price To Earnings",[1]ARS!$4:$4,0),FALSE),"-")&gt;500),"-",IFERROR(VLOOKUP(CA21,[1]ARS!A:EL,MATCH("Price To Earnings",[1]ARS!$4:$4,0),FALSE),"-"))</f>
        <v>-</v>
      </c>
      <c r="BR21" s="169"/>
      <c r="BS21" s="169"/>
      <c r="BT21" s="169"/>
      <c r="BU21" s="169"/>
      <c r="BV21" s="169"/>
    </row>
    <row r="22" spans="1:82" ht="20.100000000000001" customHeight="1" x14ac:dyDescent="0.2">
      <c r="A22" s="463" t="s">
        <v>154</v>
      </c>
      <c r="B22" s="463"/>
      <c r="C22" s="463"/>
      <c r="D22" s="463"/>
      <c r="E22" s="463"/>
      <c r="F22" s="463"/>
      <c r="G22" s="463"/>
      <c r="H22" s="463"/>
      <c r="I22" s="463"/>
      <c r="J22" s="463"/>
      <c r="K22" s="463"/>
      <c r="L22" s="463"/>
      <c r="M22" s="468"/>
      <c r="N22" s="463"/>
      <c r="O22" s="463"/>
      <c r="P22" s="463"/>
      <c r="Q22" s="463"/>
      <c r="R22" s="463"/>
      <c r="S22" s="463"/>
      <c r="T22" s="463"/>
      <c r="U22" s="463"/>
      <c r="V22" s="463"/>
      <c r="W22" s="463"/>
      <c r="X22" s="463"/>
      <c r="Y22" s="463"/>
      <c r="Z22" s="463"/>
      <c r="AA22" s="463"/>
      <c r="AB22" s="463"/>
      <c r="AC22" s="463"/>
      <c r="AD22" s="463"/>
      <c r="AE22" s="463"/>
      <c r="AF22" s="463"/>
      <c r="AG22" s="463"/>
      <c r="AH22" s="463"/>
      <c r="AI22" s="463"/>
      <c r="AJ22" s="463"/>
      <c r="AK22" s="463"/>
      <c r="AL22" s="463"/>
      <c r="AM22" s="463"/>
      <c r="AN22" s="463"/>
      <c r="AO22" s="463"/>
      <c r="AP22" s="463"/>
      <c r="AQ22" s="463"/>
      <c r="AR22" s="463"/>
      <c r="AS22" s="463"/>
      <c r="AT22" s="463"/>
      <c r="AU22" s="463"/>
      <c r="AV22" s="463"/>
      <c r="AW22" s="463"/>
      <c r="AX22" s="463"/>
      <c r="AY22" s="463"/>
      <c r="AZ22" s="463"/>
      <c r="BA22" s="463"/>
      <c r="BB22" s="463"/>
      <c r="BC22" s="165"/>
      <c r="BD22" s="169"/>
      <c r="BE22" s="169"/>
      <c r="BF22" s="169"/>
      <c r="BG22" s="169"/>
      <c r="BH22" s="169"/>
      <c r="BI22" s="169"/>
      <c r="BJ22" s="169"/>
      <c r="BK22" s="169"/>
      <c r="BL22" s="170"/>
      <c r="BM22" s="169"/>
      <c r="BN22" s="169"/>
      <c r="BO22" s="169"/>
      <c r="BP22" s="169"/>
      <c r="BQ22" s="169" t="str">
        <f>IF(OR(IFERROR(VLOOKUP(CA22,[1]ARS!A:EL,MATCH("Price To Earnings",[1]ARS!$4:$4,0),FALSE),"-")&lt;0,IFERROR(VLOOKUP(CA22,[1]ARS!A:EL,MATCH("Price To Earnings",[1]ARS!$4:$4,0),FALSE),"-")&gt;500),"-",IFERROR(VLOOKUP(CA22,[1]ARS!A:EL,MATCH("Price To Earnings",[1]ARS!$4:$4,0),FALSE),"-"))</f>
        <v>-</v>
      </c>
      <c r="BR22" s="169"/>
      <c r="BS22" s="169"/>
      <c r="BT22" s="169"/>
      <c r="BU22" s="169"/>
      <c r="BV22" s="169"/>
    </row>
    <row r="23" spans="1:82" s="173" customFormat="1" ht="20.100000000000001" customHeight="1" x14ac:dyDescent="0.2">
      <c r="A23" s="463" t="s">
        <v>155</v>
      </c>
      <c r="B23" s="463"/>
      <c r="C23" s="463"/>
      <c r="D23" s="463"/>
      <c r="E23" s="463"/>
      <c r="F23" s="463"/>
      <c r="G23" s="463"/>
      <c r="H23" s="463"/>
      <c r="I23" s="463"/>
      <c r="J23" s="463"/>
      <c r="K23" s="463"/>
      <c r="L23" s="463"/>
      <c r="M23" s="463"/>
      <c r="N23" s="463"/>
      <c r="O23" s="463"/>
      <c r="P23" s="463"/>
      <c r="Q23" s="463"/>
      <c r="R23" s="463"/>
      <c r="S23" s="463"/>
      <c r="T23" s="463"/>
      <c r="U23" s="463"/>
      <c r="V23" s="463"/>
      <c r="W23" s="463"/>
      <c r="X23" s="463"/>
      <c r="Y23" s="463"/>
      <c r="Z23" s="463"/>
      <c r="AA23" s="463"/>
      <c r="AB23" s="463"/>
      <c r="AC23" s="463"/>
      <c r="AD23" s="463"/>
      <c r="AE23" s="463"/>
      <c r="AF23" s="463"/>
      <c r="AG23" s="463"/>
      <c r="AH23" s="463"/>
      <c r="AI23" s="463"/>
      <c r="AJ23" s="463"/>
      <c r="AK23" s="463"/>
      <c r="AL23" s="463"/>
      <c r="AM23" s="463"/>
      <c r="AN23" s="463"/>
      <c r="AO23" s="463"/>
      <c r="AP23" s="463"/>
      <c r="AQ23" s="463"/>
      <c r="AR23" s="463"/>
      <c r="AS23" s="463"/>
      <c r="AT23" s="463"/>
      <c r="AU23" s="463"/>
      <c r="AV23" s="463"/>
      <c r="AW23" s="463"/>
      <c r="AX23" s="463"/>
      <c r="AY23" s="463"/>
      <c r="AZ23" s="463"/>
      <c r="BA23" s="463"/>
      <c r="BB23" s="463"/>
      <c r="BC23" s="165"/>
      <c r="BD23" s="171"/>
      <c r="BE23" s="171"/>
      <c r="BF23" s="171"/>
      <c r="BG23" s="171"/>
      <c r="BH23" s="171"/>
      <c r="BI23" s="171"/>
      <c r="BJ23" s="171"/>
      <c r="BK23" s="171"/>
      <c r="BL23" s="172"/>
      <c r="BM23" s="171"/>
      <c r="BN23" s="171"/>
      <c r="BO23" s="171"/>
      <c r="BP23" s="171"/>
      <c r="BQ23" s="171" t="str">
        <f>IF(OR(IFERROR(VLOOKUP(CA23,[1]ARS!A:EL,MATCH("Price To Earnings",[1]ARS!$4:$4,0),FALSE),"-")&lt;0,IFERROR(VLOOKUP(CA23,[1]ARS!A:EL,MATCH("Price To Earnings",[1]ARS!$4:$4,0),FALSE),"-")&gt;500),"-",IFERROR(VLOOKUP(CA23,[1]ARS!A:EL,MATCH("Price To Earnings",[1]ARS!$4:$4,0),FALSE),"-"))</f>
        <v>-</v>
      </c>
      <c r="BR23" s="171"/>
      <c r="BS23" s="171"/>
      <c r="BT23" s="171"/>
      <c r="BU23" s="171"/>
      <c r="BV23" s="171"/>
      <c r="CD23" s="174"/>
    </row>
    <row r="24" spans="1:82" ht="20.100000000000001" customHeight="1" x14ac:dyDescent="0.2">
      <c r="A24" s="465" t="s">
        <v>156</v>
      </c>
      <c r="B24" s="465"/>
      <c r="C24" s="465"/>
      <c r="D24" s="465"/>
      <c r="E24" s="465"/>
      <c r="F24" s="465"/>
      <c r="G24" s="465"/>
      <c r="H24" s="465"/>
      <c r="I24" s="465"/>
      <c r="J24" s="465"/>
      <c r="K24" s="465"/>
      <c r="L24" s="465"/>
      <c r="M24" s="469"/>
      <c r="N24" s="465"/>
      <c r="O24" s="465"/>
      <c r="P24" s="465"/>
      <c r="Q24" s="465"/>
      <c r="R24" s="465"/>
      <c r="S24" s="465"/>
      <c r="T24" s="465"/>
      <c r="U24" s="465"/>
      <c r="V24" s="465"/>
      <c r="W24" s="465"/>
      <c r="X24" s="465"/>
      <c r="Y24" s="465"/>
      <c r="Z24" s="465"/>
      <c r="AA24" s="465"/>
      <c r="AB24" s="465"/>
      <c r="AC24" s="465"/>
      <c r="AD24" s="465"/>
      <c r="AE24" s="465"/>
      <c r="AF24" s="465"/>
      <c r="AG24" s="465"/>
      <c r="AH24" s="465"/>
      <c r="AI24" s="465"/>
      <c r="AJ24" s="465"/>
      <c r="AK24" s="465"/>
      <c r="AL24" s="465"/>
      <c r="AM24" s="465"/>
      <c r="AN24" s="465"/>
      <c r="AO24" s="465"/>
      <c r="AP24" s="465"/>
      <c r="AQ24" s="465"/>
      <c r="AR24" s="465"/>
      <c r="AS24" s="465"/>
      <c r="AT24" s="465"/>
      <c r="AU24" s="465"/>
      <c r="AV24" s="465"/>
      <c r="AW24" s="465"/>
      <c r="AX24" s="465"/>
      <c r="AY24" s="465"/>
      <c r="AZ24" s="465"/>
      <c r="BA24" s="465"/>
      <c r="BB24" s="465"/>
      <c r="BC24" s="165"/>
      <c r="BD24" s="169"/>
      <c r="BE24" s="169"/>
      <c r="BF24" s="169"/>
      <c r="BG24" s="169"/>
      <c r="BH24" s="169"/>
      <c r="BI24" s="169"/>
      <c r="BJ24" s="169"/>
      <c r="BK24" s="169"/>
      <c r="BL24" s="170"/>
      <c r="BM24" s="169"/>
      <c r="BN24" s="169"/>
      <c r="BO24" s="169"/>
      <c r="BP24" s="169"/>
      <c r="BQ24" s="169" t="str">
        <f>IF(OR(IFERROR(VLOOKUP(CA24,[1]ARS!A:EL,MATCH("Price To Earnings",[1]ARS!$4:$4,0),FALSE),"-")&lt;0,IFERROR(VLOOKUP(CA24,[1]ARS!A:EL,MATCH("Price To Earnings",[1]ARS!$4:$4,0),FALSE),"-")&gt;500),"-",IFERROR(VLOOKUP(CA24,[1]ARS!A:EL,MATCH("Price To Earnings",[1]ARS!$4:$4,0),FALSE),"-"))</f>
        <v>-</v>
      </c>
      <c r="BR24" s="169"/>
      <c r="BS24" s="169"/>
      <c r="BT24" s="169"/>
      <c r="BU24" s="169"/>
      <c r="BV24" s="169"/>
      <c r="CD24" s="174"/>
    </row>
    <row r="25" spans="1:82" ht="20.100000000000001" customHeight="1" x14ac:dyDescent="0.2">
      <c r="A25" s="465" t="s">
        <v>157</v>
      </c>
      <c r="B25" s="465"/>
      <c r="C25" s="465"/>
      <c r="D25" s="465"/>
      <c r="E25" s="465"/>
      <c r="F25" s="465"/>
      <c r="G25" s="465"/>
      <c r="H25" s="465"/>
      <c r="I25" s="465"/>
      <c r="J25" s="465"/>
      <c r="K25" s="465"/>
      <c r="L25" s="465"/>
      <c r="M25" s="465"/>
      <c r="N25" s="465"/>
      <c r="O25" s="465"/>
      <c r="P25" s="465"/>
      <c r="Q25" s="465"/>
      <c r="R25" s="465"/>
      <c r="S25" s="465"/>
      <c r="T25" s="465"/>
      <c r="U25" s="465"/>
      <c r="V25" s="465"/>
      <c r="W25" s="465"/>
      <c r="X25" s="465"/>
      <c r="Y25" s="465"/>
      <c r="Z25" s="465"/>
      <c r="AA25" s="465"/>
      <c r="AB25" s="465"/>
      <c r="AC25" s="465"/>
      <c r="AD25" s="465"/>
      <c r="AE25" s="465"/>
      <c r="AF25" s="465"/>
      <c r="AG25" s="465"/>
      <c r="AH25" s="465"/>
      <c r="AI25" s="465"/>
      <c r="AJ25" s="465"/>
      <c r="AK25" s="465"/>
      <c r="AL25" s="465"/>
      <c r="AM25" s="465"/>
      <c r="AN25" s="465"/>
      <c r="AO25" s="465"/>
      <c r="AP25" s="465"/>
      <c r="AQ25" s="465"/>
      <c r="AR25" s="465"/>
      <c r="AS25" s="465"/>
      <c r="AT25" s="465"/>
      <c r="AU25" s="465"/>
      <c r="AV25" s="465"/>
      <c r="AW25" s="465"/>
      <c r="AX25" s="465"/>
      <c r="AY25" s="465"/>
      <c r="AZ25" s="465"/>
      <c r="BA25" s="465"/>
      <c r="BB25" s="465"/>
      <c r="BC25" s="165"/>
      <c r="BD25" s="171"/>
      <c r="BE25" s="171"/>
      <c r="BF25" s="171"/>
      <c r="BG25" s="171"/>
      <c r="BH25" s="171"/>
      <c r="BI25" s="171"/>
      <c r="BJ25" s="171"/>
      <c r="BK25" s="171"/>
      <c r="BL25" s="172"/>
      <c r="BM25" s="171"/>
      <c r="BN25" s="171"/>
      <c r="BO25" s="171"/>
      <c r="BP25" s="171"/>
      <c r="BQ25" s="171" t="str">
        <f>IF(OR(IFERROR(VLOOKUP(CA25,[1]ARS!A:EL,MATCH("Price To Earnings",[1]ARS!$4:$4,0),FALSE),"-")&lt;0,IFERROR(VLOOKUP(CA25,[1]ARS!A:EL,MATCH("Price To Earnings",[1]ARS!$4:$4,0),FALSE),"-")&gt;500),"-",IFERROR(VLOOKUP(CA25,[1]ARS!A:EL,MATCH("Price To Earnings",[1]ARS!$4:$4,0),FALSE),"-"))</f>
        <v>-</v>
      </c>
      <c r="BR25" s="171"/>
      <c r="BS25" s="171"/>
      <c r="BT25" s="171"/>
      <c r="BU25" s="171"/>
      <c r="BV25" s="171"/>
      <c r="BX25" s="158" t="s">
        <v>60</v>
      </c>
      <c r="CD25" s="174"/>
    </row>
    <row r="26" spans="1:82" ht="20.100000000000001" customHeight="1" x14ac:dyDescent="0.2">
      <c r="A26" s="466" t="s">
        <v>158</v>
      </c>
      <c r="B26" s="466"/>
      <c r="C26" s="466"/>
      <c r="D26" s="466"/>
      <c r="E26" s="466"/>
      <c r="F26" s="466"/>
      <c r="G26" s="466"/>
      <c r="H26" s="466"/>
      <c r="I26" s="466"/>
      <c r="J26" s="466"/>
      <c r="K26" s="466"/>
      <c r="L26" s="466"/>
      <c r="M26" s="467"/>
      <c r="N26" s="466"/>
      <c r="O26" s="466"/>
      <c r="P26" s="466"/>
      <c r="Q26" s="466"/>
      <c r="R26" s="466"/>
      <c r="S26" s="466"/>
      <c r="T26" s="466"/>
      <c r="U26" s="466"/>
      <c r="V26" s="466"/>
      <c r="W26" s="466"/>
      <c r="X26" s="466"/>
      <c r="Y26" s="466"/>
      <c r="Z26" s="466"/>
      <c r="AA26" s="466"/>
      <c r="AB26" s="466"/>
      <c r="AC26" s="466"/>
      <c r="AD26" s="466"/>
      <c r="AE26" s="466"/>
      <c r="AF26" s="466"/>
      <c r="AG26" s="466"/>
      <c r="AH26" s="466"/>
      <c r="AI26" s="466"/>
      <c r="AJ26" s="466"/>
      <c r="AK26" s="466"/>
      <c r="AL26" s="466"/>
      <c r="AM26" s="466"/>
      <c r="AN26" s="466"/>
      <c r="AO26" s="466"/>
      <c r="AP26" s="466"/>
      <c r="AQ26" s="466"/>
      <c r="AR26" s="466"/>
      <c r="AS26" s="466"/>
      <c r="AT26" s="466"/>
      <c r="AU26" s="466"/>
      <c r="AV26" s="466"/>
      <c r="AW26" s="466"/>
      <c r="AX26" s="466"/>
      <c r="AY26" s="466"/>
      <c r="AZ26" s="466"/>
      <c r="BA26" s="466"/>
      <c r="BB26" s="466"/>
      <c r="BC26" s="165"/>
      <c r="BD26" s="169"/>
      <c r="BE26" s="169"/>
      <c r="BF26" s="169"/>
      <c r="BG26" s="169"/>
      <c r="BH26" s="169"/>
      <c r="BI26" s="169"/>
      <c r="BJ26" s="169"/>
      <c r="BK26" s="169"/>
      <c r="BL26" s="170"/>
      <c r="BM26" s="169"/>
      <c r="BN26" s="169"/>
      <c r="BO26" s="169"/>
      <c r="BP26" s="169"/>
      <c r="BQ26" s="169" t="str">
        <f>IF(OR(IFERROR(VLOOKUP(CA26,[1]ARS!A:EL,MATCH("Price To Earnings",[1]ARS!$4:$4,0),FALSE),"-")&lt;0,IFERROR(VLOOKUP(CA26,[1]ARS!A:EL,MATCH("Price To Earnings",[1]ARS!$4:$4,0),FALSE),"-")&gt;500),"-",IFERROR(VLOOKUP(CA26,[1]ARS!A:EL,MATCH("Price To Earnings",[1]ARS!$4:$4,0),FALSE),"-"))</f>
        <v>-</v>
      </c>
      <c r="BR26" s="169"/>
      <c r="BS26" s="169"/>
      <c r="BT26" s="169"/>
      <c r="BU26" s="169"/>
      <c r="BV26" s="169"/>
      <c r="BX26" s="158" t="s">
        <v>53</v>
      </c>
      <c r="CD26" s="174"/>
    </row>
    <row r="27" spans="1:82" s="177" customFormat="1" ht="20.100000000000001" customHeight="1" x14ac:dyDescent="0.2">
      <c r="A27" s="463" t="s">
        <v>61</v>
      </c>
      <c r="B27" s="463"/>
      <c r="C27" s="463"/>
      <c r="D27" s="463"/>
      <c r="E27" s="463"/>
      <c r="F27" s="463"/>
      <c r="G27" s="463"/>
      <c r="H27" s="463"/>
      <c r="I27" s="463"/>
      <c r="J27" s="463"/>
      <c r="K27" s="463"/>
      <c r="L27" s="463"/>
      <c r="M27" s="463"/>
      <c r="N27" s="463"/>
      <c r="O27" s="463"/>
      <c r="P27" s="463"/>
      <c r="Q27" s="463"/>
      <c r="R27" s="463"/>
      <c r="S27" s="463"/>
      <c r="T27" s="463"/>
      <c r="U27" s="463"/>
      <c r="V27" s="463"/>
      <c r="W27" s="463"/>
      <c r="X27" s="463"/>
      <c r="Y27" s="463"/>
      <c r="Z27" s="463"/>
      <c r="AA27" s="463"/>
      <c r="AB27" s="463"/>
      <c r="AC27" s="463"/>
      <c r="AD27" s="463"/>
      <c r="AE27" s="463"/>
      <c r="AF27" s="463"/>
      <c r="AG27" s="463"/>
      <c r="AH27" s="463"/>
      <c r="AI27" s="463"/>
      <c r="AJ27" s="463"/>
      <c r="AK27" s="463"/>
      <c r="AL27" s="463"/>
      <c r="AM27" s="463"/>
      <c r="AN27" s="463"/>
      <c r="AO27" s="463"/>
      <c r="AP27" s="463"/>
      <c r="AQ27" s="463"/>
      <c r="AR27" s="463"/>
      <c r="AS27" s="463"/>
      <c r="AT27" s="463"/>
      <c r="AU27" s="463"/>
      <c r="AV27" s="463"/>
      <c r="AW27" s="463"/>
      <c r="AX27" s="463"/>
      <c r="AY27" s="463"/>
      <c r="AZ27" s="463"/>
      <c r="BA27" s="463"/>
      <c r="BB27" s="463"/>
      <c r="BC27" s="165"/>
      <c r="BD27" s="175"/>
      <c r="BE27" s="175"/>
      <c r="BF27" s="175"/>
      <c r="BG27" s="175"/>
      <c r="BH27" s="175"/>
      <c r="BI27" s="175"/>
      <c r="BJ27" s="175"/>
      <c r="BK27" s="175"/>
      <c r="BL27" s="176"/>
      <c r="BM27" s="175"/>
      <c r="BN27" s="175"/>
      <c r="BO27" s="175"/>
      <c r="BP27" s="175"/>
      <c r="BQ27" s="175" t="str">
        <f>IF(OR(IFERROR(VLOOKUP(CA27,[1]ARS!A:EL,MATCH("Price To Earnings",[1]ARS!$4:$4,0),FALSE),"-")&lt;0,IFERROR(VLOOKUP(CA27,[1]ARS!A:EL,MATCH("Price To Earnings",[1]ARS!$4:$4,0),FALSE),"-")&gt;500),"-",IFERROR(VLOOKUP(CA27,[1]ARS!A:EL,MATCH("Price To Earnings",[1]ARS!$4:$4,0),FALSE),"-"))</f>
        <v>-</v>
      </c>
      <c r="BR27" s="175"/>
      <c r="BS27" s="175"/>
      <c r="BT27" s="175"/>
      <c r="BU27" s="175"/>
      <c r="BV27" s="175"/>
      <c r="BW27" s="175"/>
      <c r="CD27" s="174"/>
    </row>
    <row r="28" spans="1:82" ht="20.100000000000001" customHeight="1" x14ac:dyDescent="0.2">
      <c r="A28" s="465" t="s">
        <v>159</v>
      </c>
      <c r="B28" s="465"/>
      <c r="C28" s="465"/>
      <c r="D28" s="465"/>
      <c r="E28" s="465"/>
      <c r="F28" s="465"/>
      <c r="G28" s="465"/>
      <c r="H28" s="465"/>
      <c r="I28" s="465"/>
      <c r="J28" s="465"/>
      <c r="K28" s="465"/>
      <c r="L28" s="465"/>
      <c r="M28" s="465"/>
      <c r="N28" s="465"/>
      <c r="O28" s="465"/>
      <c r="P28" s="465"/>
      <c r="Q28" s="465"/>
      <c r="R28" s="465"/>
      <c r="S28" s="465"/>
      <c r="T28" s="465"/>
      <c r="U28" s="465"/>
      <c r="V28" s="465"/>
      <c r="W28" s="465"/>
      <c r="X28" s="465"/>
      <c r="Y28" s="465"/>
      <c r="Z28" s="465"/>
      <c r="AA28" s="465"/>
      <c r="AB28" s="465"/>
      <c r="AC28" s="465"/>
      <c r="AD28" s="465"/>
      <c r="AE28" s="465"/>
      <c r="AF28" s="465"/>
      <c r="AG28" s="465"/>
      <c r="AH28" s="465"/>
      <c r="AI28" s="465"/>
      <c r="AJ28" s="465"/>
      <c r="AK28" s="465"/>
      <c r="AL28" s="465"/>
      <c r="AM28" s="465"/>
      <c r="AN28" s="465"/>
      <c r="AO28" s="465"/>
      <c r="AP28" s="465"/>
      <c r="AQ28" s="465"/>
      <c r="AR28" s="465"/>
      <c r="AS28" s="465"/>
      <c r="AT28" s="465"/>
      <c r="AU28" s="465"/>
      <c r="AV28" s="465"/>
      <c r="AW28" s="465"/>
      <c r="AX28" s="465"/>
      <c r="AY28" s="465"/>
      <c r="AZ28" s="465"/>
      <c r="BA28" s="465"/>
      <c r="BB28" s="465"/>
      <c r="BC28" s="165"/>
      <c r="BD28" s="169"/>
      <c r="BE28" s="169"/>
      <c r="BF28" s="169"/>
      <c r="BG28" s="169"/>
      <c r="BH28" s="169"/>
      <c r="BI28" s="169"/>
      <c r="BJ28" s="169"/>
      <c r="BK28" s="169"/>
      <c r="BL28" s="170"/>
      <c r="BM28" s="169"/>
      <c r="BN28" s="169"/>
      <c r="BO28" s="169"/>
      <c r="BP28" s="169"/>
      <c r="BQ28" s="169"/>
      <c r="BR28" s="169"/>
      <c r="BS28" s="169"/>
      <c r="BT28" s="169"/>
      <c r="BU28" s="169"/>
      <c r="BV28" s="169"/>
      <c r="CD28" s="174"/>
    </row>
    <row r="29" spans="1:82" ht="20.100000000000001" customHeight="1" x14ac:dyDescent="0.2">
      <c r="A29" s="465" t="s">
        <v>160</v>
      </c>
      <c r="B29" s="465"/>
      <c r="C29" s="465"/>
      <c r="D29" s="465"/>
      <c r="E29" s="465"/>
      <c r="F29" s="465"/>
      <c r="G29" s="465"/>
      <c r="H29" s="465"/>
      <c r="I29" s="465"/>
      <c r="J29" s="465"/>
      <c r="K29" s="465"/>
      <c r="L29" s="465"/>
      <c r="M29" s="465"/>
      <c r="N29" s="465"/>
      <c r="O29" s="465"/>
      <c r="P29" s="465"/>
      <c r="Q29" s="465"/>
      <c r="R29" s="465"/>
      <c r="S29" s="465"/>
      <c r="T29" s="465"/>
      <c r="U29" s="465"/>
      <c r="V29" s="465"/>
      <c r="W29" s="465"/>
      <c r="X29" s="465"/>
      <c r="Y29" s="465"/>
      <c r="Z29" s="465"/>
      <c r="AA29" s="465"/>
      <c r="AB29" s="465"/>
      <c r="AC29" s="465"/>
      <c r="AD29" s="465"/>
      <c r="AE29" s="465"/>
      <c r="AF29" s="465"/>
      <c r="AG29" s="465"/>
      <c r="AH29" s="465"/>
      <c r="AI29" s="465"/>
      <c r="AJ29" s="465"/>
      <c r="AK29" s="465"/>
      <c r="AL29" s="465"/>
      <c r="AM29" s="465"/>
      <c r="AN29" s="465"/>
      <c r="AO29" s="465"/>
      <c r="AP29" s="465"/>
      <c r="AQ29" s="465"/>
      <c r="AR29" s="465"/>
      <c r="AS29" s="465"/>
      <c r="AT29" s="465"/>
      <c r="AU29" s="465"/>
      <c r="AV29" s="465"/>
      <c r="AW29" s="465"/>
      <c r="AX29" s="465"/>
      <c r="AY29" s="465"/>
      <c r="AZ29" s="465"/>
      <c r="BA29" s="465"/>
      <c r="BB29" s="465"/>
      <c r="BC29" s="165"/>
      <c r="BD29" s="169"/>
      <c r="BE29" s="169"/>
      <c r="BF29" s="169"/>
      <c r="BG29" s="169"/>
      <c r="BH29" s="169"/>
      <c r="BI29" s="169"/>
      <c r="BJ29" s="169"/>
      <c r="BK29" s="169"/>
      <c r="BL29" s="170"/>
      <c r="BM29" s="169"/>
      <c r="BN29" s="169"/>
      <c r="BO29" s="169"/>
      <c r="BP29" s="169"/>
      <c r="BQ29" s="169" t="str">
        <f>IF(OR(IFERROR(VLOOKUP(CA29,[1]ARS!A:EL,MATCH("Price To Earnings",[1]ARS!$4:$4,0),FALSE),"-")&lt;0,IFERROR(VLOOKUP(CA29,[1]ARS!A:EL,MATCH("Price To Earnings",[1]ARS!$4:$4,0),FALSE),"-")&gt;500),"-",IFERROR(VLOOKUP(CA29,[1]ARS!A:EL,MATCH("Price To Earnings",[1]ARS!$4:$4,0),FALSE),"-"))</f>
        <v>-</v>
      </c>
      <c r="BR29" s="169"/>
      <c r="BS29" s="169"/>
      <c r="BT29" s="169"/>
      <c r="BU29" s="169"/>
      <c r="BV29" s="169"/>
      <c r="CD29" s="174"/>
    </row>
    <row r="30" spans="1:82" ht="20.100000000000001" customHeight="1" x14ac:dyDescent="0.2">
      <c r="A30" s="466" t="s">
        <v>161</v>
      </c>
      <c r="B30" s="466"/>
      <c r="C30" s="466"/>
      <c r="D30" s="466"/>
      <c r="E30" s="466"/>
      <c r="F30" s="466"/>
      <c r="G30" s="466"/>
      <c r="H30" s="466"/>
      <c r="I30" s="466"/>
      <c r="J30" s="466"/>
      <c r="K30" s="466"/>
      <c r="L30" s="466"/>
      <c r="M30" s="466"/>
      <c r="N30" s="466"/>
      <c r="O30" s="466"/>
      <c r="P30" s="466"/>
      <c r="Q30" s="466"/>
      <c r="R30" s="466"/>
      <c r="S30" s="466"/>
      <c r="T30" s="466"/>
      <c r="U30" s="466"/>
      <c r="V30" s="466"/>
      <c r="W30" s="466"/>
      <c r="X30" s="466"/>
      <c r="Y30" s="466"/>
      <c r="Z30" s="466"/>
      <c r="AA30" s="466"/>
      <c r="AB30" s="466"/>
      <c r="AC30" s="466"/>
      <c r="AD30" s="466"/>
      <c r="AE30" s="466"/>
      <c r="AF30" s="466"/>
      <c r="AG30" s="466"/>
      <c r="AH30" s="466"/>
      <c r="AI30" s="466"/>
      <c r="AJ30" s="466"/>
      <c r="AK30" s="466"/>
      <c r="AL30" s="466"/>
      <c r="AM30" s="466"/>
      <c r="AN30" s="466"/>
      <c r="AO30" s="466"/>
      <c r="AP30" s="466"/>
      <c r="AQ30" s="466"/>
      <c r="AR30" s="466"/>
      <c r="AS30" s="466"/>
      <c r="AT30" s="466"/>
      <c r="AU30" s="466"/>
      <c r="AV30" s="466"/>
      <c r="AW30" s="466"/>
      <c r="AX30" s="466"/>
      <c r="AY30" s="466"/>
      <c r="AZ30" s="466"/>
      <c r="BA30" s="466"/>
      <c r="BB30" s="466"/>
      <c r="BC30" s="165"/>
      <c r="BD30" s="169"/>
      <c r="BE30" s="169"/>
      <c r="BF30" s="169"/>
      <c r="BG30" s="169"/>
      <c r="BH30" s="169"/>
      <c r="BI30" s="169"/>
      <c r="BJ30" s="169"/>
      <c r="BK30" s="169"/>
      <c r="BL30" s="170"/>
      <c r="BM30" s="169"/>
      <c r="BN30" s="169"/>
      <c r="BO30" s="169"/>
      <c r="BP30" s="169"/>
      <c r="BQ30" s="169" t="str">
        <f>IF(OR(IFERROR(VLOOKUP(CA30,[1]ARS!A:EL,MATCH("Price To Earnings",[1]ARS!$4:$4,0),FALSE),"-")&lt;0,IFERROR(VLOOKUP(CA30,[1]ARS!A:EL,MATCH("Price To Earnings",[1]ARS!$4:$4,0),FALSE),"-")&gt;500),"-",IFERROR(VLOOKUP(CA30,[1]ARS!A:EL,MATCH("Price To Earnings",[1]ARS!$4:$4,0),FALSE),"-"))</f>
        <v>-</v>
      </c>
      <c r="BR30" s="169"/>
      <c r="BS30" s="169"/>
      <c r="BT30" s="169"/>
      <c r="BU30" s="169"/>
      <c r="BV30" s="169"/>
      <c r="CD30" s="174"/>
    </row>
    <row r="31" spans="1:82" ht="20.100000000000001" customHeight="1" x14ac:dyDescent="0.2">
      <c r="A31" s="463" t="s">
        <v>162</v>
      </c>
      <c r="B31" s="463"/>
      <c r="C31" s="463"/>
      <c r="D31" s="463"/>
      <c r="E31" s="463"/>
      <c r="F31" s="463"/>
      <c r="G31" s="463"/>
      <c r="H31" s="463"/>
      <c r="I31" s="463"/>
      <c r="J31" s="463"/>
      <c r="K31" s="463"/>
      <c r="L31" s="463"/>
      <c r="M31" s="463"/>
      <c r="N31" s="463"/>
      <c r="O31" s="463"/>
      <c r="P31" s="463"/>
      <c r="Q31" s="463"/>
      <c r="R31" s="463"/>
      <c r="S31" s="463"/>
      <c r="T31" s="463"/>
      <c r="U31" s="463"/>
      <c r="V31" s="463"/>
      <c r="W31" s="463"/>
      <c r="X31" s="463"/>
      <c r="Y31" s="463"/>
      <c r="Z31" s="463"/>
      <c r="AA31" s="463"/>
      <c r="AB31" s="463"/>
      <c r="AC31" s="463"/>
      <c r="AD31" s="463"/>
      <c r="AE31" s="463"/>
      <c r="AF31" s="463"/>
      <c r="AG31" s="463"/>
      <c r="AH31" s="463"/>
      <c r="AI31" s="463"/>
      <c r="AJ31" s="463"/>
      <c r="AK31" s="463"/>
      <c r="AL31" s="463"/>
      <c r="AM31" s="463"/>
      <c r="AN31" s="463"/>
      <c r="AO31" s="463"/>
      <c r="AP31" s="463"/>
      <c r="AQ31" s="463"/>
      <c r="AR31" s="463"/>
      <c r="AS31" s="463"/>
      <c r="AT31" s="463"/>
      <c r="AU31" s="463"/>
      <c r="AV31" s="463"/>
      <c r="AW31" s="463"/>
      <c r="AX31" s="463"/>
      <c r="AY31" s="463"/>
      <c r="AZ31" s="463"/>
      <c r="BA31" s="463"/>
      <c r="BB31" s="463"/>
      <c r="BC31" s="178"/>
      <c r="BD31" s="169"/>
      <c r="BE31" s="169"/>
      <c r="BF31" s="169"/>
      <c r="BG31" s="169"/>
      <c r="BH31" s="169"/>
      <c r="BI31" s="169"/>
      <c r="BJ31" s="169"/>
      <c r="BK31" s="169"/>
      <c r="BL31" s="170"/>
      <c r="BM31" s="169"/>
      <c r="BN31" s="169"/>
      <c r="BO31" s="169"/>
      <c r="BP31" s="169"/>
      <c r="BQ31" s="169" t="str">
        <f>IF(OR(IFERROR(VLOOKUP(CA31,[1]ARS!A:EL,MATCH("Price To Earnings",[1]ARS!$4:$4,0),FALSE),"-")&lt;0,IFERROR(VLOOKUP(CA31,[1]ARS!A:EL,MATCH("Price To Earnings",[1]ARS!$4:$4,0),FALSE),"-")&gt;500),"-",IFERROR(VLOOKUP(CA31,[1]ARS!A:EL,MATCH("Price To Earnings",[1]ARS!$4:$4,0),FALSE),"-"))</f>
        <v>-</v>
      </c>
      <c r="BR31" s="169"/>
      <c r="BS31" s="169"/>
      <c r="BT31" s="169"/>
      <c r="BU31" s="169"/>
      <c r="BV31" s="169"/>
    </row>
    <row r="32" spans="1:82" ht="20.100000000000001" customHeight="1" x14ac:dyDescent="0.2">
      <c r="A32" s="463"/>
      <c r="B32" s="463"/>
      <c r="C32" s="463"/>
      <c r="D32" s="463"/>
      <c r="E32" s="463"/>
      <c r="F32" s="463"/>
      <c r="G32" s="463"/>
      <c r="H32" s="463"/>
      <c r="I32" s="463"/>
      <c r="J32" s="463"/>
      <c r="K32" s="463"/>
      <c r="L32" s="463"/>
      <c r="M32" s="464"/>
      <c r="N32" s="463"/>
      <c r="O32" s="463"/>
      <c r="P32" s="463"/>
      <c r="Q32" s="463"/>
      <c r="R32" s="463"/>
      <c r="S32" s="463"/>
      <c r="T32" s="463"/>
      <c r="U32" s="463"/>
      <c r="V32" s="463"/>
      <c r="W32" s="463"/>
      <c r="X32" s="463"/>
      <c r="Y32" s="463"/>
      <c r="Z32" s="463"/>
      <c r="AA32" s="463"/>
      <c r="AB32" s="463"/>
      <c r="AC32" s="463"/>
      <c r="AD32" s="463"/>
      <c r="AE32" s="463"/>
      <c r="AF32" s="463"/>
      <c r="AG32" s="463"/>
      <c r="AH32" s="463"/>
      <c r="AI32" s="463"/>
      <c r="AJ32" s="463"/>
      <c r="AK32" s="463"/>
      <c r="AL32" s="463"/>
      <c r="AM32" s="463"/>
      <c r="AN32" s="463"/>
      <c r="AO32" s="463"/>
      <c r="AP32" s="463"/>
      <c r="AQ32" s="463"/>
      <c r="AR32" s="463"/>
      <c r="AS32" s="463"/>
      <c r="AT32" s="463"/>
      <c r="AU32" s="463"/>
      <c r="AV32" s="463"/>
      <c r="AW32" s="463"/>
      <c r="AX32" s="463"/>
      <c r="AY32" s="463"/>
      <c r="AZ32" s="463"/>
      <c r="BA32" s="463"/>
      <c r="BB32" s="463"/>
      <c r="BC32" s="178"/>
      <c r="BD32" s="169"/>
      <c r="BE32" s="169"/>
      <c r="BF32" s="169"/>
      <c r="BG32" s="169"/>
      <c r="BH32" s="169"/>
      <c r="BI32" s="169"/>
      <c r="BJ32" s="169"/>
      <c r="BK32" s="169"/>
      <c r="BL32" s="170"/>
      <c r="BM32" s="169"/>
      <c r="BN32" s="169"/>
      <c r="BO32" s="169"/>
      <c r="BP32" s="169"/>
      <c r="BQ32" s="169" t="str">
        <f>IF(OR(IFERROR(VLOOKUP(CA32,[1]ARS!A:EL,MATCH("Price To Earnings",[1]ARS!$4:$4,0),FALSE),"-")&lt;0,IFERROR(VLOOKUP(CA32,[1]ARS!A:EL,MATCH("Price To Earnings",[1]ARS!$4:$4,0),FALSE),"-")&gt;500),"-",IFERROR(VLOOKUP(CA32,[1]ARS!A:EL,MATCH("Price To Earnings",[1]ARS!$4:$4,0),FALSE),"-"))</f>
        <v>-</v>
      </c>
      <c r="BR32" s="169"/>
      <c r="BS32" s="169"/>
      <c r="BT32" s="169"/>
      <c r="BU32" s="169"/>
      <c r="BV32" s="169"/>
    </row>
    <row r="33" spans="1:75" ht="10.5" customHeight="1" x14ac:dyDescent="0.2">
      <c r="A33" s="463" t="s">
        <v>163</v>
      </c>
      <c r="B33" s="463"/>
      <c r="C33" s="463"/>
      <c r="D33" s="463"/>
      <c r="E33" s="463"/>
      <c r="F33" s="463"/>
      <c r="G33" s="463"/>
      <c r="H33" s="463"/>
      <c r="I33" s="463"/>
      <c r="J33" s="463"/>
      <c r="K33" s="463"/>
      <c r="L33" s="463"/>
      <c r="M33" s="463"/>
      <c r="N33" s="463"/>
      <c r="O33" s="463"/>
      <c r="P33" s="463"/>
      <c r="Q33" s="463"/>
      <c r="R33" s="463"/>
      <c r="S33" s="463"/>
      <c r="T33" s="463"/>
      <c r="U33" s="463"/>
      <c r="V33" s="463"/>
      <c r="W33" s="463"/>
      <c r="X33" s="463"/>
      <c r="Y33" s="463"/>
      <c r="Z33" s="463"/>
      <c r="AA33" s="463"/>
      <c r="AB33" s="463"/>
      <c r="AC33" s="463"/>
      <c r="AD33" s="463"/>
      <c r="AE33" s="463"/>
      <c r="AF33" s="463"/>
      <c r="AG33" s="463"/>
      <c r="AH33" s="463"/>
      <c r="AI33" s="463"/>
      <c r="AJ33" s="463"/>
      <c r="AK33" s="463"/>
      <c r="AL33" s="463"/>
      <c r="AM33" s="463"/>
      <c r="AN33" s="463"/>
      <c r="AO33" s="463"/>
      <c r="AP33" s="463"/>
      <c r="AQ33" s="463"/>
      <c r="AR33" s="463"/>
      <c r="AS33" s="463"/>
      <c r="AT33" s="463"/>
      <c r="AU33" s="463"/>
      <c r="AV33" s="463"/>
      <c r="AW33" s="463"/>
      <c r="AX33" s="463"/>
      <c r="AY33" s="463"/>
      <c r="AZ33" s="463"/>
      <c r="BA33" s="463"/>
      <c r="BB33" s="463"/>
      <c r="BC33" s="178"/>
      <c r="BD33" s="169"/>
      <c r="BE33" s="169"/>
      <c r="BF33" s="169"/>
      <c r="BG33" s="169"/>
      <c r="BH33" s="169"/>
      <c r="BI33" s="169"/>
      <c r="BJ33" s="169"/>
      <c r="BK33" s="169"/>
      <c r="BL33" s="170"/>
      <c r="BM33" s="169"/>
      <c r="BN33" s="169"/>
      <c r="BO33" s="169"/>
      <c r="BP33" s="169"/>
      <c r="BQ33" s="169" t="str">
        <f>IF(OR(IFERROR(VLOOKUP(CA33,[1]ARS!A:EL,MATCH("Price To Earnings",[1]ARS!$4:$4,0),FALSE),"-")&lt;0,IFERROR(VLOOKUP(CA33,[1]ARS!A:EL,MATCH("Price To Earnings",[1]ARS!$4:$4,0),FALSE),"-")&gt;500),"-",IFERROR(VLOOKUP(CA33,[1]ARS!A:EL,MATCH("Price To Earnings",[1]ARS!$4:$4,0),FALSE),"-"))</f>
        <v>-</v>
      </c>
      <c r="BR33" s="169"/>
      <c r="BS33" s="169"/>
      <c r="BT33" s="169"/>
      <c r="BU33" s="169"/>
      <c r="BV33" s="169"/>
    </row>
    <row r="34" spans="1:75" ht="20.100000000000001" customHeight="1" x14ac:dyDescent="0.2">
      <c r="A34" s="463"/>
      <c r="B34" s="463"/>
      <c r="C34" s="463"/>
      <c r="D34" s="463"/>
      <c r="E34" s="463"/>
      <c r="F34" s="463"/>
      <c r="G34" s="463"/>
      <c r="H34" s="463"/>
      <c r="I34" s="463"/>
      <c r="J34" s="463"/>
      <c r="K34" s="463"/>
      <c r="L34" s="463"/>
      <c r="M34" s="463"/>
      <c r="N34" s="463"/>
      <c r="O34" s="463"/>
      <c r="P34" s="463"/>
      <c r="Q34" s="463"/>
      <c r="R34" s="463"/>
      <c r="S34" s="463"/>
      <c r="T34" s="463"/>
      <c r="U34" s="463"/>
      <c r="V34" s="463"/>
      <c r="W34" s="463"/>
      <c r="X34" s="463"/>
      <c r="Y34" s="463"/>
      <c r="Z34" s="463"/>
      <c r="AA34" s="463"/>
      <c r="AB34" s="463"/>
      <c r="AC34" s="463"/>
      <c r="AD34" s="463"/>
      <c r="AE34" s="463"/>
      <c r="AF34" s="463"/>
      <c r="AG34" s="463"/>
      <c r="AH34" s="463"/>
      <c r="AI34" s="463"/>
      <c r="AJ34" s="463"/>
      <c r="AK34" s="463"/>
      <c r="AL34" s="463"/>
      <c r="AM34" s="463"/>
      <c r="AN34" s="463"/>
      <c r="AO34" s="463"/>
      <c r="AP34" s="463"/>
      <c r="AQ34" s="463"/>
      <c r="AR34" s="463"/>
      <c r="AS34" s="463"/>
      <c r="AT34" s="463"/>
      <c r="AU34" s="463"/>
      <c r="AV34" s="463"/>
      <c r="AW34" s="463"/>
      <c r="AX34" s="463"/>
      <c r="AY34" s="463"/>
      <c r="AZ34" s="463"/>
      <c r="BA34" s="463"/>
      <c r="BB34" s="463"/>
      <c r="BC34" s="178"/>
      <c r="BD34" s="169"/>
      <c r="BE34" s="169"/>
      <c r="BF34" s="169"/>
      <c r="BG34" s="169"/>
      <c r="BH34" s="169"/>
      <c r="BI34" s="169"/>
      <c r="BJ34" s="169"/>
      <c r="BK34" s="169"/>
      <c r="BL34" s="170"/>
      <c r="BM34" s="169"/>
      <c r="BN34" s="169"/>
      <c r="BO34" s="169"/>
      <c r="BP34" s="169"/>
      <c r="BQ34" s="169"/>
      <c r="BR34" s="169"/>
      <c r="BS34" s="169"/>
      <c r="BT34" s="169"/>
      <c r="BU34" s="169"/>
      <c r="BV34" s="169"/>
    </row>
    <row r="35" spans="1:75" ht="12" customHeight="1" x14ac:dyDescent="0.2">
      <c r="A35" s="465" t="s">
        <v>164</v>
      </c>
      <c r="B35" s="465"/>
      <c r="C35" s="465"/>
      <c r="D35" s="465"/>
      <c r="E35" s="465"/>
      <c r="F35" s="465"/>
      <c r="G35" s="465"/>
      <c r="H35" s="465"/>
      <c r="I35" s="465"/>
      <c r="J35" s="465"/>
      <c r="K35" s="465"/>
      <c r="L35" s="465"/>
      <c r="M35" s="465"/>
      <c r="N35" s="465"/>
      <c r="O35" s="465"/>
      <c r="P35" s="465"/>
      <c r="Q35" s="465"/>
      <c r="R35" s="465"/>
      <c r="S35" s="465"/>
      <c r="T35" s="465"/>
      <c r="U35" s="465"/>
      <c r="V35" s="465"/>
      <c r="W35" s="465"/>
      <c r="X35" s="465"/>
      <c r="Y35" s="465"/>
      <c r="Z35" s="465"/>
      <c r="AA35" s="465"/>
      <c r="AB35" s="465"/>
      <c r="AC35" s="465"/>
      <c r="AD35" s="465"/>
      <c r="AE35" s="465"/>
      <c r="AF35" s="465"/>
      <c r="AG35" s="465"/>
      <c r="AH35" s="465"/>
      <c r="AI35" s="465"/>
      <c r="AJ35" s="465"/>
      <c r="AK35" s="465"/>
      <c r="AL35" s="465"/>
      <c r="AM35" s="465"/>
      <c r="AN35" s="465"/>
      <c r="AO35" s="465"/>
      <c r="AP35" s="465"/>
      <c r="AQ35" s="465"/>
      <c r="AR35" s="465"/>
      <c r="AS35" s="465"/>
      <c r="AT35" s="465"/>
      <c r="AU35" s="465"/>
      <c r="AV35" s="465"/>
      <c r="AW35" s="465"/>
      <c r="AX35" s="465"/>
      <c r="AY35" s="465"/>
      <c r="AZ35" s="465"/>
      <c r="BA35" s="465"/>
      <c r="BB35" s="465"/>
      <c r="BC35" s="178"/>
      <c r="BD35" s="169"/>
      <c r="BE35" s="169"/>
      <c r="BF35" s="169"/>
      <c r="BG35" s="169"/>
      <c r="BH35" s="169"/>
      <c r="BI35" s="169"/>
      <c r="BJ35" s="169"/>
      <c r="BK35" s="169"/>
      <c r="BL35" s="170"/>
      <c r="BM35" s="169"/>
      <c r="BN35" s="169"/>
      <c r="BO35" s="169"/>
      <c r="BP35" s="169"/>
      <c r="BQ35" s="169" t="str">
        <f>IF(OR(IFERROR(VLOOKUP(CA35,[1]ARS!A:EL,MATCH("Price To Earnings",[1]ARS!$4:$4,0),FALSE),"-")&lt;0,IFERROR(VLOOKUP(CA35,[1]ARS!A:EL,MATCH("Price To Earnings",[1]ARS!$4:$4,0),FALSE),"-")&gt;500),"-",IFERROR(VLOOKUP(CA35,[1]ARS!A:EL,MATCH("Price To Earnings",[1]ARS!$4:$4,0),FALSE),"-"))</f>
        <v>-</v>
      </c>
      <c r="BR35" s="169"/>
      <c r="BS35" s="169"/>
      <c r="BT35" s="169"/>
      <c r="BU35" s="169"/>
      <c r="BV35" s="169"/>
    </row>
    <row r="36" spans="1:75" ht="15" customHeight="1" x14ac:dyDescent="0.2">
      <c r="A36" s="463" t="s">
        <v>165</v>
      </c>
      <c r="B36" s="463"/>
      <c r="C36" s="463"/>
      <c r="D36" s="463"/>
      <c r="E36" s="463"/>
      <c r="F36" s="463"/>
      <c r="G36" s="463"/>
      <c r="H36" s="463"/>
      <c r="I36" s="463"/>
      <c r="J36" s="463"/>
      <c r="K36" s="463"/>
      <c r="L36" s="463"/>
      <c r="M36" s="463"/>
      <c r="N36" s="463"/>
      <c r="O36" s="463"/>
      <c r="P36" s="463"/>
      <c r="Q36" s="463"/>
      <c r="R36" s="463"/>
      <c r="S36" s="463"/>
      <c r="T36" s="463"/>
      <c r="U36" s="463"/>
      <c r="V36" s="463"/>
      <c r="W36" s="463"/>
      <c r="X36" s="463"/>
      <c r="Y36" s="463"/>
      <c r="Z36" s="463"/>
      <c r="AA36" s="463"/>
      <c r="AB36" s="463"/>
      <c r="AC36" s="463"/>
      <c r="AD36" s="463"/>
      <c r="AE36" s="463"/>
      <c r="AF36" s="463"/>
      <c r="AG36" s="463"/>
      <c r="AH36" s="463"/>
      <c r="AI36" s="463"/>
      <c r="AJ36" s="463"/>
      <c r="AK36" s="463"/>
      <c r="AL36" s="463"/>
      <c r="AM36" s="463"/>
      <c r="AN36" s="463"/>
      <c r="AO36" s="463"/>
      <c r="AP36" s="463"/>
      <c r="AQ36" s="463"/>
      <c r="AR36" s="463"/>
      <c r="AS36" s="463"/>
      <c r="AT36" s="463"/>
      <c r="AU36" s="463"/>
      <c r="AV36" s="463"/>
      <c r="AW36" s="463"/>
      <c r="AX36" s="463"/>
      <c r="AY36" s="463"/>
      <c r="AZ36" s="463"/>
      <c r="BA36" s="463"/>
      <c r="BB36" s="463"/>
      <c r="BC36" s="178"/>
      <c r="BD36" s="169"/>
      <c r="BE36" s="169"/>
      <c r="BF36" s="169"/>
      <c r="BG36" s="169"/>
      <c r="BH36" s="169"/>
      <c r="BI36" s="169"/>
      <c r="BJ36" s="169"/>
      <c r="BK36" s="169"/>
      <c r="BL36" s="170"/>
      <c r="BM36" s="169"/>
      <c r="BN36" s="169"/>
      <c r="BO36" s="169"/>
      <c r="BP36" s="169"/>
      <c r="BQ36" s="169"/>
      <c r="BR36" s="169"/>
      <c r="BS36" s="169"/>
      <c r="BT36" s="169"/>
      <c r="BU36" s="169"/>
      <c r="BV36" s="169"/>
    </row>
    <row r="37" spans="1:75" ht="15.75" customHeight="1" x14ac:dyDescent="0.2">
      <c r="A37" s="465" t="s">
        <v>61</v>
      </c>
      <c r="B37" s="465"/>
      <c r="C37" s="465"/>
      <c r="D37" s="465"/>
      <c r="E37" s="465"/>
      <c r="F37" s="465"/>
      <c r="G37" s="465"/>
      <c r="H37" s="465"/>
      <c r="I37" s="465"/>
      <c r="J37" s="465"/>
      <c r="K37" s="465"/>
      <c r="L37" s="465"/>
      <c r="M37" s="465"/>
      <c r="N37" s="465"/>
      <c r="O37" s="465"/>
      <c r="P37" s="465"/>
      <c r="Q37" s="465"/>
      <c r="R37" s="465"/>
      <c r="S37" s="465"/>
      <c r="T37" s="465"/>
      <c r="U37" s="465"/>
      <c r="V37" s="465"/>
      <c r="W37" s="465"/>
      <c r="X37" s="465"/>
      <c r="Y37" s="465"/>
      <c r="Z37" s="465"/>
      <c r="AA37" s="465"/>
      <c r="AB37" s="465"/>
      <c r="AC37" s="465"/>
      <c r="AD37" s="465"/>
      <c r="AE37" s="465"/>
      <c r="AF37" s="465"/>
      <c r="AG37" s="465"/>
      <c r="AH37" s="465"/>
      <c r="AI37" s="465"/>
      <c r="AJ37" s="465"/>
      <c r="AK37" s="465"/>
      <c r="AL37" s="465"/>
      <c r="AM37" s="465"/>
      <c r="AN37" s="465"/>
      <c r="AO37" s="465"/>
      <c r="AP37" s="465"/>
      <c r="AQ37" s="465"/>
      <c r="AR37" s="465"/>
      <c r="AS37" s="465"/>
      <c r="AT37" s="465"/>
      <c r="AU37" s="465"/>
      <c r="AV37" s="465"/>
      <c r="AW37" s="465"/>
      <c r="AX37" s="465"/>
      <c r="AY37" s="465"/>
      <c r="AZ37" s="465"/>
      <c r="BA37" s="465"/>
      <c r="BB37" s="465"/>
      <c r="BC37" s="178"/>
      <c r="BD37" s="169"/>
      <c r="BE37" s="169"/>
      <c r="BF37" s="169"/>
      <c r="BG37" s="169"/>
      <c r="BH37" s="169"/>
      <c r="BI37" s="169"/>
      <c r="BJ37" s="169"/>
      <c r="BK37" s="169"/>
      <c r="BL37" s="170"/>
      <c r="BM37" s="169"/>
      <c r="BN37" s="169"/>
      <c r="BO37" s="169"/>
      <c r="BP37" s="169"/>
      <c r="BQ37" s="169" t="str">
        <f>IF(OR(IFERROR(VLOOKUP(CA37,[1]ARS!A:EL,MATCH("Price To Earnings",[1]ARS!$4:$4,0),FALSE),"-")&lt;0,IFERROR(VLOOKUP(CA37,[1]ARS!A:EL,MATCH("Price To Earnings",[1]ARS!$4:$4,0),FALSE),"-")&gt;500),"-",IFERROR(VLOOKUP(CA37,[1]ARS!A:EL,MATCH("Price To Earnings",[1]ARS!$4:$4,0),FALSE),"-"))</f>
        <v>-</v>
      </c>
      <c r="BR37" s="169"/>
      <c r="BS37" s="169"/>
      <c r="BT37" s="169"/>
      <c r="BU37" s="169"/>
      <c r="BV37" s="169"/>
      <c r="BW37" s="169"/>
    </row>
    <row r="38" spans="1:75" ht="15.75" customHeight="1" x14ac:dyDescent="0.2">
      <c r="A38" s="465" t="s">
        <v>166</v>
      </c>
      <c r="B38" s="465"/>
      <c r="C38" s="465"/>
      <c r="D38" s="465"/>
      <c r="E38" s="465"/>
      <c r="F38" s="465"/>
      <c r="G38" s="465"/>
      <c r="H38" s="465"/>
      <c r="I38" s="465"/>
      <c r="J38" s="465"/>
      <c r="K38" s="465"/>
      <c r="L38" s="465"/>
      <c r="M38" s="465"/>
      <c r="N38" s="465"/>
      <c r="O38" s="465"/>
      <c r="P38" s="465"/>
      <c r="Q38" s="465"/>
      <c r="R38" s="465"/>
      <c r="S38" s="465"/>
      <c r="T38" s="465"/>
      <c r="U38" s="465"/>
      <c r="V38" s="465"/>
      <c r="W38" s="465"/>
      <c r="X38" s="465"/>
      <c r="Y38" s="465"/>
      <c r="Z38" s="465"/>
      <c r="AA38" s="465"/>
      <c r="AB38" s="465"/>
      <c r="AC38" s="465"/>
      <c r="AD38" s="465"/>
      <c r="AE38" s="465"/>
      <c r="AF38" s="465"/>
      <c r="AG38" s="465"/>
      <c r="AH38" s="465"/>
      <c r="AI38" s="465"/>
      <c r="AJ38" s="465"/>
      <c r="AK38" s="465"/>
      <c r="AL38" s="465"/>
      <c r="AM38" s="465"/>
      <c r="AN38" s="465"/>
      <c r="AO38" s="465"/>
      <c r="AP38" s="465"/>
      <c r="AQ38" s="465"/>
      <c r="AR38" s="465"/>
      <c r="AS38" s="465"/>
      <c r="AT38" s="465"/>
      <c r="AU38" s="465"/>
      <c r="AV38" s="465"/>
      <c r="AW38" s="465"/>
      <c r="AX38" s="465"/>
      <c r="AY38" s="465"/>
      <c r="AZ38" s="465"/>
      <c r="BA38" s="465"/>
      <c r="BB38" s="465"/>
      <c r="BC38" s="178"/>
      <c r="BD38" s="169"/>
      <c r="BE38" s="169"/>
      <c r="BF38" s="169"/>
      <c r="BG38" s="169"/>
      <c r="BH38" s="169"/>
      <c r="BI38" s="169"/>
      <c r="BJ38" s="169"/>
      <c r="BK38" s="169"/>
      <c r="BL38" s="170"/>
      <c r="BM38" s="169"/>
      <c r="BN38" s="169"/>
      <c r="BO38" s="169"/>
      <c r="BP38" s="169"/>
      <c r="BQ38" s="169" t="str">
        <f>IF(OR(IFERROR(VLOOKUP(CA38,[1]ARS!A:EL,MATCH("Price To Earnings",[1]ARS!$4:$4,0),FALSE),"-")&lt;0,IFERROR(VLOOKUP(CA38,[1]ARS!A:EL,MATCH("Price To Earnings",[1]ARS!$4:$4,0),FALSE),"-")&gt;500),"-",IFERROR(VLOOKUP(CA38,[1]ARS!A:EL,MATCH("Price To Earnings",[1]ARS!$4:$4,0),FALSE),"-"))</f>
        <v>-</v>
      </c>
      <c r="BR38" s="169"/>
      <c r="BS38" s="169"/>
      <c r="BT38" s="169"/>
      <c r="BU38" s="169"/>
      <c r="BV38" s="169"/>
    </row>
    <row r="39" spans="1:75" ht="18" customHeight="1" x14ac:dyDescent="0.2">
      <c r="A39" s="459" t="s">
        <v>167</v>
      </c>
      <c r="B39" s="459"/>
      <c r="C39" s="459"/>
      <c r="D39" s="459"/>
      <c r="E39" s="459"/>
      <c r="F39" s="459"/>
      <c r="G39" s="459"/>
      <c r="H39" s="459"/>
      <c r="I39" s="459"/>
      <c r="J39" s="459"/>
      <c r="K39" s="459"/>
      <c r="L39" s="459"/>
      <c r="M39" s="459"/>
      <c r="N39" s="459"/>
      <c r="O39" s="459"/>
      <c r="P39" s="459"/>
      <c r="Q39" s="459"/>
      <c r="R39" s="459"/>
      <c r="S39" s="459"/>
      <c r="T39" s="459"/>
      <c r="U39" s="459"/>
      <c r="V39" s="459"/>
      <c r="W39" s="459"/>
      <c r="X39" s="459"/>
      <c r="Y39" s="459"/>
      <c r="Z39" s="459"/>
      <c r="AA39" s="459"/>
      <c r="AB39" s="459"/>
      <c r="AC39" s="459"/>
      <c r="AD39" s="459"/>
      <c r="AE39" s="459"/>
      <c r="AF39" s="459"/>
      <c r="AG39" s="459"/>
      <c r="AH39" s="459"/>
      <c r="AI39" s="459"/>
      <c r="AJ39" s="459"/>
      <c r="AK39" s="459"/>
      <c r="AL39" s="459"/>
      <c r="AM39" s="459"/>
      <c r="AN39" s="459"/>
      <c r="AO39" s="459"/>
      <c r="AP39" s="459"/>
      <c r="AQ39" s="459"/>
      <c r="AR39" s="459"/>
      <c r="AS39" s="459"/>
      <c r="AT39" s="459"/>
      <c r="AU39" s="459"/>
      <c r="AV39" s="459"/>
      <c r="AW39" s="459"/>
      <c r="AX39" s="459"/>
      <c r="AY39" s="459"/>
      <c r="AZ39" s="459"/>
      <c r="BA39" s="459"/>
      <c r="BB39" s="459"/>
      <c r="BC39" s="459"/>
      <c r="BD39" s="169"/>
      <c r="BE39" s="169"/>
      <c r="BF39" s="169"/>
      <c r="BG39" s="169"/>
      <c r="BH39" s="169"/>
      <c r="BI39" s="169"/>
      <c r="BJ39" s="169"/>
      <c r="BK39" s="169"/>
      <c r="BL39" s="170"/>
      <c r="BM39" s="169"/>
      <c r="BN39" s="169"/>
      <c r="BO39" s="169"/>
      <c r="BP39" s="169"/>
      <c r="BQ39" s="169"/>
      <c r="BR39" s="169"/>
      <c r="BS39" s="169"/>
      <c r="BT39" s="169"/>
      <c r="BU39" s="169"/>
      <c r="BV39" s="169"/>
    </row>
    <row r="40" spans="1:75" ht="18" customHeight="1" x14ac:dyDescent="0.2">
      <c r="A40" s="459"/>
      <c r="B40" s="459"/>
      <c r="C40" s="459"/>
      <c r="D40" s="459"/>
      <c r="E40" s="459"/>
      <c r="F40" s="459"/>
      <c r="G40" s="459"/>
      <c r="H40" s="459"/>
      <c r="I40" s="459"/>
      <c r="J40" s="459"/>
      <c r="K40" s="459"/>
      <c r="L40" s="459"/>
      <c r="M40" s="459"/>
      <c r="N40" s="459"/>
      <c r="O40" s="459"/>
      <c r="P40" s="459"/>
      <c r="Q40" s="459"/>
      <c r="R40" s="459"/>
      <c r="S40" s="459"/>
      <c r="T40" s="459"/>
      <c r="U40" s="459"/>
      <c r="V40" s="459"/>
      <c r="W40" s="459"/>
      <c r="X40" s="459"/>
      <c r="Y40" s="459"/>
      <c r="Z40" s="459"/>
      <c r="AA40" s="459"/>
      <c r="AB40" s="459"/>
      <c r="AC40" s="459"/>
      <c r="AD40" s="459"/>
      <c r="AE40" s="459"/>
      <c r="AF40" s="459"/>
      <c r="AG40" s="459"/>
      <c r="AH40" s="459"/>
      <c r="AI40" s="459"/>
      <c r="AJ40" s="459"/>
      <c r="AK40" s="459"/>
      <c r="AL40" s="459"/>
      <c r="AM40" s="459"/>
      <c r="AN40" s="459"/>
      <c r="AO40" s="459"/>
      <c r="AP40" s="459"/>
      <c r="AQ40" s="459"/>
      <c r="AR40" s="459"/>
      <c r="AS40" s="459"/>
      <c r="AT40" s="459"/>
      <c r="AU40" s="459"/>
      <c r="AV40" s="459"/>
      <c r="AW40" s="459"/>
      <c r="AX40" s="459"/>
      <c r="AY40" s="459"/>
      <c r="AZ40" s="459"/>
      <c r="BA40" s="459"/>
      <c r="BB40" s="459"/>
      <c r="BC40" s="459"/>
      <c r="BD40" s="169"/>
      <c r="BE40" s="169"/>
      <c r="BF40" s="169"/>
      <c r="BG40" s="169"/>
      <c r="BH40" s="169"/>
      <c r="BI40" s="169"/>
      <c r="BJ40" s="169"/>
      <c r="BK40" s="169"/>
      <c r="BL40" s="170"/>
      <c r="BM40" s="169"/>
      <c r="BN40" s="169"/>
      <c r="BO40" s="169"/>
      <c r="BP40" s="169"/>
      <c r="BQ40" s="169" t="str">
        <f>IF(OR(IFERROR(VLOOKUP(CA40,[1]ARS!A:EL,MATCH("Price To Earnings",[1]ARS!$4:$4,0),FALSE),"-")&lt;0,IFERROR(VLOOKUP(CA40,[1]ARS!A:EL,MATCH("Price To Earnings",[1]ARS!$4:$4,0),FALSE),"-")&gt;500),"-",IFERROR(VLOOKUP(CA40,[1]ARS!A:EL,MATCH("Price To Earnings",[1]ARS!$4:$4,0),FALSE),"-"))</f>
        <v>-</v>
      </c>
      <c r="BR40" s="169"/>
      <c r="BS40" s="169"/>
      <c r="BT40" s="169"/>
      <c r="BU40" s="169"/>
      <c r="BV40" s="169"/>
    </row>
    <row r="41" spans="1:75" ht="19.5" customHeight="1" x14ac:dyDescent="0.25">
      <c r="A41" s="179" t="s">
        <v>168</v>
      </c>
      <c r="B41" s="179"/>
      <c r="C41" s="179"/>
      <c r="D41" s="179"/>
      <c r="E41" s="179"/>
      <c r="F41" s="179"/>
      <c r="G41" s="179"/>
      <c r="H41" s="179"/>
      <c r="I41" s="179"/>
      <c r="J41" s="179"/>
      <c r="K41" s="179"/>
      <c r="L41" s="179"/>
      <c r="M41" s="179"/>
      <c r="N41" s="179"/>
      <c r="O41" s="179"/>
      <c r="P41" s="179"/>
      <c r="Q41" s="179"/>
      <c r="R41" s="179"/>
      <c r="S41" s="179"/>
      <c r="T41" s="179"/>
      <c r="U41" s="179"/>
      <c r="V41" s="179"/>
      <c r="W41" s="179"/>
      <c r="X41" s="179"/>
      <c r="Y41" s="179"/>
      <c r="Z41" s="179"/>
      <c r="AA41" s="179"/>
      <c r="AB41" s="179"/>
      <c r="AC41" s="179"/>
      <c r="AD41" s="179"/>
      <c r="AE41" s="179"/>
      <c r="AF41" s="179"/>
      <c r="AG41" s="179"/>
      <c r="AH41" s="179"/>
      <c r="AI41" s="179"/>
      <c r="AJ41" s="179"/>
      <c r="AK41"/>
      <c r="AL41" s="179"/>
      <c r="AM41" s="179"/>
      <c r="AN41" s="179"/>
      <c r="AO41" s="179"/>
      <c r="AP41" s="179"/>
      <c r="AQ41" s="179"/>
      <c r="AR41" s="179"/>
      <c r="AS41" s="179"/>
      <c r="AT41" s="179"/>
      <c r="AU41" s="179"/>
      <c r="AV41" s="179"/>
      <c r="AW41" s="179"/>
      <c r="AX41" s="179"/>
      <c r="AY41" s="179"/>
      <c r="AZ41" s="179"/>
      <c r="BA41" s="179"/>
      <c r="BB41" s="179"/>
      <c r="BC41" s="178"/>
      <c r="BD41" s="169"/>
      <c r="BE41" s="169"/>
      <c r="BF41" s="169"/>
      <c r="BG41" s="169"/>
      <c r="BH41" s="169"/>
      <c r="BI41" s="169"/>
      <c r="BJ41" s="169"/>
      <c r="BK41" s="169"/>
      <c r="BL41" s="170"/>
      <c r="BM41" s="169"/>
      <c r="BN41" s="169"/>
      <c r="BO41" s="169"/>
      <c r="BP41" s="169"/>
      <c r="BQ41" s="169"/>
      <c r="BR41" s="169"/>
      <c r="BS41" s="169"/>
      <c r="BT41" s="169"/>
      <c r="BU41" s="169"/>
      <c r="BV41" s="169"/>
    </row>
    <row r="42" spans="1:75" ht="23.25" customHeight="1" x14ac:dyDescent="0.2">
      <c r="A42" s="163"/>
      <c r="B42" s="163"/>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c r="BA42" s="163"/>
      <c r="BB42" s="163"/>
      <c r="BC42" s="165"/>
      <c r="BD42" s="169"/>
      <c r="BE42" s="169"/>
      <c r="BF42" s="169"/>
      <c r="BG42" s="169"/>
      <c r="BH42" s="169"/>
      <c r="BI42" s="169"/>
      <c r="BJ42" s="169"/>
      <c r="BK42" s="169"/>
      <c r="BL42" s="170"/>
      <c r="BM42" s="169"/>
      <c r="BN42" s="169"/>
      <c r="BO42" s="169"/>
      <c r="BP42" s="169"/>
      <c r="BQ42" s="169"/>
      <c r="BR42" s="169"/>
      <c r="BS42" s="169"/>
      <c r="BT42" s="169"/>
      <c r="BU42" s="169"/>
      <c r="BV42" s="169"/>
    </row>
    <row r="43" spans="1:75" ht="14.25" customHeight="1" x14ac:dyDescent="0.2">
      <c r="A43" s="163" t="s">
        <v>169</v>
      </c>
      <c r="B43" s="163"/>
      <c r="C43" s="163"/>
      <c r="D43" s="163"/>
      <c r="E43" s="163"/>
      <c r="F43" s="163"/>
      <c r="G43" s="163"/>
      <c r="H43" s="163"/>
      <c r="I43" s="163"/>
      <c r="J43" s="163"/>
      <c r="K43" s="163"/>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c r="BA43" s="163"/>
      <c r="BB43" s="163"/>
      <c r="BC43" s="165"/>
      <c r="BD43" s="169"/>
      <c r="BE43" s="169"/>
      <c r="BF43" s="169"/>
      <c r="BG43" s="169"/>
      <c r="BH43" s="169"/>
      <c r="BI43" s="169"/>
      <c r="BJ43" s="169"/>
      <c r="BK43" s="169"/>
      <c r="BL43" s="170"/>
      <c r="BM43" s="169"/>
      <c r="BN43" s="169"/>
      <c r="BO43" s="169"/>
      <c r="BP43" s="169"/>
      <c r="BQ43" s="169" t="str">
        <f>IF(OR(IFERROR(VLOOKUP(CA43,[1]ARS!A:EL,MATCH("Price To Earnings",[1]ARS!$4:$4,0),FALSE),"-")&lt;0,IFERROR(VLOOKUP(CA43,[1]ARS!A:EL,MATCH("Price To Earnings",[1]ARS!$4:$4,0),FALSE),"-")&gt;500),"-",IFERROR(VLOOKUP(CA43,[1]ARS!A:EL,MATCH("Price To Earnings",[1]ARS!$4:$4,0),FALSE),"-"))</f>
        <v>-</v>
      </c>
      <c r="BR43" s="169"/>
      <c r="BS43" s="169"/>
      <c r="BT43" s="169"/>
      <c r="BU43" s="169"/>
      <c r="BV43" s="169"/>
    </row>
    <row r="44" spans="1:75" ht="20.100000000000001" customHeight="1" x14ac:dyDescent="0.2">
      <c r="A44" s="180"/>
      <c r="B44" s="180"/>
      <c r="C44" s="180"/>
      <c r="D44" s="180"/>
      <c r="E44" s="180"/>
      <c r="F44" s="180"/>
      <c r="G44" s="180"/>
      <c r="H44" s="180"/>
      <c r="I44" s="180"/>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s="180"/>
      <c r="AK44" s="180"/>
      <c r="AL44" s="180"/>
      <c r="AM44" s="180"/>
      <c r="AN44" s="180"/>
      <c r="AO44" s="180"/>
      <c r="AP44" s="180"/>
      <c r="AQ44" s="180"/>
      <c r="AR44" s="180"/>
      <c r="AS44" s="180"/>
      <c r="AT44" s="180"/>
      <c r="AU44" s="181"/>
      <c r="AV44" s="181"/>
      <c r="AW44" s="181"/>
      <c r="AX44" s="169"/>
      <c r="AY44" s="169"/>
      <c r="AZ44" s="169"/>
      <c r="BA44" s="169"/>
      <c r="BB44" s="169"/>
      <c r="BC44" s="170"/>
      <c r="BD44" s="169"/>
      <c r="BE44" s="169"/>
      <c r="BF44" s="169"/>
      <c r="BG44" s="169"/>
      <c r="BH44" s="169"/>
      <c r="BI44" s="169"/>
      <c r="BJ44" s="169"/>
      <c r="BK44" s="169"/>
      <c r="BL44" s="170"/>
      <c r="BM44" s="169"/>
      <c r="BN44" s="169"/>
      <c r="BO44" s="169"/>
      <c r="BP44" s="169"/>
      <c r="BQ44" s="169" t="str">
        <f>IF(OR(IFERROR(VLOOKUP(CA44,[1]ARS!A:EL,MATCH("Price To Earnings",[1]ARS!$4:$4,0),FALSE),"-")&lt;0,IFERROR(VLOOKUP(CA44,[1]ARS!A:EL,MATCH("Price To Earnings",[1]ARS!$4:$4,0),FALSE),"-")&gt;500),"-",IFERROR(VLOOKUP(CA44,[1]ARS!A:EL,MATCH("Price To Earnings",[1]ARS!$4:$4,0),FALSE),"-"))</f>
        <v>-</v>
      </c>
      <c r="BR44" s="169"/>
      <c r="BS44" s="169"/>
      <c r="BT44" s="169"/>
      <c r="BU44" s="169"/>
      <c r="BV44" s="169"/>
    </row>
    <row r="45" spans="1:75" ht="20.100000000000001" customHeight="1" x14ac:dyDescent="0.2">
      <c r="A45" s="180"/>
      <c r="B45" s="180"/>
      <c r="C45" s="180"/>
      <c r="D45" s="180"/>
      <c r="E45" s="180"/>
      <c r="F45" s="180"/>
      <c r="G45" s="180"/>
      <c r="H45" s="180"/>
      <c r="I45" s="180"/>
      <c r="J45" s="180"/>
      <c r="K45" s="180"/>
      <c r="L45" s="180"/>
      <c r="M45" s="180"/>
      <c r="N45" s="180"/>
      <c r="O45" s="180"/>
      <c r="P45" s="180"/>
      <c r="Q45" s="180"/>
      <c r="R45" s="180"/>
      <c r="S45" s="180"/>
      <c r="T45" s="180"/>
      <c r="U45" s="180"/>
      <c r="V45" s="180"/>
      <c r="W45" s="180"/>
      <c r="X45" s="180"/>
      <c r="Y45" s="180"/>
      <c r="Z45" s="180"/>
      <c r="AA45" s="180"/>
      <c r="AB45" s="180"/>
      <c r="AC45" s="180"/>
      <c r="AD45" s="180"/>
      <c r="AE45" s="180"/>
      <c r="AF45" s="180"/>
      <c r="AG45" s="180"/>
      <c r="AH45" s="180"/>
      <c r="AI45" s="180"/>
      <c r="AJ45" s="180"/>
      <c r="AK45" s="180"/>
      <c r="AL45" s="180"/>
      <c r="AM45" s="180"/>
      <c r="AN45" s="180"/>
      <c r="AO45" s="180"/>
      <c r="AP45" s="180"/>
      <c r="AQ45" s="180"/>
      <c r="AR45" s="180"/>
      <c r="AS45" s="180"/>
      <c r="AT45" s="180"/>
      <c r="AU45" s="181"/>
      <c r="AV45" s="181"/>
      <c r="AW45" s="181"/>
      <c r="AX45" s="169"/>
      <c r="AY45" s="169"/>
      <c r="AZ45" s="169"/>
      <c r="BA45" s="169"/>
      <c r="BB45" s="169"/>
      <c r="BC45" s="170"/>
      <c r="BD45" s="169"/>
      <c r="BE45" s="169"/>
      <c r="BF45" s="169"/>
      <c r="BG45" s="169"/>
      <c r="BH45" s="169"/>
      <c r="BI45" s="169"/>
      <c r="BJ45" s="169"/>
      <c r="BK45" s="169"/>
      <c r="BL45" s="170"/>
      <c r="BM45" s="169"/>
      <c r="BN45" s="169"/>
      <c r="BO45" s="169"/>
      <c r="BP45" s="169"/>
      <c r="BQ45" s="169"/>
      <c r="BR45" s="169"/>
      <c r="BS45" s="169"/>
      <c r="BT45" s="169"/>
      <c r="BU45" s="169"/>
      <c r="BV45" s="169"/>
    </row>
    <row r="46" spans="1:75" ht="20.100000000000001" customHeight="1" x14ac:dyDescent="0.2">
      <c r="A46" s="180"/>
      <c r="B46" s="180"/>
      <c r="C46" s="180"/>
      <c r="D46" s="180"/>
      <c r="E46" s="180"/>
      <c r="F46" s="180"/>
      <c r="G46" s="180"/>
      <c r="H46" s="180"/>
      <c r="I46" s="180"/>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s="180"/>
      <c r="AK46" s="180"/>
      <c r="AL46" s="180"/>
      <c r="AM46" s="180"/>
      <c r="AN46" s="180"/>
      <c r="AO46" s="180"/>
      <c r="AP46" s="180"/>
      <c r="AQ46" s="180"/>
      <c r="AR46" s="180"/>
      <c r="AS46" s="180"/>
      <c r="AT46" s="180"/>
      <c r="AU46" s="181"/>
      <c r="AV46" s="181"/>
      <c r="AW46" s="181"/>
      <c r="AX46" s="169"/>
      <c r="AY46" s="169"/>
      <c r="AZ46" s="169"/>
      <c r="BA46" s="169"/>
      <c r="BB46" s="169"/>
      <c r="BC46" s="170"/>
      <c r="BD46" s="169"/>
      <c r="BE46" s="169"/>
      <c r="BF46" s="169"/>
      <c r="BG46" s="169"/>
      <c r="BH46" s="169"/>
      <c r="BI46" s="169"/>
      <c r="BJ46" s="169"/>
      <c r="BK46" s="169"/>
      <c r="BL46" s="170"/>
      <c r="BM46" s="169"/>
      <c r="BN46" s="169"/>
      <c r="BO46" s="169"/>
      <c r="BP46" s="169"/>
      <c r="BQ46" s="169"/>
      <c r="BR46" s="169"/>
      <c r="BS46" s="169"/>
      <c r="BT46" s="169"/>
      <c r="BU46" s="169"/>
      <c r="BV46" s="169"/>
    </row>
    <row r="47" spans="1:75" ht="20.100000000000001" customHeight="1" x14ac:dyDescent="0.2">
      <c r="A47" s="180"/>
      <c r="B47" s="180"/>
      <c r="C47" s="180"/>
      <c r="D47" s="180"/>
      <c r="E47" s="180"/>
      <c r="F47" s="180"/>
      <c r="G47" s="180"/>
      <c r="H47" s="180"/>
      <c r="I47" s="180"/>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s="180"/>
      <c r="AK47" s="180"/>
      <c r="AL47" s="180"/>
      <c r="AM47" s="180"/>
      <c r="AN47" s="180"/>
      <c r="AO47" s="180"/>
      <c r="AP47" s="180"/>
      <c r="AQ47" s="180"/>
      <c r="AR47" s="180"/>
      <c r="AS47" s="180"/>
      <c r="AT47" s="180"/>
      <c r="AU47" s="181"/>
      <c r="AV47" s="181"/>
      <c r="AW47" s="181"/>
      <c r="AX47" s="169"/>
      <c r="AY47" s="169"/>
      <c r="AZ47" s="169"/>
      <c r="BA47" s="169"/>
      <c r="BB47" s="169"/>
      <c r="BC47" s="170"/>
      <c r="BD47" s="169"/>
      <c r="BE47" s="169"/>
      <c r="BF47" s="169"/>
      <c r="BG47" s="169"/>
      <c r="BH47" s="169"/>
      <c r="BI47" s="169"/>
      <c r="BJ47" s="169"/>
      <c r="BK47" s="169"/>
      <c r="BL47" s="170"/>
      <c r="BM47" s="169"/>
      <c r="BN47" s="169"/>
      <c r="BO47" s="169"/>
      <c r="BP47" s="169"/>
      <c r="BQ47" s="169"/>
      <c r="BR47" s="169"/>
      <c r="BS47" s="169"/>
      <c r="BT47" s="169"/>
      <c r="BU47" s="169"/>
      <c r="BV47" s="169"/>
    </row>
    <row r="48" spans="1:75" ht="20.100000000000001" customHeight="1" x14ac:dyDescent="0.2">
      <c r="A48" s="180"/>
      <c r="B48" s="180"/>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1"/>
      <c r="AV48" s="181"/>
      <c r="AW48" s="181"/>
      <c r="AX48" s="169"/>
      <c r="AY48" s="169"/>
      <c r="AZ48" s="169"/>
      <c r="BA48" s="169"/>
      <c r="BB48" s="169"/>
      <c r="BC48" s="170"/>
      <c r="BD48" s="169"/>
      <c r="BE48" s="169"/>
      <c r="BF48" s="169"/>
      <c r="BG48" s="169"/>
      <c r="BH48" s="169"/>
      <c r="BI48" s="169"/>
      <c r="BJ48" s="169"/>
      <c r="BK48" s="169"/>
      <c r="BL48" s="170"/>
      <c r="BM48" s="169"/>
      <c r="BN48" s="169"/>
      <c r="BO48" s="169"/>
      <c r="BP48" s="169"/>
      <c r="BQ48" s="169"/>
      <c r="BR48" s="169"/>
      <c r="BS48" s="169"/>
      <c r="BT48" s="169"/>
      <c r="BU48" s="169"/>
      <c r="BV48" s="169"/>
    </row>
    <row r="49" spans="7:75" ht="20.100000000000001" customHeight="1" x14ac:dyDescent="0.25">
      <c r="G49" s="182"/>
      <c r="H49" s="460" t="s">
        <v>9</v>
      </c>
      <c r="I49" s="461"/>
      <c r="J49" s="462" t="s">
        <v>170</v>
      </c>
      <c r="K49" s="460"/>
      <c r="L49" s="460"/>
      <c r="M49" s="460"/>
      <c r="N49" s="460"/>
      <c r="O49" s="460"/>
      <c r="P49" s="460"/>
      <c r="Q49" s="460"/>
      <c r="R49" s="460"/>
      <c r="S49" s="460"/>
      <c r="T49" s="460"/>
      <c r="U49" s="460"/>
      <c r="V49" s="460"/>
      <c r="W49" s="460"/>
      <c r="X49" s="460"/>
      <c r="Y49" s="460"/>
      <c r="Z49" s="460"/>
      <c r="AA49" s="460"/>
      <c r="AB49" s="183"/>
      <c r="AC49" s="183"/>
      <c r="AD49" s="183"/>
      <c r="AE49" s="183"/>
      <c r="AF49" s="460" t="s">
        <v>9</v>
      </c>
      <c r="AG49" s="461"/>
      <c r="AH49" s="462" t="s">
        <v>170</v>
      </c>
      <c r="AI49" s="460"/>
      <c r="AJ49" s="460"/>
      <c r="AK49" s="460"/>
      <c r="AL49" s="460"/>
      <c r="AM49" s="460"/>
      <c r="AN49" s="460"/>
      <c r="AO49" s="460"/>
      <c r="AP49" s="460"/>
      <c r="AQ49" s="460"/>
      <c r="AR49" s="460"/>
      <c r="AS49" s="460"/>
      <c r="AT49" s="460"/>
      <c r="AU49" s="460"/>
      <c r="AV49" s="460"/>
      <c r="AW49" s="460"/>
      <c r="AX49" s="460"/>
      <c r="AY49" s="184"/>
      <c r="AZ49" s="169"/>
      <c r="BA49" s="169"/>
      <c r="BB49" s="169"/>
      <c r="BC49" s="170"/>
      <c r="BD49" s="169"/>
      <c r="BE49" s="169"/>
      <c r="BF49" s="169"/>
      <c r="BG49" s="169"/>
      <c r="BH49" s="169"/>
      <c r="BI49" s="169"/>
      <c r="BJ49" s="169"/>
      <c r="BK49" s="169"/>
      <c r="BL49" s="170"/>
      <c r="BM49" s="169"/>
      <c r="BN49" s="169"/>
      <c r="BO49" s="169"/>
      <c r="BP49" s="169"/>
      <c r="BQ49" s="169"/>
      <c r="BR49" s="169"/>
      <c r="BS49" s="169"/>
      <c r="BT49" s="169"/>
      <c r="BU49" s="169"/>
      <c r="BV49" s="169"/>
    </row>
    <row r="50" spans="7:75" ht="15.95" customHeight="1" x14ac:dyDescent="0.25">
      <c r="G50" s="184"/>
      <c r="H50" s="185" t="s">
        <v>171</v>
      </c>
      <c r="I50" s="186"/>
      <c r="J50" s="187" t="s">
        <v>172</v>
      </c>
      <c r="K50" s="188"/>
      <c r="L50" s="188"/>
      <c r="M50" s="188"/>
      <c r="N50" s="188"/>
      <c r="O50" s="188"/>
      <c r="P50" s="188"/>
      <c r="Q50" s="188"/>
      <c r="R50" s="188"/>
      <c r="S50" s="188"/>
      <c r="T50" s="188"/>
      <c r="U50" s="188"/>
      <c r="V50" s="188"/>
      <c r="W50" s="188"/>
      <c r="X50" s="188"/>
      <c r="Y50" s="188"/>
      <c r="Z50" s="188"/>
      <c r="AA50" s="188"/>
      <c r="AB50" s="188"/>
      <c r="AC50" s="188"/>
      <c r="AD50" s="188"/>
      <c r="AE50" s="188"/>
      <c r="AF50" s="457" t="s">
        <v>96</v>
      </c>
      <c r="AG50" s="458"/>
      <c r="AH50" s="187" t="s">
        <v>173</v>
      </c>
      <c r="AI50" s="188"/>
      <c r="AJ50" s="188"/>
      <c r="AK50" s="188"/>
      <c r="AL50" s="188"/>
      <c r="AM50" s="188"/>
      <c r="AN50" s="188"/>
      <c r="AO50" s="188"/>
      <c r="AP50" s="188"/>
      <c r="AQ50" s="188"/>
      <c r="AR50" s="188"/>
      <c r="AS50" s="188"/>
      <c r="AT50" s="188"/>
      <c r="AU50" s="189"/>
      <c r="AV50" s="189"/>
      <c r="AW50" s="189"/>
      <c r="AX50" s="184"/>
      <c r="AY50" s="184"/>
      <c r="AZ50" s="169"/>
      <c r="BA50" s="169"/>
      <c r="BB50" s="169"/>
      <c r="BC50" s="170"/>
      <c r="BD50" s="169"/>
      <c r="BE50" s="169"/>
      <c r="BF50" s="169"/>
      <c r="BG50" s="169"/>
      <c r="BH50" s="169"/>
      <c r="BI50" s="169"/>
      <c r="BJ50" s="169"/>
      <c r="BK50" s="169"/>
      <c r="BL50" s="170"/>
      <c r="BM50" s="169"/>
      <c r="BN50" s="169"/>
      <c r="BO50" s="169"/>
      <c r="BP50" s="169"/>
      <c r="BQ50" s="169"/>
      <c r="BR50" s="169"/>
      <c r="BS50" s="169"/>
      <c r="BT50" s="169"/>
      <c r="BU50" s="169"/>
      <c r="BV50" s="169"/>
    </row>
    <row r="51" spans="7:75" ht="15.95" customHeight="1" x14ac:dyDescent="0.25">
      <c r="G51" s="184"/>
      <c r="H51" s="190" t="s">
        <v>101</v>
      </c>
      <c r="I51" s="191"/>
      <c r="J51" s="187" t="s">
        <v>174</v>
      </c>
      <c r="K51" s="188"/>
      <c r="L51" s="188"/>
      <c r="M51" s="188"/>
      <c r="N51" s="188"/>
      <c r="O51" s="188"/>
      <c r="P51" s="188"/>
      <c r="Q51" s="188"/>
      <c r="R51" s="188"/>
      <c r="S51" s="188"/>
      <c r="T51" s="188"/>
      <c r="U51" s="188"/>
      <c r="V51" s="188"/>
      <c r="W51" s="188"/>
      <c r="X51" s="188"/>
      <c r="Y51" s="188"/>
      <c r="Z51" s="188"/>
      <c r="AA51" s="188"/>
      <c r="AB51" s="188"/>
      <c r="AC51" s="188"/>
      <c r="AD51" s="188"/>
      <c r="AE51" s="188"/>
      <c r="AF51" s="457" t="s">
        <v>107</v>
      </c>
      <c r="AG51" s="458"/>
      <c r="AH51" s="187" t="s">
        <v>175</v>
      </c>
      <c r="AI51" s="188"/>
      <c r="AJ51" s="188"/>
      <c r="AK51" s="188"/>
      <c r="AL51" s="188"/>
      <c r="AM51" s="188"/>
      <c r="AN51" s="188"/>
      <c r="AO51" s="188"/>
      <c r="AP51" s="188"/>
      <c r="AQ51" s="188"/>
      <c r="AR51" s="188"/>
      <c r="AS51" s="188"/>
      <c r="AT51" s="188"/>
      <c r="AU51" s="189"/>
      <c r="AV51" s="189"/>
      <c r="AW51" s="189"/>
      <c r="AX51" s="184"/>
      <c r="AY51" s="184"/>
      <c r="AZ51" s="169"/>
      <c r="BA51" s="169"/>
      <c r="BB51" s="169"/>
      <c r="BC51" s="170"/>
      <c r="BD51" s="169"/>
      <c r="BE51" s="169"/>
      <c r="BF51" s="169"/>
      <c r="BG51" s="169"/>
      <c r="BH51" s="169"/>
      <c r="BI51" s="169"/>
      <c r="BJ51" s="169"/>
      <c r="BK51" s="169"/>
      <c r="BL51" s="170"/>
      <c r="BM51" s="169"/>
      <c r="BN51" s="169"/>
      <c r="BO51" s="169"/>
      <c r="BP51" s="169"/>
      <c r="BQ51" s="169"/>
      <c r="BR51" s="169"/>
      <c r="BS51" s="169"/>
      <c r="BT51" s="169"/>
      <c r="BU51" s="169"/>
      <c r="BV51" s="169"/>
    </row>
    <row r="52" spans="7:75" ht="15.95" customHeight="1" x14ac:dyDescent="0.25">
      <c r="G52" s="184"/>
      <c r="H52" s="190" t="s">
        <v>113</v>
      </c>
      <c r="I52" s="191"/>
      <c r="J52" s="192" t="s">
        <v>176</v>
      </c>
      <c r="K52" s="188"/>
      <c r="L52" s="188"/>
      <c r="M52" s="188"/>
      <c r="N52" s="188"/>
      <c r="O52" s="188"/>
      <c r="P52" s="188"/>
      <c r="Q52" s="188"/>
      <c r="R52" s="188"/>
      <c r="S52" s="188"/>
      <c r="T52" s="188"/>
      <c r="U52" s="188"/>
      <c r="V52" s="188"/>
      <c r="W52" s="188"/>
      <c r="X52" s="188"/>
      <c r="Y52" s="188"/>
      <c r="Z52" s="188"/>
      <c r="AA52" s="188"/>
      <c r="AB52" s="188"/>
      <c r="AC52" s="188"/>
      <c r="AD52" s="188"/>
      <c r="AE52" s="188"/>
      <c r="AF52" s="457" t="s">
        <v>55</v>
      </c>
      <c r="AG52" s="458"/>
      <c r="AH52" s="187" t="s">
        <v>177</v>
      </c>
      <c r="AI52" s="188"/>
      <c r="AJ52" s="188"/>
      <c r="AK52" s="188"/>
      <c r="AL52" s="188"/>
      <c r="AM52" s="188"/>
      <c r="AN52" s="188"/>
      <c r="AO52" s="188"/>
      <c r="AP52" s="188"/>
      <c r="AQ52" s="188"/>
      <c r="AR52" s="188"/>
      <c r="AS52" s="188"/>
      <c r="AT52" s="188"/>
      <c r="AU52" s="189"/>
      <c r="AV52" s="189"/>
      <c r="AW52" s="189"/>
      <c r="AX52" s="184"/>
      <c r="AY52" s="184"/>
      <c r="AZ52" s="169"/>
      <c r="BA52" s="169"/>
      <c r="BB52" s="169"/>
      <c r="BC52" s="170"/>
      <c r="BD52" s="169"/>
      <c r="BE52" s="169"/>
      <c r="BF52" s="169"/>
      <c r="BG52" s="169"/>
      <c r="BH52" s="169"/>
      <c r="BI52" s="169"/>
      <c r="BJ52" s="169"/>
      <c r="BK52" s="169"/>
      <c r="BL52" s="170"/>
      <c r="BM52" s="169"/>
      <c r="BN52" s="169"/>
      <c r="BO52" s="169"/>
      <c r="BP52" s="169"/>
      <c r="BQ52" s="169"/>
      <c r="BR52" s="169"/>
      <c r="BS52" s="169"/>
      <c r="BT52" s="169"/>
      <c r="BU52" s="169"/>
      <c r="BV52" s="169"/>
      <c r="BW52" s="169"/>
    </row>
    <row r="53" spans="7:75" ht="15.95" customHeight="1" x14ac:dyDescent="0.25">
      <c r="G53" s="184"/>
      <c r="H53" s="190" t="s">
        <v>75</v>
      </c>
      <c r="I53" s="191"/>
      <c r="J53" s="192" t="s">
        <v>178</v>
      </c>
      <c r="K53" s="188"/>
      <c r="L53" s="188"/>
      <c r="M53" s="188"/>
      <c r="N53" s="188"/>
      <c r="O53" s="188"/>
      <c r="P53" s="188"/>
      <c r="Q53" s="188"/>
      <c r="R53" s="188"/>
      <c r="S53" s="188"/>
      <c r="T53" s="188"/>
      <c r="U53" s="188"/>
      <c r="V53" s="188"/>
      <c r="W53" s="188"/>
      <c r="X53" s="188"/>
      <c r="Y53" s="188"/>
      <c r="Z53" s="188"/>
      <c r="AA53" s="188"/>
      <c r="AB53" s="188"/>
      <c r="AC53" s="188"/>
      <c r="AD53" s="188"/>
      <c r="AE53" s="188"/>
      <c r="AF53" s="457" t="s">
        <v>58</v>
      </c>
      <c r="AG53" s="458"/>
      <c r="AH53" s="187" t="s">
        <v>179</v>
      </c>
      <c r="AI53" s="188"/>
      <c r="AJ53" s="188"/>
      <c r="AK53" s="188"/>
      <c r="AL53" s="188"/>
      <c r="AM53" s="188"/>
      <c r="AN53" s="188"/>
      <c r="AO53" s="188"/>
      <c r="AP53" s="188"/>
      <c r="AQ53" s="188"/>
      <c r="AR53" s="188"/>
      <c r="AS53" s="188"/>
      <c r="AT53" s="188"/>
      <c r="AU53" s="189"/>
      <c r="AV53" s="189"/>
      <c r="AW53" s="189"/>
      <c r="AX53" s="184"/>
      <c r="AY53" s="184"/>
      <c r="AZ53" s="169"/>
      <c r="BA53" s="169"/>
      <c r="BB53" s="169"/>
      <c r="BC53" s="170"/>
      <c r="BD53" s="169"/>
      <c r="BE53" s="169"/>
      <c r="BF53" s="169"/>
      <c r="BG53" s="169"/>
      <c r="BH53" s="169"/>
      <c r="BI53" s="169"/>
      <c r="BJ53" s="169"/>
      <c r="BK53" s="169"/>
      <c r="BL53" s="170"/>
      <c r="BM53" s="169"/>
      <c r="BN53" s="169"/>
      <c r="BO53" s="169"/>
      <c r="BP53" s="169"/>
      <c r="BQ53" s="169"/>
      <c r="BR53" s="169"/>
      <c r="BS53" s="169"/>
      <c r="BT53" s="169"/>
      <c r="BU53" s="169"/>
      <c r="BV53" s="169"/>
    </row>
    <row r="54" spans="7:75" ht="15.95" customHeight="1" x14ac:dyDescent="0.25">
      <c r="G54" s="184"/>
      <c r="H54" s="190" t="s">
        <v>61</v>
      </c>
      <c r="I54" s="191"/>
      <c r="J54" s="192" t="s">
        <v>180</v>
      </c>
      <c r="K54" s="188"/>
      <c r="L54" s="188"/>
      <c r="M54" s="188"/>
      <c r="N54" s="188"/>
      <c r="O54" s="188"/>
      <c r="P54" s="188"/>
      <c r="Q54" s="188"/>
      <c r="R54" s="188"/>
      <c r="S54" s="188"/>
      <c r="T54" s="188"/>
      <c r="U54" s="188"/>
      <c r="V54" s="188"/>
      <c r="W54" s="188"/>
      <c r="X54" s="188"/>
      <c r="Y54" s="188"/>
      <c r="Z54" s="188"/>
      <c r="AA54" s="188"/>
      <c r="AB54" s="188"/>
      <c r="AC54" s="188"/>
      <c r="AD54" s="188"/>
      <c r="AE54" s="188"/>
      <c r="AF54" s="457" t="s">
        <v>133</v>
      </c>
      <c r="AG54" s="458"/>
      <c r="AH54" s="192" t="s">
        <v>181</v>
      </c>
      <c r="AI54" s="188"/>
      <c r="AJ54" s="188"/>
      <c r="AK54" s="188"/>
      <c r="AL54" s="188"/>
      <c r="AM54" s="188"/>
      <c r="AN54" s="188"/>
      <c r="AO54" s="188"/>
      <c r="AP54" s="188"/>
      <c r="AQ54" s="188"/>
      <c r="AR54" s="188"/>
      <c r="AS54" s="188"/>
      <c r="AT54" s="188"/>
      <c r="AU54" s="189"/>
      <c r="AV54" s="189"/>
      <c r="AW54" s="189"/>
      <c r="AX54" s="184"/>
      <c r="AY54" s="184"/>
      <c r="AZ54" s="169"/>
      <c r="BA54" s="169"/>
      <c r="BB54" s="169"/>
      <c r="BC54" s="170"/>
      <c r="BD54" s="169"/>
      <c r="BE54" s="169"/>
      <c r="BF54" s="169"/>
      <c r="BG54" s="169"/>
      <c r="BH54" s="169"/>
      <c r="BI54" s="169"/>
      <c r="BJ54" s="169"/>
      <c r="BK54" s="169"/>
      <c r="BL54" s="170"/>
      <c r="BM54" s="169"/>
      <c r="BN54" s="169"/>
      <c r="BO54" s="169"/>
      <c r="BP54" s="169"/>
      <c r="BQ54" s="169"/>
      <c r="BR54" s="169"/>
      <c r="BS54" s="169"/>
      <c r="BT54" s="169"/>
      <c r="BU54" s="169"/>
      <c r="BV54" s="169"/>
    </row>
    <row r="55" spans="7:75" ht="15.95" customHeight="1" x14ac:dyDescent="0.25">
      <c r="G55" s="184"/>
      <c r="H55" s="190" t="s">
        <v>87</v>
      </c>
      <c r="I55" s="191"/>
      <c r="J55" s="192" t="s">
        <v>182</v>
      </c>
      <c r="K55" s="188"/>
      <c r="L55" s="188"/>
      <c r="M55" s="188"/>
      <c r="N55" s="188"/>
      <c r="O55" s="188"/>
      <c r="P55" s="188"/>
      <c r="Q55" s="188"/>
      <c r="R55" s="188"/>
      <c r="S55" s="188"/>
      <c r="T55" s="188"/>
      <c r="U55" s="188"/>
      <c r="V55" s="188"/>
      <c r="W55" s="188"/>
      <c r="X55" s="188"/>
      <c r="Y55" s="188"/>
      <c r="Z55" s="188"/>
      <c r="AA55" s="188"/>
      <c r="AB55" s="188"/>
      <c r="AC55" s="188"/>
      <c r="AD55" s="188"/>
      <c r="AE55" s="188"/>
      <c r="AF55" s="457" t="s">
        <v>131</v>
      </c>
      <c r="AG55" s="458"/>
      <c r="AH55" s="187" t="s">
        <v>183</v>
      </c>
      <c r="AI55" s="188"/>
      <c r="AJ55" s="188"/>
      <c r="AK55" s="188"/>
      <c r="AL55" s="188"/>
      <c r="AM55" s="188"/>
      <c r="AN55" s="188"/>
      <c r="AO55" s="188"/>
      <c r="AP55" s="188"/>
      <c r="AQ55" s="188"/>
      <c r="AR55" s="188"/>
      <c r="AS55" s="188"/>
      <c r="AT55" s="188"/>
      <c r="AU55" s="189"/>
      <c r="AV55" s="189"/>
      <c r="AW55" s="189"/>
      <c r="AX55" s="184"/>
      <c r="AY55" s="184"/>
      <c r="AZ55" s="169"/>
      <c r="BA55" s="169"/>
      <c r="BB55" s="169"/>
      <c r="BC55" s="170"/>
      <c r="BD55" s="169"/>
      <c r="BE55" s="169"/>
      <c r="BF55" s="169"/>
      <c r="BG55" s="169"/>
      <c r="BH55" s="169"/>
      <c r="BI55" s="169"/>
      <c r="BJ55" s="169"/>
      <c r="BK55" s="169"/>
      <c r="BL55" s="170"/>
      <c r="BM55" s="169"/>
      <c r="BN55" s="169"/>
      <c r="BO55" s="169"/>
      <c r="BP55" s="169"/>
      <c r="BQ55" s="169"/>
      <c r="BR55" s="169"/>
      <c r="BS55" s="169"/>
      <c r="BT55" s="169"/>
      <c r="BU55" s="169"/>
      <c r="BV55" s="169"/>
    </row>
    <row r="56" spans="7:75" ht="15.95" customHeight="1" x14ac:dyDescent="0.25">
      <c r="G56" s="184"/>
      <c r="H56" s="190" t="s">
        <v>89</v>
      </c>
      <c r="I56" s="191"/>
      <c r="J56" s="192" t="s">
        <v>184</v>
      </c>
      <c r="K56" s="188"/>
      <c r="L56" s="188"/>
      <c r="M56" s="188"/>
      <c r="N56" s="188"/>
      <c r="O56" s="188"/>
      <c r="P56" s="188"/>
      <c r="Q56" s="188"/>
      <c r="R56" s="188"/>
      <c r="S56" s="188"/>
      <c r="T56" s="188"/>
      <c r="U56" s="188"/>
      <c r="V56" s="188"/>
      <c r="W56" s="188"/>
      <c r="X56" s="188"/>
      <c r="Y56" s="188"/>
      <c r="Z56" s="188"/>
      <c r="AA56" s="188"/>
      <c r="AB56" s="188"/>
      <c r="AC56" s="188"/>
      <c r="AD56" s="188"/>
      <c r="AE56" s="188"/>
      <c r="AF56" s="457" t="s">
        <v>114</v>
      </c>
      <c r="AG56" s="458"/>
      <c r="AH56" s="187" t="s">
        <v>185</v>
      </c>
      <c r="AI56" s="188"/>
      <c r="AJ56" s="188"/>
      <c r="AK56" s="188"/>
      <c r="AL56" s="188"/>
      <c r="AM56" s="188"/>
      <c r="AN56" s="188"/>
      <c r="AO56" s="188"/>
      <c r="AP56" s="188"/>
      <c r="AQ56" s="188"/>
      <c r="AR56" s="188"/>
      <c r="AS56" s="188"/>
      <c r="AT56" s="188"/>
      <c r="AU56" s="189"/>
      <c r="AV56" s="189"/>
      <c r="AW56" s="189"/>
      <c r="AX56" s="184"/>
      <c r="AY56" s="184"/>
      <c r="AZ56" s="169"/>
      <c r="BA56" s="169"/>
      <c r="BB56" s="169"/>
      <c r="BC56" s="170"/>
      <c r="BD56" s="169"/>
      <c r="BE56" s="169"/>
      <c r="BF56" s="169"/>
      <c r="BG56" s="169"/>
      <c r="BH56" s="169"/>
      <c r="BI56" s="169"/>
      <c r="BJ56" s="169"/>
      <c r="BK56" s="169"/>
      <c r="BL56" s="170"/>
      <c r="BM56" s="169"/>
      <c r="BN56" s="169"/>
      <c r="BO56" s="169"/>
      <c r="BP56" s="169"/>
      <c r="BQ56" s="169"/>
      <c r="BR56" s="169"/>
      <c r="BS56" s="169"/>
      <c r="BT56" s="169"/>
      <c r="BU56" s="169"/>
      <c r="BV56" s="169"/>
    </row>
    <row r="57" spans="7:75" ht="15.95" customHeight="1" x14ac:dyDescent="0.25">
      <c r="G57" s="184"/>
      <c r="H57" s="190" t="s">
        <v>135</v>
      </c>
      <c r="I57" s="191"/>
      <c r="J57" s="192" t="s">
        <v>186</v>
      </c>
      <c r="K57" s="188"/>
      <c r="L57" s="188"/>
      <c r="M57" s="188"/>
      <c r="N57" s="188"/>
      <c r="O57" s="188"/>
      <c r="P57" s="188"/>
      <c r="Q57" s="188"/>
      <c r="R57" s="188"/>
      <c r="S57" s="188"/>
      <c r="T57" s="188"/>
      <c r="U57" s="188"/>
      <c r="V57" s="188"/>
      <c r="W57" s="188"/>
      <c r="X57" s="188"/>
      <c r="Y57" s="188"/>
      <c r="Z57" s="188"/>
      <c r="AA57" s="188"/>
      <c r="AB57" s="188"/>
      <c r="AC57" s="188"/>
      <c r="AD57" s="188"/>
      <c r="AE57" s="188"/>
      <c r="AF57" s="457" t="s">
        <v>51</v>
      </c>
      <c r="AG57" s="458"/>
      <c r="AH57" s="187" t="s">
        <v>187</v>
      </c>
      <c r="AI57" s="188"/>
      <c r="AJ57" s="188"/>
      <c r="AK57" s="188"/>
      <c r="AL57" s="188"/>
      <c r="AM57" s="188"/>
      <c r="AN57" s="188"/>
      <c r="AO57" s="188"/>
      <c r="AP57" s="188"/>
      <c r="AQ57" s="188"/>
      <c r="AR57" s="188"/>
      <c r="AS57" s="188"/>
      <c r="AT57" s="188"/>
      <c r="AU57" s="189"/>
      <c r="AV57" s="189"/>
      <c r="AW57" s="189"/>
      <c r="AX57" s="184"/>
      <c r="AY57" s="184"/>
      <c r="AZ57" s="169"/>
      <c r="BA57" s="169"/>
      <c r="BB57" s="169"/>
      <c r="BC57" s="170"/>
      <c r="BD57" s="169"/>
      <c r="BE57" s="169"/>
      <c r="BF57" s="169"/>
      <c r="BG57" s="169"/>
      <c r="BH57" s="169"/>
      <c r="BI57" s="169"/>
      <c r="BJ57" s="169"/>
      <c r="BK57" s="169"/>
      <c r="BL57" s="170"/>
      <c r="BM57" s="169"/>
      <c r="BN57" s="169"/>
      <c r="BO57" s="169"/>
      <c r="BP57" s="169"/>
      <c r="BQ57" s="169"/>
      <c r="BR57" s="169"/>
      <c r="BS57" s="169"/>
      <c r="BT57" s="169"/>
      <c r="BU57" s="169"/>
      <c r="BV57" s="169"/>
    </row>
    <row r="58" spans="7:75" ht="15.95" customHeight="1" x14ac:dyDescent="0.25">
      <c r="G58" s="184"/>
      <c r="H58" s="190" t="s">
        <v>88</v>
      </c>
      <c r="I58" s="191"/>
      <c r="J58" s="192" t="s">
        <v>188</v>
      </c>
      <c r="K58" s="188"/>
      <c r="L58" s="188"/>
      <c r="M58" s="188"/>
      <c r="N58" s="188"/>
      <c r="O58" s="188"/>
      <c r="P58" s="188"/>
      <c r="Q58" s="188"/>
      <c r="R58" s="188"/>
      <c r="S58" s="188"/>
      <c r="T58" s="188"/>
      <c r="U58" s="188"/>
      <c r="V58" s="188"/>
      <c r="W58" s="188"/>
      <c r="X58" s="188"/>
      <c r="Y58" s="188"/>
      <c r="Z58" s="188"/>
      <c r="AA58" s="188"/>
      <c r="AB58" s="188"/>
      <c r="AC58" s="188"/>
      <c r="AD58" s="188"/>
      <c r="AE58" s="188"/>
      <c r="AF58" s="457" t="s">
        <v>66</v>
      </c>
      <c r="AG58" s="458"/>
      <c r="AH58" s="187" t="s">
        <v>189</v>
      </c>
      <c r="AI58" s="188"/>
      <c r="AJ58" s="188"/>
      <c r="AK58" s="188"/>
      <c r="AL58" s="188"/>
      <c r="AM58" s="188"/>
      <c r="AN58" s="188"/>
      <c r="AO58" s="188"/>
      <c r="AP58" s="188"/>
      <c r="AQ58" s="188"/>
      <c r="AR58" s="188"/>
      <c r="AS58" s="188"/>
      <c r="AT58" s="188"/>
      <c r="AU58" s="189"/>
      <c r="AV58" s="189"/>
      <c r="AW58" s="189"/>
      <c r="AX58" s="184"/>
      <c r="AY58" s="184"/>
      <c r="AZ58" s="169"/>
      <c r="BA58" s="169"/>
      <c r="BB58" s="169"/>
      <c r="BC58" s="170"/>
      <c r="BD58" s="169"/>
      <c r="BE58" s="169"/>
      <c r="BF58" s="169"/>
      <c r="BG58" s="169"/>
      <c r="BH58" s="169"/>
      <c r="BI58" s="169"/>
      <c r="BJ58" s="169"/>
      <c r="BK58" s="169"/>
      <c r="BL58" s="170"/>
      <c r="BM58" s="169"/>
      <c r="BN58" s="169"/>
      <c r="BO58" s="169"/>
      <c r="BP58" s="169"/>
      <c r="BQ58" s="169"/>
      <c r="BR58" s="169"/>
      <c r="BS58" s="169"/>
      <c r="BT58" s="169"/>
      <c r="BU58" s="169"/>
      <c r="BV58" s="169"/>
    </row>
    <row r="59" spans="7:75" ht="15.95" customHeight="1" x14ac:dyDescent="0.25">
      <c r="G59" s="184"/>
      <c r="H59" s="190" t="s">
        <v>90</v>
      </c>
      <c r="I59" s="191"/>
      <c r="J59" s="192" t="s">
        <v>190</v>
      </c>
      <c r="K59" s="188"/>
      <c r="L59" s="188"/>
      <c r="M59" s="188"/>
      <c r="N59" s="188"/>
      <c r="O59" s="188"/>
      <c r="P59" s="188"/>
      <c r="Q59" s="188"/>
      <c r="R59" s="188"/>
      <c r="S59" s="188"/>
      <c r="T59" s="188"/>
      <c r="U59" s="188"/>
      <c r="V59" s="188"/>
      <c r="W59" s="188"/>
      <c r="X59" s="188"/>
      <c r="Y59" s="188"/>
      <c r="Z59" s="188"/>
      <c r="AA59" s="188"/>
      <c r="AB59" s="188"/>
      <c r="AC59" s="188"/>
      <c r="AD59" s="188"/>
      <c r="AE59" s="188"/>
      <c r="AF59" s="457" t="s">
        <v>117</v>
      </c>
      <c r="AG59" s="458"/>
      <c r="AH59" s="187" t="s">
        <v>191</v>
      </c>
      <c r="AI59" s="188"/>
      <c r="AJ59" s="188"/>
      <c r="AK59" s="188"/>
      <c r="AL59" s="188"/>
      <c r="AM59" s="188"/>
      <c r="AN59" s="188"/>
      <c r="AO59" s="188"/>
      <c r="AP59" s="188"/>
      <c r="AQ59" s="188"/>
      <c r="AR59" s="188"/>
      <c r="AS59" s="188"/>
      <c r="AT59" s="188"/>
      <c r="AU59" s="189"/>
      <c r="AV59" s="189"/>
      <c r="AW59" s="189"/>
      <c r="AX59" s="184"/>
      <c r="AY59" s="184"/>
      <c r="AZ59" s="169"/>
      <c r="BA59" s="169"/>
      <c r="BB59" s="169"/>
      <c r="BC59" s="170"/>
      <c r="BD59" s="169"/>
      <c r="BE59" s="169"/>
      <c r="BF59" s="169"/>
      <c r="BG59" s="169"/>
      <c r="BH59" s="169"/>
      <c r="BI59" s="169"/>
      <c r="BJ59" s="169"/>
      <c r="BK59" s="169"/>
      <c r="BL59" s="170"/>
      <c r="BM59" s="169"/>
      <c r="BN59" s="169"/>
      <c r="BO59" s="169"/>
      <c r="BP59" s="169"/>
      <c r="BQ59" s="169"/>
      <c r="BR59" s="169"/>
      <c r="BS59" s="169"/>
      <c r="BT59" s="169"/>
      <c r="BU59" s="169"/>
      <c r="BV59" s="169"/>
    </row>
    <row r="60" spans="7:75" ht="15.95" customHeight="1" x14ac:dyDescent="0.25">
      <c r="G60" s="184"/>
      <c r="H60" s="190" t="s">
        <v>86</v>
      </c>
      <c r="I60" s="191"/>
      <c r="J60" s="187" t="s">
        <v>192</v>
      </c>
      <c r="K60" s="188"/>
      <c r="L60" s="188"/>
      <c r="M60" s="188"/>
      <c r="N60" s="188"/>
      <c r="O60" s="188"/>
      <c r="P60" s="188"/>
      <c r="Q60" s="188"/>
      <c r="R60" s="188"/>
      <c r="S60" s="188"/>
      <c r="T60" s="188"/>
      <c r="U60" s="188"/>
      <c r="V60" s="188"/>
      <c r="W60" s="188"/>
      <c r="X60" s="188"/>
      <c r="Y60" s="188"/>
      <c r="Z60" s="188"/>
      <c r="AA60" s="188"/>
      <c r="AB60" s="188"/>
      <c r="AC60" s="188"/>
      <c r="AD60" s="188"/>
      <c r="AE60" s="188"/>
      <c r="AF60" s="457" t="s">
        <v>65</v>
      </c>
      <c r="AG60" s="458"/>
      <c r="AH60" s="187" t="s">
        <v>193</v>
      </c>
      <c r="AI60" s="188"/>
      <c r="AJ60" s="188"/>
      <c r="AK60" s="188"/>
      <c r="AL60" s="188"/>
      <c r="AM60" s="188"/>
      <c r="AN60" s="188"/>
      <c r="AO60" s="188"/>
      <c r="AP60" s="188"/>
      <c r="AQ60" s="188"/>
      <c r="AR60" s="188"/>
      <c r="AS60" s="188"/>
      <c r="AT60" s="188"/>
      <c r="AU60" s="189"/>
      <c r="AV60" s="189"/>
      <c r="AW60" s="189"/>
      <c r="AX60" s="184"/>
      <c r="AY60" s="184"/>
      <c r="AZ60" s="169"/>
      <c r="BA60" s="169"/>
      <c r="BB60" s="169"/>
      <c r="BC60" s="170"/>
      <c r="BD60" s="169"/>
      <c r="BE60" s="169"/>
      <c r="BF60" s="169"/>
      <c r="BG60" s="169"/>
      <c r="BH60" s="169"/>
      <c r="BI60" s="169"/>
      <c r="BJ60" s="169"/>
      <c r="BK60" s="169"/>
      <c r="BL60" s="170"/>
      <c r="BM60" s="169"/>
      <c r="BN60" s="169"/>
      <c r="BO60" s="169"/>
      <c r="BP60" s="169"/>
      <c r="BQ60" s="169"/>
      <c r="BR60" s="169"/>
      <c r="BS60" s="169"/>
      <c r="BT60" s="169"/>
      <c r="BU60" s="169"/>
      <c r="BV60" s="169"/>
    </row>
    <row r="61" spans="7:75" ht="15.95" customHeight="1" x14ac:dyDescent="0.25">
      <c r="G61" s="184"/>
      <c r="H61" s="190" t="s">
        <v>104</v>
      </c>
      <c r="I61" s="191"/>
      <c r="J61" s="192" t="s">
        <v>194</v>
      </c>
      <c r="K61" s="188"/>
      <c r="L61" s="188"/>
      <c r="M61" s="188"/>
      <c r="N61" s="188"/>
      <c r="O61" s="188"/>
      <c r="P61" s="188"/>
      <c r="Q61" s="188"/>
      <c r="R61" s="188"/>
      <c r="S61" s="188"/>
      <c r="T61" s="188"/>
      <c r="U61" s="188"/>
      <c r="V61" s="188"/>
      <c r="W61" s="188"/>
      <c r="X61" s="188"/>
      <c r="Y61" s="188"/>
      <c r="Z61" s="188"/>
      <c r="AA61" s="188"/>
      <c r="AB61" s="188"/>
      <c r="AC61" s="188"/>
      <c r="AD61" s="188"/>
      <c r="AE61" s="188"/>
      <c r="AF61" s="457" t="s">
        <v>53</v>
      </c>
      <c r="AG61" s="458"/>
      <c r="AH61" s="187" t="s">
        <v>195</v>
      </c>
      <c r="AI61" s="188"/>
      <c r="AJ61" s="188"/>
      <c r="AK61" s="188"/>
      <c r="AL61" s="188"/>
      <c r="AM61" s="188"/>
      <c r="AN61" s="188"/>
      <c r="AO61" s="188"/>
      <c r="AP61" s="188"/>
      <c r="AQ61" s="188"/>
      <c r="AR61" s="188"/>
      <c r="AS61" s="188"/>
      <c r="AT61" s="188"/>
      <c r="AU61" s="189"/>
      <c r="AV61" s="189"/>
      <c r="AW61" s="189"/>
      <c r="AX61" s="184"/>
      <c r="AY61" s="184"/>
      <c r="AZ61" s="169"/>
      <c r="BA61" s="169"/>
      <c r="BB61" s="169"/>
      <c r="BC61" s="170"/>
      <c r="BD61" s="169"/>
      <c r="BE61" s="169"/>
      <c r="BF61" s="169"/>
      <c r="BG61" s="169"/>
      <c r="BH61" s="169"/>
      <c r="BI61" s="169"/>
      <c r="BJ61" s="169"/>
      <c r="BK61" s="169"/>
      <c r="BL61" s="170"/>
      <c r="BM61" s="169"/>
      <c r="BN61" s="169"/>
      <c r="BO61" s="169"/>
      <c r="BP61" s="169"/>
      <c r="BQ61" s="169"/>
      <c r="BR61" s="169"/>
      <c r="BS61" s="169"/>
      <c r="BT61" s="169"/>
      <c r="BU61" s="169"/>
      <c r="BV61" s="169"/>
    </row>
    <row r="62" spans="7:75" ht="15.95" customHeight="1" x14ac:dyDescent="0.25">
      <c r="G62" s="184"/>
      <c r="H62" s="190" t="s">
        <v>99</v>
      </c>
      <c r="I62" s="191"/>
      <c r="J62" s="192" t="s">
        <v>196</v>
      </c>
      <c r="K62" s="188"/>
      <c r="L62" s="188"/>
      <c r="M62" s="188"/>
      <c r="N62" s="188"/>
      <c r="O62" s="188"/>
      <c r="P62" s="188"/>
      <c r="Q62" s="188"/>
      <c r="R62" s="188"/>
      <c r="S62" s="188"/>
      <c r="T62" s="188"/>
      <c r="U62" s="188"/>
      <c r="V62" s="188"/>
      <c r="W62" s="188"/>
      <c r="X62" s="188"/>
      <c r="Y62" s="188"/>
      <c r="Z62" s="188"/>
      <c r="AA62" s="188"/>
      <c r="AB62" s="188"/>
      <c r="AC62" s="188"/>
      <c r="AD62" s="188"/>
      <c r="AE62" s="188"/>
      <c r="AF62" s="457" t="s">
        <v>52</v>
      </c>
      <c r="AG62" s="458"/>
      <c r="AH62" s="187" t="s">
        <v>197</v>
      </c>
      <c r="AI62" s="188"/>
      <c r="AJ62" s="188"/>
      <c r="AK62" s="188"/>
      <c r="AL62" s="188"/>
      <c r="AM62" s="188"/>
      <c r="AN62" s="188"/>
      <c r="AO62" s="188"/>
      <c r="AP62" s="188"/>
      <c r="AQ62" s="188"/>
      <c r="AR62" s="188"/>
      <c r="AS62" s="188"/>
      <c r="AT62" s="188"/>
      <c r="AU62" s="189"/>
      <c r="AV62" s="189"/>
      <c r="AW62" s="189"/>
      <c r="AX62" s="184"/>
      <c r="AY62" s="184"/>
      <c r="AZ62" s="169"/>
      <c r="BA62" s="169"/>
      <c r="BB62" s="169"/>
      <c r="BC62" s="170"/>
      <c r="BD62" s="169"/>
      <c r="BE62" s="169"/>
      <c r="BF62" s="169"/>
      <c r="BG62" s="169"/>
      <c r="BH62" s="169"/>
      <c r="BI62" s="169"/>
      <c r="BJ62" s="169"/>
      <c r="BK62" s="169"/>
      <c r="BL62" s="170"/>
      <c r="BM62" s="169"/>
      <c r="BN62" s="169"/>
      <c r="BO62" s="169"/>
      <c r="BP62" s="169"/>
      <c r="BQ62" s="169"/>
      <c r="BR62" s="169"/>
      <c r="BS62" s="169"/>
      <c r="BT62" s="169"/>
      <c r="BU62" s="169"/>
      <c r="BV62" s="169"/>
    </row>
    <row r="63" spans="7:75" ht="15.95" customHeight="1" x14ac:dyDescent="0.25">
      <c r="G63" s="184"/>
      <c r="H63" s="190" t="s">
        <v>124</v>
      </c>
      <c r="I63" s="191"/>
      <c r="J63" s="192" t="s">
        <v>198</v>
      </c>
      <c r="K63" s="188"/>
      <c r="L63" s="188"/>
      <c r="M63" s="188"/>
      <c r="N63" s="188"/>
      <c r="O63" s="188"/>
      <c r="P63" s="188"/>
      <c r="Q63" s="188"/>
      <c r="R63" s="188"/>
      <c r="S63" s="188"/>
      <c r="T63" s="188"/>
      <c r="U63" s="188"/>
      <c r="V63" s="188"/>
      <c r="W63" s="188"/>
      <c r="X63" s="188"/>
      <c r="Y63" s="188"/>
      <c r="Z63" s="188"/>
      <c r="AA63" s="188"/>
      <c r="AB63" s="188"/>
      <c r="AC63" s="188"/>
      <c r="AD63" s="188"/>
      <c r="AE63" s="188"/>
      <c r="AF63" s="457" t="s">
        <v>56</v>
      </c>
      <c r="AG63" s="458"/>
      <c r="AH63" s="187" t="s">
        <v>199</v>
      </c>
      <c r="AI63" s="188"/>
      <c r="AJ63" s="188"/>
      <c r="AK63" s="188"/>
      <c r="AL63" s="188"/>
      <c r="AM63" s="188"/>
      <c r="AN63" s="188"/>
      <c r="AO63" s="188"/>
      <c r="AP63" s="188"/>
      <c r="AQ63" s="188"/>
      <c r="AR63" s="188"/>
      <c r="AS63" s="188"/>
      <c r="AT63" s="188"/>
      <c r="AU63" s="189"/>
      <c r="AV63" s="189"/>
      <c r="AW63" s="189"/>
      <c r="AX63" s="184"/>
      <c r="AY63" s="184"/>
      <c r="AZ63" s="169"/>
      <c r="BA63" s="169"/>
      <c r="BB63" s="169"/>
      <c r="BC63" s="170"/>
      <c r="BD63" s="169"/>
      <c r="BE63" s="169"/>
      <c r="BF63" s="169"/>
      <c r="BG63" s="169"/>
      <c r="BH63" s="169"/>
      <c r="BI63" s="169"/>
      <c r="BJ63" s="169"/>
      <c r="BK63" s="169"/>
      <c r="BL63" s="170"/>
      <c r="BM63" s="169"/>
      <c r="BN63" s="169"/>
      <c r="BO63" s="169"/>
      <c r="BP63" s="169"/>
      <c r="BQ63" s="169"/>
      <c r="BR63" s="169"/>
      <c r="BS63" s="169"/>
      <c r="BT63" s="169"/>
      <c r="BU63" s="169"/>
      <c r="BV63" s="169"/>
      <c r="BW63" s="169"/>
    </row>
    <row r="64" spans="7:75" ht="15.95" customHeight="1" x14ac:dyDescent="0.25">
      <c r="G64" s="184"/>
      <c r="H64" s="190" t="s">
        <v>61</v>
      </c>
      <c r="I64" s="191"/>
      <c r="J64" s="192" t="s">
        <v>200</v>
      </c>
      <c r="K64" s="188"/>
      <c r="L64" s="188"/>
      <c r="M64" s="188"/>
      <c r="N64" s="188"/>
      <c r="O64" s="188"/>
      <c r="P64" s="188"/>
      <c r="Q64" s="188"/>
      <c r="R64" s="188"/>
      <c r="S64" s="188"/>
      <c r="T64" s="188"/>
      <c r="U64" s="188"/>
      <c r="V64" s="188"/>
      <c r="W64" s="188"/>
      <c r="X64" s="188"/>
      <c r="Y64" s="188"/>
      <c r="Z64" s="188"/>
      <c r="AA64" s="188"/>
      <c r="AB64" s="188"/>
      <c r="AC64" s="188"/>
      <c r="AD64" s="188"/>
      <c r="AE64" s="188"/>
      <c r="AF64" s="457" t="s">
        <v>102</v>
      </c>
      <c r="AG64" s="458"/>
      <c r="AH64" s="187" t="s">
        <v>201</v>
      </c>
      <c r="AI64" s="188"/>
      <c r="AJ64" s="188"/>
      <c r="AK64" s="188"/>
      <c r="AL64" s="188"/>
      <c r="AM64" s="188"/>
      <c r="AN64" s="188"/>
      <c r="AO64" s="188"/>
      <c r="AP64" s="188"/>
      <c r="AQ64" s="188"/>
      <c r="AR64" s="188"/>
      <c r="AS64" s="188"/>
      <c r="AT64" s="188"/>
      <c r="AU64" s="189"/>
      <c r="AV64" s="189"/>
      <c r="AW64" s="189"/>
      <c r="AX64" s="184"/>
      <c r="AY64" s="184"/>
      <c r="AZ64" s="169"/>
      <c r="BA64" s="169"/>
      <c r="BB64" s="169"/>
      <c r="BC64" s="170"/>
      <c r="BD64" s="169"/>
      <c r="BE64" s="169"/>
      <c r="BF64" s="169"/>
      <c r="BG64" s="169"/>
      <c r="BH64" s="169"/>
      <c r="BI64" s="169"/>
      <c r="BJ64" s="169"/>
      <c r="BK64" s="169"/>
      <c r="BL64" s="170"/>
      <c r="BM64" s="169"/>
      <c r="BN64" s="169"/>
      <c r="BO64" s="169"/>
      <c r="BP64" s="169"/>
      <c r="BQ64" s="169"/>
      <c r="BR64" s="169"/>
      <c r="BS64" s="169"/>
      <c r="BT64" s="169"/>
      <c r="BU64" s="169"/>
      <c r="BV64" s="169"/>
    </row>
    <row r="65" spans="7:75" ht="15.95" customHeight="1" x14ac:dyDescent="0.25">
      <c r="G65" s="184"/>
      <c r="H65" s="190" t="s">
        <v>123</v>
      </c>
      <c r="I65" s="191"/>
      <c r="J65" s="192" t="s">
        <v>202</v>
      </c>
      <c r="K65" s="188"/>
      <c r="L65" s="188"/>
      <c r="M65" s="188"/>
      <c r="N65" s="188"/>
      <c r="O65" s="188"/>
      <c r="P65" s="188"/>
      <c r="Q65" s="188"/>
      <c r="R65" s="188"/>
      <c r="S65" s="188"/>
      <c r="T65" s="188"/>
      <c r="U65" s="188"/>
      <c r="V65" s="188"/>
      <c r="W65" s="188"/>
      <c r="X65" s="188"/>
      <c r="Y65" s="188"/>
      <c r="Z65" s="188"/>
      <c r="AA65" s="188"/>
      <c r="AB65" s="188"/>
      <c r="AC65" s="188"/>
      <c r="AD65" s="188"/>
      <c r="AE65" s="188"/>
      <c r="AF65" s="457" t="s">
        <v>60</v>
      </c>
      <c r="AG65" s="458"/>
      <c r="AH65" s="187" t="s">
        <v>203</v>
      </c>
      <c r="AI65" s="188"/>
      <c r="AJ65" s="188"/>
      <c r="AK65" s="188"/>
      <c r="AL65" s="188"/>
      <c r="AM65" s="188"/>
      <c r="AN65" s="188"/>
      <c r="AO65" s="188"/>
      <c r="AP65" s="188"/>
      <c r="AQ65" s="188"/>
      <c r="AR65" s="188"/>
      <c r="AS65" s="188"/>
      <c r="AT65" s="188"/>
      <c r="AU65" s="189"/>
      <c r="AV65" s="189"/>
      <c r="AW65" s="189"/>
      <c r="AX65" s="184"/>
      <c r="AY65" s="184"/>
      <c r="AZ65" s="169"/>
      <c r="BA65" s="169"/>
      <c r="BB65" s="169"/>
      <c r="BC65" s="170"/>
      <c r="BD65" s="169"/>
      <c r="BE65" s="169"/>
      <c r="BF65" s="169"/>
      <c r="BG65" s="169"/>
      <c r="BH65" s="169"/>
      <c r="BI65" s="169"/>
      <c r="BJ65" s="169"/>
      <c r="BK65" s="169"/>
      <c r="BL65" s="170"/>
      <c r="BM65" s="169"/>
      <c r="BN65" s="169"/>
      <c r="BO65" s="169"/>
      <c r="BP65" s="169"/>
      <c r="BQ65" s="169"/>
      <c r="BR65" s="169"/>
      <c r="BS65" s="169"/>
      <c r="BT65" s="169"/>
      <c r="BU65" s="169"/>
      <c r="BV65" s="169"/>
    </row>
    <row r="66" spans="7:75" ht="15.95" customHeight="1" x14ac:dyDescent="0.25">
      <c r="G66" s="184"/>
      <c r="H66" s="190" t="s">
        <v>108</v>
      </c>
      <c r="I66" s="191"/>
      <c r="J66" s="192" t="s">
        <v>204</v>
      </c>
      <c r="K66" s="188"/>
      <c r="L66" s="188"/>
      <c r="M66" s="188"/>
      <c r="N66" s="188"/>
      <c r="O66" s="188"/>
      <c r="P66" s="188"/>
      <c r="Q66" s="188"/>
      <c r="R66" s="188"/>
      <c r="S66" s="188"/>
      <c r="T66" s="188"/>
      <c r="U66" s="188"/>
      <c r="V66" s="188"/>
      <c r="W66" s="188"/>
      <c r="X66" s="188"/>
      <c r="Y66" s="188"/>
      <c r="Z66" s="188"/>
      <c r="AA66" s="188"/>
      <c r="AB66" s="188"/>
      <c r="AC66" s="188"/>
      <c r="AD66" s="188"/>
      <c r="AE66" s="188"/>
      <c r="AF66" s="457" t="s">
        <v>118</v>
      </c>
      <c r="AG66" s="458"/>
      <c r="AH66" s="187" t="s">
        <v>205</v>
      </c>
      <c r="AI66" s="188"/>
      <c r="AJ66" s="188"/>
      <c r="AK66" s="188"/>
      <c r="AL66" s="188"/>
      <c r="AM66" s="188"/>
      <c r="AN66" s="188"/>
      <c r="AO66" s="188"/>
      <c r="AP66" s="188"/>
      <c r="AQ66" s="188"/>
      <c r="AR66" s="188"/>
      <c r="AS66" s="188"/>
      <c r="AT66" s="188"/>
      <c r="AU66" s="189"/>
      <c r="AV66" s="189"/>
      <c r="AW66" s="189"/>
      <c r="AX66" s="184"/>
      <c r="AY66" s="184"/>
      <c r="AZ66" s="169"/>
      <c r="BA66" s="169"/>
      <c r="BB66" s="169"/>
      <c r="BC66" s="170"/>
      <c r="BD66" s="169"/>
      <c r="BE66" s="169"/>
      <c r="BF66" s="169"/>
      <c r="BG66" s="169"/>
      <c r="BH66" s="169"/>
      <c r="BI66" s="169"/>
      <c r="BJ66" s="169"/>
      <c r="BK66" s="169"/>
      <c r="BL66" s="170"/>
      <c r="BM66" s="169"/>
      <c r="BN66" s="169"/>
      <c r="BO66" s="169"/>
      <c r="BP66" s="169"/>
      <c r="BQ66" s="169"/>
      <c r="BR66" s="169"/>
      <c r="BS66" s="169"/>
      <c r="BT66" s="169"/>
      <c r="BU66" s="169"/>
      <c r="BV66" s="169"/>
    </row>
    <row r="67" spans="7:75" ht="15.95" customHeight="1" x14ac:dyDescent="0.25">
      <c r="G67" s="184"/>
      <c r="H67" s="190" t="s">
        <v>116</v>
      </c>
      <c r="I67" s="191"/>
      <c r="J67" s="192" t="s">
        <v>206</v>
      </c>
      <c r="K67" s="188"/>
      <c r="L67" s="188"/>
      <c r="M67" s="188"/>
      <c r="N67" s="188"/>
      <c r="O67" s="188"/>
      <c r="P67" s="188"/>
      <c r="Q67" s="188"/>
      <c r="R67" s="188"/>
      <c r="S67" s="188"/>
      <c r="T67" s="188"/>
      <c r="U67" s="188"/>
      <c r="V67" s="188"/>
      <c r="W67" s="188"/>
      <c r="X67" s="188"/>
      <c r="Y67" s="188"/>
      <c r="Z67" s="188"/>
      <c r="AA67" s="188"/>
      <c r="AB67" s="188"/>
      <c r="AC67" s="188"/>
      <c r="AD67" s="188"/>
      <c r="AE67" s="188"/>
      <c r="AF67" s="457" t="s">
        <v>50</v>
      </c>
      <c r="AG67" s="458"/>
      <c r="AH67" s="187" t="s">
        <v>207</v>
      </c>
      <c r="AI67" s="188"/>
      <c r="AJ67" s="188"/>
      <c r="AK67" s="188"/>
      <c r="AL67" s="188"/>
      <c r="AM67" s="188"/>
      <c r="AN67" s="188"/>
      <c r="AO67" s="188"/>
      <c r="AP67" s="188"/>
      <c r="AQ67" s="188"/>
      <c r="AR67" s="188"/>
      <c r="AS67" s="188"/>
      <c r="AT67" s="188"/>
      <c r="AU67" s="189"/>
      <c r="AV67" s="189"/>
      <c r="AW67" s="189"/>
      <c r="AX67" s="184"/>
      <c r="AY67" s="184"/>
      <c r="AZ67" s="169"/>
      <c r="BA67" s="169"/>
      <c r="BB67" s="169"/>
      <c r="BC67" s="170"/>
      <c r="BD67" s="169"/>
      <c r="BE67" s="169"/>
      <c r="BF67" s="169"/>
      <c r="BG67" s="169"/>
      <c r="BH67" s="169"/>
      <c r="BI67" s="169"/>
      <c r="BJ67" s="169"/>
      <c r="BK67" s="169"/>
      <c r="BL67" s="170"/>
      <c r="BM67" s="169"/>
      <c r="BN67" s="169"/>
      <c r="BO67" s="169"/>
      <c r="BP67" s="169"/>
      <c r="BQ67" s="169"/>
      <c r="BR67" s="169"/>
      <c r="BS67" s="169"/>
      <c r="BT67" s="169"/>
      <c r="BU67" s="169"/>
      <c r="BV67" s="169"/>
    </row>
    <row r="68" spans="7:75" ht="15.95" customHeight="1" x14ac:dyDescent="0.25">
      <c r="G68" s="184"/>
      <c r="H68" s="190" t="s">
        <v>119</v>
      </c>
      <c r="I68" s="191"/>
      <c r="J68" s="192" t="s">
        <v>208</v>
      </c>
      <c r="K68" s="188"/>
      <c r="L68" s="188"/>
      <c r="M68" s="188"/>
      <c r="N68" s="188"/>
      <c r="O68" s="188"/>
      <c r="P68" s="188"/>
      <c r="Q68" s="188"/>
      <c r="R68" s="188"/>
      <c r="S68" s="188"/>
      <c r="T68" s="188"/>
      <c r="U68" s="188"/>
      <c r="V68" s="188"/>
      <c r="W68" s="188"/>
      <c r="X68" s="188"/>
      <c r="Y68" s="188"/>
      <c r="Z68" s="188"/>
      <c r="AA68" s="188"/>
      <c r="AB68" s="188"/>
      <c r="AC68" s="188"/>
      <c r="AD68" s="188"/>
      <c r="AE68" s="188"/>
      <c r="AF68" s="457" t="s">
        <v>48</v>
      </c>
      <c r="AG68" s="458"/>
      <c r="AH68" s="187" t="s">
        <v>209</v>
      </c>
      <c r="AI68" s="188"/>
      <c r="AJ68" s="188"/>
      <c r="AK68" s="188"/>
      <c r="AL68" s="188"/>
      <c r="AM68" s="188"/>
      <c r="AN68" s="188"/>
      <c r="AO68" s="188"/>
      <c r="AP68" s="188"/>
      <c r="AQ68" s="188"/>
      <c r="AR68" s="188"/>
      <c r="AS68" s="188"/>
      <c r="AT68" s="188"/>
      <c r="AU68" s="189"/>
      <c r="AV68" s="189"/>
      <c r="AW68" s="189"/>
      <c r="AX68" s="184"/>
      <c r="AY68" s="184"/>
      <c r="AZ68" s="169"/>
      <c r="BA68" s="169"/>
      <c r="BB68" s="169"/>
      <c r="BC68" s="170"/>
      <c r="BD68" s="169"/>
      <c r="BE68" s="169"/>
      <c r="BF68" s="169"/>
      <c r="BG68" s="169"/>
      <c r="BH68" s="169"/>
      <c r="BI68" s="169"/>
      <c r="BJ68" s="169"/>
      <c r="BK68" s="169"/>
      <c r="BL68" s="170"/>
      <c r="BM68" s="169"/>
      <c r="BN68" s="169"/>
      <c r="BO68" s="169"/>
      <c r="BP68" s="169"/>
      <c r="BQ68" s="169"/>
      <c r="BR68" s="169"/>
      <c r="BS68" s="169"/>
      <c r="BT68" s="169"/>
      <c r="BU68" s="169"/>
      <c r="BV68" s="169"/>
    </row>
    <row r="69" spans="7:75" ht="15.95" customHeight="1" x14ac:dyDescent="0.25">
      <c r="G69" s="184"/>
      <c r="H69" s="190" t="s">
        <v>109</v>
      </c>
      <c r="I69" s="191"/>
      <c r="J69" s="192" t="s">
        <v>210</v>
      </c>
      <c r="K69" s="188"/>
      <c r="L69" s="188"/>
      <c r="M69" s="188"/>
      <c r="N69" s="188"/>
      <c r="O69" s="188"/>
      <c r="P69" s="188"/>
      <c r="Q69" s="188"/>
      <c r="R69" s="188"/>
      <c r="S69" s="188"/>
      <c r="T69" s="188"/>
      <c r="U69" s="188"/>
      <c r="V69" s="188"/>
      <c r="W69" s="188"/>
      <c r="X69" s="188"/>
      <c r="Y69" s="188"/>
      <c r="Z69" s="188"/>
      <c r="AA69" s="188"/>
      <c r="AB69" s="188"/>
      <c r="AC69" s="188"/>
      <c r="AD69" s="188"/>
      <c r="AE69" s="188"/>
      <c r="AF69" s="457" t="s">
        <v>211</v>
      </c>
      <c r="AG69" s="458"/>
      <c r="AH69" s="187" t="s">
        <v>212</v>
      </c>
      <c r="AI69" s="188"/>
      <c r="AJ69" s="188"/>
      <c r="AK69" s="188"/>
      <c r="AL69" s="188"/>
      <c r="AM69" s="188"/>
      <c r="AN69" s="188"/>
      <c r="AO69" s="188"/>
      <c r="AP69" s="188"/>
      <c r="AQ69" s="188"/>
      <c r="AR69" s="188"/>
      <c r="AS69" s="188"/>
      <c r="AT69" s="188"/>
      <c r="AU69" s="189"/>
      <c r="AV69" s="189"/>
      <c r="AW69" s="189"/>
      <c r="AX69" s="184"/>
      <c r="AY69" s="184"/>
      <c r="AZ69" s="169"/>
      <c r="BA69" s="169"/>
      <c r="BB69" s="169"/>
      <c r="BC69" s="170"/>
      <c r="BD69" s="169"/>
      <c r="BE69" s="169"/>
      <c r="BF69" s="169"/>
      <c r="BG69" s="169"/>
      <c r="BH69" s="169"/>
      <c r="BI69" s="169"/>
      <c r="BJ69" s="169"/>
      <c r="BK69" s="169"/>
      <c r="BL69" s="170"/>
      <c r="BM69" s="169"/>
      <c r="BN69" s="169"/>
      <c r="BO69" s="169"/>
      <c r="BP69" s="169"/>
      <c r="BQ69" s="169"/>
      <c r="BR69" s="169"/>
      <c r="BS69" s="169"/>
      <c r="BT69" s="169"/>
      <c r="BU69" s="169"/>
      <c r="BV69" s="169"/>
    </row>
    <row r="70" spans="7:75" ht="15.95" customHeight="1" x14ac:dyDescent="0.25">
      <c r="G70" s="184"/>
      <c r="H70" s="190" t="s">
        <v>79</v>
      </c>
      <c r="I70" s="191"/>
      <c r="J70" s="187" t="s">
        <v>213</v>
      </c>
      <c r="K70" s="188"/>
      <c r="L70" s="188"/>
      <c r="M70" s="188"/>
      <c r="N70" s="188"/>
      <c r="O70" s="188"/>
      <c r="P70" s="188"/>
      <c r="Q70" s="188"/>
      <c r="R70" s="188"/>
      <c r="S70" s="188"/>
      <c r="T70" s="188"/>
      <c r="U70" s="188"/>
      <c r="V70" s="188"/>
      <c r="W70" s="188"/>
      <c r="X70" s="188"/>
      <c r="Y70" s="188"/>
      <c r="Z70" s="188"/>
      <c r="AA70" s="188"/>
      <c r="AB70" s="188"/>
      <c r="AC70" s="188"/>
      <c r="AD70" s="188"/>
      <c r="AE70" s="188"/>
      <c r="AF70" s="457" t="s">
        <v>77</v>
      </c>
      <c r="AG70" s="458"/>
      <c r="AH70" s="187" t="s">
        <v>214</v>
      </c>
      <c r="AI70" s="188"/>
      <c r="AJ70" s="188"/>
      <c r="AK70" s="188"/>
      <c r="AL70" s="188"/>
      <c r="AM70" s="188"/>
      <c r="AN70" s="188"/>
      <c r="AO70" s="188"/>
      <c r="AP70" s="188"/>
      <c r="AQ70" s="188"/>
      <c r="AR70" s="188"/>
      <c r="AS70" s="188"/>
      <c r="AT70" s="188"/>
      <c r="AU70" s="189"/>
      <c r="AV70" s="189"/>
      <c r="AW70" s="189"/>
      <c r="AX70" s="184"/>
      <c r="AY70" s="184"/>
      <c r="AZ70" s="169"/>
      <c r="BA70" s="169"/>
      <c r="BB70" s="169"/>
      <c r="BC70" s="170"/>
      <c r="BD70" s="169"/>
      <c r="BE70" s="169"/>
      <c r="BF70" s="169"/>
      <c r="BG70" s="169"/>
      <c r="BH70" s="169"/>
      <c r="BI70" s="169"/>
      <c r="BJ70" s="169"/>
      <c r="BK70" s="169"/>
      <c r="BL70" s="170"/>
      <c r="BM70" s="169"/>
      <c r="BN70" s="169"/>
      <c r="BO70" s="169"/>
      <c r="BP70" s="169"/>
      <c r="BQ70" s="169"/>
      <c r="BR70" s="169"/>
      <c r="BS70" s="169"/>
      <c r="BT70" s="169"/>
      <c r="BU70" s="169"/>
      <c r="BV70" s="169"/>
    </row>
    <row r="71" spans="7:75" ht="15.95" customHeight="1" x14ac:dyDescent="0.25">
      <c r="G71" s="184"/>
      <c r="H71" s="190" t="s">
        <v>130</v>
      </c>
      <c r="I71" s="191"/>
      <c r="J71" s="193" t="s">
        <v>215</v>
      </c>
      <c r="K71" s="188"/>
      <c r="L71" s="188"/>
      <c r="M71" s="188"/>
      <c r="N71" s="188"/>
      <c r="O71" s="188"/>
      <c r="P71" s="188"/>
      <c r="Q71" s="188"/>
      <c r="R71" s="188"/>
      <c r="S71" s="188"/>
      <c r="T71" s="188"/>
      <c r="U71" s="188"/>
      <c r="V71" s="188"/>
      <c r="W71" s="188"/>
      <c r="X71" s="188"/>
      <c r="Y71" s="188"/>
      <c r="Z71" s="188"/>
      <c r="AA71" s="188"/>
      <c r="AB71" s="188"/>
      <c r="AC71" s="188"/>
      <c r="AD71" s="188"/>
      <c r="AE71" s="188"/>
      <c r="AF71" s="457" t="s">
        <v>80</v>
      </c>
      <c r="AG71" s="458"/>
      <c r="AH71" s="187" t="s">
        <v>216</v>
      </c>
      <c r="AI71" s="188"/>
      <c r="AJ71" s="188"/>
      <c r="AK71" s="188"/>
      <c r="AL71" s="188"/>
      <c r="AM71" s="188"/>
      <c r="AN71" s="188"/>
      <c r="AO71" s="188"/>
      <c r="AP71" s="188"/>
      <c r="AQ71" s="188"/>
      <c r="AR71" s="188"/>
      <c r="AS71" s="188"/>
      <c r="AT71" s="188"/>
      <c r="AU71" s="189"/>
      <c r="AV71" s="189"/>
      <c r="AW71" s="189"/>
      <c r="AX71" s="184"/>
      <c r="AY71" s="184"/>
      <c r="AZ71" s="169"/>
      <c r="BA71" s="169"/>
      <c r="BB71" s="169"/>
      <c r="BC71" s="170"/>
      <c r="BD71" s="169"/>
      <c r="BE71" s="169"/>
      <c r="BF71" s="169"/>
      <c r="BG71" s="169"/>
      <c r="BH71" s="169"/>
      <c r="BI71" s="169"/>
      <c r="BJ71" s="169"/>
      <c r="BK71" s="169"/>
      <c r="BL71" s="170"/>
      <c r="BM71" s="169"/>
      <c r="BN71" s="169"/>
      <c r="BO71" s="169"/>
      <c r="BP71" s="169"/>
      <c r="BQ71" s="169"/>
      <c r="BR71" s="169"/>
      <c r="BS71" s="169"/>
      <c r="BT71" s="169"/>
      <c r="BU71" s="169"/>
      <c r="BV71" s="169"/>
    </row>
    <row r="72" spans="7:75" ht="15.95" customHeight="1" x14ac:dyDescent="0.25">
      <c r="G72" s="184"/>
      <c r="H72" s="190" t="s">
        <v>132</v>
      </c>
      <c r="I72" s="191"/>
      <c r="J72" s="187" t="s">
        <v>217</v>
      </c>
      <c r="K72" s="188"/>
      <c r="L72" s="188"/>
      <c r="M72" s="188"/>
      <c r="N72" s="188"/>
      <c r="O72" s="188"/>
      <c r="P72" s="188"/>
      <c r="Q72" s="188"/>
      <c r="R72" s="188"/>
      <c r="S72" s="188"/>
      <c r="T72" s="188"/>
      <c r="U72" s="188"/>
      <c r="V72" s="188"/>
      <c r="W72" s="188"/>
      <c r="X72" s="188"/>
      <c r="Y72" s="188"/>
      <c r="Z72" s="188"/>
      <c r="AA72" s="188"/>
      <c r="AB72" s="188"/>
      <c r="AC72" s="188"/>
      <c r="AD72" s="188"/>
      <c r="AE72" s="188"/>
      <c r="AF72" s="457" t="s">
        <v>105</v>
      </c>
      <c r="AG72" s="458"/>
      <c r="AH72" s="187" t="s">
        <v>218</v>
      </c>
      <c r="AI72" s="188"/>
      <c r="AJ72" s="188"/>
      <c r="AK72" s="188"/>
      <c r="AL72" s="188"/>
      <c r="AM72" s="188"/>
      <c r="AN72" s="188"/>
      <c r="AO72" s="188"/>
      <c r="AP72" s="188"/>
      <c r="AQ72" s="188"/>
      <c r="AR72" s="188"/>
      <c r="AS72" s="188"/>
      <c r="AT72" s="188"/>
      <c r="AU72" s="189"/>
      <c r="AV72" s="189"/>
      <c r="AW72" s="189"/>
      <c r="AX72" s="184"/>
      <c r="AY72" s="184"/>
      <c r="AZ72" s="169"/>
      <c r="BA72" s="169"/>
      <c r="BB72" s="169"/>
      <c r="BC72" s="170"/>
      <c r="BD72" s="169"/>
      <c r="BE72" s="169"/>
      <c r="BF72" s="169"/>
      <c r="BG72" s="169"/>
      <c r="BH72" s="169"/>
      <c r="BI72" s="169"/>
      <c r="BJ72" s="169"/>
      <c r="BK72" s="169"/>
      <c r="BL72" s="170"/>
      <c r="BM72" s="169"/>
      <c r="BN72" s="169"/>
      <c r="BO72" s="169"/>
      <c r="BP72" s="169"/>
      <c r="BQ72" s="169"/>
      <c r="BR72" s="169"/>
      <c r="BS72" s="169"/>
      <c r="BT72" s="169"/>
      <c r="BU72" s="169"/>
      <c r="BV72" s="169"/>
    </row>
    <row r="73" spans="7:75" ht="15.95" customHeight="1" x14ac:dyDescent="0.25">
      <c r="G73" s="184"/>
      <c r="H73" s="190" t="s">
        <v>121</v>
      </c>
      <c r="I73" s="191"/>
      <c r="J73" s="187" t="s">
        <v>219</v>
      </c>
      <c r="K73" s="188"/>
      <c r="L73" s="188"/>
      <c r="M73" s="188"/>
      <c r="N73" s="188"/>
      <c r="O73" s="188"/>
      <c r="P73" s="188"/>
      <c r="Q73" s="188"/>
      <c r="R73" s="188"/>
      <c r="S73" s="188"/>
      <c r="T73" s="188"/>
      <c r="U73" s="188"/>
      <c r="V73" s="188"/>
      <c r="W73" s="188"/>
      <c r="X73" s="188"/>
      <c r="Y73" s="188"/>
      <c r="Z73" s="188"/>
      <c r="AA73" s="188"/>
      <c r="AB73" s="188"/>
      <c r="AC73" s="188"/>
      <c r="AD73" s="188"/>
      <c r="AE73" s="188"/>
      <c r="AF73" s="457" t="s">
        <v>71</v>
      </c>
      <c r="AG73" s="458"/>
      <c r="AH73" s="187" t="s">
        <v>220</v>
      </c>
      <c r="AI73" s="188"/>
      <c r="AJ73" s="188"/>
      <c r="AK73" s="188"/>
      <c r="AL73" s="188"/>
      <c r="AM73" s="188"/>
      <c r="AN73" s="188"/>
      <c r="AO73" s="188"/>
      <c r="AP73" s="188"/>
      <c r="AQ73" s="188"/>
      <c r="AR73" s="188"/>
      <c r="AS73" s="188"/>
      <c r="AT73" s="188"/>
      <c r="AU73" s="189"/>
      <c r="AV73" s="189"/>
      <c r="AW73" s="189"/>
      <c r="AX73" s="184"/>
      <c r="AY73" s="184"/>
      <c r="AZ73" s="169"/>
      <c r="BA73" s="169"/>
      <c r="BB73" s="169"/>
      <c r="BC73" s="170"/>
      <c r="BD73" s="169"/>
      <c r="BE73" s="169"/>
      <c r="BF73" s="169"/>
      <c r="BG73" s="169"/>
      <c r="BH73" s="169"/>
      <c r="BI73" s="169"/>
      <c r="BJ73" s="169"/>
      <c r="BK73" s="169"/>
      <c r="BL73" s="170"/>
      <c r="BM73" s="169"/>
      <c r="BN73" s="169"/>
      <c r="BO73" s="169"/>
      <c r="BP73" s="169"/>
      <c r="BQ73" s="169"/>
      <c r="BR73" s="169"/>
      <c r="BS73" s="169"/>
      <c r="BT73" s="169"/>
      <c r="BU73" s="169"/>
      <c r="BV73" s="169"/>
    </row>
    <row r="74" spans="7:75" ht="15.95" customHeight="1" x14ac:dyDescent="0.25">
      <c r="G74" s="184"/>
      <c r="H74" s="190" t="s">
        <v>68</v>
      </c>
      <c r="I74" s="191"/>
      <c r="J74" s="187" t="s">
        <v>221</v>
      </c>
      <c r="K74" s="188"/>
      <c r="L74" s="188"/>
      <c r="M74" s="188"/>
      <c r="N74" s="188"/>
      <c r="O74" s="188"/>
      <c r="P74" s="188"/>
      <c r="Q74" s="188"/>
      <c r="R74" s="188"/>
      <c r="S74" s="188"/>
      <c r="T74" s="188"/>
      <c r="U74" s="188"/>
      <c r="V74" s="188"/>
      <c r="W74" s="188"/>
      <c r="X74" s="188"/>
      <c r="Y74" s="188"/>
      <c r="Z74" s="188"/>
      <c r="AA74" s="188"/>
      <c r="AB74" s="188"/>
      <c r="AC74" s="188"/>
      <c r="AD74" s="188"/>
      <c r="AE74" s="188"/>
      <c r="AF74" s="457" t="s">
        <v>76</v>
      </c>
      <c r="AG74" s="458"/>
      <c r="AH74" s="187" t="s">
        <v>222</v>
      </c>
      <c r="AI74" s="188"/>
      <c r="AJ74" s="188"/>
      <c r="AK74" s="188"/>
      <c r="AL74" s="188"/>
      <c r="AM74" s="188"/>
      <c r="AN74" s="188"/>
      <c r="AO74" s="188"/>
      <c r="AP74" s="188"/>
      <c r="AQ74" s="188"/>
      <c r="AR74" s="188"/>
      <c r="AS74" s="188"/>
      <c r="AT74" s="188"/>
      <c r="AU74" s="189"/>
      <c r="AV74" s="189"/>
      <c r="AW74" s="189"/>
      <c r="AX74" s="184"/>
      <c r="AY74" s="184"/>
      <c r="AZ74" s="169"/>
      <c r="BA74" s="169"/>
      <c r="BB74" s="169"/>
      <c r="BC74" s="170"/>
      <c r="BD74" s="169"/>
      <c r="BE74" s="169"/>
      <c r="BF74" s="169"/>
      <c r="BG74" s="169"/>
      <c r="BH74" s="169"/>
      <c r="BI74" s="169"/>
      <c r="BJ74" s="169"/>
      <c r="BK74" s="169"/>
      <c r="BL74" s="170"/>
      <c r="BM74" s="169"/>
      <c r="BN74" s="169"/>
      <c r="BO74" s="169"/>
      <c r="BP74" s="169"/>
      <c r="BQ74" s="169"/>
      <c r="BR74" s="169"/>
      <c r="BS74" s="169"/>
      <c r="BT74" s="169"/>
      <c r="BU74" s="169"/>
      <c r="BV74" s="169"/>
    </row>
    <row r="75" spans="7:75" ht="15.95" customHeight="1" x14ac:dyDescent="0.25">
      <c r="G75" s="184"/>
      <c r="H75" s="190" t="s">
        <v>98</v>
      </c>
      <c r="I75" s="191"/>
      <c r="J75" s="187" t="s">
        <v>223</v>
      </c>
      <c r="K75" s="188"/>
      <c r="L75" s="188"/>
      <c r="M75" s="188"/>
      <c r="N75" s="188"/>
      <c r="O75" s="188"/>
      <c r="P75" s="188"/>
      <c r="Q75" s="188"/>
      <c r="R75" s="188"/>
      <c r="S75" s="188"/>
      <c r="T75" s="188"/>
      <c r="U75" s="188"/>
      <c r="V75" s="188"/>
      <c r="W75" s="188"/>
      <c r="X75" s="188"/>
      <c r="Y75" s="188"/>
      <c r="Z75" s="188"/>
      <c r="AA75" s="188"/>
      <c r="AB75" s="188"/>
      <c r="AC75" s="188"/>
      <c r="AD75" s="188"/>
      <c r="AE75" s="188"/>
      <c r="AF75" s="457" t="s">
        <v>112</v>
      </c>
      <c r="AG75" s="458"/>
      <c r="AH75" s="187" t="s">
        <v>224</v>
      </c>
      <c r="AI75" s="188"/>
      <c r="AJ75" s="188"/>
      <c r="AK75" s="188"/>
      <c r="AL75" s="188"/>
      <c r="AM75" s="188"/>
      <c r="AN75" s="188"/>
      <c r="AO75" s="188"/>
      <c r="AP75" s="188"/>
      <c r="AQ75" s="188"/>
      <c r="AR75" s="188"/>
      <c r="AS75" s="188"/>
      <c r="AT75" s="188"/>
      <c r="AU75" s="189"/>
      <c r="AV75" s="189"/>
      <c r="AW75" s="189"/>
      <c r="AX75" s="184"/>
      <c r="AY75" s="184"/>
      <c r="AZ75" s="169"/>
      <c r="BA75" s="169"/>
      <c r="BB75" s="169"/>
      <c r="BC75" s="170"/>
      <c r="BD75" s="169"/>
      <c r="BE75" s="169"/>
      <c r="BF75" s="169"/>
      <c r="BG75" s="169"/>
      <c r="BH75" s="169"/>
      <c r="BI75" s="169"/>
      <c r="BJ75" s="169"/>
      <c r="BK75" s="169"/>
      <c r="BL75" s="170"/>
      <c r="BM75" s="169"/>
      <c r="BN75" s="169"/>
      <c r="BO75" s="169"/>
      <c r="BP75" s="169"/>
      <c r="BQ75" s="169"/>
      <c r="BR75" s="169"/>
      <c r="BS75" s="169"/>
      <c r="BT75" s="169"/>
      <c r="BU75" s="169"/>
      <c r="BV75" s="169"/>
      <c r="BW75" s="169"/>
    </row>
    <row r="76" spans="7:75" ht="15.95" customHeight="1" x14ac:dyDescent="0.25">
      <c r="G76" s="184"/>
      <c r="H76" s="190" t="s">
        <v>125</v>
      </c>
      <c r="I76" s="191"/>
      <c r="J76" s="187" t="s">
        <v>225</v>
      </c>
      <c r="K76" s="188"/>
      <c r="L76" s="188"/>
      <c r="M76" s="188"/>
      <c r="N76" s="188"/>
      <c r="O76" s="188"/>
      <c r="P76" s="188"/>
      <c r="Q76" s="188"/>
      <c r="R76" s="188"/>
      <c r="S76" s="188"/>
      <c r="T76" s="188"/>
      <c r="U76" s="188"/>
      <c r="V76" s="188"/>
      <c r="W76" s="188"/>
      <c r="X76" s="188"/>
      <c r="Y76" s="188"/>
      <c r="Z76" s="188"/>
      <c r="AA76" s="188"/>
      <c r="AB76" s="188"/>
      <c r="AC76" s="188"/>
      <c r="AD76" s="188"/>
      <c r="AE76" s="188"/>
      <c r="AF76" s="457" t="s">
        <v>70</v>
      </c>
      <c r="AG76" s="458"/>
      <c r="AH76" s="187" t="s">
        <v>226</v>
      </c>
      <c r="AI76" s="188"/>
      <c r="AJ76" s="188"/>
      <c r="AK76" s="188"/>
      <c r="AL76" s="188"/>
      <c r="AM76" s="188"/>
      <c r="AN76" s="188"/>
      <c r="AO76" s="188"/>
      <c r="AP76" s="188"/>
      <c r="AQ76" s="188"/>
      <c r="AR76" s="188"/>
      <c r="AS76" s="188"/>
      <c r="AT76" s="188"/>
      <c r="AU76" s="189"/>
      <c r="AV76" s="189"/>
      <c r="AW76" s="189"/>
      <c r="AX76" s="184"/>
      <c r="AY76" s="184"/>
      <c r="AZ76" s="169"/>
      <c r="BA76" s="169"/>
      <c r="BB76" s="169"/>
      <c r="BC76" s="170"/>
      <c r="BD76" s="169"/>
      <c r="BE76" s="169"/>
      <c r="BF76" s="169"/>
      <c r="BG76" s="169"/>
      <c r="BH76" s="169"/>
      <c r="BI76" s="169"/>
      <c r="BJ76" s="169"/>
      <c r="BK76" s="169"/>
      <c r="BL76" s="170"/>
      <c r="BM76" s="169"/>
      <c r="BN76" s="169"/>
      <c r="BO76" s="169"/>
      <c r="BP76" s="169"/>
      <c r="BQ76" s="169"/>
      <c r="BR76" s="169"/>
      <c r="BS76" s="169"/>
      <c r="BT76" s="169"/>
      <c r="BU76" s="169"/>
      <c r="BV76" s="169"/>
    </row>
    <row r="77" spans="7:75" ht="15.95" customHeight="1" x14ac:dyDescent="0.25">
      <c r="G77" s="184"/>
      <c r="H77" s="190" t="s">
        <v>111</v>
      </c>
      <c r="I77" s="191"/>
      <c r="J77" s="187" t="s">
        <v>227</v>
      </c>
      <c r="K77" s="188"/>
      <c r="L77" s="188"/>
      <c r="M77" s="188"/>
      <c r="N77" s="188"/>
      <c r="O77" s="188"/>
      <c r="P77" s="188"/>
      <c r="Q77" s="188"/>
      <c r="R77" s="188"/>
      <c r="S77" s="188"/>
      <c r="T77" s="188"/>
      <c r="U77" s="188"/>
      <c r="V77" s="188"/>
      <c r="W77" s="188"/>
      <c r="X77" s="188"/>
      <c r="Y77" s="188"/>
      <c r="Z77" s="188"/>
      <c r="AA77" s="188"/>
      <c r="AB77" s="188"/>
      <c r="AC77" s="188"/>
      <c r="AD77" s="188"/>
      <c r="AE77" s="188"/>
      <c r="AF77" s="457" t="s">
        <v>59</v>
      </c>
      <c r="AG77" s="458"/>
      <c r="AH77" s="187" t="s">
        <v>228</v>
      </c>
      <c r="AI77" s="188"/>
      <c r="AJ77" s="188"/>
      <c r="AK77" s="188"/>
      <c r="AL77" s="188"/>
      <c r="AM77" s="188"/>
      <c r="AN77" s="188"/>
      <c r="AO77" s="188"/>
      <c r="AP77" s="188"/>
      <c r="AQ77" s="188"/>
      <c r="AR77" s="188"/>
      <c r="AS77" s="188"/>
      <c r="AT77" s="188"/>
      <c r="AU77" s="189"/>
      <c r="AV77" s="189"/>
      <c r="AW77" s="189"/>
      <c r="AX77" s="184"/>
      <c r="AY77" s="184"/>
      <c r="AZ77" s="169"/>
      <c r="BA77" s="169"/>
      <c r="BB77" s="169"/>
      <c r="BC77" s="170"/>
      <c r="BD77" s="169"/>
      <c r="BE77" s="169"/>
      <c r="BF77" s="169"/>
      <c r="BG77" s="169"/>
      <c r="BH77" s="169"/>
      <c r="BI77" s="169"/>
      <c r="BJ77" s="169"/>
      <c r="BK77" s="169"/>
      <c r="BL77" s="170"/>
      <c r="BM77" s="169"/>
      <c r="BN77" s="169"/>
      <c r="BO77" s="169"/>
      <c r="BP77" s="169"/>
      <c r="BQ77" s="169"/>
      <c r="BR77" s="169"/>
      <c r="BS77" s="169"/>
      <c r="BT77" s="169"/>
      <c r="BU77" s="169"/>
      <c r="BV77" s="169"/>
    </row>
    <row r="78" spans="7:75" ht="15.95" customHeight="1" x14ac:dyDescent="0.25">
      <c r="G78" s="184"/>
      <c r="H78" s="190" t="s">
        <v>57</v>
      </c>
      <c r="I78" s="191"/>
      <c r="J78" s="187" t="s">
        <v>229</v>
      </c>
      <c r="K78" s="188"/>
      <c r="L78" s="188"/>
      <c r="M78" s="188"/>
      <c r="N78" s="188"/>
      <c r="O78" s="188"/>
      <c r="P78" s="188"/>
      <c r="Q78" s="188"/>
      <c r="R78" s="188"/>
      <c r="S78" s="188"/>
      <c r="T78" s="188"/>
      <c r="U78" s="188"/>
      <c r="V78" s="188"/>
      <c r="W78" s="188"/>
      <c r="X78" s="188"/>
      <c r="Y78" s="188"/>
      <c r="Z78" s="188"/>
      <c r="AA78" s="188"/>
      <c r="AB78" s="188"/>
      <c r="AC78" s="188"/>
      <c r="AD78" s="188"/>
      <c r="AE78" s="188"/>
      <c r="AF78" s="457" t="s">
        <v>54</v>
      </c>
      <c r="AG78" s="458"/>
      <c r="AH78" s="187" t="s">
        <v>230</v>
      </c>
      <c r="AI78" s="188"/>
      <c r="AJ78" s="188"/>
      <c r="AK78" s="188"/>
      <c r="AL78" s="188"/>
      <c r="AM78" s="188"/>
      <c r="AN78" s="188"/>
      <c r="AO78" s="188"/>
      <c r="AP78" s="188"/>
      <c r="AQ78" s="188"/>
      <c r="AR78" s="188"/>
      <c r="AS78" s="188"/>
      <c r="AT78" s="188"/>
      <c r="AU78" s="189"/>
      <c r="AV78" s="189"/>
      <c r="AW78" s="189"/>
      <c r="AX78" s="184"/>
      <c r="AY78" s="184"/>
      <c r="AZ78" s="169"/>
      <c r="BA78" s="169"/>
      <c r="BB78" s="169"/>
      <c r="BC78" s="170"/>
      <c r="BD78" s="169"/>
      <c r="BE78" s="169"/>
      <c r="BF78" s="169"/>
      <c r="BG78" s="169"/>
      <c r="BH78" s="169"/>
      <c r="BI78" s="169"/>
      <c r="BJ78" s="169"/>
      <c r="BK78" s="169"/>
      <c r="BL78" s="170"/>
      <c r="BM78" s="169"/>
      <c r="BN78" s="169"/>
      <c r="BO78" s="169"/>
      <c r="BP78" s="169"/>
      <c r="BQ78" s="169"/>
      <c r="BR78" s="169"/>
      <c r="BS78" s="169"/>
      <c r="BT78" s="169"/>
      <c r="BU78" s="169"/>
      <c r="BV78" s="169"/>
    </row>
    <row r="79" spans="7:75" ht="15.95" customHeight="1" x14ac:dyDescent="0.25">
      <c r="G79" s="184"/>
      <c r="H79" s="190" t="s">
        <v>231</v>
      </c>
      <c r="I79" s="191"/>
      <c r="J79" s="187" t="s">
        <v>232</v>
      </c>
      <c r="K79" s="188"/>
      <c r="L79" s="188"/>
      <c r="M79" s="188"/>
      <c r="N79" s="188"/>
      <c r="O79" s="188"/>
      <c r="P79" s="188"/>
      <c r="Q79" s="188"/>
      <c r="R79" s="188"/>
      <c r="S79" s="188"/>
      <c r="T79" s="188"/>
      <c r="U79" s="188"/>
      <c r="V79" s="188"/>
      <c r="W79" s="188"/>
      <c r="X79" s="188"/>
      <c r="Y79" s="188"/>
      <c r="Z79" s="188"/>
      <c r="AA79" s="188"/>
      <c r="AB79" s="188"/>
      <c r="AC79" s="188"/>
      <c r="AD79" s="188"/>
      <c r="AE79" s="188"/>
      <c r="AF79" s="457" t="s">
        <v>94</v>
      </c>
      <c r="AG79" s="458"/>
      <c r="AH79" s="187" t="s">
        <v>233</v>
      </c>
      <c r="AI79" s="188"/>
      <c r="AJ79" s="188"/>
      <c r="AK79" s="188"/>
      <c r="AL79" s="188"/>
      <c r="AM79" s="188"/>
      <c r="AN79" s="188"/>
      <c r="AO79" s="188"/>
      <c r="AP79" s="188"/>
      <c r="AQ79" s="188"/>
      <c r="AR79" s="188"/>
      <c r="AS79" s="188"/>
      <c r="AT79" s="188"/>
      <c r="AU79" s="189"/>
      <c r="AV79" s="189"/>
      <c r="AW79" s="189"/>
      <c r="AX79" s="184"/>
      <c r="AY79" s="184"/>
      <c r="AZ79" s="169"/>
      <c r="BA79" s="169"/>
      <c r="BB79" s="169"/>
      <c r="BC79" s="170"/>
      <c r="BD79" s="169"/>
      <c r="BE79" s="169"/>
      <c r="BF79" s="169"/>
      <c r="BG79" s="169"/>
      <c r="BH79" s="169"/>
      <c r="BI79" s="169"/>
      <c r="BJ79" s="169"/>
      <c r="BK79" s="169"/>
      <c r="BL79" s="170"/>
      <c r="BM79" s="169"/>
      <c r="BN79" s="169"/>
      <c r="BO79" s="169"/>
      <c r="BP79" s="169"/>
      <c r="BQ79" s="169"/>
      <c r="BR79" s="169"/>
      <c r="BS79" s="169"/>
      <c r="BT79" s="169"/>
      <c r="BU79" s="169"/>
      <c r="BV79" s="169"/>
    </row>
    <row r="80" spans="7:75" ht="15.95" customHeight="1" x14ac:dyDescent="0.25">
      <c r="G80" s="184"/>
      <c r="H80" s="190" t="s">
        <v>100</v>
      </c>
      <c r="I80" s="191"/>
      <c r="J80" s="187" t="s">
        <v>234</v>
      </c>
      <c r="K80" s="188"/>
      <c r="L80" s="188"/>
      <c r="M80" s="188"/>
      <c r="N80" s="188"/>
      <c r="O80" s="188"/>
      <c r="P80" s="188"/>
      <c r="Q80" s="188"/>
      <c r="R80" s="188"/>
      <c r="S80" s="188"/>
      <c r="T80" s="188"/>
      <c r="U80" s="188"/>
      <c r="V80" s="188"/>
      <c r="W80" s="188"/>
      <c r="X80" s="188"/>
      <c r="Y80" s="188"/>
      <c r="Z80" s="188"/>
      <c r="AA80" s="188"/>
      <c r="AB80" s="188"/>
      <c r="AC80" s="188"/>
      <c r="AD80" s="188"/>
      <c r="AE80" s="188"/>
      <c r="AF80" s="457" t="s">
        <v>92</v>
      </c>
      <c r="AG80" s="458"/>
      <c r="AH80" s="187" t="s">
        <v>235</v>
      </c>
      <c r="AI80" s="188"/>
      <c r="AJ80" s="188"/>
      <c r="AK80" s="188"/>
      <c r="AL80" s="188"/>
      <c r="AM80" s="188"/>
      <c r="AN80" s="188"/>
      <c r="AO80" s="188"/>
      <c r="AP80" s="188"/>
      <c r="AQ80" s="188"/>
      <c r="AR80" s="188"/>
      <c r="AS80" s="188"/>
      <c r="AT80" s="188"/>
      <c r="AU80" s="189"/>
      <c r="AV80" s="189"/>
      <c r="AW80" s="189"/>
      <c r="AX80" s="184"/>
      <c r="AY80" s="184"/>
      <c r="AZ80" s="169"/>
      <c r="BA80" s="169"/>
      <c r="BB80" s="169"/>
      <c r="BC80" s="170"/>
      <c r="BD80" s="169"/>
      <c r="BE80" s="169"/>
      <c r="BF80" s="169"/>
      <c r="BG80" s="169"/>
      <c r="BH80" s="169"/>
      <c r="BI80" s="169"/>
      <c r="BJ80" s="169"/>
      <c r="BK80" s="169"/>
      <c r="BL80" s="170"/>
      <c r="BM80" s="169"/>
      <c r="BN80" s="169"/>
      <c r="BO80" s="169"/>
      <c r="BP80" s="169"/>
      <c r="BQ80" s="169"/>
      <c r="BR80" s="169"/>
      <c r="BS80" s="169"/>
      <c r="BT80" s="169"/>
      <c r="BU80" s="169"/>
      <c r="BV80" s="169"/>
    </row>
    <row r="81" spans="1:75" ht="15.95" customHeight="1" x14ac:dyDescent="0.25">
      <c r="G81" s="184"/>
      <c r="H81" s="190" t="s">
        <v>110</v>
      </c>
      <c r="I81" s="191"/>
      <c r="J81" s="187" t="s">
        <v>236</v>
      </c>
      <c r="K81" s="188"/>
      <c r="L81" s="188"/>
      <c r="M81" s="188"/>
      <c r="N81" s="188"/>
      <c r="O81" s="188"/>
      <c r="P81" s="188"/>
      <c r="Q81" s="188"/>
      <c r="R81" s="188"/>
      <c r="S81" s="188"/>
      <c r="T81" s="188"/>
      <c r="U81" s="188"/>
      <c r="V81" s="188"/>
      <c r="W81" s="188"/>
      <c r="X81" s="188"/>
      <c r="Y81" s="188"/>
      <c r="Z81" s="188"/>
      <c r="AA81" s="188"/>
      <c r="AB81" s="188"/>
      <c r="AC81" s="188"/>
      <c r="AD81" s="188"/>
      <c r="AE81" s="188"/>
      <c r="AF81" s="457" t="s">
        <v>128</v>
      </c>
      <c r="AG81" s="458"/>
      <c r="AH81" s="187" t="s">
        <v>237</v>
      </c>
      <c r="AI81" s="188"/>
      <c r="AJ81" s="188"/>
      <c r="AK81" s="188"/>
      <c r="AL81" s="188"/>
      <c r="AM81" s="188"/>
      <c r="AN81" s="188"/>
      <c r="AO81" s="188"/>
      <c r="AP81" s="188"/>
      <c r="AQ81" s="188"/>
      <c r="AR81" s="188"/>
      <c r="AS81" s="188"/>
      <c r="AT81" s="188"/>
      <c r="AU81" s="189"/>
      <c r="AV81" s="189"/>
      <c r="AW81" s="189"/>
      <c r="AX81" s="184"/>
      <c r="AY81" s="184"/>
      <c r="AZ81" s="169"/>
      <c r="BA81" s="169"/>
      <c r="BB81" s="169"/>
      <c r="BC81" s="170"/>
      <c r="BD81" s="169"/>
      <c r="BE81" s="169"/>
      <c r="BF81" s="169"/>
      <c r="BG81" s="169"/>
      <c r="BH81" s="169"/>
      <c r="BI81" s="169"/>
      <c r="BJ81" s="169"/>
      <c r="BK81" s="169"/>
      <c r="BL81" s="170"/>
      <c r="BM81" s="169"/>
      <c r="BN81" s="169"/>
      <c r="BO81" s="169"/>
      <c r="BP81" s="169"/>
      <c r="BQ81" s="169"/>
      <c r="BR81" s="169"/>
      <c r="BS81" s="169"/>
      <c r="BT81" s="169"/>
      <c r="BU81" s="169"/>
      <c r="BV81" s="169"/>
    </row>
    <row r="82" spans="1:75" ht="15.95" customHeight="1" x14ac:dyDescent="0.25">
      <c r="G82" s="184"/>
      <c r="H82" s="190" t="s">
        <v>91</v>
      </c>
      <c r="I82" s="191"/>
      <c r="J82" s="187" t="s">
        <v>238</v>
      </c>
      <c r="K82" s="188"/>
      <c r="L82" s="188"/>
      <c r="M82" s="188"/>
      <c r="N82" s="188"/>
      <c r="O82" s="188"/>
      <c r="P82" s="188"/>
      <c r="Q82" s="188"/>
      <c r="R82" s="188"/>
      <c r="S82" s="188"/>
      <c r="T82" s="188"/>
      <c r="U82" s="188"/>
      <c r="V82" s="188"/>
      <c r="W82" s="188"/>
      <c r="X82" s="188"/>
      <c r="Y82" s="188"/>
      <c r="Z82" s="188"/>
      <c r="AA82" s="188"/>
      <c r="AB82" s="188"/>
      <c r="AC82" s="188"/>
      <c r="AD82" s="188"/>
      <c r="AE82" s="188"/>
      <c r="AF82" s="457" t="s">
        <v>127</v>
      </c>
      <c r="AG82" s="458"/>
      <c r="AH82" s="192" t="s">
        <v>239</v>
      </c>
      <c r="AI82" s="188"/>
      <c r="AJ82" s="188"/>
      <c r="AK82" s="188"/>
      <c r="AL82" s="188"/>
      <c r="AM82" s="188"/>
      <c r="AN82" s="188"/>
      <c r="AO82" s="188"/>
      <c r="AP82" s="188"/>
      <c r="AQ82" s="188"/>
      <c r="AR82" s="188"/>
      <c r="AS82" s="188"/>
      <c r="AT82" s="188"/>
      <c r="AU82" s="189"/>
      <c r="AV82" s="189"/>
      <c r="AW82" s="189"/>
      <c r="AX82" s="184"/>
      <c r="AY82" s="184"/>
      <c r="AZ82" s="169"/>
      <c r="BA82" s="169"/>
      <c r="BB82" s="169"/>
      <c r="BC82" s="170"/>
      <c r="BD82" s="169"/>
      <c r="BE82" s="169"/>
      <c r="BF82" s="169"/>
      <c r="BG82" s="169"/>
      <c r="BH82" s="169"/>
      <c r="BI82" s="169"/>
      <c r="BJ82" s="169"/>
      <c r="BK82" s="169"/>
      <c r="BL82" s="170"/>
      <c r="BM82" s="169"/>
      <c r="BN82" s="169"/>
      <c r="BO82" s="169"/>
      <c r="BP82" s="169"/>
      <c r="BQ82" s="169"/>
      <c r="BR82" s="169"/>
      <c r="BS82" s="169"/>
      <c r="BT82" s="169"/>
      <c r="BU82" s="169"/>
      <c r="BV82" s="169"/>
    </row>
    <row r="83" spans="1:75" ht="15.95" customHeight="1" x14ac:dyDescent="0.25">
      <c r="G83" s="184"/>
      <c r="H83" s="190" t="s">
        <v>97</v>
      </c>
      <c r="I83" s="191"/>
      <c r="J83" s="187" t="s">
        <v>240</v>
      </c>
      <c r="K83" s="188"/>
      <c r="L83" s="188"/>
      <c r="M83" s="188"/>
      <c r="N83" s="188"/>
      <c r="O83" s="188"/>
      <c r="P83" s="188"/>
      <c r="Q83" s="188"/>
      <c r="R83" s="188"/>
      <c r="S83" s="188"/>
      <c r="T83" s="188"/>
      <c r="U83" s="188"/>
      <c r="V83" s="188"/>
      <c r="W83" s="188"/>
      <c r="X83" s="188"/>
      <c r="Y83" s="188"/>
      <c r="Z83" s="188"/>
      <c r="AA83" s="188"/>
      <c r="AB83" s="188"/>
      <c r="AC83" s="188"/>
      <c r="AD83" s="188"/>
      <c r="AE83" s="188"/>
      <c r="AF83" s="457" t="s">
        <v>67</v>
      </c>
      <c r="AG83" s="458"/>
      <c r="AH83" s="192" t="s">
        <v>241</v>
      </c>
      <c r="AI83" s="188"/>
      <c r="AJ83" s="188"/>
      <c r="AK83" s="188"/>
      <c r="AL83" s="188"/>
      <c r="AM83" s="188"/>
      <c r="AN83" s="188"/>
      <c r="AO83" s="188"/>
      <c r="AP83" s="188"/>
      <c r="AQ83" s="188"/>
      <c r="AR83" s="188"/>
      <c r="AS83" s="188"/>
      <c r="AT83" s="188"/>
      <c r="AU83" s="189"/>
      <c r="AV83" s="189"/>
      <c r="AW83" s="189"/>
      <c r="AX83" s="184"/>
      <c r="AY83" s="184"/>
      <c r="AZ83" s="169"/>
      <c r="BA83" s="169"/>
      <c r="BB83" s="169"/>
      <c r="BC83" s="170"/>
      <c r="BD83" s="169"/>
      <c r="BE83" s="169"/>
      <c r="BF83" s="169"/>
      <c r="BG83" s="169"/>
      <c r="BH83" s="169"/>
      <c r="BI83" s="169"/>
      <c r="BJ83" s="169"/>
      <c r="BK83" s="169"/>
      <c r="BL83" s="170"/>
      <c r="BM83" s="169"/>
      <c r="BN83" s="169"/>
      <c r="BO83" s="169"/>
      <c r="BP83" s="169"/>
      <c r="BQ83" s="169"/>
      <c r="BR83" s="169"/>
      <c r="BS83" s="169"/>
      <c r="BT83" s="169"/>
      <c r="BU83" s="169"/>
      <c r="BV83" s="169"/>
    </row>
    <row r="84" spans="1:75" ht="15.95" customHeight="1" x14ac:dyDescent="0.25">
      <c r="G84" s="184"/>
      <c r="H84" s="190" t="s">
        <v>120</v>
      </c>
      <c r="I84" s="191"/>
      <c r="J84" s="187" t="s">
        <v>242</v>
      </c>
      <c r="K84" s="188"/>
      <c r="L84" s="188"/>
      <c r="M84" s="188"/>
      <c r="N84" s="188"/>
      <c r="O84" s="188"/>
      <c r="P84" s="188"/>
      <c r="Q84" s="188"/>
      <c r="R84" s="188"/>
      <c r="S84" s="188"/>
      <c r="T84" s="188"/>
      <c r="U84" s="188"/>
      <c r="V84" s="188"/>
      <c r="W84" s="188"/>
      <c r="X84" s="188"/>
      <c r="Y84" s="188"/>
      <c r="Z84" s="188"/>
      <c r="AA84" s="188"/>
      <c r="AB84" s="188"/>
      <c r="AC84" s="188"/>
      <c r="AD84" s="188"/>
      <c r="AE84" s="188"/>
      <c r="AF84" s="457" t="s">
        <v>83</v>
      </c>
      <c r="AG84" s="458"/>
      <c r="AH84" s="187" t="s">
        <v>243</v>
      </c>
      <c r="AI84" s="188"/>
      <c r="AJ84" s="188"/>
      <c r="AK84" s="188"/>
      <c r="AL84" s="188"/>
      <c r="AM84" s="188"/>
      <c r="AN84" s="188"/>
      <c r="AO84" s="188"/>
      <c r="AP84" s="188"/>
      <c r="AQ84" s="188"/>
      <c r="AR84" s="188"/>
      <c r="AS84" s="188"/>
      <c r="AT84" s="188"/>
      <c r="AU84" s="189"/>
      <c r="AV84" s="189"/>
      <c r="AW84" s="189"/>
      <c r="AX84" s="184"/>
      <c r="AY84" s="184"/>
      <c r="AZ84" s="169"/>
      <c r="BA84" s="169"/>
      <c r="BB84" s="169"/>
      <c r="BC84" s="170"/>
      <c r="BD84" s="169"/>
      <c r="BE84" s="169"/>
      <c r="BF84" s="169"/>
      <c r="BG84" s="169"/>
      <c r="BH84" s="169"/>
      <c r="BI84" s="169"/>
      <c r="BJ84" s="169"/>
      <c r="BK84" s="169"/>
      <c r="BL84" s="170"/>
      <c r="BM84" s="169"/>
      <c r="BN84" s="169"/>
      <c r="BO84" s="169"/>
      <c r="BP84" s="169"/>
      <c r="BQ84" s="169"/>
      <c r="BR84" s="169"/>
      <c r="BS84" s="169"/>
      <c r="BT84" s="169"/>
      <c r="BU84" s="169"/>
      <c r="BV84" s="169"/>
    </row>
    <row r="85" spans="1:75" ht="15.95" customHeight="1" x14ac:dyDescent="0.25">
      <c r="G85" s="184"/>
      <c r="H85" s="190" t="s">
        <v>63</v>
      </c>
      <c r="I85" s="191"/>
      <c r="J85" s="187" t="s">
        <v>244</v>
      </c>
      <c r="K85" s="188"/>
      <c r="L85" s="188"/>
      <c r="M85" s="188"/>
      <c r="N85" s="188"/>
      <c r="O85" s="188"/>
      <c r="P85" s="188"/>
      <c r="Q85" s="188"/>
      <c r="R85" s="188"/>
      <c r="S85" s="188"/>
      <c r="T85" s="188"/>
      <c r="U85" s="188"/>
      <c r="V85" s="188"/>
      <c r="W85" s="188"/>
      <c r="X85" s="188"/>
      <c r="Y85" s="188"/>
      <c r="Z85" s="188"/>
      <c r="AA85" s="188"/>
      <c r="AB85" s="188"/>
      <c r="AC85" s="188"/>
      <c r="AD85" s="188"/>
      <c r="AE85" s="188"/>
      <c r="AF85" s="457" t="s">
        <v>82</v>
      </c>
      <c r="AG85" s="458"/>
      <c r="AH85" s="187" t="s">
        <v>245</v>
      </c>
      <c r="AI85" s="188"/>
      <c r="AJ85" s="188"/>
      <c r="AK85" s="188"/>
      <c r="AL85" s="188"/>
      <c r="AM85" s="188"/>
      <c r="AN85" s="188"/>
      <c r="AO85" s="188"/>
      <c r="AP85" s="188"/>
      <c r="AQ85" s="188"/>
      <c r="AR85" s="188"/>
      <c r="AS85" s="188"/>
      <c r="AT85" s="188"/>
      <c r="AU85" s="189"/>
      <c r="AV85" s="189"/>
      <c r="AW85" s="189"/>
      <c r="AX85" s="184"/>
      <c r="AY85" s="184"/>
      <c r="AZ85" s="169"/>
      <c r="BA85" s="169"/>
      <c r="BB85" s="169"/>
      <c r="BC85" s="170"/>
      <c r="BD85" s="169"/>
      <c r="BE85" s="169"/>
      <c r="BF85" s="169"/>
      <c r="BG85" s="169"/>
      <c r="BH85" s="169"/>
      <c r="BI85" s="169"/>
      <c r="BJ85" s="169"/>
      <c r="BK85" s="169"/>
      <c r="BL85" s="170"/>
      <c r="BM85" s="169"/>
      <c r="BN85" s="169"/>
      <c r="BO85" s="169"/>
      <c r="BP85" s="169"/>
      <c r="BQ85" s="169"/>
      <c r="BR85" s="169"/>
      <c r="BS85" s="169"/>
      <c r="BT85" s="169"/>
      <c r="BU85" s="169"/>
      <c r="BV85" s="169"/>
      <c r="BW85" s="169"/>
    </row>
    <row r="86" spans="1:75" ht="15.95" customHeight="1" x14ac:dyDescent="0.25">
      <c r="G86" s="184"/>
      <c r="H86" s="190" t="s">
        <v>93</v>
      </c>
      <c r="I86" s="191"/>
      <c r="J86" s="187" t="s">
        <v>246</v>
      </c>
      <c r="K86" s="188"/>
      <c r="L86" s="188"/>
      <c r="M86" s="188"/>
      <c r="N86" s="188"/>
      <c r="O86" s="188"/>
      <c r="P86" s="188"/>
      <c r="Q86" s="188"/>
      <c r="R86" s="188"/>
      <c r="S86" s="188"/>
      <c r="T86" s="188"/>
      <c r="U86" s="188"/>
      <c r="V86" s="188"/>
      <c r="W86" s="188"/>
      <c r="X86" s="188"/>
      <c r="Y86" s="188"/>
      <c r="Z86" s="188"/>
      <c r="AA86" s="188"/>
      <c r="AB86" s="188"/>
      <c r="AC86" s="188"/>
      <c r="AD86" s="188"/>
      <c r="AE86" s="188"/>
      <c r="AF86" s="457" t="s">
        <v>122</v>
      </c>
      <c r="AG86" s="458"/>
      <c r="AH86" s="187" t="s">
        <v>247</v>
      </c>
      <c r="AI86" s="188"/>
      <c r="AJ86" s="188"/>
      <c r="AK86" s="188"/>
      <c r="AL86" s="188"/>
      <c r="AM86" s="188"/>
      <c r="AN86" s="188"/>
      <c r="AO86" s="188"/>
      <c r="AP86" s="188"/>
      <c r="AQ86" s="188"/>
      <c r="AR86" s="188"/>
      <c r="AS86" s="188"/>
      <c r="AT86" s="188"/>
      <c r="AU86" s="189"/>
      <c r="AV86" s="189"/>
      <c r="AW86" s="189"/>
      <c r="AX86" s="184"/>
      <c r="AY86" s="184"/>
      <c r="AZ86" s="169"/>
      <c r="BA86" s="169"/>
      <c r="BB86" s="169"/>
      <c r="BC86" s="170"/>
      <c r="BD86" s="169"/>
      <c r="BE86" s="169"/>
      <c r="BF86" s="169"/>
      <c r="BG86" s="169"/>
      <c r="BH86" s="169"/>
      <c r="BI86" s="169"/>
      <c r="BJ86" s="169"/>
      <c r="BK86" s="169"/>
      <c r="BL86" s="170"/>
      <c r="BM86" s="169"/>
      <c r="BN86" s="169"/>
      <c r="BO86" s="169"/>
      <c r="BP86" s="169"/>
      <c r="BQ86" s="169"/>
      <c r="BR86" s="169"/>
      <c r="BS86" s="169"/>
      <c r="BT86" s="169"/>
      <c r="BU86" s="169"/>
      <c r="BV86" s="169"/>
    </row>
    <row r="87" spans="1:75" ht="15.95" customHeight="1" x14ac:dyDescent="0.25">
      <c r="G87" s="184"/>
      <c r="H87" s="190" t="s">
        <v>64</v>
      </c>
      <c r="I87" s="191"/>
      <c r="J87" s="187" t="s">
        <v>248</v>
      </c>
      <c r="K87" s="188"/>
      <c r="L87" s="188"/>
      <c r="M87" s="188"/>
      <c r="N87" s="188"/>
      <c r="O87" s="188"/>
      <c r="P87" s="188"/>
      <c r="Q87" s="188"/>
      <c r="R87" s="188"/>
      <c r="S87" s="188"/>
      <c r="T87" s="188"/>
      <c r="U87" s="188"/>
      <c r="V87" s="188"/>
      <c r="W87" s="188"/>
      <c r="X87" s="188"/>
      <c r="Y87" s="188"/>
      <c r="Z87" s="188"/>
      <c r="AA87" s="188"/>
      <c r="AB87" s="188"/>
      <c r="AC87" s="188"/>
      <c r="AD87" s="188"/>
      <c r="AE87" s="188"/>
      <c r="AF87" s="457" t="s">
        <v>81</v>
      </c>
      <c r="AG87" s="458"/>
      <c r="AH87" s="192" t="s">
        <v>249</v>
      </c>
      <c r="AI87" s="188"/>
      <c r="AJ87" s="188"/>
      <c r="AK87" s="188"/>
      <c r="AL87" s="188"/>
      <c r="AM87" s="188"/>
      <c r="AN87" s="188"/>
      <c r="AO87" s="188"/>
      <c r="AP87" s="188"/>
      <c r="AQ87" s="188"/>
      <c r="AR87" s="188"/>
      <c r="AS87" s="188"/>
      <c r="AT87" s="188"/>
      <c r="AU87" s="189"/>
      <c r="AV87" s="189"/>
      <c r="AW87" s="189"/>
      <c r="AX87" s="184"/>
      <c r="AY87" s="184"/>
      <c r="AZ87" s="169"/>
      <c r="BA87" s="169"/>
      <c r="BB87" s="169"/>
      <c r="BC87" s="170"/>
      <c r="BD87" s="169"/>
      <c r="BE87" s="169"/>
      <c r="BF87" s="169"/>
      <c r="BG87" s="169"/>
      <c r="BH87" s="169"/>
      <c r="BI87" s="169"/>
      <c r="BJ87" s="169"/>
      <c r="BK87" s="169"/>
      <c r="BL87" s="170"/>
      <c r="BM87" s="169"/>
      <c r="BN87" s="169"/>
      <c r="BO87" s="169"/>
      <c r="BP87" s="169"/>
      <c r="BQ87" s="169"/>
      <c r="BR87" s="169"/>
      <c r="BS87" s="169"/>
      <c r="BT87" s="169"/>
      <c r="BU87" s="169"/>
      <c r="BV87" s="169"/>
    </row>
    <row r="88" spans="1:75" ht="15.95" customHeight="1" x14ac:dyDescent="0.25">
      <c r="G88" s="184"/>
      <c r="H88" s="190" t="s">
        <v>69</v>
      </c>
      <c r="I88" s="191"/>
      <c r="J88" s="187" t="s">
        <v>250</v>
      </c>
      <c r="K88" s="188"/>
      <c r="L88" s="188"/>
      <c r="M88" s="188"/>
      <c r="N88" s="188"/>
      <c r="O88" s="188"/>
      <c r="P88" s="188"/>
      <c r="Q88" s="188"/>
      <c r="R88" s="188"/>
      <c r="S88" s="188"/>
      <c r="T88" s="188"/>
      <c r="U88" s="188"/>
      <c r="V88" s="188"/>
      <c r="W88" s="188"/>
      <c r="X88" s="188"/>
      <c r="Y88" s="188"/>
      <c r="Z88" s="188"/>
      <c r="AA88" s="188"/>
      <c r="AB88" s="188"/>
      <c r="AC88" s="188"/>
      <c r="AD88" s="188"/>
      <c r="AE88" s="188"/>
      <c r="AF88" s="457" t="s">
        <v>74</v>
      </c>
      <c r="AG88" s="458"/>
      <c r="AH88" s="187" t="s">
        <v>251</v>
      </c>
      <c r="AI88" s="188"/>
      <c r="AJ88" s="188"/>
      <c r="AK88" s="188"/>
      <c r="AL88" s="188"/>
      <c r="AM88" s="188"/>
      <c r="AN88" s="188"/>
      <c r="AO88" s="188"/>
      <c r="AP88" s="188"/>
      <c r="AQ88" s="188"/>
      <c r="AR88" s="188"/>
      <c r="AS88" s="188"/>
      <c r="AT88" s="188"/>
      <c r="AU88" s="189"/>
      <c r="AV88" s="189"/>
      <c r="AW88" s="189"/>
      <c r="AX88" s="184"/>
      <c r="AY88" s="184"/>
      <c r="AZ88" s="169"/>
      <c r="BA88" s="169"/>
      <c r="BB88" s="169"/>
      <c r="BC88" s="170"/>
      <c r="BD88" s="169"/>
      <c r="BE88" s="169"/>
      <c r="BF88" s="169"/>
      <c r="BG88" s="169"/>
      <c r="BH88" s="169"/>
      <c r="BI88" s="169"/>
      <c r="BJ88" s="169"/>
      <c r="BK88" s="169"/>
      <c r="BL88" s="170"/>
      <c r="BM88" s="169"/>
      <c r="BN88" s="169"/>
      <c r="BO88" s="169"/>
      <c r="BP88" s="169"/>
      <c r="BQ88" s="169"/>
      <c r="BR88" s="169"/>
      <c r="BS88" s="169"/>
      <c r="BT88" s="169"/>
      <c r="BU88" s="169"/>
      <c r="BV88" s="169"/>
    </row>
    <row r="89" spans="1:75" ht="15.95" customHeight="1" x14ac:dyDescent="0.25">
      <c r="A89" s="456"/>
      <c r="B89" s="456"/>
      <c r="C89" s="187"/>
      <c r="D89" s="188"/>
      <c r="E89" s="188"/>
      <c r="F89" s="180"/>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c r="AE89" s="180"/>
      <c r="AF89" s="180"/>
      <c r="AG89" s="180"/>
      <c r="AH89" s="180"/>
      <c r="AI89" s="180"/>
      <c r="AJ89" s="180"/>
      <c r="AK89" s="180"/>
      <c r="AL89" s="180"/>
      <c r="AM89" s="180"/>
      <c r="AN89" s="180"/>
      <c r="AO89" s="180"/>
      <c r="AP89" s="180"/>
      <c r="AQ89" s="180"/>
      <c r="AR89" s="180"/>
      <c r="AS89" s="180"/>
      <c r="AT89" s="180"/>
      <c r="AU89" s="181"/>
      <c r="AV89" s="181"/>
      <c r="AW89" s="181"/>
      <c r="AX89" s="169"/>
      <c r="AY89" s="169"/>
      <c r="AZ89" s="169"/>
      <c r="BA89" s="169"/>
      <c r="BB89" s="169"/>
      <c r="BC89" s="170"/>
      <c r="BD89" s="169"/>
      <c r="BE89" s="169"/>
      <c r="BF89" s="169"/>
      <c r="BG89" s="169"/>
      <c r="BH89" s="169"/>
      <c r="BI89" s="169"/>
      <c r="BJ89" s="169"/>
      <c r="BK89" s="169"/>
      <c r="BL89" s="170"/>
      <c r="BM89" s="169"/>
      <c r="BN89" s="169"/>
      <c r="BO89" s="169"/>
      <c r="BP89" s="169"/>
      <c r="BQ89" s="169"/>
      <c r="BR89" s="169"/>
      <c r="BS89" s="169"/>
      <c r="BT89" s="169"/>
      <c r="BU89" s="169"/>
      <c r="BV89" s="169"/>
    </row>
    <row r="90" spans="1:75" ht="15.95" customHeight="1" x14ac:dyDescent="0.25">
      <c r="A90" s="456"/>
      <c r="B90" s="456"/>
      <c r="C90" s="187"/>
      <c r="D90" s="188"/>
      <c r="E90" s="188"/>
      <c r="F90" s="180"/>
      <c r="G90" s="180"/>
      <c r="H90" s="180"/>
      <c r="I90" s="180"/>
      <c r="J90" s="180"/>
      <c r="K90" s="180"/>
      <c r="L90" s="180"/>
      <c r="M90" s="180"/>
      <c r="N90" s="180"/>
      <c r="O90" s="180"/>
      <c r="P90" s="180"/>
      <c r="Q90" s="180"/>
      <c r="R90" s="180"/>
      <c r="S90" s="180"/>
      <c r="T90" s="180"/>
      <c r="U90" s="180"/>
      <c r="V90" s="180"/>
      <c r="W90" s="180"/>
      <c r="X90" s="180"/>
      <c r="Y90" s="180"/>
      <c r="Z90" s="180"/>
      <c r="AA90" s="180"/>
      <c r="AB90" s="180"/>
      <c r="AC90" s="180"/>
      <c r="AD90" s="180"/>
      <c r="AE90" s="180"/>
      <c r="AF90" s="180"/>
      <c r="AG90" s="180"/>
      <c r="AH90" s="180"/>
      <c r="AI90" s="180"/>
      <c r="AJ90" s="180"/>
      <c r="AK90" s="180"/>
      <c r="AL90" s="180"/>
      <c r="AM90" s="180"/>
      <c r="AN90" s="180"/>
      <c r="AO90" s="180"/>
      <c r="AP90" s="180"/>
      <c r="AQ90" s="180"/>
      <c r="AR90" s="180"/>
      <c r="AS90" s="180"/>
      <c r="AT90" s="180"/>
      <c r="AU90" s="181"/>
      <c r="AV90" s="181"/>
      <c r="AW90" s="181"/>
      <c r="AX90" s="169"/>
      <c r="AY90" s="169"/>
      <c r="AZ90" s="169"/>
      <c r="BA90" s="169"/>
      <c r="BB90" s="169"/>
      <c r="BC90" s="170"/>
      <c r="BD90" s="169"/>
      <c r="BE90" s="169"/>
      <c r="BF90" s="169"/>
      <c r="BG90" s="169"/>
      <c r="BH90" s="169"/>
      <c r="BI90" s="169"/>
      <c r="BJ90" s="169"/>
      <c r="BK90" s="169"/>
      <c r="BL90" s="170"/>
      <c r="BM90" s="169"/>
      <c r="BN90" s="169"/>
      <c r="BO90" s="169"/>
      <c r="BP90" s="169"/>
      <c r="BQ90" s="169"/>
      <c r="BR90" s="169"/>
      <c r="BS90" s="169"/>
      <c r="BT90" s="169"/>
      <c r="BU90" s="169"/>
      <c r="BV90" s="169"/>
    </row>
    <row r="91" spans="1:75" ht="15.95" customHeight="1" x14ac:dyDescent="0.25">
      <c r="A91" s="456"/>
      <c r="B91" s="456"/>
      <c r="C91" s="187"/>
      <c r="D91" s="188"/>
      <c r="E91" s="188"/>
      <c r="F91" s="180"/>
      <c r="G91" s="180"/>
      <c r="H91" s="180"/>
      <c r="I91" s="180"/>
      <c r="J91" s="180"/>
      <c r="K91" s="180"/>
      <c r="L91" s="180"/>
      <c r="M91" s="180"/>
      <c r="N91" s="180"/>
      <c r="O91" s="180"/>
      <c r="P91" s="180"/>
      <c r="Q91" s="180"/>
      <c r="R91" s="180"/>
      <c r="S91" s="180"/>
      <c r="T91" s="180"/>
      <c r="U91" s="180"/>
      <c r="V91" s="180"/>
      <c r="W91" s="180"/>
      <c r="X91" s="180"/>
      <c r="Y91" s="180"/>
      <c r="Z91" s="180"/>
      <c r="AA91" s="180"/>
      <c r="AB91" s="180"/>
      <c r="AC91" s="180"/>
      <c r="AD91" s="180"/>
      <c r="AE91" s="180"/>
      <c r="AF91" s="180"/>
      <c r="AG91" s="180"/>
      <c r="AH91" s="180"/>
      <c r="AI91" s="180"/>
      <c r="AJ91" s="180"/>
      <c r="AK91" s="180"/>
      <c r="AL91" s="180"/>
      <c r="AM91" s="180"/>
      <c r="AN91" s="180"/>
      <c r="AO91" s="180"/>
      <c r="AP91" s="180"/>
      <c r="AQ91" s="180"/>
      <c r="AR91" s="180"/>
      <c r="AS91" s="180"/>
      <c r="AT91" s="180"/>
      <c r="AU91" s="181"/>
      <c r="AV91" s="181"/>
      <c r="AW91" s="181"/>
      <c r="AX91" s="169"/>
      <c r="AY91" s="169"/>
      <c r="AZ91" s="169"/>
      <c r="BA91" s="169"/>
      <c r="BB91" s="169"/>
      <c r="BC91" s="170"/>
      <c r="BD91" s="169"/>
      <c r="BE91" s="169"/>
      <c r="BF91" s="169"/>
      <c r="BG91" s="169"/>
      <c r="BH91" s="169"/>
      <c r="BI91" s="169"/>
      <c r="BJ91" s="169"/>
      <c r="BK91" s="169"/>
      <c r="BL91" s="170"/>
      <c r="BM91" s="169"/>
      <c r="BN91" s="169"/>
      <c r="BO91" s="169"/>
      <c r="BP91" s="169"/>
      <c r="BQ91" s="169"/>
      <c r="BR91" s="169"/>
      <c r="BS91" s="169"/>
      <c r="BT91" s="169"/>
      <c r="BU91" s="169"/>
      <c r="BV91" s="169"/>
    </row>
    <row r="92" spans="1:75" ht="15.95" customHeight="1" x14ac:dyDescent="0.25">
      <c r="A92" s="456"/>
      <c r="B92" s="456"/>
      <c r="C92" s="187"/>
      <c r="D92" s="188"/>
      <c r="E92" s="188"/>
      <c r="F92" s="180"/>
      <c r="G92" s="180"/>
      <c r="H92" s="180"/>
      <c r="I92" s="180"/>
      <c r="J92" s="180"/>
      <c r="K92" s="180"/>
      <c r="L92" s="180"/>
      <c r="M92" s="180"/>
      <c r="N92" s="180"/>
      <c r="O92" s="180"/>
      <c r="P92" s="180"/>
      <c r="Q92" s="180"/>
      <c r="R92" s="180"/>
      <c r="S92" s="180"/>
      <c r="T92" s="180"/>
      <c r="U92" s="180"/>
      <c r="V92" s="180"/>
      <c r="W92" s="180"/>
      <c r="X92" s="180"/>
      <c r="Y92" s="180"/>
      <c r="Z92" s="180"/>
      <c r="AA92" s="180"/>
      <c r="AB92" s="180"/>
      <c r="AC92" s="180"/>
      <c r="AD92" s="180"/>
      <c r="AE92" s="180"/>
      <c r="AF92" s="180"/>
      <c r="AG92" s="180"/>
      <c r="AH92" s="180"/>
      <c r="AI92" s="180"/>
      <c r="AJ92" s="180"/>
      <c r="AK92" s="180"/>
      <c r="AL92" s="180"/>
      <c r="AM92" s="180"/>
      <c r="AN92" s="180"/>
      <c r="AO92" s="180"/>
      <c r="AP92" s="180"/>
      <c r="AQ92" s="180"/>
      <c r="AR92" s="180"/>
      <c r="AS92" s="180"/>
      <c r="AT92" s="180"/>
      <c r="AU92" s="181"/>
      <c r="AV92" s="181"/>
      <c r="AW92" s="181"/>
      <c r="AX92" s="169"/>
      <c r="AY92" s="169"/>
      <c r="AZ92" s="169"/>
      <c r="BA92" s="169"/>
      <c r="BB92" s="169"/>
      <c r="BC92" s="170"/>
      <c r="BD92" s="169"/>
      <c r="BE92" s="169"/>
      <c r="BF92" s="169"/>
      <c r="BG92" s="169"/>
      <c r="BH92" s="169"/>
      <c r="BI92" s="169"/>
      <c r="BJ92" s="169"/>
      <c r="BK92" s="169"/>
      <c r="BL92" s="170"/>
      <c r="BM92" s="169"/>
      <c r="BN92" s="169"/>
      <c r="BO92" s="169"/>
      <c r="BP92" s="169"/>
      <c r="BQ92" s="169"/>
      <c r="BR92" s="169"/>
      <c r="BS92" s="169"/>
      <c r="BT92" s="169"/>
      <c r="BU92" s="169"/>
      <c r="BV92" s="169"/>
    </row>
    <row r="93" spans="1:75" ht="15.95" customHeight="1" x14ac:dyDescent="0.25">
      <c r="A93" s="456"/>
      <c r="B93" s="456"/>
      <c r="C93" s="192"/>
      <c r="D93" s="188"/>
      <c r="E93" s="188"/>
      <c r="F93" s="180"/>
      <c r="G93" s="180"/>
      <c r="H93" s="180"/>
      <c r="I93" s="180"/>
      <c r="J93" s="180"/>
      <c r="K93" s="180"/>
      <c r="L93" s="180"/>
      <c r="M93" s="180"/>
      <c r="N93" s="180"/>
      <c r="O93" s="180"/>
      <c r="P93" s="180"/>
      <c r="Q93" s="180"/>
      <c r="R93" s="180"/>
      <c r="S93" s="180"/>
      <c r="T93" s="180"/>
      <c r="U93" s="180"/>
      <c r="V93" s="180"/>
      <c r="W93" s="180"/>
      <c r="X93" s="180"/>
      <c r="Y93" s="180"/>
      <c r="Z93" s="180"/>
      <c r="AA93" s="180"/>
      <c r="AB93" s="180"/>
      <c r="AC93" s="180"/>
      <c r="AD93" s="180"/>
      <c r="AE93" s="180"/>
      <c r="AF93" s="180"/>
      <c r="AG93" s="180"/>
      <c r="AH93" s="180"/>
      <c r="AI93" s="180"/>
      <c r="AJ93" s="180"/>
      <c r="AK93" s="180"/>
      <c r="AL93" s="180"/>
      <c r="AM93" s="180"/>
      <c r="AN93" s="180"/>
      <c r="AO93" s="180"/>
      <c r="AP93" s="180"/>
      <c r="AQ93" s="180"/>
      <c r="AR93" s="180"/>
      <c r="AS93" s="180"/>
      <c r="AT93" s="180"/>
      <c r="AU93" s="181"/>
      <c r="AV93" s="181"/>
      <c r="AW93" s="181"/>
      <c r="AX93" s="169"/>
      <c r="AY93" s="169"/>
      <c r="AZ93" s="169"/>
      <c r="BA93" s="169"/>
      <c r="BB93" s="169"/>
      <c r="BC93" s="170"/>
      <c r="BD93" s="169"/>
      <c r="BE93" s="169"/>
      <c r="BF93" s="169"/>
      <c r="BG93" s="169"/>
      <c r="BH93" s="169"/>
      <c r="BI93" s="169"/>
      <c r="BJ93" s="169"/>
      <c r="BK93" s="169"/>
      <c r="BL93" s="170"/>
      <c r="BM93" s="169"/>
      <c r="BN93" s="169"/>
      <c r="BO93" s="169"/>
      <c r="BP93" s="169"/>
      <c r="BQ93" s="169"/>
      <c r="BR93" s="169"/>
      <c r="BS93" s="169"/>
      <c r="BT93" s="169"/>
      <c r="BU93" s="169"/>
      <c r="BV93" s="169"/>
    </row>
    <row r="94" spans="1:75" ht="15.95" customHeight="1" x14ac:dyDescent="0.25">
      <c r="A94" s="456"/>
      <c r="B94" s="456"/>
      <c r="C94" s="187"/>
      <c r="D94" s="188"/>
      <c r="E94" s="188"/>
      <c r="F94" s="180"/>
      <c r="G94" s="180"/>
      <c r="H94" s="180"/>
      <c r="I94" s="180"/>
      <c r="J94" s="180"/>
      <c r="K94" s="180"/>
      <c r="L94" s="180"/>
      <c r="M94" s="180"/>
      <c r="N94" s="180"/>
      <c r="O94" s="180"/>
      <c r="P94" s="180"/>
      <c r="Q94" s="180"/>
      <c r="R94" s="180"/>
      <c r="S94" s="180"/>
      <c r="T94" s="180"/>
      <c r="U94" s="180"/>
      <c r="V94" s="180"/>
      <c r="W94" s="180"/>
      <c r="X94" s="180"/>
      <c r="Y94" s="180"/>
      <c r="Z94" s="180"/>
      <c r="AA94" s="180"/>
      <c r="AB94" s="180"/>
      <c r="AC94" s="180"/>
      <c r="AD94" s="180"/>
      <c r="AE94" s="180"/>
      <c r="AF94" s="180"/>
      <c r="AG94" s="180"/>
      <c r="AH94" s="180"/>
      <c r="AI94" s="180"/>
      <c r="AJ94" s="180"/>
      <c r="AK94" s="180"/>
      <c r="AL94" s="180"/>
      <c r="AM94" s="180"/>
      <c r="AN94" s="180"/>
      <c r="AO94" s="180"/>
      <c r="AP94" s="180"/>
      <c r="AQ94" s="180"/>
      <c r="AR94" s="180"/>
      <c r="AS94" s="180"/>
      <c r="AT94" s="180"/>
      <c r="AU94" s="181"/>
      <c r="AV94" s="181"/>
      <c r="AW94" s="181"/>
      <c r="AX94" s="169"/>
      <c r="AY94" s="169"/>
      <c r="AZ94" s="169"/>
      <c r="BA94" s="169"/>
      <c r="BB94" s="169"/>
      <c r="BC94" s="170"/>
      <c r="BD94" s="169"/>
      <c r="BE94" s="169"/>
      <c r="BF94" s="169"/>
      <c r="BG94" s="169"/>
      <c r="BH94" s="169"/>
      <c r="BI94" s="169"/>
      <c r="BJ94" s="169"/>
      <c r="BK94" s="169"/>
      <c r="BL94" s="170"/>
      <c r="BM94" s="169"/>
      <c r="BN94" s="169"/>
      <c r="BO94" s="169"/>
      <c r="BP94" s="169"/>
      <c r="BQ94" s="169"/>
      <c r="BR94" s="169"/>
      <c r="BS94" s="169"/>
      <c r="BT94" s="169"/>
      <c r="BU94" s="169"/>
      <c r="BV94" s="169"/>
    </row>
    <row r="95" spans="1:75" ht="15.95" customHeight="1" x14ac:dyDescent="0.25">
      <c r="A95" s="456"/>
      <c r="B95" s="456"/>
      <c r="C95" s="187"/>
      <c r="D95" s="188"/>
      <c r="E95" s="188"/>
      <c r="F95" s="180"/>
      <c r="G95" s="180"/>
      <c r="H95" s="180"/>
      <c r="I95" s="180"/>
      <c r="J95" s="180"/>
      <c r="K95" s="180"/>
      <c r="L95" s="180"/>
      <c r="M95" s="180"/>
      <c r="N95" s="180"/>
      <c r="O95" s="180"/>
      <c r="P95" s="180"/>
      <c r="Q95" s="180"/>
      <c r="R95" s="180"/>
      <c r="S95" s="180"/>
      <c r="T95" s="180"/>
      <c r="U95" s="180"/>
      <c r="V95" s="180"/>
      <c r="W95" s="180"/>
      <c r="X95" s="180"/>
      <c r="Y95" s="180"/>
      <c r="Z95" s="180"/>
      <c r="AA95" s="180"/>
      <c r="AB95" s="180"/>
      <c r="AC95" s="180"/>
      <c r="AD95" s="180"/>
      <c r="AE95" s="180"/>
      <c r="AF95" s="180"/>
      <c r="AG95" s="180"/>
      <c r="AH95" s="180"/>
      <c r="AI95" s="180"/>
      <c r="AJ95" s="180"/>
      <c r="AK95" s="180"/>
      <c r="AL95" s="180"/>
      <c r="AM95" s="180"/>
      <c r="AN95" s="180"/>
      <c r="AO95" s="180"/>
      <c r="AP95" s="180"/>
      <c r="AQ95" s="180"/>
      <c r="AR95" s="180"/>
      <c r="AS95" s="180"/>
      <c r="AT95" s="180"/>
      <c r="AU95" s="181"/>
      <c r="AV95" s="181"/>
      <c r="AW95" s="181"/>
      <c r="AX95" s="169"/>
      <c r="AY95" s="169"/>
      <c r="AZ95" s="169"/>
      <c r="BA95" s="169"/>
      <c r="BB95" s="169"/>
      <c r="BC95" s="170"/>
      <c r="BD95" s="169"/>
      <c r="BE95" s="169"/>
      <c r="BF95" s="169"/>
      <c r="BG95" s="169"/>
      <c r="BH95" s="169"/>
      <c r="BI95" s="169"/>
      <c r="BJ95" s="169"/>
      <c r="BK95" s="169"/>
      <c r="BL95" s="170"/>
      <c r="BM95" s="169"/>
      <c r="BN95" s="169"/>
      <c r="BO95" s="169"/>
      <c r="BP95" s="169"/>
      <c r="BQ95" s="169"/>
      <c r="BR95" s="169"/>
      <c r="BS95" s="169"/>
      <c r="BT95" s="169"/>
      <c r="BU95" s="169"/>
      <c r="BV95" s="169"/>
    </row>
    <row r="96" spans="1:75" ht="15.95" customHeight="1" x14ac:dyDescent="0.25">
      <c r="A96" s="456"/>
      <c r="B96" s="456"/>
      <c r="C96" s="187"/>
      <c r="D96" s="188"/>
      <c r="E96" s="188"/>
      <c r="F96" s="180"/>
      <c r="G96" s="180"/>
      <c r="H96" s="180"/>
      <c r="I96" s="180"/>
      <c r="J96" s="180"/>
      <c r="K96" s="180"/>
      <c r="L96" s="180"/>
      <c r="M96" s="180"/>
      <c r="N96" s="180"/>
      <c r="O96" s="180"/>
      <c r="P96" s="180"/>
      <c r="Q96" s="180"/>
      <c r="R96" s="180"/>
      <c r="S96" s="180"/>
      <c r="T96" s="180"/>
      <c r="U96" s="180"/>
      <c r="V96" s="180"/>
      <c r="W96" s="180"/>
      <c r="X96" s="180"/>
      <c r="Y96" s="180"/>
      <c r="Z96" s="180"/>
      <c r="AA96" s="180"/>
      <c r="AB96" s="180"/>
      <c r="AC96" s="180"/>
      <c r="AD96" s="180"/>
      <c r="AE96" s="180"/>
      <c r="AF96" s="180"/>
      <c r="AG96" s="180"/>
      <c r="AH96" s="180"/>
      <c r="AI96" s="180"/>
      <c r="AJ96" s="180"/>
      <c r="AK96" s="180"/>
      <c r="AL96" s="180"/>
      <c r="AM96" s="180"/>
      <c r="AN96" s="180"/>
      <c r="AO96" s="180"/>
      <c r="AP96" s="180"/>
      <c r="AQ96" s="180"/>
      <c r="AR96" s="180"/>
      <c r="AS96" s="180"/>
      <c r="AT96" s="180"/>
      <c r="AU96" s="181"/>
      <c r="AV96" s="181"/>
      <c r="AW96" s="181"/>
      <c r="AX96" s="169"/>
      <c r="AY96" s="169"/>
      <c r="AZ96" s="169"/>
      <c r="BA96" s="169"/>
      <c r="BB96" s="169"/>
      <c r="BC96" s="170"/>
      <c r="BD96" s="169"/>
      <c r="BE96" s="169"/>
      <c r="BF96" s="169"/>
      <c r="BG96" s="169"/>
      <c r="BH96" s="169"/>
      <c r="BI96" s="169"/>
      <c r="BJ96" s="169"/>
      <c r="BK96" s="169"/>
      <c r="BL96" s="170"/>
      <c r="BM96" s="169"/>
      <c r="BN96" s="169"/>
      <c r="BO96" s="169"/>
      <c r="BP96" s="169"/>
      <c r="BQ96" s="169"/>
      <c r="BR96" s="169"/>
      <c r="BS96" s="169"/>
      <c r="BT96" s="169"/>
      <c r="BU96" s="169"/>
      <c r="BV96" s="169"/>
    </row>
    <row r="97" spans="1:75" ht="15.95" customHeight="1" x14ac:dyDescent="0.25">
      <c r="A97" s="456"/>
      <c r="B97" s="456"/>
      <c r="C97" s="187"/>
      <c r="D97" s="188"/>
      <c r="E97" s="188"/>
      <c r="F97" s="180"/>
      <c r="G97" s="180"/>
      <c r="H97" s="180"/>
      <c r="I97" s="180"/>
      <c r="J97" s="180"/>
      <c r="K97" s="180"/>
      <c r="L97" s="180"/>
      <c r="M97" s="180"/>
      <c r="N97" s="180"/>
      <c r="O97" s="180"/>
      <c r="P97" s="180"/>
      <c r="Q97" s="180"/>
      <c r="R97" s="180"/>
      <c r="S97" s="180"/>
      <c r="T97" s="180"/>
      <c r="U97" s="180"/>
      <c r="V97" s="180"/>
      <c r="W97" s="180"/>
      <c r="X97" s="180"/>
      <c r="Y97" s="180"/>
      <c r="Z97" s="180"/>
      <c r="AA97" s="180"/>
      <c r="AB97" s="180"/>
      <c r="AC97" s="180"/>
      <c r="AD97" s="180"/>
      <c r="AE97" s="180"/>
      <c r="AF97" s="180"/>
      <c r="AG97" s="180"/>
      <c r="AH97" s="180"/>
      <c r="AI97" s="180"/>
      <c r="AJ97" s="180"/>
      <c r="AK97" s="180"/>
      <c r="AL97" s="180"/>
      <c r="AM97" s="180"/>
      <c r="AN97" s="180"/>
      <c r="AO97" s="180"/>
      <c r="AP97" s="180"/>
      <c r="AQ97" s="180"/>
      <c r="AR97" s="180"/>
      <c r="AS97" s="180"/>
      <c r="AT97" s="180"/>
      <c r="AU97" s="181"/>
      <c r="AV97" s="181"/>
      <c r="AW97" s="181"/>
      <c r="AX97" s="169"/>
      <c r="AY97" s="169"/>
      <c r="AZ97" s="169"/>
      <c r="BA97" s="169"/>
      <c r="BB97" s="169"/>
      <c r="BC97" s="170"/>
      <c r="BD97" s="169"/>
      <c r="BE97" s="169"/>
      <c r="BF97" s="169"/>
      <c r="BG97" s="169"/>
      <c r="BH97" s="169"/>
      <c r="BI97" s="169"/>
      <c r="BJ97" s="169"/>
      <c r="BK97" s="169"/>
      <c r="BL97" s="170"/>
      <c r="BM97" s="169"/>
      <c r="BN97" s="169"/>
      <c r="BO97" s="169"/>
      <c r="BP97" s="169"/>
      <c r="BQ97" s="169"/>
      <c r="BR97" s="169"/>
      <c r="BS97" s="169"/>
      <c r="BT97" s="169"/>
      <c r="BU97" s="169"/>
      <c r="BV97" s="169"/>
      <c r="BW97" s="169"/>
    </row>
    <row r="98" spans="1:75" ht="15.95" customHeight="1" x14ac:dyDescent="0.25">
      <c r="A98" s="456"/>
      <c r="B98" s="456"/>
      <c r="C98" s="187"/>
      <c r="D98" s="188"/>
      <c r="E98" s="188"/>
      <c r="F98" s="180"/>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c r="AE98" s="180"/>
      <c r="AF98" s="180"/>
      <c r="AG98" s="180"/>
      <c r="AH98" s="180"/>
      <c r="AI98" s="180"/>
      <c r="AJ98" s="180"/>
      <c r="AK98" s="180"/>
      <c r="AL98" s="180"/>
      <c r="AM98" s="180"/>
      <c r="AN98" s="180"/>
      <c r="AO98" s="180"/>
      <c r="AP98" s="180"/>
      <c r="AQ98" s="180"/>
      <c r="AR98" s="180"/>
      <c r="AS98" s="180"/>
      <c r="AT98" s="180"/>
      <c r="AU98" s="181"/>
      <c r="AV98" s="181"/>
      <c r="AW98" s="181"/>
      <c r="AX98" s="169"/>
      <c r="AY98" s="169"/>
      <c r="AZ98" s="169"/>
      <c r="BA98" s="169"/>
      <c r="BB98" s="169"/>
      <c r="BC98" s="170"/>
      <c r="BD98" s="169"/>
      <c r="BE98" s="169"/>
      <c r="BF98" s="169"/>
      <c r="BG98" s="169"/>
      <c r="BH98" s="169"/>
      <c r="BI98" s="169"/>
      <c r="BJ98" s="169"/>
      <c r="BK98" s="169"/>
      <c r="BL98" s="170"/>
      <c r="BM98" s="169"/>
      <c r="BN98" s="169"/>
      <c r="BO98" s="169"/>
      <c r="BP98" s="169"/>
      <c r="BQ98" s="169"/>
      <c r="BR98" s="169"/>
      <c r="BS98" s="169"/>
      <c r="BT98" s="169"/>
      <c r="BU98" s="169"/>
      <c r="BV98" s="169"/>
    </row>
    <row r="99" spans="1:75" ht="15.95" customHeight="1" x14ac:dyDescent="0.25">
      <c r="A99" s="456"/>
      <c r="B99" s="456"/>
      <c r="C99" s="187"/>
      <c r="D99" s="188"/>
      <c r="E99" s="188"/>
      <c r="F99" s="180"/>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c r="AE99" s="180"/>
      <c r="AF99" s="180"/>
      <c r="AG99" s="180"/>
      <c r="AH99" s="180"/>
      <c r="AI99" s="180"/>
      <c r="AJ99" s="180"/>
      <c r="AK99" s="180"/>
      <c r="AL99" s="180"/>
      <c r="AM99" s="180"/>
      <c r="AN99" s="180"/>
      <c r="AO99" s="180"/>
      <c r="AP99" s="180"/>
      <c r="AQ99" s="180"/>
      <c r="AR99" s="180"/>
      <c r="AS99" s="180"/>
      <c r="AT99" s="180"/>
      <c r="AU99" s="181"/>
      <c r="AV99" s="181"/>
      <c r="AW99" s="181"/>
      <c r="AX99" s="169"/>
      <c r="AY99" s="169"/>
      <c r="AZ99" s="169"/>
      <c r="BA99" s="169"/>
      <c r="BB99" s="169"/>
      <c r="BC99" s="170"/>
      <c r="BD99" s="169"/>
      <c r="BE99" s="169"/>
      <c r="BF99" s="169"/>
      <c r="BG99" s="169"/>
      <c r="BH99" s="169"/>
      <c r="BI99" s="169"/>
      <c r="BJ99" s="169"/>
      <c r="BK99" s="169"/>
      <c r="BL99" s="170"/>
      <c r="BM99" s="169"/>
      <c r="BN99" s="169"/>
      <c r="BO99" s="169"/>
      <c r="BP99" s="169"/>
      <c r="BQ99" s="169"/>
      <c r="BR99" s="169"/>
      <c r="BS99" s="169"/>
      <c r="BT99" s="169"/>
      <c r="BU99" s="169"/>
      <c r="BV99" s="169"/>
    </row>
    <row r="100" spans="1:75" ht="15.95" customHeight="1" x14ac:dyDescent="0.25">
      <c r="A100" s="456"/>
      <c r="B100" s="456"/>
      <c r="C100" s="187"/>
      <c r="D100" s="188"/>
      <c r="E100" s="188"/>
      <c r="F100" s="180"/>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c r="AE100" s="180"/>
      <c r="AF100" s="180"/>
      <c r="AG100" s="180"/>
      <c r="AH100" s="180"/>
      <c r="AI100" s="180"/>
      <c r="AJ100" s="180"/>
      <c r="AK100" s="180"/>
      <c r="AL100" s="180"/>
      <c r="AM100" s="180"/>
      <c r="AN100" s="180"/>
      <c r="AO100" s="180"/>
      <c r="AP100" s="180"/>
      <c r="AQ100" s="180"/>
      <c r="AR100" s="180"/>
      <c r="AS100" s="180"/>
      <c r="AT100" s="180"/>
      <c r="AU100" s="181"/>
      <c r="AV100" s="181"/>
      <c r="AW100" s="181"/>
      <c r="AX100" s="169"/>
      <c r="AY100" s="169"/>
      <c r="AZ100" s="169"/>
      <c r="BA100" s="169"/>
      <c r="BB100" s="169"/>
      <c r="BC100" s="170"/>
      <c r="BD100" s="169"/>
      <c r="BE100" s="169"/>
      <c r="BF100" s="169"/>
      <c r="BG100" s="169"/>
      <c r="BH100" s="169"/>
      <c r="BI100" s="169"/>
      <c r="BJ100" s="169"/>
      <c r="BK100" s="169"/>
      <c r="BL100" s="170"/>
      <c r="BM100" s="169"/>
      <c r="BN100" s="169"/>
      <c r="BO100" s="169"/>
      <c r="BP100" s="169"/>
      <c r="BQ100" s="169"/>
      <c r="BR100" s="169"/>
      <c r="BS100" s="169"/>
      <c r="BT100" s="169"/>
      <c r="BU100" s="169"/>
      <c r="BV100" s="169"/>
    </row>
    <row r="101" spans="1:75" ht="15.95" customHeight="1" x14ac:dyDescent="0.25">
      <c r="A101" s="456"/>
      <c r="B101" s="456"/>
      <c r="C101" s="187"/>
      <c r="D101" s="188"/>
      <c r="E101" s="188"/>
      <c r="F101" s="180"/>
      <c r="G101" s="180"/>
      <c r="H101" s="180"/>
      <c r="I101" s="180"/>
      <c r="J101" s="180"/>
      <c r="K101" s="180"/>
      <c r="L101" s="180"/>
      <c r="M101" s="180"/>
      <c r="N101" s="180"/>
      <c r="O101" s="180"/>
      <c r="P101" s="180"/>
      <c r="Q101" s="180"/>
      <c r="R101" s="180"/>
      <c r="S101" s="180"/>
      <c r="T101" s="180"/>
      <c r="U101" s="180"/>
      <c r="V101" s="180"/>
      <c r="W101" s="180"/>
      <c r="X101" s="180"/>
      <c r="Y101" s="180"/>
      <c r="Z101" s="180"/>
      <c r="AA101" s="180"/>
      <c r="AB101" s="180"/>
      <c r="AC101" s="180"/>
      <c r="AD101" s="180"/>
      <c r="AE101" s="180"/>
      <c r="AF101" s="180"/>
      <c r="AG101" s="180"/>
      <c r="AH101" s="180"/>
      <c r="AI101" s="180"/>
      <c r="AJ101" s="180"/>
      <c r="AK101" s="180"/>
      <c r="AL101" s="180"/>
      <c r="AM101" s="180"/>
      <c r="AN101" s="180"/>
      <c r="AO101" s="180"/>
      <c r="AP101" s="180"/>
      <c r="AQ101" s="180"/>
      <c r="AR101" s="180"/>
      <c r="AS101" s="180"/>
      <c r="AT101" s="180"/>
      <c r="AU101" s="181"/>
      <c r="AV101" s="181"/>
      <c r="AW101" s="181"/>
      <c r="AX101" s="169"/>
      <c r="AY101" s="169"/>
      <c r="AZ101" s="169"/>
      <c r="BA101" s="169"/>
      <c r="BB101" s="169"/>
      <c r="BC101" s="170"/>
      <c r="BD101" s="169"/>
      <c r="BE101" s="169"/>
      <c r="BF101" s="169"/>
      <c r="BG101" s="169"/>
      <c r="BH101" s="169"/>
      <c r="BI101" s="169"/>
      <c r="BJ101" s="169"/>
      <c r="BK101" s="169"/>
      <c r="BL101" s="170"/>
      <c r="BM101" s="169"/>
      <c r="BN101" s="169"/>
      <c r="BO101" s="169"/>
      <c r="BP101" s="169"/>
      <c r="BQ101" s="169"/>
      <c r="BR101" s="169"/>
      <c r="BS101" s="169"/>
      <c r="BT101" s="169"/>
      <c r="BU101" s="169"/>
      <c r="BV101" s="169"/>
      <c r="BW101" s="169"/>
    </row>
    <row r="102" spans="1:75" ht="15.95" customHeight="1" x14ac:dyDescent="0.25">
      <c r="A102" s="456"/>
      <c r="B102" s="456"/>
      <c r="C102" s="187"/>
      <c r="D102" s="188"/>
      <c r="E102" s="188"/>
      <c r="F102" s="180"/>
      <c r="G102" s="180"/>
      <c r="H102" s="180"/>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c r="AE102" s="180"/>
      <c r="AF102" s="180"/>
      <c r="AG102" s="180"/>
      <c r="AH102" s="180"/>
      <c r="AI102" s="180"/>
      <c r="AJ102" s="180"/>
      <c r="AK102" s="180"/>
      <c r="AL102" s="180"/>
      <c r="AM102" s="180"/>
      <c r="AN102" s="180"/>
      <c r="AO102" s="180"/>
      <c r="AP102" s="180"/>
      <c r="AQ102" s="180"/>
      <c r="AR102" s="180"/>
      <c r="AS102" s="180"/>
      <c r="AT102" s="180"/>
      <c r="AU102" s="181"/>
      <c r="AV102" s="181"/>
      <c r="AW102" s="181"/>
      <c r="AX102" s="169"/>
      <c r="AY102" s="169"/>
      <c r="AZ102" s="169"/>
      <c r="BA102" s="169"/>
      <c r="BB102" s="169"/>
      <c r="BC102" s="170"/>
      <c r="BD102" s="169"/>
      <c r="BE102" s="169"/>
      <c r="BF102" s="169"/>
      <c r="BG102" s="169"/>
      <c r="BH102" s="169"/>
      <c r="BI102" s="169"/>
      <c r="BJ102" s="169"/>
      <c r="BK102" s="169"/>
      <c r="BL102" s="170"/>
      <c r="BM102" s="169"/>
      <c r="BN102" s="169"/>
      <c r="BO102" s="169"/>
      <c r="BP102" s="169"/>
      <c r="BQ102" s="169"/>
      <c r="BR102" s="169"/>
      <c r="BS102" s="169"/>
      <c r="BT102" s="169"/>
      <c r="BU102" s="169"/>
      <c r="BV102" s="169"/>
    </row>
    <row r="103" spans="1:75" ht="15.95" customHeight="1" x14ac:dyDescent="0.25">
      <c r="A103" s="456"/>
      <c r="B103" s="456"/>
      <c r="C103" s="187"/>
      <c r="D103" s="188"/>
      <c r="E103" s="188"/>
      <c r="F103" s="180"/>
      <c r="G103" s="180"/>
      <c r="H103" s="180"/>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c r="AE103" s="180"/>
      <c r="AF103" s="180"/>
      <c r="AG103" s="180"/>
      <c r="AH103" s="180"/>
      <c r="AI103" s="180"/>
      <c r="AJ103" s="180"/>
      <c r="AK103" s="180"/>
      <c r="AL103" s="180"/>
      <c r="AM103" s="180"/>
      <c r="AN103" s="180"/>
      <c r="AO103" s="180"/>
      <c r="AP103" s="180"/>
      <c r="AQ103" s="180"/>
      <c r="AR103" s="180"/>
      <c r="AS103" s="180"/>
      <c r="AT103" s="180"/>
      <c r="AU103" s="181"/>
      <c r="AV103" s="181"/>
      <c r="AW103" s="181"/>
      <c r="AX103" s="169"/>
      <c r="AY103" s="169"/>
      <c r="AZ103" s="169"/>
      <c r="BA103" s="169"/>
      <c r="BB103" s="169"/>
      <c r="BC103" s="170"/>
      <c r="BD103" s="169"/>
      <c r="BE103" s="169"/>
      <c r="BF103" s="169"/>
      <c r="BG103" s="169"/>
      <c r="BH103" s="169"/>
      <c r="BI103" s="169"/>
      <c r="BJ103" s="169"/>
      <c r="BK103" s="169"/>
      <c r="BL103" s="170"/>
      <c r="BM103" s="169"/>
      <c r="BN103" s="169"/>
      <c r="BO103" s="169"/>
      <c r="BP103" s="169"/>
      <c r="BQ103" s="169"/>
      <c r="BR103" s="169"/>
      <c r="BS103" s="169"/>
      <c r="BT103" s="169"/>
      <c r="BU103" s="169"/>
      <c r="BV103" s="169"/>
    </row>
    <row r="104" spans="1:75" ht="15.95" customHeight="1" x14ac:dyDescent="0.25">
      <c r="A104" s="456"/>
      <c r="B104" s="456"/>
      <c r="C104" s="187"/>
      <c r="D104" s="188"/>
      <c r="E104" s="188"/>
      <c r="F104" s="180"/>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c r="AG104" s="180"/>
      <c r="AH104" s="180"/>
      <c r="AI104" s="180"/>
      <c r="AJ104" s="180"/>
      <c r="AK104" s="180"/>
      <c r="AL104" s="180"/>
      <c r="AM104" s="180"/>
      <c r="AN104" s="180"/>
      <c r="AO104" s="180"/>
      <c r="AP104" s="180"/>
      <c r="AQ104" s="180"/>
      <c r="AR104" s="180"/>
      <c r="AS104" s="180"/>
      <c r="AT104" s="180"/>
      <c r="AU104" s="181"/>
      <c r="AV104" s="181"/>
      <c r="AW104" s="181"/>
      <c r="AX104" s="169"/>
      <c r="AY104" s="169"/>
      <c r="AZ104" s="169"/>
      <c r="BA104" s="169"/>
      <c r="BB104" s="169"/>
      <c r="BC104" s="170"/>
      <c r="BD104" s="169"/>
      <c r="BE104" s="169"/>
      <c r="BF104" s="169"/>
      <c r="BG104" s="169"/>
      <c r="BH104" s="169"/>
      <c r="BI104" s="169"/>
      <c r="BJ104" s="169"/>
      <c r="BK104" s="169"/>
      <c r="BL104" s="170"/>
      <c r="BM104" s="169"/>
      <c r="BN104" s="169"/>
      <c r="BO104" s="169"/>
      <c r="BP104" s="169"/>
      <c r="BQ104" s="169"/>
      <c r="BR104" s="169"/>
      <c r="BS104" s="169"/>
      <c r="BT104" s="169"/>
      <c r="BU104" s="169"/>
      <c r="BV104" s="169"/>
    </row>
    <row r="105" spans="1:75" ht="15.95" customHeight="1" x14ac:dyDescent="0.25">
      <c r="A105" s="456"/>
      <c r="B105" s="456"/>
      <c r="C105" s="187"/>
      <c r="D105" s="188"/>
      <c r="E105" s="188"/>
      <c r="F105" s="180"/>
      <c r="G105" s="180"/>
      <c r="H105" s="180"/>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c r="AE105" s="180"/>
      <c r="AF105" s="180"/>
      <c r="AG105" s="180"/>
      <c r="AH105" s="180"/>
      <c r="AI105" s="180"/>
      <c r="AJ105" s="180"/>
      <c r="AK105" s="180"/>
      <c r="AL105" s="180"/>
      <c r="AM105" s="180"/>
      <c r="AN105" s="180"/>
      <c r="AO105" s="180"/>
      <c r="AP105" s="180"/>
      <c r="AQ105" s="180"/>
      <c r="AR105" s="180"/>
      <c r="AS105" s="180"/>
      <c r="AT105" s="180"/>
      <c r="AU105" s="181"/>
      <c r="AV105" s="181"/>
      <c r="AW105" s="181"/>
      <c r="AX105" s="169"/>
      <c r="AY105" s="169"/>
      <c r="AZ105" s="169"/>
      <c r="BA105" s="169"/>
      <c r="BB105" s="169"/>
      <c r="BC105" s="170"/>
      <c r="BD105" s="169"/>
      <c r="BE105" s="169"/>
      <c r="BF105" s="169"/>
      <c r="BG105" s="169"/>
      <c r="BH105" s="169"/>
      <c r="BI105" s="169"/>
      <c r="BJ105" s="169"/>
      <c r="BK105" s="169"/>
      <c r="BL105" s="170"/>
      <c r="BM105" s="169"/>
      <c r="BN105" s="169"/>
      <c r="BO105" s="169"/>
      <c r="BP105" s="169"/>
      <c r="BQ105" s="169"/>
      <c r="BR105" s="169"/>
      <c r="BS105" s="169"/>
      <c r="BT105" s="169"/>
      <c r="BU105" s="169"/>
      <c r="BV105" s="169"/>
    </row>
    <row r="106" spans="1:75" ht="15.95" customHeight="1" x14ac:dyDescent="0.25">
      <c r="A106" s="456"/>
      <c r="B106" s="456"/>
      <c r="C106" s="187"/>
      <c r="D106" s="188"/>
      <c r="E106" s="188"/>
      <c r="F106" s="180"/>
      <c r="G106" s="180"/>
      <c r="H106" s="180"/>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c r="AE106" s="180"/>
      <c r="AF106" s="180"/>
      <c r="AG106" s="180"/>
      <c r="AH106" s="180"/>
      <c r="AI106" s="180"/>
      <c r="AJ106" s="180"/>
      <c r="AK106" s="180"/>
      <c r="AL106" s="180"/>
      <c r="AM106" s="180"/>
      <c r="AN106" s="180"/>
      <c r="AO106" s="180"/>
      <c r="AP106" s="180"/>
      <c r="AQ106" s="180"/>
      <c r="AR106" s="180"/>
      <c r="AS106" s="180"/>
      <c r="AT106" s="180"/>
      <c r="AU106" s="181"/>
      <c r="AV106" s="181"/>
      <c r="AW106" s="181"/>
      <c r="AX106" s="169"/>
      <c r="AY106" s="169"/>
      <c r="AZ106" s="169"/>
      <c r="BA106" s="169"/>
      <c r="BB106" s="169"/>
      <c r="BC106" s="170"/>
      <c r="BD106" s="169"/>
      <c r="BE106" s="169"/>
      <c r="BF106" s="169"/>
      <c r="BG106" s="169"/>
      <c r="BH106" s="169"/>
      <c r="BI106" s="169"/>
      <c r="BJ106" s="169"/>
      <c r="BK106" s="169"/>
      <c r="BL106" s="170"/>
      <c r="BM106" s="169"/>
      <c r="BN106" s="169"/>
      <c r="BO106" s="169"/>
      <c r="BP106" s="169"/>
      <c r="BQ106" s="169"/>
      <c r="BR106" s="169"/>
      <c r="BS106" s="169"/>
      <c r="BT106" s="169"/>
      <c r="BU106" s="169"/>
      <c r="BV106" s="169"/>
    </row>
    <row r="107" spans="1:75" ht="15.95" customHeight="1" x14ac:dyDescent="0.25">
      <c r="A107" s="456"/>
      <c r="B107" s="456"/>
      <c r="C107" s="187"/>
      <c r="D107" s="188"/>
      <c r="E107" s="188"/>
      <c r="F107" s="180"/>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c r="AE107" s="180"/>
      <c r="AF107" s="180"/>
      <c r="AG107" s="180"/>
      <c r="AH107" s="180"/>
      <c r="AI107" s="180"/>
      <c r="AJ107" s="180"/>
      <c r="AK107" s="180"/>
      <c r="AL107" s="180"/>
      <c r="AM107" s="180"/>
      <c r="AN107" s="180"/>
      <c r="AO107" s="180"/>
      <c r="AP107" s="180"/>
      <c r="AQ107" s="180"/>
      <c r="AR107" s="180"/>
      <c r="AS107" s="180"/>
      <c r="AT107" s="180"/>
      <c r="AU107" s="181"/>
      <c r="AV107" s="181"/>
      <c r="AW107" s="181"/>
      <c r="AX107" s="169"/>
      <c r="AY107" s="169"/>
      <c r="AZ107" s="169"/>
      <c r="BA107" s="169"/>
      <c r="BB107" s="169"/>
      <c r="BC107" s="170"/>
      <c r="BD107" s="169"/>
      <c r="BE107" s="169"/>
      <c r="BF107" s="169"/>
      <c r="BG107" s="169"/>
      <c r="BH107" s="169"/>
      <c r="BI107" s="169"/>
      <c r="BJ107" s="169"/>
      <c r="BK107" s="169"/>
      <c r="BL107" s="170"/>
      <c r="BM107" s="169"/>
      <c r="BN107" s="169"/>
      <c r="BO107" s="169"/>
      <c r="BP107" s="169"/>
      <c r="BQ107" s="169"/>
      <c r="BR107" s="169"/>
      <c r="BS107" s="169"/>
      <c r="BT107" s="169"/>
      <c r="BU107" s="169"/>
      <c r="BV107" s="169"/>
      <c r="BW107" s="169"/>
    </row>
    <row r="108" spans="1:75" ht="15.95" customHeight="1" x14ac:dyDescent="0.25">
      <c r="A108" s="456"/>
      <c r="B108" s="456"/>
      <c r="C108" s="187"/>
      <c r="D108" s="188"/>
      <c r="E108" s="188"/>
      <c r="F108" s="180"/>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c r="AG108" s="180"/>
      <c r="AH108" s="180"/>
      <c r="AI108" s="180"/>
      <c r="AJ108" s="180"/>
      <c r="AK108" s="180"/>
      <c r="AL108" s="180"/>
      <c r="AM108" s="180"/>
      <c r="AN108" s="180"/>
      <c r="AO108" s="180"/>
      <c r="AP108" s="180"/>
      <c r="AQ108" s="180"/>
      <c r="AR108" s="180"/>
      <c r="AS108" s="180"/>
      <c r="AT108" s="180"/>
      <c r="AU108" s="181"/>
      <c r="AV108" s="181"/>
      <c r="AW108" s="181"/>
      <c r="AX108" s="169"/>
      <c r="AY108" s="169"/>
      <c r="AZ108" s="169"/>
      <c r="BA108" s="169"/>
      <c r="BB108" s="169"/>
      <c r="BC108" s="170"/>
      <c r="BD108" s="169"/>
      <c r="BE108" s="169"/>
      <c r="BF108" s="169"/>
      <c r="BG108" s="169"/>
      <c r="BH108" s="169"/>
      <c r="BI108" s="169"/>
      <c r="BJ108" s="169"/>
      <c r="BK108" s="169"/>
      <c r="BL108" s="170"/>
      <c r="BM108" s="169"/>
      <c r="BN108" s="169"/>
      <c r="BO108" s="169"/>
      <c r="BP108" s="169"/>
      <c r="BQ108" s="169"/>
      <c r="BR108" s="169"/>
      <c r="BS108" s="169"/>
      <c r="BT108" s="169"/>
      <c r="BU108" s="169"/>
      <c r="BV108" s="169"/>
    </row>
    <row r="109" spans="1:75" ht="15.95" customHeight="1" x14ac:dyDescent="0.25">
      <c r="A109" s="456"/>
      <c r="B109" s="456"/>
      <c r="C109" s="187"/>
      <c r="D109" s="188"/>
      <c r="E109" s="188"/>
      <c r="F109" s="180"/>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c r="AG109" s="180"/>
      <c r="AH109" s="180"/>
      <c r="AI109" s="180"/>
      <c r="AJ109" s="180"/>
      <c r="AK109" s="180"/>
      <c r="AL109" s="180"/>
      <c r="AM109" s="180"/>
      <c r="AN109" s="180"/>
      <c r="AO109" s="180"/>
      <c r="AP109" s="180"/>
      <c r="AQ109" s="180"/>
      <c r="AR109" s="180"/>
      <c r="AS109" s="180"/>
      <c r="AT109" s="180"/>
      <c r="AU109" s="181"/>
      <c r="AV109" s="181"/>
      <c r="AW109" s="181"/>
      <c r="AX109" s="169"/>
      <c r="AY109" s="169"/>
      <c r="AZ109" s="169"/>
      <c r="BA109" s="169"/>
      <c r="BB109" s="169"/>
      <c r="BC109" s="170"/>
      <c r="BD109" s="169"/>
      <c r="BE109" s="169"/>
      <c r="BF109" s="169"/>
      <c r="BG109" s="169"/>
      <c r="BH109" s="169"/>
      <c r="BI109" s="169"/>
      <c r="BJ109" s="169"/>
      <c r="BK109" s="169"/>
      <c r="BL109" s="170"/>
      <c r="BM109" s="169"/>
      <c r="BN109" s="169"/>
      <c r="BO109" s="169"/>
      <c r="BP109" s="169"/>
      <c r="BQ109" s="169"/>
      <c r="BR109" s="169"/>
      <c r="BS109" s="169"/>
      <c r="BT109" s="169"/>
      <c r="BU109" s="169"/>
      <c r="BV109" s="169"/>
    </row>
    <row r="110" spans="1:75" ht="15.95" customHeight="1" x14ac:dyDescent="0.25">
      <c r="A110" s="456"/>
      <c r="B110" s="456"/>
      <c r="C110" s="192"/>
      <c r="D110" s="188"/>
      <c r="E110" s="188"/>
      <c r="F110" s="180"/>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c r="AE110" s="180"/>
      <c r="AF110" s="180"/>
      <c r="AG110" s="180"/>
      <c r="AH110" s="180"/>
      <c r="AI110" s="180"/>
      <c r="AJ110" s="180"/>
      <c r="AK110" s="180"/>
      <c r="AL110" s="180"/>
      <c r="AM110" s="180"/>
      <c r="AN110" s="180"/>
      <c r="AO110" s="180"/>
      <c r="AP110" s="180"/>
      <c r="AQ110" s="180"/>
      <c r="AR110" s="180"/>
      <c r="AS110" s="180"/>
      <c r="AT110" s="180"/>
      <c r="AU110" s="181"/>
      <c r="AV110" s="181"/>
      <c r="AW110" s="181"/>
      <c r="AX110" s="169"/>
      <c r="AY110" s="169"/>
      <c r="AZ110" s="169"/>
      <c r="BA110" s="169"/>
      <c r="BB110" s="169"/>
      <c r="BC110" s="170"/>
      <c r="BD110" s="169"/>
      <c r="BE110" s="169"/>
      <c r="BF110" s="169"/>
      <c r="BG110" s="169"/>
      <c r="BH110" s="169"/>
      <c r="BI110" s="169"/>
      <c r="BJ110" s="169"/>
      <c r="BK110" s="169"/>
      <c r="BL110" s="170"/>
      <c r="BM110" s="169"/>
      <c r="BN110" s="169"/>
      <c r="BO110" s="169"/>
      <c r="BP110" s="169"/>
      <c r="BQ110" s="169"/>
      <c r="BR110" s="169"/>
      <c r="BS110" s="169"/>
      <c r="BT110" s="169"/>
      <c r="BU110" s="169"/>
      <c r="BV110" s="169"/>
    </row>
    <row r="111" spans="1:75" ht="15.95" customHeight="1" x14ac:dyDescent="0.25">
      <c r="A111" s="456"/>
      <c r="B111" s="456"/>
      <c r="C111" s="192"/>
      <c r="D111" s="188"/>
      <c r="E111" s="188"/>
      <c r="F111" s="180"/>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c r="AG111" s="180"/>
      <c r="AH111" s="180"/>
      <c r="AI111" s="180"/>
      <c r="AJ111" s="180"/>
      <c r="AK111" s="180"/>
      <c r="AL111" s="180"/>
      <c r="AM111" s="180"/>
      <c r="AN111" s="180"/>
      <c r="AO111" s="180"/>
      <c r="AP111" s="180"/>
      <c r="AQ111" s="180"/>
      <c r="AR111" s="180"/>
      <c r="AS111" s="180"/>
      <c r="AT111" s="180"/>
      <c r="AU111" s="181"/>
      <c r="AV111" s="181"/>
      <c r="AW111" s="181"/>
      <c r="AX111" s="169"/>
      <c r="AY111" s="169"/>
      <c r="AZ111" s="169"/>
      <c r="BA111" s="169"/>
      <c r="BB111" s="169"/>
      <c r="BC111" s="170"/>
      <c r="BD111" s="169"/>
      <c r="BE111" s="169"/>
      <c r="BF111" s="169"/>
      <c r="BG111" s="169"/>
      <c r="BH111" s="169"/>
      <c r="BI111" s="169"/>
      <c r="BJ111" s="169"/>
      <c r="BK111" s="169"/>
      <c r="BL111" s="170"/>
      <c r="BM111" s="169"/>
      <c r="BN111" s="169"/>
      <c r="BO111" s="169"/>
      <c r="BP111" s="169"/>
      <c r="BQ111" s="169"/>
      <c r="BR111" s="169"/>
      <c r="BS111" s="169"/>
      <c r="BT111" s="169"/>
      <c r="BU111" s="169"/>
      <c r="BV111" s="169"/>
    </row>
    <row r="112" spans="1:75" ht="15.95" customHeight="1" x14ac:dyDescent="0.25">
      <c r="A112" s="456"/>
      <c r="B112" s="456"/>
      <c r="C112" s="187"/>
      <c r="D112" s="188"/>
      <c r="E112" s="188"/>
      <c r="F112" s="180"/>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c r="AE112" s="180"/>
      <c r="AF112" s="180"/>
      <c r="AG112" s="180"/>
      <c r="AH112" s="180"/>
      <c r="AI112" s="180"/>
      <c r="AJ112" s="180"/>
      <c r="AK112" s="180"/>
      <c r="AL112" s="180"/>
      <c r="AM112" s="180"/>
      <c r="AN112" s="180"/>
      <c r="AO112" s="180"/>
      <c r="AP112" s="180"/>
      <c r="AQ112" s="180"/>
      <c r="AR112" s="180"/>
      <c r="AS112" s="180"/>
      <c r="AT112" s="180"/>
      <c r="AU112" s="181"/>
      <c r="AV112" s="181"/>
      <c r="AW112" s="181"/>
      <c r="AX112" s="169"/>
      <c r="AY112" s="169"/>
      <c r="AZ112" s="169"/>
      <c r="BA112" s="169"/>
      <c r="BB112" s="169"/>
      <c r="BC112" s="170"/>
      <c r="BD112" s="169"/>
      <c r="BE112" s="169"/>
      <c r="BF112" s="169"/>
      <c r="BG112" s="169"/>
      <c r="BH112" s="169"/>
      <c r="BI112" s="169"/>
      <c r="BJ112" s="169"/>
      <c r="BK112" s="169"/>
      <c r="BL112" s="170"/>
      <c r="BM112" s="169"/>
      <c r="BN112" s="169"/>
      <c r="BO112" s="169"/>
      <c r="BP112" s="169"/>
      <c r="BQ112" s="169"/>
      <c r="BR112" s="169"/>
      <c r="BS112" s="169"/>
      <c r="BT112" s="169"/>
      <c r="BU112" s="169"/>
      <c r="BV112" s="169"/>
    </row>
    <row r="113" spans="1:74" ht="15.95" customHeight="1" x14ac:dyDescent="0.25">
      <c r="A113" s="456"/>
      <c r="B113" s="456"/>
      <c r="C113" s="187"/>
      <c r="D113" s="188"/>
      <c r="E113" s="188"/>
      <c r="F113" s="180"/>
      <c r="G113" s="180"/>
      <c r="H113" s="180"/>
      <c r="I113" s="180"/>
      <c r="J113" s="180"/>
      <c r="K113" s="180"/>
      <c r="L113" s="180"/>
      <c r="M113" s="180"/>
      <c r="N113" s="180"/>
      <c r="O113" s="180"/>
      <c r="P113" s="180"/>
      <c r="Q113" s="180"/>
      <c r="R113" s="180"/>
      <c r="S113" s="180"/>
      <c r="T113" s="180"/>
      <c r="U113" s="180"/>
      <c r="V113" s="180"/>
      <c r="W113" s="180"/>
      <c r="X113" s="180"/>
      <c r="Y113" s="180"/>
      <c r="Z113" s="180"/>
      <c r="AA113" s="180"/>
      <c r="AB113" s="180"/>
      <c r="AC113" s="180"/>
      <c r="AD113" s="180"/>
      <c r="AE113" s="180"/>
      <c r="AF113" s="180"/>
      <c r="AG113" s="180"/>
      <c r="AH113" s="180"/>
      <c r="AI113" s="180"/>
      <c r="AJ113" s="180"/>
      <c r="AK113" s="180"/>
      <c r="AL113" s="180"/>
      <c r="AM113" s="180"/>
      <c r="AN113" s="180"/>
      <c r="AO113" s="180"/>
      <c r="AP113" s="180"/>
      <c r="AQ113" s="180"/>
      <c r="AR113" s="180"/>
      <c r="AS113" s="180"/>
      <c r="AT113" s="180"/>
      <c r="AU113" s="181"/>
      <c r="AV113" s="181"/>
      <c r="AW113" s="181"/>
      <c r="AX113" s="169"/>
      <c r="AY113" s="169"/>
      <c r="AZ113" s="169"/>
      <c r="BA113" s="169"/>
      <c r="BB113" s="169"/>
      <c r="BC113" s="170"/>
      <c r="BD113" s="169"/>
      <c r="BE113" s="169"/>
      <c r="BF113" s="169"/>
      <c r="BG113" s="169"/>
      <c r="BH113" s="169"/>
      <c r="BI113" s="169"/>
      <c r="BJ113" s="169"/>
      <c r="BK113" s="169"/>
      <c r="BL113" s="170"/>
      <c r="BM113" s="169"/>
      <c r="BN113" s="169"/>
      <c r="BO113" s="169"/>
      <c r="BP113" s="169"/>
      <c r="BQ113" s="169"/>
      <c r="BR113" s="169"/>
      <c r="BS113" s="169"/>
      <c r="BT113" s="169"/>
      <c r="BU113" s="169"/>
      <c r="BV113" s="169"/>
    </row>
    <row r="114" spans="1:74" ht="15.95" customHeight="1" x14ac:dyDescent="0.25">
      <c r="A114" s="456"/>
      <c r="B114" s="456"/>
      <c r="C114" s="187"/>
      <c r="D114" s="188"/>
      <c r="E114" s="188"/>
      <c r="F114" s="180"/>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c r="AE114" s="180"/>
      <c r="AF114" s="180"/>
      <c r="AG114" s="180"/>
      <c r="AH114" s="180"/>
      <c r="AI114" s="180"/>
      <c r="AJ114" s="180"/>
      <c r="AK114" s="180"/>
      <c r="AL114" s="180"/>
      <c r="AM114" s="180"/>
      <c r="AN114" s="180"/>
      <c r="AO114" s="180"/>
      <c r="AP114" s="180"/>
      <c r="AQ114" s="180"/>
      <c r="AR114" s="180"/>
      <c r="AS114" s="180"/>
      <c r="AT114" s="180"/>
      <c r="AU114" s="181"/>
      <c r="AV114" s="181"/>
      <c r="AW114" s="181"/>
      <c r="AX114" s="169"/>
      <c r="AY114" s="169"/>
      <c r="AZ114" s="169"/>
      <c r="BA114" s="169"/>
      <c r="BB114" s="169"/>
      <c r="BC114" s="170"/>
      <c r="BD114" s="169"/>
      <c r="BE114" s="169"/>
      <c r="BF114" s="169"/>
      <c r="BG114" s="169"/>
      <c r="BH114" s="169"/>
      <c r="BI114" s="169"/>
      <c r="BJ114" s="169"/>
      <c r="BK114" s="169"/>
      <c r="BL114" s="170"/>
      <c r="BM114" s="169"/>
      <c r="BN114" s="169"/>
      <c r="BO114" s="169"/>
      <c r="BP114" s="169"/>
      <c r="BQ114" s="169"/>
      <c r="BR114" s="169"/>
      <c r="BS114" s="169"/>
      <c r="BT114" s="169"/>
      <c r="BU114" s="169"/>
      <c r="BV114" s="169"/>
    </row>
    <row r="115" spans="1:74" ht="15.95" customHeight="1" x14ac:dyDescent="0.25">
      <c r="A115" s="456"/>
      <c r="B115" s="456"/>
      <c r="C115" s="192"/>
      <c r="D115" s="188"/>
      <c r="E115" s="188"/>
      <c r="F115" s="180"/>
      <c r="G115" s="180"/>
      <c r="H115" s="180"/>
      <c r="I115" s="180"/>
      <c r="J115" s="180"/>
      <c r="K115" s="180"/>
      <c r="L115" s="180"/>
      <c r="M115" s="180"/>
      <c r="N115" s="180"/>
      <c r="O115" s="180"/>
      <c r="P115" s="180"/>
      <c r="Q115" s="180"/>
      <c r="R115" s="180"/>
      <c r="S115" s="180"/>
      <c r="T115" s="180"/>
      <c r="U115" s="180"/>
      <c r="V115" s="180"/>
      <c r="W115" s="180"/>
      <c r="X115" s="180"/>
      <c r="Y115" s="180"/>
      <c r="Z115" s="180"/>
      <c r="AA115" s="180"/>
      <c r="AB115" s="180"/>
      <c r="AC115" s="180"/>
      <c r="AD115" s="180"/>
      <c r="AE115" s="180"/>
      <c r="AF115" s="180"/>
      <c r="AG115" s="180"/>
      <c r="AH115" s="180"/>
      <c r="AI115" s="180"/>
      <c r="AJ115" s="180"/>
      <c r="AK115" s="180"/>
      <c r="AL115" s="180"/>
      <c r="AM115" s="180"/>
      <c r="AN115" s="180"/>
      <c r="AO115" s="180"/>
      <c r="AP115" s="180"/>
      <c r="AQ115" s="180"/>
      <c r="AR115" s="180"/>
      <c r="AS115" s="180"/>
      <c r="AT115" s="180"/>
      <c r="AU115" s="181"/>
      <c r="AV115" s="181"/>
      <c r="AW115" s="181"/>
      <c r="AX115" s="169"/>
      <c r="AY115" s="169"/>
      <c r="AZ115" s="169"/>
      <c r="BA115" s="169"/>
      <c r="BB115" s="169"/>
      <c r="BC115" s="170"/>
      <c r="BD115" s="169"/>
      <c r="BE115" s="169"/>
      <c r="BF115" s="169"/>
      <c r="BG115" s="169"/>
      <c r="BH115" s="169"/>
      <c r="BI115" s="169"/>
      <c r="BJ115" s="169"/>
      <c r="BK115" s="169"/>
      <c r="BL115" s="170"/>
      <c r="BM115" s="169"/>
      <c r="BN115" s="169"/>
      <c r="BO115" s="169"/>
      <c r="BP115" s="169"/>
      <c r="BQ115" s="169"/>
      <c r="BR115" s="169"/>
      <c r="BS115" s="169"/>
      <c r="BT115" s="169"/>
      <c r="BU115" s="169"/>
      <c r="BV115" s="169"/>
    </row>
    <row r="116" spans="1:74" ht="15.95" customHeight="1" x14ac:dyDescent="0.25">
      <c r="A116" s="456"/>
      <c r="B116" s="456"/>
      <c r="C116" s="187"/>
      <c r="D116" s="188"/>
      <c r="E116" s="188"/>
      <c r="F116" s="180"/>
      <c r="G116" s="180"/>
      <c r="H116" s="180"/>
      <c r="I116" s="180"/>
      <c r="J116" s="180"/>
      <c r="K116" s="180"/>
      <c r="L116" s="180"/>
      <c r="M116" s="180"/>
      <c r="N116" s="180"/>
      <c r="O116" s="180"/>
      <c r="P116" s="180"/>
      <c r="Q116" s="180"/>
      <c r="R116" s="180"/>
      <c r="S116" s="180"/>
      <c r="T116" s="180"/>
      <c r="U116" s="180"/>
      <c r="V116" s="180"/>
      <c r="W116" s="180"/>
      <c r="X116" s="180"/>
      <c r="Y116" s="180"/>
      <c r="Z116" s="180"/>
      <c r="AA116" s="180"/>
      <c r="AB116" s="180"/>
      <c r="AC116" s="180"/>
      <c r="AD116" s="180"/>
      <c r="AE116" s="180"/>
      <c r="AF116" s="180"/>
      <c r="AG116" s="180"/>
      <c r="AH116" s="180"/>
      <c r="AI116" s="180"/>
      <c r="AJ116" s="180"/>
      <c r="AK116" s="180"/>
      <c r="AL116" s="180"/>
      <c r="AM116" s="180"/>
      <c r="AN116" s="180"/>
      <c r="AO116" s="180"/>
      <c r="AP116" s="180"/>
      <c r="AQ116" s="180"/>
      <c r="AR116" s="180"/>
      <c r="AS116" s="180"/>
      <c r="AT116" s="180"/>
      <c r="AU116" s="181"/>
      <c r="AV116" s="181"/>
      <c r="AW116" s="181"/>
      <c r="AX116" s="169"/>
      <c r="AY116" s="169"/>
      <c r="AZ116" s="169"/>
      <c r="BA116" s="169"/>
      <c r="BB116" s="169"/>
      <c r="BC116" s="170"/>
      <c r="BD116" s="169"/>
      <c r="BE116" s="169"/>
      <c r="BF116" s="169"/>
      <c r="BG116" s="169"/>
      <c r="BH116" s="169"/>
      <c r="BI116" s="169"/>
      <c r="BJ116" s="169"/>
      <c r="BK116" s="169"/>
      <c r="BL116" s="170"/>
      <c r="BM116" s="169"/>
      <c r="BN116" s="169"/>
      <c r="BO116" s="169"/>
      <c r="BP116" s="169"/>
      <c r="BQ116" s="169"/>
      <c r="BR116" s="169"/>
      <c r="BS116" s="169"/>
      <c r="BT116" s="169"/>
      <c r="BU116" s="169"/>
      <c r="BV116" s="169"/>
    </row>
    <row r="117" spans="1:74" ht="20.100000000000001" customHeight="1" x14ac:dyDescent="0.2">
      <c r="A117" s="194"/>
      <c r="B117" s="195"/>
      <c r="C117" s="195"/>
      <c r="D117" s="180"/>
      <c r="E117" s="180"/>
      <c r="F117" s="180"/>
      <c r="G117" s="180"/>
      <c r="H117" s="180"/>
      <c r="I117" s="180"/>
      <c r="J117" s="180"/>
      <c r="K117" s="180"/>
      <c r="L117" s="180"/>
      <c r="M117" s="180"/>
      <c r="N117" s="180"/>
      <c r="O117" s="180"/>
      <c r="P117" s="180"/>
      <c r="Q117" s="180"/>
      <c r="R117" s="180"/>
      <c r="S117" s="180"/>
      <c r="T117" s="180"/>
      <c r="U117" s="180"/>
      <c r="V117" s="180"/>
      <c r="W117" s="180"/>
      <c r="X117" s="180"/>
      <c r="Y117" s="180"/>
      <c r="Z117" s="180"/>
      <c r="AA117" s="180"/>
      <c r="AB117" s="180"/>
      <c r="AC117" s="180"/>
      <c r="AD117" s="180"/>
      <c r="AE117" s="180"/>
      <c r="AF117" s="180"/>
      <c r="AG117" s="180"/>
      <c r="AH117" s="180"/>
      <c r="AI117" s="180"/>
      <c r="AJ117" s="180"/>
      <c r="AK117" s="180"/>
      <c r="AL117" s="180"/>
      <c r="AM117" s="180"/>
      <c r="AN117" s="180"/>
      <c r="AO117" s="180"/>
      <c r="AP117" s="180"/>
      <c r="AQ117" s="180"/>
      <c r="AR117" s="180"/>
      <c r="AS117" s="180"/>
      <c r="AT117" s="180"/>
      <c r="AU117" s="181"/>
      <c r="AV117" s="181"/>
      <c r="AW117" s="181"/>
      <c r="AX117" s="169"/>
      <c r="AY117" s="169"/>
      <c r="AZ117" s="169"/>
      <c r="BA117" s="169"/>
      <c r="BB117" s="169"/>
      <c r="BC117" s="170"/>
      <c r="BD117" s="169"/>
      <c r="BE117" s="169"/>
      <c r="BF117" s="169"/>
      <c r="BG117" s="169"/>
      <c r="BH117" s="169"/>
      <c r="BI117" s="169"/>
      <c r="BJ117" s="169"/>
      <c r="BK117" s="169"/>
      <c r="BL117" s="170"/>
      <c r="BM117" s="169"/>
      <c r="BN117" s="169"/>
      <c r="BO117" s="169"/>
      <c r="BP117" s="169"/>
      <c r="BQ117" s="169"/>
      <c r="BR117" s="169"/>
      <c r="BS117" s="169"/>
      <c r="BT117" s="169"/>
      <c r="BU117" s="169"/>
      <c r="BV117" s="169"/>
    </row>
    <row r="118" spans="1:74" ht="12.75" customHeight="1" x14ac:dyDescent="0.2">
      <c r="B118" s="181"/>
      <c r="C118" s="181"/>
      <c r="D118" s="181"/>
      <c r="E118" s="181"/>
      <c r="F118" s="181"/>
      <c r="G118" s="181"/>
      <c r="H118" s="181"/>
      <c r="I118" s="181"/>
      <c r="J118" s="181"/>
      <c r="K118" s="181"/>
      <c r="L118" s="181"/>
      <c r="M118" s="181"/>
      <c r="N118" s="181"/>
      <c r="O118" s="181"/>
      <c r="P118" s="181"/>
      <c r="Q118" s="181"/>
      <c r="R118" s="181"/>
      <c r="S118" s="181"/>
      <c r="T118" s="181"/>
      <c r="U118" s="181"/>
      <c r="V118" s="181"/>
      <c r="W118" s="181"/>
      <c r="X118" s="181"/>
      <c r="Y118" s="181"/>
      <c r="Z118" s="181"/>
      <c r="AA118" s="181"/>
      <c r="AB118" s="181"/>
      <c r="AC118" s="181"/>
      <c r="AD118" s="181"/>
      <c r="AE118" s="181"/>
      <c r="AF118" s="181"/>
      <c r="AG118" s="181"/>
      <c r="AH118" s="181"/>
      <c r="AI118" s="181"/>
      <c r="AJ118" s="181"/>
      <c r="AK118" s="181"/>
      <c r="AL118" s="181"/>
      <c r="AM118" s="181"/>
      <c r="AN118" s="181"/>
      <c r="AO118" s="181"/>
      <c r="AP118" s="181"/>
      <c r="AQ118" s="181"/>
      <c r="AR118" s="181"/>
      <c r="AS118" s="181"/>
      <c r="AT118" s="181"/>
      <c r="AU118" s="181"/>
      <c r="AV118" s="196"/>
      <c r="AW118" s="196"/>
      <c r="AX118" s="169"/>
      <c r="AY118" s="169"/>
      <c r="AZ118" s="169"/>
      <c r="BA118" s="169"/>
      <c r="BB118" s="169"/>
      <c r="BC118" s="170"/>
      <c r="BD118" s="169"/>
      <c r="BE118" s="169"/>
      <c r="BF118" s="169"/>
      <c r="BG118" s="169"/>
      <c r="BH118" s="169"/>
      <c r="BI118" s="169"/>
      <c r="BJ118" s="169"/>
      <c r="BK118" s="169"/>
      <c r="BL118" s="170"/>
      <c r="BM118" s="169"/>
      <c r="BN118" s="169"/>
      <c r="BO118" s="169"/>
      <c r="BP118" s="169"/>
      <c r="BQ118" s="169" t="str">
        <f>IF(OR(IFERROR(VLOOKUP(CA118,[1]ARS!A:EL,MATCH("Price To Earnings",[1]ARS!$4:$4,0),FALSE),"-")&lt;0,IFERROR(VLOOKUP(CA118,[1]ARS!A:EL,MATCH("Price To Earnings",[1]ARS!$4:$4,0),FALSE),"-")&gt;500),"-",IFERROR(VLOOKUP(CA118,[1]ARS!A:EL,MATCH("Price To Earnings",[1]ARS!$4:$4,0),FALSE),"-"))</f>
        <v>-</v>
      </c>
      <c r="BR118" s="169"/>
      <c r="BS118" s="169"/>
      <c r="BT118" s="169"/>
      <c r="BU118" s="169"/>
      <c r="BV118" s="169"/>
    </row>
    <row r="119" spans="1:74" ht="12.75" customHeight="1" x14ac:dyDescent="0.2">
      <c r="B119" s="181"/>
      <c r="C119" s="181"/>
      <c r="D119" s="181"/>
      <c r="E119" s="181"/>
      <c r="F119" s="181"/>
      <c r="G119" s="181"/>
      <c r="H119" s="181"/>
      <c r="I119" s="181"/>
      <c r="J119" s="181"/>
      <c r="K119" s="181"/>
      <c r="L119" s="181"/>
      <c r="M119" s="181"/>
      <c r="N119" s="181"/>
      <c r="O119" s="181"/>
      <c r="P119" s="181"/>
      <c r="Q119" s="181"/>
      <c r="R119" s="181"/>
      <c r="S119" s="181"/>
      <c r="T119" s="181"/>
      <c r="U119" s="181"/>
      <c r="V119" s="181"/>
      <c r="W119" s="181"/>
      <c r="X119" s="181"/>
      <c r="Y119" s="181"/>
      <c r="Z119" s="181"/>
      <c r="AA119" s="181"/>
      <c r="AB119" s="181"/>
      <c r="AC119" s="181"/>
      <c r="AD119" s="181"/>
      <c r="AE119" s="181"/>
      <c r="AF119" s="181"/>
      <c r="AG119" s="181"/>
      <c r="AH119" s="181"/>
      <c r="AI119" s="181"/>
      <c r="AJ119" s="181"/>
      <c r="AK119" s="181"/>
      <c r="AL119" s="181"/>
      <c r="AM119" s="181"/>
      <c r="AN119" s="181"/>
      <c r="AO119" s="181"/>
      <c r="AP119" s="181"/>
      <c r="AQ119" s="181"/>
      <c r="AR119" s="181"/>
      <c r="AS119" s="181"/>
      <c r="AT119" s="181"/>
      <c r="AU119" s="181"/>
      <c r="AV119" s="181"/>
      <c r="AW119" s="181"/>
      <c r="AX119" s="169"/>
      <c r="AY119" s="169"/>
      <c r="AZ119" s="169"/>
      <c r="BA119" s="169"/>
      <c r="BB119" s="169"/>
      <c r="BC119" s="170"/>
      <c r="BD119" s="169"/>
      <c r="BE119" s="169"/>
      <c r="BF119" s="169"/>
      <c r="BG119" s="169"/>
      <c r="BH119" s="169"/>
      <c r="BI119" s="169"/>
      <c r="BJ119" s="169"/>
      <c r="BK119" s="169"/>
      <c r="BL119" s="170"/>
      <c r="BM119" s="169"/>
      <c r="BN119" s="169"/>
      <c r="BO119" s="169"/>
      <c r="BP119" s="169"/>
      <c r="BQ119" s="169" t="str">
        <f>IF(OR(IFERROR(VLOOKUP(CA119,[1]ARS!A:EL,MATCH("Price To Earnings",[1]ARS!$4:$4,0),FALSE),"-")&lt;0,IFERROR(VLOOKUP(CA119,[1]ARS!A:EL,MATCH("Price To Earnings",[1]ARS!$4:$4,0),FALSE),"-")&gt;500),"-",IFERROR(VLOOKUP(CA119,[1]ARS!A:EL,MATCH("Price To Earnings",[1]ARS!$4:$4,0),FALSE),"-"))</f>
        <v>-</v>
      </c>
      <c r="BR119" s="169"/>
      <c r="BS119" s="169"/>
      <c r="BT119" s="169"/>
      <c r="BU119" s="169"/>
      <c r="BV119" s="169"/>
    </row>
    <row r="120" spans="1:74" ht="12.75" customHeight="1" x14ac:dyDescent="0.2">
      <c r="A120" s="181"/>
      <c r="B120" s="181"/>
      <c r="C120" s="181"/>
      <c r="D120" s="181"/>
      <c r="E120" s="181"/>
      <c r="F120" s="181"/>
      <c r="G120" s="181"/>
      <c r="H120" s="181"/>
      <c r="I120" s="181"/>
      <c r="J120" s="181"/>
      <c r="K120" s="181"/>
      <c r="L120" s="181"/>
      <c r="M120" s="181"/>
      <c r="N120" s="181"/>
      <c r="O120" s="181"/>
      <c r="P120" s="181"/>
      <c r="Q120" s="181"/>
      <c r="R120" s="181"/>
      <c r="S120" s="181"/>
      <c r="T120" s="181"/>
      <c r="U120" s="181"/>
      <c r="V120" s="181"/>
      <c r="W120" s="181"/>
      <c r="X120" s="181"/>
      <c r="Y120" s="181"/>
      <c r="Z120" s="181"/>
      <c r="AA120" s="181"/>
      <c r="AB120" s="181"/>
      <c r="AC120" s="181"/>
      <c r="AD120" s="181"/>
      <c r="AE120" s="181"/>
      <c r="AF120" s="181"/>
      <c r="AG120" s="181"/>
      <c r="AH120" s="181"/>
      <c r="AI120" s="181"/>
      <c r="AJ120" s="181"/>
      <c r="AK120" s="181"/>
      <c r="AL120" s="181"/>
      <c r="AM120" s="181"/>
      <c r="AN120" s="181"/>
      <c r="AO120" s="181"/>
      <c r="AP120" s="181"/>
      <c r="AQ120" s="181"/>
      <c r="AR120" s="181"/>
      <c r="AS120" s="181"/>
      <c r="AT120" s="181"/>
      <c r="AU120" s="181"/>
      <c r="AV120" s="181"/>
      <c r="AW120" s="181"/>
      <c r="AX120" s="169"/>
      <c r="AY120" s="169"/>
      <c r="AZ120" s="169"/>
      <c r="BA120" s="169"/>
      <c r="BB120" s="169"/>
      <c r="BC120" s="170"/>
      <c r="BD120" s="169"/>
      <c r="BE120" s="169"/>
      <c r="BF120" s="169"/>
      <c r="BG120" s="169"/>
      <c r="BH120" s="169"/>
      <c r="BI120" s="169"/>
      <c r="BJ120" s="169"/>
      <c r="BK120" s="169"/>
      <c r="BL120" s="170"/>
      <c r="BM120" s="169"/>
      <c r="BN120" s="169"/>
      <c r="BO120" s="169"/>
      <c r="BP120" s="169"/>
      <c r="BQ120" s="169" t="str">
        <f>IF(OR(IFERROR(VLOOKUP(CA120,[1]ARS!A:EL,MATCH("Price To Earnings",[1]ARS!$4:$4,0),FALSE),"-")&lt;0,IFERROR(VLOOKUP(CA120,[1]ARS!A:EL,MATCH("Price To Earnings",[1]ARS!$4:$4,0),FALSE),"-")&gt;500),"-",IFERROR(VLOOKUP(CA120,[1]ARS!A:EL,MATCH("Price To Earnings",[1]ARS!$4:$4,0),FALSE),"-"))</f>
        <v>-</v>
      </c>
      <c r="BR120" s="169"/>
      <c r="BS120" s="169"/>
      <c r="BT120" s="169"/>
      <c r="BU120" s="169"/>
      <c r="BV120" s="169"/>
    </row>
    <row r="121" spans="1:74" ht="12.75" customHeight="1" x14ac:dyDescent="0.2">
      <c r="A121" s="181"/>
      <c r="B121" s="181"/>
      <c r="C121" s="181"/>
      <c r="D121" s="181"/>
      <c r="E121" s="181"/>
      <c r="F121" s="181"/>
      <c r="G121" s="181"/>
      <c r="H121" s="181"/>
      <c r="I121" s="181"/>
      <c r="J121" s="181"/>
      <c r="K121" s="181"/>
      <c r="L121" s="181"/>
      <c r="M121" s="181"/>
      <c r="N121" s="181"/>
      <c r="O121" s="181"/>
      <c r="P121" s="181"/>
      <c r="Q121" s="181"/>
      <c r="R121" s="181"/>
      <c r="S121" s="181"/>
      <c r="T121" s="181"/>
      <c r="U121" s="181"/>
      <c r="V121" s="181"/>
      <c r="W121" s="181"/>
      <c r="X121" s="181"/>
      <c r="Y121" s="181"/>
      <c r="Z121" s="181"/>
      <c r="AA121" s="181"/>
      <c r="AB121" s="181"/>
      <c r="AC121" s="181"/>
      <c r="AD121" s="181"/>
      <c r="AE121" s="181"/>
      <c r="AF121" s="181"/>
      <c r="AG121" s="181"/>
      <c r="AH121" s="197"/>
      <c r="AI121" s="181"/>
      <c r="AJ121" s="181"/>
      <c r="AK121" s="181"/>
      <c r="AL121" s="181"/>
      <c r="AM121" s="181"/>
      <c r="AN121" s="181"/>
      <c r="AO121" s="181"/>
      <c r="AP121" s="181"/>
      <c r="AQ121" s="181"/>
      <c r="AR121" s="181"/>
      <c r="AS121" s="181"/>
      <c r="AT121" s="181"/>
      <c r="AU121" s="181"/>
      <c r="AV121" s="181"/>
      <c r="AW121" s="181"/>
      <c r="AX121" s="169"/>
      <c r="AY121" s="169"/>
      <c r="AZ121" s="169"/>
      <c r="BA121" s="169"/>
      <c r="BB121" s="169"/>
      <c r="BC121" s="170"/>
      <c r="BD121" s="169"/>
      <c r="BE121" s="169"/>
      <c r="BF121" s="169"/>
      <c r="BG121" s="169"/>
      <c r="BH121" s="169"/>
      <c r="BI121" s="169"/>
      <c r="BJ121" s="169"/>
      <c r="BK121" s="169"/>
      <c r="BL121" s="170"/>
      <c r="BM121" s="169"/>
      <c r="BN121" s="169"/>
      <c r="BO121" s="169"/>
      <c r="BP121" s="169"/>
      <c r="BQ121" s="169" t="str">
        <f>IF(OR(IFERROR(VLOOKUP(CA121,[1]ARS!A:EL,MATCH("Price To Earnings",[1]ARS!$4:$4,0),FALSE),"-")&lt;0,IFERROR(VLOOKUP(CA121,[1]ARS!A:EL,MATCH("Price To Earnings",[1]ARS!$4:$4,0),FALSE),"-")&gt;500),"-",IFERROR(VLOOKUP(CA121,[1]ARS!A:EL,MATCH("Price To Earnings",[1]ARS!$4:$4,0),FALSE),"-"))</f>
        <v>-</v>
      </c>
      <c r="BR121" s="169"/>
      <c r="BS121" s="169"/>
      <c r="BT121" s="169"/>
      <c r="BU121" s="169"/>
      <c r="BV121" s="169"/>
    </row>
    <row r="122" spans="1:74" ht="12.75" customHeight="1" x14ac:dyDescent="0.2">
      <c r="A122" s="198"/>
      <c r="B122" s="198"/>
      <c r="C122" s="198"/>
      <c r="D122" s="198"/>
      <c r="E122" s="199"/>
      <c r="F122" s="198"/>
      <c r="G122" s="200"/>
      <c r="H122" s="201"/>
      <c r="I122" s="200"/>
      <c r="J122" s="202"/>
      <c r="K122" s="202"/>
      <c r="L122" s="203"/>
      <c r="M122" s="203"/>
      <c r="N122" s="203"/>
      <c r="O122" s="203"/>
      <c r="P122" s="203"/>
      <c r="Q122" s="203"/>
      <c r="R122" s="203"/>
      <c r="S122" s="203"/>
      <c r="T122" s="203"/>
      <c r="U122" s="203"/>
      <c r="V122" s="203"/>
      <c r="W122" s="203"/>
      <c r="X122" s="203"/>
      <c r="Y122" s="203"/>
      <c r="Z122" s="203"/>
      <c r="AA122" s="203"/>
      <c r="AB122" s="203"/>
      <c r="AC122" s="203"/>
      <c r="AD122" s="203"/>
      <c r="AE122" s="203"/>
      <c r="AF122" s="203"/>
      <c r="AG122" s="203"/>
      <c r="AH122" s="203"/>
      <c r="AI122" s="203"/>
      <c r="AJ122" s="203"/>
      <c r="AK122" s="203"/>
      <c r="AL122" s="203"/>
      <c r="AM122" s="203"/>
      <c r="AN122" s="203"/>
      <c r="AO122" s="203"/>
      <c r="AP122" s="203"/>
      <c r="AQ122" s="203"/>
      <c r="AR122" s="203"/>
      <c r="AS122" s="203"/>
      <c r="AT122" s="203"/>
      <c r="AU122" s="203"/>
      <c r="AV122" s="203"/>
      <c r="AW122" s="203"/>
      <c r="AX122" s="169"/>
      <c r="AY122" s="169"/>
      <c r="AZ122" s="169"/>
      <c r="BA122" s="169"/>
      <c r="BB122" s="169"/>
      <c r="BC122" s="170"/>
      <c r="BD122" s="169"/>
      <c r="BE122" s="169"/>
      <c r="BF122" s="169"/>
      <c r="BG122" s="169"/>
      <c r="BH122" s="169"/>
      <c r="BI122" s="169"/>
      <c r="BJ122" s="169"/>
      <c r="BK122" s="169"/>
      <c r="BL122" s="170"/>
      <c r="BM122" s="169"/>
      <c r="BN122" s="169"/>
      <c r="BO122" s="169"/>
      <c r="BP122" s="169"/>
      <c r="BQ122" s="169" t="str">
        <f>IF(OR(IFERROR(VLOOKUP(CA122,[1]ARS!A:EL,MATCH("Price To Earnings",[1]ARS!$4:$4,0),FALSE),"-")&lt;0,IFERROR(VLOOKUP(CA122,[1]ARS!A:EL,MATCH("Price To Earnings",[1]ARS!$4:$4,0),FALSE),"-")&gt;500),"-",IFERROR(VLOOKUP(CA122,[1]ARS!A:EL,MATCH("Price To Earnings",[1]ARS!$4:$4,0),FALSE),"-"))</f>
        <v>-</v>
      </c>
      <c r="BR122" s="169"/>
      <c r="BS122" s="169"/>
      <c r="BT122" s="169"/>
      <c r="BU122" s="169"/>
      <c r="BV122" s="169"/>
    </row>
    <row r="123" spans="1:74" ht="12.75" customHeight="1" x14ac:dyDescent="0.2">
      <c r="A123" s="198"/>
      <c r="B123" s="198"/>
      <c r="C123" s="198"/>
      <c r="D123" s="198"/>
      <c r="E123" s="198"/>
      <c r="F123" s="198"/>
      <c r="G123" s="200"/>
      <c r="H123" s="201"/>
      <c r="I123" s="200"/>
      <c r="J123" s="202"/>
      <c r="K123" s="202"/>
      <c r="L123" s="203"/>
      <c r="M123" s="203"/>
      <c r="N123" s="203"/>
      <c r="O123" s="203"/>
      <c r="P123" s="203"/>
      <c r="Q123" s="203"/>
      <c r="R123" s="203"/>
      <c r="S123" s="203"/>
      <c r="T123" s="203"/>
      <c r="U123" s="203"/>
      <c r="V123" s="203"/>
      <c r="W123" s="203"/>
      <c r="X123" s="203"/>
      <c r="Y123" s="203"/>
      <c r="Z123" s="203"/>
      <c r="AA123" s="203"/>
      <c r="AB123" s="203"/>
      <c r="AC123" s="203"/>
      <c r="AD123" s="203"/>
      <c r="AE123" s="203"/>
      <c r="AF123" s="203"/>
      <c r="AG123" s="203"/>
      <c r="AH123" s="203"/>
      <c r="AI123" s="203"/>
      <c r="AJ123" s="203"/>
      <c r="AK123" s="203"/>
      <c r="AL123" s="203"/>
      <c r="AM123" s="203"/>
      <c r="AN123" s="203"/>
      <c r="AO123" s="203"/>
      <c r="AP123" s="203"/>
      <c r="AQ123" s="203"/>
      <c r="AR123" s="203"/>
      <c r="AS123" s="203"/>
      <c r="AT123" s="203"/>
      <c r="AU123" s="203"/>
      <c r="AV123" s="203"/>
      <c r="AW123" s="203"/>
      <c r="AX123" s="169"/>
      <c r="AY123" s="169"/>
      <c r="AZ123" s="169"/>
      <c r="BA123" s="169"/>
      <c r="BB123" s="169"/>
      <c r="BC123" s="170"/>
      <c r="BD123" s="169"/>
      <c r="BE123" s="169"/>
      <c r="BF123" s="169"/>
      <c r="BG123" s="169"/>
      <c r="BH123" s="169"/>
      <c r="BI123" s="169"/>
      <c r="BJ123" s="169"/>
      <c r="BK123" s="169"/>
      <c r="BL123" s="170"/>
      <c r="BM123" s="169"/>
      <c r="BN123" s="169"/>
      <c r="BO123" s="169"/>
      <c r="BP123" s="169"/>
      <c r="BQ123" s="169" t="str">
        <f>IF(OR(IFERROR(VLOOKUP(CA123,[1]ARS!A:EL,MATCH("Price To Earnings",[1]ARS!$4:$4,0),FALSE),"-")&lt;0,IFERROR(VLOOKUP(CA123,[1]ARS!A:EL,MATCH("Price To Earnings",[1]ARS!$4:$4,0),FALSE),"-")&gt;500),"-",IFERROR(VLOOKUP(CA123,[1]ARS!A:EL,MATCH("Price To Earnings",[1]ARS!$4:$4,0),FALSE),"-"))</f>
        <v>-</v>
      </c>
      <c r="BR123" s="169"/>
      <c r="BS123" s="169"/>
      <c r="BT123" s="169"/>
      <c r="BU123" s="169"/>
      <c r="BV123" s="169"/>
    </row>
    <row r="124" spans="1:74" ht="12.75" customHeight="1" x14ac:dyDescent="0.2">
      <c r="A124" s="198"/>
      <c r="B124" s="198"/>
      <c r="C124" s="198"/>
      <c r="D124" s="198"/>
      <c r="E124" s="198"/>
      <c r="F124" s="198"/>
      <c r="G124" s="200"/>
      <c r="H124" s="201"/>
      <c r="I124" s="200"/>
      <c r="J124" s="202"/>
      <c r="K124" s="202"/>
      <c r="L124" s="203"/>
      <c r="M124" s="203"/>
      <c r="N124" s="203"/>
      <c r="O124" s="203"/>
      <c r="P124" s="203"/>
      <c r="Q124" s="203"/>
      <c r="R124" s="203"/>
      <c r="S124" s="203"/>
      <c r="T124" s="203"/>
      <c r="U124" s="203"/>
      <c r="V124" s="203"/>
      <c r="W124" s="203"/>
      <c r="X124" s="203"/>
      <c r="Y124" s="203"/>
      <c r="Z124" s="203"/>
      <c r="AA124" s="203"/>
      <c r="AB124" s="203"/>
      <c r="AC124" s="203"/>
      <c r="AD124" s="203"/>
      <c r="AE124" s="203"/>
      <c r="AF124" s="203"/>
      <c r="AG124" s="203"/>
      <c r="AH124" s="203"/>
      <c r="AI124" s="203"/>
      <c r="AJ124" s="203"/>
      <c r="AK124" s="203"/>
      <c r="AL124" s="203"/>
      <c r="AM124" s="203"/>
      <c r="AN124" s="203"/>
      <c r="AO124" s="203"/>
      <c r="AP124" s="203"/>
      <c r="AQ124" s="203"/>
      <c r="AR124" s="203"/>
      <c r="AS124" s="203"/>
      <c r="AT124" s="203"/>
      <c r="AU124" s="203"/>
      <c r="AV124" s="203"/>
      <c r="AW124" s="203"/>
      <c r="AX124" s="169"/>
      <c r="AY124" s="169"/>
      <c r="AZ124" s="169"/>
      <c r="BA124" s="169"/>
      <c r="BB124" s="169"/>
      <c r="BC124" s="170"/>
      <c r="BD124" s="169"/>
      <c r="BE124" s="169"/>
      <c r="BF124" s="169"/>
      <c r="BG124" s="169"/>
      <c r="BH124" s="169"/>
      <c r="BI124" s="169"/>
      <c r="BJ124" s="169"/>
      <c r="BK124" s="169"/>
      <c r="BL124" s="170"/>
      <c r="BM124" s="169"/>
      <c r="BN124" s="169"/>
      <c r="BO124" s="169"/>
      <c r="BP124" s="169"/>
      <c r="BQ124" s="169" t="str">
        <f>IF(OR(IFERROR(VLOOKUP(CA124,[1]ARS!A:EL,MATCH("Price To Earnings",[1]ARS!$4:$4,0),FALSE),"-")&lt;0,IFERROR(VLOOKUP(CA124,[1]ARS!A:EL,MATCH("Price To Earnings",[1]ARS!$4:$4,0),FALSE),"-")&gt;500),"-",IFERROR(VLOOKUP(CA124,[1]ARS!A:EL,MATCH("Price To Earnings",[1]ARS!$4:$4,0),FALSE),"-"))</f>
        <v>-</v>
      </c>
      <c r="BR124" s="169"/>
      <c r="BS124" s="169"/>
      <c r="BT124" s="169"/>
      <c r="BU124" s="169"/>
      <c r="BV124" s="169"/>
    </row>
    <row r="125" spans="1:74" ht="12.75" customHeight="1" x14ac:dyDescent="0.2">
      <c r="A125" s="198"/>
      <c r="B125" s="198"/>
      <c r="C125" s="198"/>
      <c r="D125" s="198"/>
      <c r="E125" s="198"/>
      <c r="F125" s="198"/>
      <c r="G125" s="200"/>
      <c r="H125" s="201"/>
      <c r="I125" s="200"/>
      <c r="J125" s="202"/>
      <c r="K125" s="202"/>
      <c r="L125" s="203"/>
      <c r="M125" s="204"/>
      <c r="N125" s="203"/>
      <c r="O125" s="203"/>
      <c r="P125" s="203"/>
      <c r="Q125" s="203"/>
      <c r="R125" s="203"/>
      <c r="S125" s="203"/>
      <c r="T125" s="203"/>
      <c r="U125" s="203"/>
      <c r="V125" s="203"/>
      <c r="W125" s="203"/>
      <c r="X125" s="203"/>
      <c r="Y125" s="203"/>
      <c r="Z125" s="203"/>
      <c r="AA125" s="203"/>
      <c r="AB125" s="203"/>
      <c r="AC125" s="203"/>
      <c r="AD125" s="203"/>
      <c r="AE125" s="203"/>
      <c r="AF125" s="203"/>
      <c r="AG125" s="203"/>
      <c r="AH125" s="203"/>
      <c r="AI125" s="203"/>
      <c r="AJ125" s="203"/>
      <c r="AK125" s="203"/>
      <c r="AL125" s="203"/>
      <c r="AM125" s="203"/>
      <c r="AN125" s="203"/>
      <c r="AO125" s="203"/>
      <c r="AP125" s="203"/>
      <c r="AQ125" s="203"/>
      <c r="AR125" s="203"/>
      <c r="AS125" s="203"/>
      <c r="AT125" s="203"/>
      <c r="AU125" s="203"/>
      <c r="AV125" s="203"/>
      <c r="AW125" s="203"/>
      <c r="AX125" s="169"/>
      <c r="AY125" s="169"/>
      <c r="AZ125" s="169"/>
      <c r="BA125" s="169"/>
      <c r="BB125" s="169"/>
      <c r="BC125" s="170"/>
      <c r="BD125" s="169"/>
      <c r="BE125" s="169"/>
      <c r="BF125" s="169"/>
      <c r="BG125" s="169"/>
      <c r="BH125" s="169"/>
      <c r="BI125" s="169"/>
      <c r="BJ125" s="169"/>
      <c r="BK125" s="169"/>
      <c r="BL125" s="170"/>
      <c r="BM125" s="169"/>
      <c r="BN125" s="169"/>
      <c r="BO125" s="169"/>
      <c r="BP125" s="169"/>
      <c r="BQ125" s="169"/>
      <c r="BR125" s="169"/>
      <c r="BS125" s="169"/>
      <c r="BT125" s="169"/>
      <c r="BU125" s="169"/>
      <c r="BV125" s="169"/>
    </row>
    <row r="126" spans="1:74" ht="12.75" customHeight="1" x14ac:dyDescent="0.2">
      <c r="A126" s="205"/>
      <c r="B126" s="205"/>
      <c r="C126" s="205"/>
      <c r="D126" s="205"/>
      <c r="E126" s="205"/>
      <c r="F126" s="205"/>
      <c r="G126" s="205"/>
      <c r="H126" s="205"/>
      <c r="I126" s="206"/>
      <c r="J126" s="205"/>
      <c r="K126" s="205"/>
      <c r="L126" s="203"/>
      <c r="M126" s="203"/>
      <c r="N126" s="203"/>
      <c r="O126" s="203"/>
      <c r="P126" s="203"/>
      <c r="Q126" s="203"/>
      <c r="R126" s="203"/>
      <c r="S126" s="203"/>
      <c r="T126" s="203"/>
      <c r="U126" s="203"/>
      <c r="V126" s="203"/>
      <c r="W126" s="203"/>
      <c r="X126" s="203"/>
      <c r="Y126" s="203"/>
      <c r="Z126" s="203"/>
      <c r="AA126" s="203"/>
      <c r="AB126" s="203"/>
      <c r="AC126" s="203"/>
      <c r="AD126" s="203"/>
      <c r="AE126" s="203"/>
      <c r="AF126" s="203"/>
      <c r="AG126" s="203"/>
      <c r="AH126" s="203"/>
      <c r="AI126" s="203"/>
      <c r="AJ126" s="203"/>
      <c r="AK126" s="203"/>
      <c r="AL126" s="203"/>
      <c r="AM126" s="203"/>
      <c r="AN126" s="203"/>
      <c r="AO126" s="203"/>
      <c r="AP126" s="203"/>
      <c r="AQ126" s="203"/>
      <c r="AR126" s="203"/>
      <c r="AS126" s="203"/>
      <c r="AT126" s="203"/>
      <c r="AU126" s="203"/>
      <c r="AV126" s="203"/>
      <c r="AW126" s="203"/>
      <c r="AX126" s="169"/>
      <c r="AY126" s="169"/>
      <c r="AZ126" s="169"/>
      <c r="BA126" s="169"/>
      <c r="BB126" s="169"/>
      <c r="BC126" s="170"/>
      <c r="BD126" s="169"/>
      <c r="BE126" s="169"/>
      <c r="BF126" s="169"/>
      <c r="BG126" s="169"/>
      <c r="BH126" s="169"/>
      <c r="BI126" s="169"/>
      <c r="BJ126" s="169"/>
      <c r="BK126" s="169"/>
      <c r="BL126" s="170"/>
      <c r="BM126" s="169"/>
      <c r="BN126" s="169"/>
      <c r="BO126" s="169"/>
      <c r="BP126" s="169"/>
      <c r="BQ126" s="169" t="str">
        <f>IF(OR(IFERROR(VLOOKUP(CA126,[1]ARS!A:EL,MATCH("Price To Earnings",[1]ARS!$4:$4,0),FALSE),"-")&lt;0,IFERROR(VLOOKUP(CA126,[1]ARS!A:EL,MATCH("Price To Earnings",[1]ARS!$4:$4,0),FALSE),"-")&gt;500),"-",IFERROR(VLOOKUP(CA126,[1]ARS!A:EL,MATCH("Price To Earnings",[1]ARS!$4:$4,0),FALSE),"-"))</f>
        <v>-</v>
      </c>
      <c r="BR126" s="169"/>
      <c r="BS126" s="169"/>
      <c r="BT126" s="169"/>
      <c r="BU126" s="169"/>
      <c r="BV126" s="169"/>
    </row>
    <row r="127" spans="1:74" ht="12.75" customHeight="1" x14ac:dyDescent="0.2">
      <c r="A127" s="205"/>
      <c r="B127" s="205"/>
      <c r="C127" s="205"/>
      <c r="D127" s="205"/>
      <c r="E127" s="205"/>
      <c r="F127" s="205"/>
      <c r="G127" s="205"/>
      <c r="H127" s="205"/>
      <c r="I127" s="206"/>
      <c r="J127" s="205"/>
      <c r="K127" s="205"/>
      <c r="L127" s="203"/>
      <c r="M127" s="203"/>
      <c r="N127" s="203"/>
      <c r="O127" s="203"/>
      <c r="P127" s="203"/>
      <c r="Q127" s="203"/>
      <c r="R127" s="203"/>
      <c r="S127" s="203"/>
      <c r="T127" s="203"/>
      <c r="U127" s="203"/>
      <c r="V127" s="203"/>
      <c r="W127" s="203"/>
      <c r="X127" s="203"/>
      <c r="Y127" s="203"/>
      <c r="Z127" s="203"/>
      <c r="AA127" s="203"/>
      <c r="AB127" s="203"/>
      <c r="AC127" s="203"/>
      <c r="AD127" s="203"/>
      <c r="AE127" s="203"/>
      <c r="AF127" s="203"/>
      <c r="AG127" s="203"/>
      <c r="AH127" s="203"/>
      <c r="AI127" s="203"/>
      <c r="AJ127" s="203"/>
      <c r="AK127" s="203"/>
      <c r="AL127" s="203"/>
      <c r="AM127" s="203"/>
      <c r="AN127" s="203"/>
      <c r="AO127" s="203"/>
      <c r="AP127" s="203"/>
      <c r="AQ127" s="203"/>
      <c r="AR127" s="203"/>
      <c r="AS127" s="203"/>
      <c r="AT127" s="203"/>
      <c r="AU127" s="203"/>
      <c r="AV127" s="203"/>
      <c r="AW127" s="203"/>
      <c r="AX127" s="169"/>
      <c r="AY127" s="169"/>
      <c r="AZ127" s="169"/>
      <c r="BA127" s="169"/>
      <c r="BB127" s="169"/>
      <c r="BC127" s="170"/>
      <c r="BD127" s="169"/>
      <c r="BE127" s="169"/>
      <c r="BF127" s="169"/>
      <c r="BG127" s="169"/>
      <c r="BH127" s="169"/>
      <c r="BI127" s="169"/>
      <c r="BJ127" s="169"/>
      <c r="BK127" s="169"/>
      <c r="BL127" s="170"/>
      <c r="BM127" s="169"/>
      <c r="BN127" s="169"/>
      <c r="BO127" s="169"/>
      <c r="BP127" s="169"/>
      <c r="BQ127" s="169" t="str">
        <f>IF(OR(IFERROR(VLOOKUP(CA127,[1]ARS!A:EL,MATCH("Price To Earnings",[1]ARS!$4:$4,0),FALSE),"-")&lt;0,IFERROR(VLOOKUP(CA127,[1]ARS!A:EL,MATCH("Price To Earnings",[1]ARS!$4:$4,0),FALSE),"-")&gt;500),"-",IFERROR(VLOOKUP(CA127,[1]ARS!A:EL,MATCH("Price To Earnings",[1]ARS!$4:$4,0),FALSE),"-"))</f>
        <v>-</v>
      </c>
      <c r="BR127" s="169"/>
      <c r="BS127" s="169"/>
      <c r="BT127" s="169"/>
      <c r="BU127" s="169"/>
      <c r="BV127" s="169"/>
    </row>
    <row r="128" spans="1:74" ht="12.75" customHeight="1" x14ac:dyDescent="0.2">
      <c r="A128" s="205"/>
      <c r="B128" s="205"/>
      <c r="C128" s="205"/>
      <c r="D128" s="205"/>
      <c r="E128" s="207"/>
      <c r="F128" s="205"/>
      <c r="G128" s="205"/>
      <c r="H128" s="205"/>
      <c r="I128" s="206"/>
      <c r="J128" s="205"/>
      <c r="K128" s="205"/>
      <c r="L128" s="203"/>
      <c r="M128" s="203"/>
      <c r="N128" s="203"/>
      <c r="O128" s="203"/>
      <c r="P128" s="203"/>
      <c r="Q128" s="203"/>
      <c r="R128" s="203"/>
      <c r="S128" s="203"/>
      <c r="T128" s="203"/>
      <c r="U128" s="203"/>
      <c r="V128" s="203"/>
      <c r="W128" s="203"/>
      <c r="X128" s="203"/>
      <c r="Y128" s="203"/>
      <c r="Z128" s="203"/>
      <c r="AA128" s="203"/>
      <c r="AB128" s="203"/>
      <c r="AC128" s="203"/>
      <c r="AD128" s="203"/>
      <c r="AE128" s="203"/>
      <c r="AF128" s="203"/>
      <c r="AG128" s="203"/>
      <c r="AH128" s="203"/>
      <c r="AI128" s="203"/>
      <c r="AJ128" s="203"/>
      <c r="AK128" s="203"/>
      <c r="AL128" s="203"/>
      <c r="AM128" s="203"/>
      <c r="AN128" s="203"/>
      <c r="AO128" s="203"/>
      <c r="AP128" s="203"/>
      <c r="AQ128" s="203"/>
      <c r="AR128" s="203"/>
      <c r="AS128" s="203"/>
      <c r="AT128" s="203"/>
      <c r="AU128" s="203"/>
      <c r="AV128" s="203"/>
      <c r="AW128" s="203"/>
      <c r="AX128" s="169"/>
      <c r="AY128" s="169"/>
      <c r="AZ128" s="169"/>
      <c r="BA128" s="169"/>
      <c r="BB128" s="169"/>
      <c r="BC128" s="170"/>
      <c r="BD128" s="169"/>
      <c r="BE128" s="169"/>
      <c r="BF128" s="169"/>
      <c r="BG128" s="169"/>
      <c r="BH128" s="169"/>
      <c r="BI128" s="169"/>
      <c r="BJ128" s="169"/>
      <c r="BK128" s="169"/>
      <c r="BL128" s="170"/>
      <c r="BM128" s="169"/>
      <c r="BN128" s="169"/>
      <c r="BO128" s="169"/>
      <c r="BP128" s="169"/>
      <c r="BQ128" s="169" t="str">
        <f>IF(OR(IFERROR(VLOOKUP(CA128,[1]ARS!A:EL,MATCH("Price To Earnings",[1]ARS!$4:$4,0),FALSE),"-")&lt;0,IFERROR(VLOOKUP(CA128,[1]ARS!A:EL,MATCH("Price To Earnings",[1]ARS!$4:$4,0),FALSE),"-")&gt;500),"-",IFERROR(VLOOKUP(CA128,[1]ARS!A:EL,MATCH("Price To Earnings",[1]ARS!$4:$4,0),FALSE),"-"))</f>
        <v>-</v>
      </c>
      <c r="BR128" s="169"/>
      <c r="BS128" s="169"/>
      <c r="BT128" s="169"/>
      <c r="BU128" s="169"/>
      <c r="BV128" s="169"/>
    </row>
    <row r="129" spans="1:74" ht="12.75" customHeight="1" x14ac:dyDescent="0.2">
      <c r="A129" s="203"/>
      <c r="B129" s="203"/>
      <c r="C129" s="203"/>
      <c r="D129" s="203"/>
      <c r="E129" s="203"/>
      <c r="F129" s="203"/>
      <c r="G129" s="203"/>
      <c r="H129" s="203"/>
      <c r="I129" s="208"/>
      <c r="J129" s="203"/>
      <c r="K129" s="203"/>
      <c r="L129" s="203"/>
      <c r="M129" s="203"/>
      <c r="N129" s="203"/>
      <c r="O129" s="203"/>
      <c r="P129" s="203"/>
      <c r="Q129" s="203"/>
      <c r="R129" s="203"/>
      <c r="S129" s="203"/>
      <c r="T129" s="203"/>
      <c r="U129" s="203"/>
      <c r="V129" s="203"/>
      <c r="W129" s="203"/>
      <c r="X129" s="203"/>
      <c r="Y129" s="203"/>
      <c r="Z129" s="203"/>
      <c r="AA129" s="203"/>
      <c r="AB129" s="203"/>
      <c r="AC129" s="203"/>
      <c r="AD129" s="203"/>
      <c r="AE129" s="203"/>
      <c r="AF129" s="203"/>
      <c r="AG129" s="203"/>
      <c r="AH129" s="203"/>
      <c r="AI129" s="203"/>
      <c r="AJ129" s="203"/>
      <c r="AK129" s="203"/>
      <c r="AL129" s="203"/>
      <c r="AM129" s="203"/>
      <c r="AN129" s="203"/>
      <c r="AO129" s="203"/>
      <c r="AP129" s="203"/>
      <c r="AQ129" s="203"/>
      <c r="AR129" s="203"/>
      <c r="AS129" s="203"/>
      <c r="AT129" s="203"/>
      <c r="AU129" s="203"/>
      <c r="AV129" s="203"/>
      <c r="AW129" s="203"/>
      <c r="AX129" s="169"/>
      <c r="AY129" s="169"/>
      <c r="AZ129" s="169"/>
      <c r="BA129" s="169"/>
      <c r="BB129" s="169"/>
      <c r="BC129" s="170"/>
      <c r="BD129" s="169"/>
      <c r="BE129" s="169"/>
      <c r="BF129" s="169"/>
      <c r="BG129" s="169"/>
      <c r="BH129" s="169"/>
      <c r="BI129" s="169"/>
      <c r="BJ129" s="169"/>
      <c r="BK129" s="169"/>
      <c r="BL129" s="170"/>
      <c r="BM129" s="169"/>
      <c r="BN129" s="169"/>
      <c r="BO129" s="169"/>
      <c r="BP129" s="169"/>
      <c r="BQ129" s="169" t="str">
        <f>IF(OR(IFERROR(VLOOKUP(CA129,[1]ARS!A:EL,MATCH("Price To Earnings",[1]ARS!$4:$4,0),FALSE),"-")&lt;0,IFERROR(VLOOKUP(CA129,[1]ARS!A:EL,MATCH("Price To Earnings",[1]ARS!$4:$4,0),FALSE),"-")&gt;500),"-",IFERROR(VLOOKUP(CA129,[1]ARS!A:EL,MATCH("Price To Earnings",[1]ARS!$4:$4,0),FALSE),"-"))</f>
        <v>-</v>
      </c>
      <c r="BR129" s="169"/>
      <c r="BS129" s="169"/>
      <c r="BT129" s="169"/>
      <c r="BU129" s="169"/>
      <c r="BV129" s="169"/>
    </row>
    <row r="130" spans="1:74" ht="12.75" customHeight="1" x14ac:dyDescent="0.2">
      <c r="A130" s="203"/>
      <c r="B130" s="203"/>
      <c r="C130" s="203"/>
      <c r="D130" s="203"/>
      <c r="E130" s="203"/>
      <c r="F130" s="203"/>
      <c r="G130" s="203"/>
      <c r="H130" s="203"/>
      <c r="I130" s="208"/>
      <c r="J130" s="203"/>
      <c r="K130" s="203"/>
      <c r="L130" s="203"/>
      <c r="M130" s="203"/>
      <c r="N130" s="203"/>
      <c r="O130" s="203"/>
      <c r="P130" s="203"/>
      <c r="Q130" s="203"/>
      <c r="R130" s="203"/>
      <c r="S130" s="203"/>
      <c r="T130" s="203"/>
      <c r="U130" s="203"/>
      <c r="V130" s="203"/>
      <c r="W130" s="203"/>
      <c r="X130" s="203"/>
      <c r="Y130" s="203"/>
      <c r="Z130" s="203"/>
      <c r="AA130" s="203"/>
      <c r="AB130" s="203"/>
      <c r="AC130" s="203"/>
      <c r="AD130" s="203"/>
      <c r="AE130" s="203"/>
      <c r="AF130" s="203"/>
      <c r="AG130" s="203"/>
      <c r="AH130" s="203"/>
      <c r="AI130" s="203"/>
      <c r="AJ130" s="203"/>
      <c r="AK130" s="203"/>
      <c r="AL130" s="203"/>
      <c r="AM130" s="203"/>
      <c r="AN130" s="203"/>
      <c r="AO130" s="203"/>
      <c r="AP130" s="203"/>
      <c r="AQ130" s="203"/>
      <c r="AR130" s="203"/>
      <c r="AS130" s="203"/>
      <c r="AT130" s="203"/>
      <c r="AU130" s="203"/>
      <c r="AV130" s="203"/>
      <c r="AW130" s="203"/>
      <c r="AX130" s="169"/>
      <c r="AY130" s="169"/>
      <c r="AZ130" s="169"/>
      <c r="BA130" s="169"/>
      <c r="BB130" s="169"/>
      <c r="BC130" s="170"/>
      <c r="BD130" s="169"/>
      <c r="BE130" s="169"/>
      <c r="BF130" s="169"/>
      <c r="BG130" s="169"/>
      <c r="BH130" s="169"/>
      <c r="BI130" s="169"/>
      <c r="BJ130" s="169"/>
      <c r="BK130" s="169"/>
      <c r="BL130" s="170"/>
      <c r="BM130" s="169"/>
      <c r="BN130" s="169"/>
      <c r="BO130" s="169"/>
      <c r="BP130" s="169"/>
      <c r="BQ130" s="169" t="str">
        <f>IF(OR(IFERROR(VLOOKUP(CA130,[1]ARS!A:EL,MATCH("Price To Earnings",[1]ARS!$4:$4,0),FALSE),"-")&lt;0,IFERROR(VLOOKUP(CA130,[1]ARS!A:EL,MATCH("Price To Earnings",[1]ARS!$4:$4,0),FALSE),"-")&gt;500),"-",IFERROR(VLOOKUP(CA130,[1]ARS!A:EL,MATCH("Price To Earnings",[1]ARS!$4:$4,0),FALSE),"-"))</f>
        <v>-</v>
      </c>
      <c r="BR130" s="169"/>
      <c r="BS130" s="169"/>
      <c r="BT130" s="169"/>
      <c r="BU130" s="169"/>
      <c r="BV130" s="169"/>
    </row>
    <row r="131" spans="1:74" ht="12.75" customHeight="1" x14ac:dyDescent="0.2">
      <c r="A131" s="169"/>
      <c r="B131" s="169"/>
      <c r="C131" s="169"/>
      <c r="D131" s="169"/>
      <c r="E131" s="169"/>
      <c r="F131" s="169"/>
      <c r="G131" s="169"/>
      <c r="H131" s="169"/>
      <c r="I131" s="209"/>
      <c r="J131" s="169"/>
      <c r="K131" s="169"/>
      <c r="L131" s="169"/>
      <c r="M131" s="169"/>
      <c r="N131" s="169"/>
      <c r="O131" s="169"/>
      <c r="P131" s="169"/>
      <c r="Q131" s="169"/>
      <c r="R131" s="169"/>
      <c r="S131" s="169"/>
      <c r="T131" s="169"/>
      <c r="U131" s="169"/>
      <c r="V131" s="169"/>
      <c r="W131" s="169"/>
      <c r="X131" s="169"/>
      <c r="Y131" s="169"/>
      <c r="Z131" s="169"/>
      <c r="AA131" s="169"/>
      <c r="AB131" s="169"/>
      <c r="AC131" s="169"/>
      <c r="AD131" s="169"/>
      <c r="AE131" s="169"/>
      <c r="AF131" s="169"/>
      <c r="AG131" s="169"/>
      <c r="AH131" s="169"/>
      <c r="AI131" s="169"/>
      <c r="AJ131" s="169"/>
      <c r="AK131" s="169"/>
      <c r="AL131" s="169"/>
      <c r="AM131" s="169"/>
      <c r="AN131" s="169"/>
      <c r="AO131" s="169"/>
      <c r="AP131" s="169"/>
      <c r="AQ131" s="169"/>
      <c r="AR131" s="169"/>
      <c r="AS131" s="169"/>
      <c r="AT131" s="169"/>
      <c r="AU131" s="169"/>
      <c r="AV131" s="169"/>
      <c r="AW131" s="169"/>
      <c r="AX131" s="169"/>
      <c r="AY131" s="169"/>
      <c r="AZ131" s="169"/>
      <c r="BA131" s="169"/>
      <c r="BB131" s="169"/>
      <c r="BC131" s="169"/>
      <c r="BD131" s="169"/>
      <c r="BE131" s="169"/>
      <c r="BF131" s="169"/>
      <c r="BG131" s="169"/>
      <c r="BH131" s="169"/>
      <c r="BI131" s="169"/>
      <c r="BJ131" s="169"/>
      <c r="BK131" s="169"/>
      <c r="BL131" s="169"/>
      <c r="BM131" s="169"/>
      <c r="BN131" s="169"/>
      <c r="BO131" s="169"/>
      <c r="BP131" s="169"/>
      <c r="BQ131" s="169" t="str">
        <f>IF(OR(IFERROR(VLOOKUP(CA131,[1]ARS!A:EL,MATCH("Price To Earnings",[1]ARS!$4:$4,0),FALSE),"-")&lt;0,IFERROR(VLOOKUP(CA131,[1]ARS!A:EL,MATCH("Price To Earnings",[1]ARS!$4:$4,0),FALSE),"-")&gt;500),"-",IFERROR(VLOOKUP(CA131,[1]ARS!A:EL,MATCH("Price To Earnings",[1]ARS!$4:$4,0),FALSE),"-"))</f>
        <v>-</v>
      </c>
      <c r="BR131" s="169"/>
      <c r="BS131" s="169"/>
      <c r="BT131" s="169"/>
      <c r="BU131" s="169"/>
      <c r="BV131" s="169"/>
    </row>
    <row r="132" spans="1:74" ht="12.75" customHeight="1" x14ac:dyDescent="0.2">
      <c r="A132" s="169"/>
      <c r="B132" s="169"/>
      <c r="C132" s="169"/>
      <c r="D132" s="169"/>
      <c r="E132" s="210"/>
      <c r="F132" s="169"/>
      <c r="G132" s="169"/>
      <c r="H132" s="169"/>
      <c r="I132" s="209"/>
      <c r="J132" s="169"/>
      <c r="K132" s="169"/>
      <c r="L132" s="169"/>
      <c r="M132" s="169"/>
      <c r="N132" s="169"/>
      <c r="O132" s="169"/>
      <c r="P132" s="169"/>
      <c r="Q132" s="169"/>
      <c r="R132" s="169"/>
      <c r="S132" s="169"/>
      <c r="T132" s="169"/>
      <c r="U132" s="169"/>
      <c r="V132" s="169"/>
      <c r="W132" s="169"/>
      <c r="X132" s="169"/>
      <c r="Y132" s="169"/>
      <c r="Z132" s="169"/>
      <c r="AA132" s="169"/>
      <c r="AB132" s="169"/>
      <c r="AC132" s="169"/>
      <c r="AD132" s="169"/>
      <c r="AE132" s="169"/>
      <c r="AF132" s="169"/>
      <c r="AG132" s="169"/>
      <c r="AH132" s="169"/>
      <c r="AI132" s="169"/>
      <c r="AJ132" s="169"/>
      <c r="AK132" s="169"/>
      <c r="AL132" s="169"/>
      <c r="AM132" s="169"/>
      <c r="AN132" s="169"/>
      <c r="AO132" s="169"/>
      <c r="AP132" s="169"/>
      <c r="AQ132" s="169"/>
      <c r="AR132" s="169"/>
      <c r="AS132" s="169"/>
      <c r="AT132" s="169"/>
      <c r="AU132" s="169"/>
      <c r="AV132" s="169"/>
      <c r="AW132" s="169"/>
      <c r="AX132" s="169"/>
      <c r="AY132" s="169"/>
      <c r="AZ132" s="169"/>
      <c r="BA132" s="169"/>
      <c r="BB132" s="169"/>
      <c r="BC132" s="169"/>
      <c r="BD132" s="169"/>
      <c r="BE132" s="169"/>
      <c r="BF132" s="169"/>
      <c r="BG132" s="169"/>
      <c r="BH132" s="169"/>
      <c r="BI132" s="169"/>
      <c r="BJ132" s="169"/>
      <c r="BK132" s="169"/>
      <c r="BL132" s="169"/>
      <c r="BM132" s="169"/>
      <c r="BN132" s="169"/>
      <c r="BO132" s="169"/>
      <c r="BP132" s="169"/>
      <c r="BQ132" s="169" t="str">
        <f>IF(OR(IFERROR(VLOOKUP(CA132,[1]ARS!A:EL,MATCH("Price To Earnings",[1]ARS!$4:$4,0),FALSE),"-")&lt;0,IFERROR(VLOOKUP(CA132,[1]ARS!A:EL,MATCH("Price To Earnings",[1]ARS!$4:$4,0),FALSE),"-")&gt;500),"-",IFERROR(VLOOKUP(CA132,[1]ARS!A:EL,MATCH("Price To Earnings",[1]ARS!$4:$4,0),FALSE),"-"))</f>
        <v>-</v>
      </c>
      <c r="BR132" s="169"/>
      <c r="BS132" s="169"/>
      <c r="BT132" s="169"/>
      <c r="BU132" s="169"/>
      <c r="BV132" s="169"/>
    </row>
    <row r="133" spans="1:74" ht="12.75" customHeight="1" x14ac:dyDescent="0.2">
      <c r="A133" s="169"/>
      <c r="B133" s="169"/>
      <c r="C133" s="169"/>
      <c r="D133" s="169"/>
      <c r="E133" s="169"/>
      <c r="F133" s="169"/>
      <c r="G133" s="169"/>
      <c r="H133" s="169"/>
      <c r="I133" s="209"/>
      <c r="J133" s="169"/>
      <c r="K133" s="169"/>
      <c r="L133" s="169"/>
      <c r="M133" s="169"/>
      <c r="N133" s="169"/>
      <c r="O133" s="169"/>
      <c r="P133" s="169"/>
      <c r="Q133" s="169"/>
      <c r="R133" s="169"/>
      <c r="S133" s="169"/>
      <c r="T133" s="169"/>
      <c r="U133" s="169"/>
      <c r="V133" s="169"/>
      <c r="W133" s="169"/>
      <c r="X133" s="169"/>
      <c r="Y133" s="169"/>
      <c r="Z133" s="169"/>
      <c r="AA133" s="169"/>
      <c r="AB133" s="169"/>
      <c r="AC133" s="169"/>
      <c r="AD133" s="169"/>
      <c r="AE133" s="169"/>
      <c r="AF133" s="169"/>
      <c r="AG133" s="169"/>
      <c r="AH133" s="169"/>
      <c r="AI133" s="169"/>
      <c r="AJ133" s="169"/>
      <c r="AK133" s="169"/>
      <c r="AL133" s="169"/>
      <c r="AM133" s="169"/>
      <c r="AN133" s="169"/>
      <c r="AO133" s="169"/>
      <c r="AP133" s="169"/>
      <c r="AQ133" s="169"/>
      <c r="AR133" s="169"/>
      <c r="AS133" s="169"/>
      <c r="AT133" s="169"/>
      <c r="AU133" s="169"/>
      <c r="AV133" s="169"/>
      <c r="AW133" s="169"/>
      <c r="AX133" s="169"/>
      <c r="AY133" s="169"/>
      <c r="AZ133" s="169"/>
      <c r="BA133" s="169"/>
      <c r="BB133" s="169"/>
      <c r="BC133" s="169"/>
      <c r="BD133" s="169"/>
      <c r="BE133" s="169"/>
      <c r="BF133" s="169"/>
      <c r="BG133" s="169"/>
      <c r="BH133" s="169"/>
      <c r="BI133" s="169"/>
      <c r="BJ133" s="169"/>
      <c r="BK133" s="169"/>
      <c r="BL133" s="169"/>
      <c r="BM133" s="169"/>
      <c r="BN133" s="169"/>
      <c r="BO133" s="169"/>
      <c r="BP133" s="169"/>
      <c r="BQ133" s="169" t="str">
        <f>IF(OR(IFERROR(VLOOKUP(CA133,[1]ARS!A:EL,MATCH("Price To Earnings",[1]ARS!$4:$4,0),FALSE),"-")&lt;0,IFERROR(VLOOKUP(CA133,[1]ARS!A:EL,MATCH("Price To Earnings",[1]ARS!$4:$4,0),FALSE),"-")&gt;500),"-",IFERROR(VLOOKUP(CA133,[1]ARS!A:EL,MATCH("Price To Earnings",[1]ARS!$4:$4,0),FALSE),"-"))</f>
        <v>-</v>
      </c>
      <c r="BR133" s="169"/>
      <c r="BS133" s="169"/>
      <c r="BT133" s="169"/>
      <c r="BU133" s="169"/>
      <c r="BV133" s="169"/>
    </row>
    <row r="134" spans="1:74" ht="12.75" customHeight="1" x14ac:dyDescent="0.2">
      <c r="A134" s="169"/>
      <c r="B134" s="169"/>
      <c r="C134" s="169"/>
      <c r="D134" s="169"/>
      <c r="E134" s="169"/>
      <c r="F134" s="169"/>
      <c r="G134" s="169"/>
      <c r="H134" s="169"/>
      <c r="I134" s="209"/>
      <c r="J134" s="169"/>
      <c r="K134" s="169"/>
      <c r="L134" s="169"/>
      <c r="M134" s="169"/>
      <c r="N134" s="169"/>
      <c r="O134" s="169"/>
      <c r="P134" s="169"/>
      <c r="Q134" s="169"/>
      <c r="R134" s="169"/>
      <c r="S134" s="169"/>
      <c r="T134" s="169"/>
      <c r="U134" s="169"/>
      <c r="V134" s="169"/>
      <c r="W134" s="169"/>
      <c r="X134" s="169"/>
      <c r="Y134" s="169"/>
      <c r="Z134" s="169"/>
      <c r="AA134" s="169"/>
      <c r="AB134" s="169"/>
      <c r="AC134" s="169"/>
      <c r="AD134" s="169"/>
      <c r="AE134" s="169"/>
      <c r="AF134" s="169"/>
      <c r="AG134" s="169"/>
      <c r="AH134" s="169"/>
      <c r="AI134" s="169"/>
      <c r="AJ134" s="169"/>
      <c r="AK134" s="169"/>
      <c r="AL134" s="169"/>
      <c r="AM134" s="169"/>
      <c r="AN134" s="169"/>
      <c r="AO134" s="169"/>
      <c r="AP134" s="169"/>
      <c r="AQ134" s="169"/>
      <c r="AR134" s="169"/>
      <c r="AS134" s="169"/>
      <c r="AT134" s="169"/>
      <c r="AU134" s="169"/>
      <c r="AV134" s="169"/>
      <c r="AW134" s="169"/>
      <c r="AX134" s="169"/>
      <c r="AY134" s="169"/>
      <c r="AZ134" s="169"/>
      <c r="BA134" s="169"/>
      <c r="BB134" s="169"/>
      <c r="BC134" s="169"/>
      <c r="BD134" s="169"/>
      <c r="BE134" s="169"/>
      <c r="BF134" s="169"/>
      <c r="BG134" s="169"/>
      <c r="BH134" s="169"/>
      <c r="BI134" s="169"/>
      <c r="BJ134" s="169"/>
      <c r="BK134" s="169"/>
      <c r="BL134" s="169"/>
      <c r="BM134" s="169"/>
      <c r="BN134" s="169"/>
      <c r="BO134" s="169"/>
      <c r="BP134" s="169"/>
      <c r="BQ134" s="169" t="str">
        <f>IF(OR(IFERROR(VLOOKUP(CA134,[1]ARS!A:EL,MATCH("Price To Earnings",[1]ARS!$4:$4,0),FALSE),"-")&lt;0,IFERROR(VLOOKUP(CA134,[1]ARS!A:EL,MATCH("Price To Earnings",[1]ARS!$4:$4,0),FALSE),"-")&gt;500),"-",IFERROR(VLOOKUP(CA134,[1]ARS!A:EL,MATCH("Price To Earnings",[1]ARS!$4:$4,0),FALSE),"-"))</f>
        <v>-</v>
      </c>
      <c r="BR134" s="169"/>
      <c r="BS134" s="169"/>
      <c r="BT134" s="169"/>
      <c r="BU134" s="169"/>
      <c r="BV134" s="169"/>
    </row>
    <row r="135" spans="1:74" ht="12.75" customHeight="1" x14ac:dyDescent="0.2">
      <c r="A135" s="169"/>
      <c r="B135" s="169"/>
      <c r="C135" s="169"/>
      <c r="D135" s="169"/>
      <c r="E135" s="210"/>
      <c r="F135" s="169"/>
      <c r="G135" s="169"/>
      <c r="H135" s="169"/>
      <c r="I135" s="209"/>
      <c r="J135" s="169"/>
      <c r="K135" s="169"/>
      <c r="L135" s="169"/>
      <c r="M135" s="169"/>
      <c r="N135" s="169"/>
      <c r="O135" s="169"/>
      <c r="P135" s="169"/>
      <c r="Q135" s="169"/>
      <c r="R135" s="169"/>
      <c r="S135" s="169"/>
      <c r="T135" s="169"/>
      <c r="U135" s="169"/>
      <c r="V135" s="169"/>
      <c r="W135" s="169"/>
      <c r="X135" s="169"/>
      <c r="Y135" s="169"/>
      <c r="Z135" s="169"/>
      <c r="AA135" s="169"/>
      <c r="AB135" s="169"/>
      <c r="AC135" s="169"/>
      <c r="AD135" s="169"/>
      <c r="AE135" s="169"/>
      <c r="AF135" s="169"/>
      <c r="AG135" s="169"/>
      <c r="AH135" s="169"/>
      <c r="AI135" s="169"/>
      <c r="AJ135" s="169"/>
      <c r="AK135" s="169"/>
      <c r="AL135" s="169"/>
      <c r="AM135" s="169"/>
      <c r="AN135" s="169"/>
      <c r="AO135" s="169"/>
      <c r="AP135" s="169"/>
      <c r="AQ135" s="169"/>
      <c r="AR135" s="169"/>
      <c r="AS135" s="169"/>
      <c r="AT135" s="169"/>
      <c r="AU135" s="169"/>
      <c r="AV135" s="169"/>
      <c r="AW135" s="169"/>
      <c r="AX135" s="169"/>
      <c r="AY135" s="169"/>
      <c r="AZ135" s="169"/>
      <c r="BA135" s="169"/>
      <c r="BB135" s="169"/>
      <c r="BC135" s="169"/>
      <c r="BD135" s="169"/>
      <c r="BE135" s="169"/>
      <c r="BF135" s="169"/>
      <c r="BG135" s="169"/>
      <c r="BH135" s="169"/>
      <c r="BI135" s="169"/>
      <c r="BJ135" s="169"/>
      <c r="BK135" s="169"/>
      <c r="BL135" s="169"/>
      <c r="BM135" s="169"/>
      <c r="BN135" s="169"/>
      <c r="BO135" s="169"/>
      <c r="BP135" s="169"/>
      <c r="BQ135" s="169"/>
      <c r="BR135" s="169"/>
      <c r="BS135" s="169"/>
      <c r="BT135" s="169"/>
      <c r="BU135" s="169"/>
      <c r="BV135" s="169"/>
    </row>
    <row r="136" spans="1:74" ht="12.75" customHeight="1" x14ac:dyDescent="0.2">
      <c r="A136" s="169"/>
      <c r="B136" s="169"/>
      <c r="C136" s="169"/>
      <c r="D136" s="169"/>
      <c r="E136" s="211"/>
      <c r="F136" s="169"/>
      <c r="G136" s="169"/>
      <c r="H136" s="169"/>
      <c r="I136" s="209"/>
      <c r="J136" s="169"/>
      <c r="K136" s="169"/>
      <c r="L136" s="169"/>
      <c r="M136" s="169"/>
      <c r="N136" s="169"/>
      <c r="O136" s="169"/>
      <c r="P136" s="169"/>
      <c r="Q136" s="169"/>
      <c r="R136" s="169"/>
      <c r="S136" s="169"/>
      <c r="T136" s="169"/>
      <c r="U136" s="169"/>
      <c r="V136" s="169"/>
      <c r="W136" s="169"/>
      <c r="X136" s="169"/>
      <c r="Y136" s="169"/>
      <c r="Z136" s="169"/>
      <c r="AA136" s="169"/>
      <c r="AB136" s="169"/>
      <c r="AC136" s="169"/>
      <c r="AD136" s="169"/>
      <c r="AE136" s="169"/>
      <c r="AF136" s="169"/>
      <c r="AG136" s="169"/>
      <c r="AH136" s="169"/>
      <c r="AI136" s="169"/>
      <c r="AJ136" s="169"/>
      <c r="AK136" s="169"/>
      <c r="AL136" s="169"/>
      <c r="AM136" s="169"/>
      <c r="AN136" s="169"/>
      <c r="AO136" s="169"/>
      <c r="AP136" s="169"/>
      <c r="AQ136" s="169"/>
      <c r="AR136" s="169"/>
      <c r="AS136" s="169"/>
      <c r="AT136" s="169"/>
      <c r="AU136" s="169"/>
      <c r="AV136" s="169"/>
      <c r="AW136" s="169"/>
      <c r="AX136" s="169"/>
      <c r="AY136" s="169"/>
      <c r="AZ136" s="169"/>
      <c r="BA136" s="169"/>
      <c r="BB136" s="169"/>
      <c r="BC136" s="169"/>
      <c r="BD136" s="169"/>
      <c r="BE136" s="169"/>
      <c r="BF136" s="169"/>
      <c r="BG136" s="169"/>
      <c r="BH136" s="169"/>
      <c r="BI136" s="169"/>
      <c r="BJ136" s="169"/>
      <c r="BK136" s="169"/>
      <c r="BL136" s="169"/>
      <c r="BM136" s="169"/>
      <c r="BN136" s="169"/>
      <c r="BO136" s="169"/>
      <c r="BP136" s="169"/>
      <c r="BQ136" s="169" t="str">
        <f>IF(OR(IFERROR(VLOOKUP(CA136,[1]ARS!A:EL,MATCH("Price To Earnings",[1]ARS!$4:$4,0),FALSE),"-")&lt;0,IFERROR(VLOOKUP(CA136,[1]ARS!A:EL,MATCH("Price To Earnings",[1]ARS!$4:$4,0),FALSE),"-")&gt;500),"-",IFERROR(VLOOKUP(CA136,[1]ARS!A:EL,MATCH("Price To Earnings",[1]ARS!$4:$4,0),FALSE),"-"))</f>
        <v>-</v>
      </c>
      <c r="BR136" s="169"/>
      <c r="BS136" s="169"/>
      <c r="BT136" s="169"/>
      <c r="BU136" s="169"/>
      <c r="BV136" s="169"/>
    </row>
    <row r="137" spans="1:74" ht="12.75" customHeight="1" x14ac:dyDescent="0.2">
      <c r="A137" s="169"/>
      <c r="B137" s="169"/>
      <c r="C137" s="169"/>
      <c r="D137" s="169"/>
      <c r="E137" s="169"/>
      <c r="F137" s="169"/>
      <c r="G137" s="169"/>
      <c r="H137" s="169"/>
      <c r="I137" s="209"/>
      <c r="J137" s="169"/>
      <c r="K137" s="169"/>
      <c r="L137" s="169"/>
      <c r="M137" s="169"/>
      <c r="N137" s="169"/>
      <c r="O137" s="169"/>
      <c r="P137" s="169"/>
      <c r="Q137" s="169"/>
      <c r="R137" s="169"/>
      <c r="S137" s="169"/>
      <c r="T137" s="169"/>
      <c r="U137" s="169"/>
      <c r="V137" s="169"/>
      <c r="W137" s="169"/>
      <c r="X137" s="169"/>
      <c r="Y137" s="169"/>
      <c r="Z137" s="169"/>
      <c r="AA137" s="169"/>
      <c r="AB137" s="169"/>
      <c r="AC137" s="169"/>
      <c r="AD137" s="169"/>
      <c r="AE137" s="169"/>
      <c r="AF137" s="169"/>
      <c r="AG137" s="169"/>
      <c r="AH137" s="169"/>
      <c r="AI137" s="169"/>
      <c r="AJ137" s="169"/>
      <c r="AK137" s="169"/>
      <c r="AL137" s="169"/>
      <c r="AM137" s="169"/>
      <c r="AN137" s="169"/>
      <c r="AO137" s="169"/>
      <c r="AP137" s="169"/>
      <c r="AQ137" s="169"/>
      <c r="AR137" s="169"/>
      <c r="AS137" s="169"/>
      <c r="AT137" s="169"/>
      <c r="AU137" s="169"/>
      <c r="AV137" s="169"/>
      <c r="AW137" s="169"/>
      <c r="AX137" s="169"/>
      <c r="AY137" s="169"/>
      <c r="AZ137" s="169"/>
      <c r="BA137" s="169"/>
      <c r="BB137" s="169"/>
      <c r="BC137" s="169"/>
      <c r="BD137" s="169"/>
      <c r="BE137" s="169"/>
      <c r="BF137" s="169"/>
      <c r="BG137" s="169"/>
      <c r="BH137" s="169"/>
      <c r="BI137" s="169"/>
      <c r="BJ137" s="169"/>
      <c r="BK137" s="169"/>
      <c r="BL137" s="169"/>
      <c r="BM137" s="169"/>
      <c r="BN137" s="169"/>
      <c r="BO137" s="169"/>
      <c r="BP137" s="169"/>
      <c r="BQ137" s="169" t="str">
        <f>IF(OR(IFERROR(VLOOKUP(CA137,[1]ARS!A:EL,MATCH("Price To Earnings",[1]ARS!$4:$4,0),FALSE),"-")&lt;0,IFERROR(VLOOKUP(CA137,[1]ARS!A:EL,MATCH("Price To Earnings",[1]ARS!$4:$4,0),FALSE),"-")&gt;500),"-",IFERROR(VLOOKUP(CA137,[1]ARS!A:EL,MATCH("Price To Earnings",[1]ARS!$4:$4,0),FALSE),"-"))</f>
        <v>-</v>
      </c>
      <c r="BR137" s="169"/>
      <c r="BS137" s="169"/>
      <c r="BT137" s="169"/>
      <c r="BU137" s="169"/>
      <c r="BV137" s="169"/>
    </row>
    <row r="138" spans="1:74" ht="12.75" customHeight="1" x14ac:dyDescent="0.2">
      <c r="A138" s="169"/>
      <c r="B138" s="169"/>
      <c r="C138" s="169"/>
      <c r="D138" s="169"/>
      <c r="E138" s="169"/>
      <c r="F138" s="169"/>
      <c r="G138" s="169"/>
      <c r="H138" s="169"/>
      <c r="I138" s="209"/>
      <c r="J138" s="169"/>
      <c r="K138" s="169"/>
      <c r="L138" s="169"/>
      <c r="M138" s="169"/>
      <c r="N138" s="169"/>
      <c r="O138" s="169"/>
      <c r="P138" s="169"/>
      <c r="Q138" s="169"/>
      <c r="R138" s="169"/>
      <c r="S138" s="169"/>
      <c r="T138" s="169"/>
      <c r="U138" s="169"/>
      <c r="V138" s="169"/>
      <c r="W138" s="169"/>
      <c r="X138" s="169"/>
      <c r="Y138" s="169"/>
      <c r="Z138" s="169"/>
      <c r="AA138" s="169"/>
      <c r="AB138" s="169"/>
      <c r="AC138" s="169"/>
      <c r="AD138" s="169"/>
      <c r="AE138" s="169"/>
      <c r="AF138" s="169"/>
      <c r="AG138" s="169"/>
      <c r="AH138" s="169"/>
      <c r="AI138" s="169"/>
      <c r="AJ138" s="169"/>
      <c r="AK138" s="169"/>
      <c r="AL138" s="169"/>
      <c r="AM138" s="169"/>
      <c r="AN138" s="169"/>
      <c r="AO138" s="169"/>
      <c r="AP138" s="169"/>
      <c r="AQ138" s="169"/>
      <c r="AR138" s="169"/>
      <c r="AS138" s="169"/>
      <c r="AT138" s="169"/>
      <c r="AU138" s="169"/>
      <c r="AV138" s="169"/>
      <c r="AW138" s="169"/>
      <c r="AX138" s="169"/>
      <c r="AY138" s="169"/>
      <c r="AZ138" s="169"/>
      <c r="BA138" s="169"/>
      <c r="BB138" s="169"/>
      <c r="BC138" s="169"/>
      <c r="BD138" s="169"/>
      <c r="BE138" s="169"/>
      <c r="BF138" s="169"/>
      <c r="BG138" s="169"/>
      <c r="BH138" s="169"/>
      <c r="BI138" s="169"/>
      <c r="BJ138" s="169"/>
      <c r="BK138" s="169"/>
      <c r="BL138" s="169"/>
      <c r="BM138" s="169"/>
      <c r="BN138" s="169"/>
      <c r="BO138" s="169"/>
      <c r="BP138" s="169"/>
      <c r="BQ138" s="169" t="str">
        <f>IF(OR(IFERROR(VLOOKUP(CA138,[1]ARS!A:EL,MATCH("Price To Earnings",[1]ARS!$4:$4,0),FALSE),"-")&lt;0,IFERROR(VLOOKUP(CA138,[1]ARS!A:EL,MATCH("Price To Earnings",[1]ARS!$4:$4,0),FALSE),"-")&gt;500),"-",IFERROR(VLOOKUP(CA138,[1]ARS!A:EL,MATCH("Price To Earnings",[1]ARS!$4:$4,0),FALSE),"-"))</f>
        <v>-</v>
      </c>
      <c r="BR138" s="169"/>
      <c r="BS138" s="169"/>
      <c r="BT138" s="169"/>
      <c r="BU138" s="169"/>
      <c r="BV138" s="169"/>
    </row>
    <row r="139" spans="1:74" ht="12.75" customHeight="1" x14ac:dyDescent="0.2">
      <c r="A139" s="169"/>
      <c r="B139" s="169"/>
      <c r="C139" s="169"/>
      <c r="D139" s="169"/>
      <c r="E139" s="169"/>
      <c r="F139" s="169"/>
      <c r="G139" s="169"/>
      <c r="H139" s="169"/>
      <c r="I139" s="209"/>
      <c r="J139" s="169"/>
      <c r="K139" s="169"/>
      <c r="L139" s="169"/>
      <c r="M139" s="169"/>
      <c r="N139" s="169"/>
      <c r="O139" s="169"/>
      <c r="P139" s="169"/>
      <c r="Q139" s="169"/>
      <c r="R139" s="169"/>
      <c r="S139" s="169"/>
      <c r="T139" s="169"/>
      <c r="U139" s="169"/>
      <c r="V139" s="169"/>
      <c r="W139" s="169"/>
      <c r="X139" s="169"/>
      <c r="Y139" s="169"/>
      <c r="Z139" s="169"/>
      <c r="AA139" s="169"/>
      <c r="AB139" s="169"/>
      <c r="AC139" s="169"/>
      <c r="AD139" s="169"/>
      <c r="AE139" s="169"/>
      <c r="AF139" s="169"/>
      <c r="AG139" s="169"/>
      <c r="AH139" s="169"/>
      <c r="AI139" s="169"/>
      <c r="AJ139" s="169"/>
      <c r="AK139" s="169"/>
      <c r="AL139" s="169"/>
      <c r="AM139" s="169"/>
      <c r="AN139" s="169"/>
      <c r="AO139" s="169"/>
      <c r="AP139" s="169"/>
      <c r="AQ139" s="169"/>
      <c r="AR139" s="169"/>
      <c r="AS139" s="169"/>
      <c r="AT139" s="169"/>
      <c r="AU139" s="169"/>
      <c r="AV139" s="169"/>
      <c r="AW139" s="169"/>
      <c r="AX139" s="169"/>
      <c r="AY139" s="169"/>
      <c r="AZ139" s="169"/>
      <c r="BA139" s="169"/>
      <c r="BB139" s="169"/>
      <c r="BC139" s="169"/>
      <c r="BD139" s="169"/>
      <c r="BE139" s="169"/>
      <c r="BF139" s="169"/>
      <c r="BG139" s="169"/>
      <c r="BH139" s="169"/>
      <c r="BI139" s="169"/>
      <c r="BJ139" s="169"/>
      <c r="BK139" s="169"/>
      <c r="BL139" s="169"/>
      <c r="BM139" s="169"/>
      <c r="BN139" s="169"/>
      <c r="BO139" s="169"/>
      <c r="BP139" s="169"/>
      <c r="BQ139" s="169" t="str">
        <f>IF(OR(IFERROR(VLOOKUP(CA139,[1]ARS!A:EL,MATCH("Price To Earnings",[1]ARS!$4:$4,0),FALSE),"-")&lt;0,IFERROR(VLOOKUP(CA139,[1]ARS!A:EL,MATCH("Price To Earnings",[1]ARS!$4:$4,0),FALSE),"-")&gt;500),"-",IFERROR(VLOOKUP(CA139,[1]ARS!A:EL,MATCH("Price To Earnings",[1]ARS!$4:$4,0),FALSE),"-"))</f>
        <v>-</v>
      </c>
      <c r="BR139" s="169"/>
      <c r="BS139" s="169"/>
      <c r="BT139" s="169"/>
      <c r="BU139" s="169"/>
      <c r="BV139" s="169"/>
    </row>
    <row r="140" spans="1:74" ht="12.75" customHeight="1" x14ac:dyDescent="0.2">
      <c r="A140" s="169"/>
      <c r="B140" s="169"/>
      <c r="C140" s="169"/>
      <c r="D140" s="169"/>
      <c r="E140" s="169"/>
      <c r="F140" s="169"/>
      <c r="G140" s="169"/>
      <c r="H140" s="169"/>
      <c r="I140" s="209"/>
      <c r="J140" s="169"/>
      <c r="K140" s="169"/>
      <c r="L140" s="169"/>
      <c r="M140" s="169"/>
      <c r="N140" s="169"/>
      <c r="O140" s="169"/>
      <c r="P140" s="169"/>
      <c r="Q140" s="169"/>
      <c r="R140" s="169"/>
      <c r="S140" s="169"/>
      <c r="T140" s="169"/>
      <c r="U140" s="169"/>
      <c r="V140" s="169"/>
      <c r="W140" s="169"/>
      <c r="X140" s="169"/>
      <c r="Y140" s="169"/>
      <c r="Z140" s="169"/>
      <c r="AA140" s="169"/>
      <c r="AB140" s="169"/>
      <c r="AC140" s="169"/>
      <c r="AD140" s="169"/>
      <c r="AE140" s="169"/>
      <c r="AF140" s="169"/>
      <c r="AG140" s="169"/>
      <c r="AH140" s="169"/>
      <c r="AI140" s="169"/>
      <c r="AJ140" s="169"/>
      <c r="AK140" s="169"/>
      <c r="AL140" s="169"/>
      <c r="AM140" s="169"/>
      <c r="AN140" s="169"/>
      <c r="AO140" s="169"/>
      <c r="AP140" s="169"/>
      <c r="AQ140" s="169"/>
      <c r="AR140" s="169"/>
      <c r="AS140" s="169"/>
      <c r="AT140" s="169"/>
      <c r="AU140" s="169"/>
      <c r="AV140" s="169"/>
      <c r="AW140" s="169"/>
      <c r="AX140" s="169"/>
      <c r="AY140" s="169"/>
      <c r="AZ140" s="169"/>
      <c r="BA140" s="169"/>
      <c r="BB140" s="169"/>
      <c r="BC140" s="169"/>
      <c r="BD140" s="169"/>
      <c r="BE140" s="169"/>
      <c r="BF140" s="169"/>
      <c r="BG140" s="169"/>
      <c r="BH140" s="169"/>
      <c r="BI140" s="169"/>
      <c r="BJ140" s="169"/>
      <c r="BK140" s="169"/>
      <c r="BL140" s="169"/>
      <c r="BM140" s="169"/>
      <c r="BN140" s="169"/>
      <c r="BO140" s="169"/>
      <c r="BP140" s="169"/>
      <c r="BQ140" s="169" t="str">
        <f>IF(OR(IFERROR(VLOOKUP(CA140,[1]ARS!A:EL,MATCH("Price To Earnings",[1]ARS!$4:$4,0),FALSE),"-")&lt;0,IFERROR(VLOOKUP(CA140,[1]ARS!A:EL,MATCH("Price To Earnings",[1]ARS!$4:$4,0),FALSE),"-")&gt;500),"-",IFERROR(VLOOKUP(CA140,[1]ARS!A:EL,MATCH("Price To Earnings",[1]ARS!$4:$4,0),FALSE),"-"))</f>
        <v>-</v>
      </c>
      <c r="BR140" s="169"/>
      <c r="BS140" s="169"/>
      <c r="BT140" s="169"/>
      <c r="BU140" s="169"/>
      <c r="BV140" s="169"/>
    </row>
    <row r="141" spans="1:74" ht="12.75" customHeight="1" x14ac:dyDescent="0.2">
      <c r="A141" s="169"/>
      <c r="B141" s="169"/>
      <c r="C141" s="169"/>
      <c r="D141" s="169"/>
      <c r="E141" s="169"/>
      <c r="F141" s="169"/>
      <c r="G141" s="169"/>
      <c r="H141" s="169"/>
      <c r="I141" s="209"/>
      <c r="J141" s="169"/>
      <c r="K141" s="169"/>
      <c r="L141" s="169"/>
      <c r="M141" s="169"/>
      <c r="N141" s="169"/>
      <c r="O141" s="169"/>
      <c r="P141" s="169"/>
      <c r="Q141" s="169"/>
      <c r="R141" s="169"/>
      <c r="S141" s="169"/>
      <c r="T141" s="169"/>
      <c r="U141" s="169"/>
      <c r="V141" s="169"/>
      <c r="W141" s="169"/>
      <c r="X141" s="169"/>
      <c r="Y141" s="169"/>
      <c r="Z141" s="169"/>
      <c r="AA141" s="169"/>
      <c r="AB141" s="169"/>
      <c r="AC141" s="169"/>
      <c r="AD141" s="169"/>
      <c r="AE141" s="169"/>
      <c r="AF141" s="169"/>
      <c r="AG141" s="169"/>
      <c r="AH141" s="169"/>
      <c r="AI141" s="169"/>
      <c r="AJ141" s="169"/>
      <c r="AK141" s="169"/>
      <c r="AL141" s="169"/>
      <c r="AM141" s="169"/>
      <c r="AN141" s="169"/>
      <c r="AO141" s="169"/>
      <c r="AP141" s="169"/>
      <c r="AQ141" s="169"/>
      <c r="AR141" s="169"/>
      <c r="AS141" s="169"/>
      <c r="AT141" s="169"/>
      <c r="AU141" s="169"/>
      <c r="AV141" s="169"/>
      <c r="AW141" s="169"/>
      <c r="AX141" s="169"/>
      <c r="AY141" s="169"/>
      <c r="AZ141" s="169"/>
      <c r="BA141" s="169"/>
      <c r="BB141" s="169"/>
      <c r="BC141" s="169"/>
      <c r="BD141" s="169"/>
      <c r="BE141" s="169"/>
      <c r="BF141" s="169"/>
      <c r="BG141" s="169"/>
      <c r="BH141" s="169"/>
      <c r="BI141" s="169"/>
      <c r="BJ141" s="169"/>
      <c r="BK141" s="169"/>
      <c r="BL141" s="169"/>
      <c r="BM141" s="169"/>
      <c r="BN141" s="169"/>
      <c r="BO141" s="169"/>
      <c r="BP141" s="169"/>
      <c r="BQ141" s="169" t="str">
        <f>IF(OR(IFERROR(VLOOKUP(CA141,[1]ARS!A:EL,MATCH("Price To Earnings",[1]ARS!$4:$4,0),FALSE),"-")&lt;0,IFERROR(VLOOKUP(CA141,[1]ARS!A:EL,MATCH("Price To Earnings",[1]ARS!$4:$4,0),FALSE),"-")&gt;500),"-",IFERROR(VLOOKUP(CA141,[1]ARS!A:EL,MATCH("Price To Earnings",[1]ARS!$4:$4,0),FALSE),"-"))</f>
        <v>-</v>
      </c>
      <c r="BR141" s="169"/>
      <c r="BS141" s="169"/>
      <c r="BT141" s="169"/>
      <c r="BU141" s="169"/>
      <c r="BV141" s="169"/>
    </row>
    <row r="142" spans="1:74" ht="12.75" customHeight="1" x14ac:dyDescent="0.2">
      <c r="A142" s="169"/>
      <c r="B142" s="169"/>
      <c r="C142" s="169"/>
      <c r="D142" s="169"/>
      <c r="E142" s="169"/>
      <c r="F142" s="169"/>
      <c r="G142" s="169"/>
      <c r="H142" s="169"/>
      <c r="I142" s="209"/>
      <c r="J142" s="169"/>
      <c r="K142" s="169"/>
      <c r="L142" s="169"/>
      <c r="M142" s="169"/>
      <c r="N142" s="169"/>
      <c r="O142" s="169"/>
      <c r="P142" s="169"/>
      <c r="Q142" s="169"/>
      <c r="R142" s="169"/>
      <c r="S142" s="169"/>
      <c r="T142" s="169"/>
      <c r="U142" s="169"/>
      <c r="V142" s="169"/>
      <c r="W142" s="169"/>
      <c r="X142" s="169"/>
      <c r="Y142" s="169"/>
      <c r="Z142" s="169"/>
      <c r="AA142" s="169"/>
      <c r="AB142" s="169"/>
      <c r="AC142" s="169"/>
      <c r="AD142" s="169"/>
      <c r="AE142" s="169"/>
      <c r="AF142" s="169"/>
      <c r="AG142" s="169"/>
      <c r="AH142" s="169"/>
      <c r="AI142" s="169"/>
      <c r="AJ142" s="169"/>
      <c r="AK142" s="169"/>
      <c r="AL142" s="169"/>
      <c r="AM142" s="169"/>
      <c r="AN142" s="169"/>
      <c r="AO142" s="169"/>
      <c r="AP142" s="169"/>
      <c r="AQ142" s="169"/>
      <c r="AR142" s="169"/>
      <c r="AS142" s="169"/>
      <c r="AT142" s="169"/>
      <c r="AU142" s="169"/>
      <c r="AV142" s="169"/>
      <c r="AW142" s="169"/>
      <c r="AX142" s="169"/>
      <c r="AY142" s="169"/>
      <c r="AZ142" s="169"/>
      <c r="BA142" s="169"/>
      <c r="BB142" s="169"/>
      <c r="BC142" s="169"/>
      <c r="BD142" s="169"/>
      <c r="BE142" s="169"/>
      <c r="BF142" s="169"/>
      <c r="BG142" s="169"/>
      <c r="BH142" s="169"/>
      <c r="BI142" s="169"/>
      <c r="BJ142" s="169"/>
      <c r="BK142" s="169"/>
      <c r="BL142" s="169"/>
      <c r="BM142" s="169"/>
      <c r="BN142" s="169"/>
      <c r="BO142" s="169"/>
      <c r="BP142" s="169"/>
      <c r="BQ142" s="169"/>
      <c r="BR142" s="169"/>
      <c r="BS142" s="169"/>
      <c r="BT142" s="169"/>
      <c r="BU142" s="169"/>
      <c r="BV142" s="169"/>
    </row>
    <row r="143" spans="1:74" ht="12.75" customHeight="1" x14ac:dyDescent="0.2">
      <c r="A143" s="169"/>
      <c r="B143" s="169"/>
      <c r="C143" s="169"/>
      <c r="D143" s="169"/>
      <c r="E143" s="169"/>
      <c r="F143" s="169"/>
      <c r="G143" s="169"/>
      <c r="H143" s="169"/>
      <c r="I143" s="209"/>
      <c r="J143" s="169"/>
      <c r="K143" s="169"/>
      <c r="L143" s="169"/>
      <c r="M143" s="169"/>
      <c r="N143" s="169"/>
      <c r="O143" s="169"/>
      <c r="P143" s="169"/>
      <c r="Q143" s="169"/>
      <c r="R143" s="169"/>
      <c r="S143" s="169"/>
      <c r="T143" s="169"/>
      <c r="U143" s="169"/>
      <c r="V143" s="169"/>
      <c r="W143" s="169"/>
      <c r="X143" s="169"/>
      <c r="Y143" s="169"/>
      <c r="Z143" s="169"/>
      <c r="AA143" s="169"/>
      <c r="AB143" s="169"/>
      <c r="AC143" s="169"/>
      <c r="AD143" s="169"/>
      <c r="AE143" s="169"/>
      <c r="AF143" s="169"/>
      <c r="AG143" s="169"/>
      <c r="AH143" s="169"/>
      <c r="AI143" s="169"/>
      <c r="AJ143" s="169"/>
      <c r="AK143" s="169"/>
      <c r="AL143" s="169"/>
      <c r="AM143" s="169"/>
      <c r="AN143" s="169"/>
      <c r="AO143" s="169"/>
      <c r="AP143" s="169"/>
      <c r="AQ143" s="169"/>
      <c r="AR143" s="169"/>
      <c r="AS143" s="169"/>
      <c r="AT143" s="169"/>
      <c r="AU143" s="169"/>
      <c r="AV143" s="169"/>
      <c r="AW143" s="169"/>
      <c r="AX143" s="169"/>
      <c r="AY143" s="169"/>
      <c r="AZ143" s="169"/>
      <c r="BA143" s="169"/>
      <c r="BB143" s="169"/>
      <c r="BC143" s="169"/>
      <c r="BD143" s="169"/>
      <c r="BE143" s="169"/>
      <c r="BF143" s="169"/>
      <c r="BG143" s="169"/>
      <c r="BH143" s="169"/>
      <c r="BI143" s="169"/>
      <c r="BJ143" s="169"/>
      <c r="BK143" s="169"/>
      <c r="BL143" s="169"/>
      <c r="BM143" s="169"/>
      <c r="BN143" s="169"/>
      <c r="BO143" s="169"/>
      <c r="BP143" s="169"/>
      <c r="BQ143" s="169" t="str">
        <f>IF(OR(IFERROR(VLOOKUP(CA143,[1]ARS!A:EL,MATCH("Price To Earnings",[1]ARS!$4:$4,0),FALSE),"-")&lt;0,IFERROR(VLOOKUP(CA143,[1]ARS!A:EL,MATCH("Price To Earnings",[1]ARS!$4:$4,0),FALSE),"-")&gt;500),"-",IFERROR(VLOOKUP(CA143,[1]ARS!A:EL,MATCH("Price To Earnings",[1]ARS!$4:$4,0),FALSE),"-"))</f>
        <v>-</v>
      </c>
      <c r="BR143" s="169"/>
      <c r="BS143" s="169"/>
      <c r="BT143" s="169"/>
      <c r="BU143" s="169"/>
      <c r="BV143" s="169"/>
    </row>
    <row r="144" spans="1:74" ht="12.75" customHeight="1" x14ac:dyDescent="0.2">
      <c r="A144" s="169"/>
      <c r="B144" s="169"/>
      <c r="C144" s="169"/>
      <c r="D144" s="169"/>
      <c r="E144" s="212"/>
      <c r="F144" s="169"/>
      <c r="G144" s="169"/>
      <c r="H144" s="169"/>
      <c r="I144" s="209"/>
      <c r="J144" s="169"/>
      <c r="K144" s="169"/>
      <c r="L144" s="169"/>
      <c r="M144" s="169"/>
      <c r="N144" s="169"/>
      <c r="O144" s="169"/>
      <c r="P144" s="169"/>
      <c r="Q144" s="169"/>
      <c r="R144" s="169"/>
      <c r="S144" s="169"/>
      <c r="T144" s="169"/>
      <c r="U144" s="169"/>
      <c r="V144" s="169"/>
      <c r="W144" s="169"/>
      <c r="X144" s="169"/>
      <c r="Y144" s="169"/>
      <c r="Z144" s="169"/>
      <c r="AA144" s="169"/>
      <c r="AB144" s="169"/>
      <c r="AC144" s="169"/>
      <c r="AD144" s="169"/>
      <c r="AE144" s="169"/>
      <c r="AF144" s="169"/>
      <c r="AG144" s="169"/>
      <c r="AH144" s="169"/>
      <c r="AI144" s="169"/>
      <c r="AJ144" s="169"/>
      <c r="AK144" s="169"/>
      <c r="AL144" s="169"/>
      <c r="AM144" s="169"/>
      <c r="AN144" s="169"/>
      <c r="AO144" s="169"/>
      <c r="AP144" s="169"/>
      <c r="AQ144" s="169"/>
      <c r="AR144" s="169"/>
      <c r="AS144" s="169"/>
      <c r="AT144" s="169"/>
      <c r="AU144" s="169"/>
      <c r="AV144" s="169"/>
      <c r="AW144" s="169"/>
      <c r="AX144" s="169"/>
      <c r="AY144" s="169"/>
      <c r="AZ144" s="169"/>
      <c r="BA144" s="169"/>
      <c r="BB144" s="169"/>
      <c r="BC144" s="169"/>
      <c r="BD144" s="169"/>
      <c r="BE144" s="169"/>
      <c r="BF144" s="169"/>
      <c r="BG144" s="169"/>
      <c r="BH144" s="169"/>
      <c r="BI144" s="169"/>
      <c r="BJ144" s="169"/>
      <c r="BK144" s="169"/>
      <c r="BL144" s="169"/>
      <c r="BM144" s="169"/>
      <c r="BN144" s="169"/>
      <c r="BO144" s="169"/>
      <c r="BP144" s="169"/>
      <c r="BQ144" s="169" t="str">
        <f>IF(OR(IFERROR(VLOOKUP(CA144,[1]ARS!A:EL,MATCH("Price To Earnings",[1]ARS!$4:$4,0),FALSE),"-")&lt;0,IFERROR(VLOOKUP(CA144,[1]ARS!A:EL,MATCH("Price To Earnings",[1]ARS!$4:$4,0),FALSE),"-")&gt;500),"-",IFERROR(VLOOKUP(CA144,[1]ARS!A:EL,MATCH("Price To Earnings",[1]ARS!$4:$4,0),FALSE),"-"))</f>
        <v>-</v>
      </c>
      <c r="BR144" s="169"/>
      <c r="BS144" s="169"/>
      <c r="BT144" s="169"/>
      <c r="BU144" s="169"/>
      <c r="BV144" s="169"/>
    </row>
    <row r="145" spans="1:74" ht="12.75" customHeight="1" x14ac:dyDescent="0.2">
      <c r="A145" s="169"/>
      <c r="B145" s="169"/>
      <c r="C145" s="169"/>
      <c r="D145" s="169"/>
      <c r="E145" s="169"/>
      <c r="F145" s="169"/>
      <c r="G145" s="169"/>
      <c r="H145" s="169"/>
      <c r="I145" s="209"/>
      <c r="J145" s="169"/>
      <c r="K145" s="169"/>
      <c r="L145" s="169"/>
      <c r="M145" s="169"/>
      <c r="N145" s="169"/>
      <c r="O145" s="169"/>
      <c r="P145" s="169"/>
      <c r="Q145" s="169"/>
      <c r="R145" s="169"/>
      <c r="S145" s="169"/>
      <c r="T145" s="169"/>
      <c r="U145" s="169"/>
      <c r="V145" s="169"/>
      <c r="W145" s="169"/>
      <c r="X145" s="169"/>
      <c r="Y145" s="169"/>
      <c r="Z145" s="169"/>
      <c r="AA145" s="169"/>
      <c r="AB145" s="169"/>
      <c r="AC145" s="169"/>
      <c r="AD145" s="169"/>
      <c r="AE145" s="169"/>
      <c r="AF145" s="169"/>
      <c r="AG145" s="169"/>
      <c r="AH145" s="169"/>
      <c r="AI145" s="169"/>
      <c r="AJ145" s="169"/>
      <c r="AK145" s="169"/>
      <c r="AL145" s="169"/>
      <c r="AM145" s="169"/>
      <c r="AN145" s="169"/>
      <c r="AO145" s="169"/>
      <c r="AP145" s="169"/>
      <c r="AQ145" s="169"/>
      <c r="AR145" s="169"/>
      <c r="AS145" s="169"/>
      <c r="AT145" s="169"/>
      <c r="AU145" s="169"/>
      <c r="AV145" s="169"/>
      <c r="AW145" s="169"/>
      <c r="AX145" s="169"/>
      <c r="AY145" s="169"/>
      <c r="AZ145" s="169"/>
      <c r="BA145" s="169"/>
      <c r="BB145" s="169"/>
      <c r="BC145" s="169"/>
      <c r="BD145" s="169"/>
      <c r="BE145" s="169"/>
      <c r="BF145" s="169"/>
      <c r="BG145" s="169"/>
      <c r="BH145" s="169"/>
      <c r="BI145" s="169"/>
      <c r="BJ145" s="169"/>
      <c r="BK145" s="169"/>
      <c r="BL145" s="169"/>
      <c r="BM145" s="169"/>
      <c r="BN145" s="169"/>
      <c r="BO145" s="169"/>
      <c r="BP145" s="169"/>
      <c r="BQ145" s="169" t="str">
        <f>IF(OR(IFERROR(VLOOKUP(CA145,[1]ARS!A:EL,MATCH("Price To Earnings",[1]ARS!$4:$4,0),FALSE),"-")&lt;0,IFERROR(VLOOKUP(CA145,[1]ARS!A:EL,MATCH("Price To Earnings",[1]ARS!$4:$4,0),FALSE),"-")&gt;500),"-",IFERROR(VLOOKUP(CA145,[1]ARS!A:EL,MATCH("Price To Earnings",[1]ARS!$4:$4,0),FALSE),"-"))</f>
        <v>-</v>
      </c>
      <c r="BR145" s="169"/>
      <c r="BS145" s="169"/>
      <c r="BT145" s="169"/>
      <c r="BU145" s="169"/>
      <c r="BV145" s="169"/>
    </row>
    <row r="146" spans="1:74" ht="12.75" customHeight="1" x14ac:dyDescent="0.2">
      <c r="A146" s="169"/>
      <c r="B146" s="169"/>
      <c r="C146" s="169"/>
      <c r="D146" s="169"/>
      <c r="E146" s="169"/>
      <c r="F146" s="169"/>
      <c r="G146" s="169"/>
      <c r="H146" s="169"/>
      <c r="I146" s="209"/>
      <c r="J146" s="169"/>
      <c r="K146" s="169"/>
      <c r="L146" s="169"/>
      <c r="M146" s="169"/>
      <c r="N146" s="169"/>
      <c r="O146" s="169"/>
      <c r="P146" s="169"/>
      <c r="Q146" s="169"/>
      <c r="R146" s="169"/>
      <c r="S146" s="169"/>
      <c r="T146" s="169"/>
      <c r="U146" s="169"/>
      <c r="V146" s="169"/>
      <c r="W146" s="169"/>
      <c r="X146" s="169"/>
      <c r="Y146" s="169"/>
      <c r="Z146" s="169"/>
      <c r="AA146" s="169"/>
      <c r="AB146" s="169"/>
      <c r="AC146" s="169"/>
      <c r="AD146" s="169"/>
      <c r="AE146" s="169"/>
      <c r="AF146" s="169"/>
      <c r="AG146" s="169"/>
      <c r="AH146" s="169"/>
      <c r="AI146" s="169"/>
      <c r="AJ146" s="169"/>
      <c r="AK146" s="169"/>
      <c r="AL146" s="169"/>
      <c r="AM146" s="169"/>
      <c r="AN146" s="169"/>
      <c r="AO146" s="169"/>
      <c r="AP146" s="169"/>
      <c r="AQ146" s="169"/>
      <c r="AR146" s="169"/>
      <c r="AS146" s="169"/>
      <c r="AT146" s="169"/>
      <c r="AU146" s="169"/>
      <c r="AV146" s="169"/>
      <c r="AW146" s="169"/>
      <c r="AX146" s="169"/>
      <c r="AY146" s="169"/>
      <c r="AZ146" s="169"/>
      <c r="BA146" s="169"/>
      <c r="BB146" s="169"/>
      <c r="BC146" s="169"/>
      <c r="BD146" s="169"/>
      <c r="BE146" s="169"/>
      <c r="BF146" s="169"/>
      <c r="BG146" s="169"/>
      <c r="BH146" s="169"/>
      <c r="BI146" s="169"/>
      <c r="BJ146" s="169"/>
      <c r="BK146" s="169"/>
      <c r="BL146" s="169"/>
      <c r="BM146" s="169"/>
      <c r="BN146" s="169"/>
      <c r="BO146" s="169"/>
      <c r="BP146" s="169"/>
      <c r="BQ146" s="169" t="str">
        <f>IF(OR(IFERROR(VLOOKUP(CA146,[1]ARS!A:EL,MATCH("Price To Earnings",[1]ARS!$4:$4,0),FALSE),"-")&lt;0,IFERROR(VLOOKUP(CA146,[1]ARS!A:EL,MATCH("Price To Earnings",[1]ARS!$4:$4,0),FALSE),"-")&gt;500),"-",IFERROR(VLOOKUP(CA146,[1]ARS!A:EL,MATCH("Price To Earnings",[1]ARS!$4:$4,0),FALSE),"-"))</f>
        <v>-</v>
      </c>
      <c r="BR146" s="169"/>
      <c r="BS146" s="169"/>
      <c r="BT146" s="169"/>
      <c r="BU146" s="169"/>
      <c r="BV146" s="169"/>
    </row>
    <row r="147" spans="1:74" ht="12.75" customHeight="1" x14ac:dyDescent="0.2">
      <c r="A147" s="169"/>
      <c r="B147" s="169"/>
      <c r="C147" s="169"/>
      <c r="D147" s="169"/>
      <c r="E147" s="169"/>
      <c r="F147" s="169"/>
      <c r="G147" s="169"/>
      <c r="H147" s="169"/>
      <c r="I147" s="209"/>
      <c r="J147" s="169"/>
      <c r="K147" s="169"/>
      <c r="L147" s="169"/>
      <c r="M147" s="169"/>
      <c r="N147" s="169"/>
      <c r="O147" s="169"/>
      <c r="P147" s="169"/>
      <c r="Q147" s="169"/>
      <c r="R147" s="169"/>
      <c r="S147" s="169"/>
      <c r="T147" s="169"/>
      <c r="U147" s="169"/>
      <c r="V147" s="169"/>
      <c r="W147" s="169"/>
      <c r="X147" s="169"/>
      <c r="Y147" s="169"/>
      <c r="Z147" s="169"/>
      <c r="AA147" s="169"/>
      <c r="AB147" s="169"/>
      <c r="AC147" s="169"/>
      <c r="AD147" s="169"/>
      <c r="AE147" s="169"/>
      <c r="AF147" s="169"/>
      <c r="AG147" s="169"/>
      <c r="AH147" s="169"/>
      <c r="AI147" s="169"/>
      <c r="AJ147" s="169"/>
      <c r="AK147" s="169"/>
      <c r="AL147" s="169"/>
      <c r="AM147" s="169"/>
      <c r="AN147" s="169"/>
      <c r="AO147" s="169"/>
      <c r="AP147" s="169"/>
      <c r="AQ147" s="169"/>
      <c r="AR147" s="169"/>
      <c r="AS147" s="169"/>
      <c r="AT147" s="169"/>
      <c r="AU147" s="169"/>
      <c r="AV147" s="169"/>
      <c r="AW147" s="169"/>
      <c r="AX147" s="169"/>
      <c r="AY147" s="169"/>
      <c r="AZ147" s="169"/>
      <c r="BA147" s="169"/>
      <c r="BB147" s="169"/>
      <c r="BC147" s="169"/>
      <c r="BD147" s="169"/>
      <c r="BE147" s="169"/>
      <c r="BF147" s="169"/>
      <c r="BG147" s="169"/>
      <c r="BH147" s="169"/>
      <c r="BI147" s="169"/>
      <c r="BJ147" s="169"/>
      <c r="BK147" s="169"/>
      <c r="BL147" s="169"/>
      <c r="BM147" s="169"/>
      <c r="BN147" s="169"/>
      <c r="BO147" s="169"/>
      <c r="BP147" s="169"/>
      <c r="BQ147" s="169" t="str">
        <f>IF(OR(IFERROR(VLOOKUP(CA147,[1]ARS!A:EL,MATCH("Price To Earnings",[1]ARS!$4:$4,0),FALSE),"-")&lt;0,IFERROR(VLOOKUP(CA147,[1]ARS!A:EL,MATCH("Price To Earnings",[1]ARS!$4:$4,0),FALSE),"-")&gt;500),"-",IFERROR(VLOOKUP(CA147,[1]ARS!A:EL,MATCH("Price To Earnings",[1]ARS!$4:$4,0),FALSE),"-"))</f>
        <v>-</v>
      </c>
      <c r="BR147" s="169"/>
      <c r="BS147" s="169"/>
      <c r="BT147" s="169"/>
      <c r="BU147" s="169"/>
      <c r="BV147" s="169"/>
    </row>
    <row r="148" spans="1:74" ht="12.75" customHeight="1" x14ac:dyDescent="0.2">
      <c r="A148" s="169"/>
      <c r="B148" s="169"/>
      <c r="C148" s="169"/>
      <c r="D148" s="169"/>
      <c r="E148" s="169"/>
      <c r="F148" s="169"/>
      <c r="G148" s="169"/>
      <c r="H148" s="169"/>
      <c r="I148" s="209"/>
      <c r="J148" s="169"/>
      <c r="K148" s="169"/>
      <c r="L148" s="169"/>
      <c r="M148" s="169"/>
      <c r="N148" s="169"/>
      <c r="O148" s="169"/>
      <c r="P148" s="169"/>
      <c r="Q148" s="169"/>
      <c r="R148" s="169"/>
      <c r="S148" s="169"/>
      <c r="T148" s="169"/>
      <c r="U148" s="169"/>
      <c r="V148" s="169"/>
      <c r="W148" s="169"/>
      <c r="X148" s="169"/>
      <c r="Y148" s="169"/>
      <c r="Z148" s="169"/>
      <c r="AA148" s="169"/>
      <c r="AB148" s="169"/>
      <c r="AC148" s="169"/>
      <c r="AD148" s="169"/>
      <c r="AE148" s="169"/>
      <c r="AF148" s="169"/>
      <c r="AG148" s="169"/>
      <c r="AH148" s="169"/>
      <c r="AI148" s="169"/>
      <c r="AJ148" s="169"/>
      <c r="AK148" s="169"/>
      <c r="AL148" s="169"/>
      <c r="AM148" s="169"/>
      <c r="AN148" s="169"/>
      <c r="AO148" s="169"/>
      <c r="AP148" s="169"/>
      <c r="AQ148" s="169"/>
      <c r="AR148" s="169"/>
      <c r="AS148" s="169"/>
      <c r="AT148" s="169"/>
      <c r="AU148" s="169"/>
      <c r="AV148" s="169"/>
      <c r="AW148" s="169"/>
      <c r="AX148" s="169"/>
      <c r="AY148" s="169"/>
      <c r="AZ148" s="169"/>
      <c r="BA148" s="169"/>
      <c r="BB148" s="169"/>
      <c r="BC148" s="169"/>
      <c r="BD148" s="169"/>
      <c r="BE148" s="169"/>
      <c r="BF148" s="169"/>
      <c r="BG148" s="169"/>
      <c r="BH148" s="169"/>
      <c r="BI148" s="169"/>
      <c r="BJ148" s="169"/>
      <c r="BK148" s="169"/>
      <c r="BL148" s="169"/>
      <c r="BM148" s="169"/>
      <c r="BN148" s="169"/>
      <c r="BO148" s="169"/>
      <c r="BP148" s="169"/>
      <c r="BQ148" s="169" t="str">
        <f>IF(OR(IFERROR(VLOOKUP(CA148,[1]ARS!A:EL,MATCH("Price To Earnings",[1]ARS!$4:$4,0),FALSE),"-")&lt;0,IFERROR(VLOOKUP(CA148,[1]ARS!A:EL,MATCH("Price To Earnings",[1]ARS!$4:$4,0),FALSE),"-")&gt;500),"-",IFERROR(VLOOKUP(CA148,[1]ARS!A:EL,MATCH("Price To Earnings",[1]ARS!$4:$4,0),FALSE),"-"))</f>
        <v>-</v>
      </c>
      <c r="BR148" s="169"/>
      <c r="BS148" s="169"/>
      <c r="BT148" s="169"/>
      <c r="BU148" s="169"/>
      <c r="BV148" s="169"/>
    </row>
    <row r="149" spans="1:74" ht="12.75" customHeight="1" x14ac:dyDescent="0.2">
      <c r="A149" s="169"/>
      <c r="B149" s="169"/>
      <c r="C149" s="169"/>
      <c r="D149" s="169"/>
      <c r="E149" s="210"/>
      <c r="F149" s="169"/>
      <c r="G149" s="169"/>
      <c r="H149" s="169"/>
      <c r="I149" s="209"/>
      <c r="J149" s="169"/>
      <c r="K149" s="169"/>
      <c r="L149" s="169"/>
      <c r="M149" s="169"/>
      <c r="N149" s="169"/>
      <c r="O149" s="169"/>
      <c r="P149" s="169"/>
      <c r="Q149" s="169"/>
      <c r="R149" s="169"/>
      <c r="S149" s="169"/>
      <c r="T149" s="169"/>
      <c r="U149" s="169"/>
      <c r="V149" s="169"/>
      <c r="W149" s="169"/>
      <c r="X149" s="169"/>
      <c r="Y149" s="169"/>
      <c r="Z149" s="169"/>
      <c r="AA149" s="169"/>
      <c r="AB149" s="169"/>
      <c r="AC149" s="169"/>
      <c r="AD149" s="169"/>
      <c r="AE149" s="169"/>
      <c r="AF149" s="169"/>
      <c r="AG149" s="169"/>
      <c r="AH149" s="169"/>
      <c r="AI149" s="169"/>
      <c r="AJ149" s="169"/>
      <c r="AK149" s="169"/>
      <c r="AL149" s="169"/>
      <c r="AM149" s="169"/>
      <c r="AN149" s="169"/>
      <c r="AO149" s="169"/>
      <c r="AP149" s="169"/>
      <c r="AQ149" s="169"/>
      <c r="AR149" s="169"/>
      <c r="AS149" s="169"/>
      <c r="AT149" s="169"/>
      <c r="AU149" s="169"/>
      <c r="AV149" s="169"/>
      <c r="AW149" s="169"/>
      <c r="AX149" s="169"/>
      <c r="AY149" s="169"/>
      <c r="AZ149" s="169"/>
      <c r="BA149" s="169"/>
      <c r="BB149" s="169"/>
      <c r="BC149" s="169"/>
      <c r="BD149" s="169"/>
      <c r="BE149" s="169"/>
      <c r="BF149" s="169"/>
      <c r="BG149" s="169"/>
      <c r="BH149" s="169"/>
      <c r="BI149" s="169"/>
      <c r="BJ149" s="169"/>
      <c r="BK149" s="169"/>
      <c r="BL149" s="169"/>
      <c r="BM149" s="169"/>
      <c r="BN149" s="169"/>
      <c r="BO149" s="169"/>
      <c r="BP149" s="169"/>
      <c r="BQ149" s="169" t="str">
        <f>IF(OR(IFERROR(VLOOKUP(CA149,[1]ARS!A:EL,MATCH("Price To Earnings",[1]ARS!$4:$4,0),FALSE),"-")&lt;0,IFERROR(VLOOKUP(CA149,[1]ARS!A:EL,MATCH("Price To Earnings",[1]ARS!$4:$4,0),FALSE),"-")&gt;500),"-",IFERROR(VLOOKUP(CA149,[1]ARS!A:EL,MATCH("Price To Earnings",[1]ARS!$4:$4,0),FALSE),"-"))</f>
        <v>-</v>
      </c>
      <c r="BR149" s="169"/>
      <c r="BS149" s="169"/>
      <c r="BT149" s="169"/>
      <c r="BU149" s="169"/>
      <c r="BV149" s="169"/>
    </row>
    <row r="150" spans="1:74" ht="12.75" customHeight="1" x14ac:dyDescent="0.2">
      <c r="A150" s="169"/>
      <c r="B150" s="169"/>
      <c r="C150" s="169"/>
      <c r="D150" s="169"/>
      <c r="E150" s="169"/>
      <c r="F150" s="169"/>
      <c r="G150" s="169"/>
      <c r="H150" s="169"/>
      <c r="I150" s="209"/>
      <c r="J150" s="169"/>
      <c r="K150" s="169"/>
      <c r="L150" s="169"/>
      <c r="M150" s="169"/>
      <c r="N150" s="169"/>
      <c r="O150" s="169"/>
      <c r="P150" s="169"/>
      <c r="Q150" s="169"/>
      <c r="R150" s="169"/>
      <c r="S150" s="169"/>
      <c r="T150" s="169"/>
      <c r="U150" s="169"/>
      <c r="V150" s="169"/>
      <c r="W150" s="169"/>
      <c r="X150" s="169"/>
      <c r="Y150" s="169"/>
      <c r="Z150" s="169"/>
      <c r="AA150" s="169"/>
      <c r="AB150" s="169"/>
      <c r="AC150" s="169"/>
      <c r="AD150" s="169"/>
      <c r="AE150" s="169"/>
      <c r="AF150" s="169"/>
      <c r="AG150" s="169"/>
      <c r="AH150" s="169"/>
      <c r="AI150" s="169"/>
      <c r="AJ150" s="169"/>
      <c r="AK150" s="169"/>
      <c r="AL150" s="169"/>
      <c r="AM150" s="169"/>
      <c r="AN150" s="169"/>
      <c r="AO150" s="169"/>
      <c r="AP150" s="169"/>
      <c r="AQ150" s="169"/>
      <c r="AR150" s="169"/>
      <c r="AS150" s="169"/>
      <c r="AT150" s="169"/>
      <c r="AU150" s="169"/>
      <c r="AV150" s="169"/>
      <c r="AW150" s="169"/>
      <c r="AX150" s="169"/>
      <c r="AY150" s="169"/>
      <c r="AZ150" s="169"/>
      <c r="BA150" s="169"/>
      <c r="BB150" s="169"/>
      <c r="BC150" s="169"/>
      <c r="BD150" s="169"/>
      <c r="BE150" s="169"/>
      <c r="BF150" s="169"/>
      <c r="BG150" s="169"/>
      <c r="BH150" s="169"/>
      <c r="BI150" s="169"/>
      <c r="BJ150" s="169"/>
      <c r="BK150" s="169"/>
      <c r="BL150" s="169"/>
      <c r="BM150" s="169"/>
      <c r="BN150" s="169"/>
      <c r="BO150" s="169"/>
      <c r="BP150" s="169"/>
      <c r="BQ150" s="169" t="str">
        <f>IF(OR(IFERROR(VLOOKUP(CA150,[1]ARS!A:EL,MATCH("Price To Earnings",[1]ARS!$4:$4,0),FALSE),"-")&lt;0,IFERROR(VLOOKUP(CA150,[1]ARS!A:EL,MATCH("Price To Earnings",[1]ARS!$4:$4,0),FALSE),"-")&gt;500),"-",IFERROR(VLOOKUP(CA150,[1]ARS!A:EL,MATCH("Price To Earnings",[1]ARS!$4:$4,0),FALSE),"-"))</f>
        <v>-</v>
      </c>
      <c r="BR150" s="169"/>
      <c r="BS150" s="169"/>
      <c r="BT150" s="169"/>
      <c r="BU150" s="169"/>
      <c r="BV150" s="169"/>
    </row>
    <row r="151" spans="1:74" ht="12.75" customHeight="1" x14ac:dyDescent="0.2">
      <c r="A151" s="169"/>
      <c r="B151" s="169"/>
      <c r="C151" s="169"/>
      <c r="D151" s="169"/>
      <c r="E151" s="169"/>
      <c r="F151" s="169"/>
      <c r="G151" s="169"/>
      <c r="H151" s="169"/>
      <c r="I151" s="209"/>
      <c r="J151" s="169"/>
      <c r="K151" s="169"/>
      <c r="L151" s="169"/>
      <c r="M151" s="169"/>
      <c r="N151" s="169"/>
      <c r="O151" s="169"/>
      <c r="P151" s="169"/>
      <c r="Q151" s="169"/>
      <c r="R151" s="169"/>
      <c r="S151" s="169"/>
      <c r="T151" s="169"/>
      <c r="U151" s="169"/>
      <c r="V151" s="169"/>
      <c r="W151" s="169"/>
      <c r="X151" s="169"/>
      <c r="Y151" s="169"/>
      <c r="Z151" s="169"/>
      <c r="AA151" s="169"/>
      <c r="AB151" s="169"/>
      <c r="AC151" s="169"/>
      <c r="AD151" s="169"/>
      <c r="AE151" s="169"/>
      <c r="AF151" s="169"/>
      <c r="AG151" s="169"/>
      <c r="AH151" s="169"/>
      <c r="AI151" s="169"/>
      <c r="AJ151" s="169"/>
      <c r="AK151" s="169"/>
      <c r="AL151" s="169"/>
      <c r="AM151" s="169"/>
      <c r="AN151" s="169"/>
      <c r="AO151" s="169"/>
      <c r="AP151" s="169"/>
      <c r="AQ151" s="169"/>
      <c r="AR151" s="169"/>
      <c r="AS151" s="169"/>
      <c r="AT151" s="169"/>
      <c r="AU151" s="169"/>
      <c r="AV151" s="169"/>
      <c r="AW151" s="169"/>
      <c r="AX151" s="169"/>
      <c r="AY151" s="169"/>
      <c r="AZ151" s="169"/>
      <c r="BA151" s="169"/>
      <c r="BB151" s="169"/>
      <c r="BC151" s="169"/>
      <c r="BD151" s="169"/>
      <c r="BE151" s="169"/>
      <c r="BF151" s="169"/>
      <c r="BG151" s="169"/>
      <c r="BH151" s="169"/>
      <c r="BI151" s="169"/>
      <c r="BJ151" s="169"/>
      <c r="BK151" s="169"/>
      <c r="BL151" s="169"/>
      <c r="BM151" s="169"/>
      <c r="BN151" s="169"/>
      <c r="BO151" s="169"/>
      <c r="BP151" s="169"/>
      <c r="BQ151" s="169" t="str">
        <f>IF(OR(IFERROR(VLOOKUP(CA151,[1]ARS!A:EL,MATCH("Price To Earnings",[1]ARS!$4:$4,0),FALSE),"-")&lt;0,IFERROR(VLOOKUP(CA151,[1]ARS!A:EL,MATCH("Price To Earnings",[1]ARS!$4:$4,0),FALSE),"-")&gt;500),"-",IFERROR(VLOOKUP(CA151,[1]ARS!A:EL,MATCH("Price To Earnings",[1]ARS!$4:$4,0),FALSE),"-"))</f>
        <v>-</v>
      </c>
      <c r="BR151" s="169"/>
      <c r="BS151" s="169"/>
      <c r="BT151" s="169"/>
      <c r="BU151" s="169"/>
      <c r="BV151" s="169"/>
    </row>
    <row r="152" spans="1:74" ht="12.75" customHeight="1" x14ac:dyDescent="0.2">
      <c r="A152" s="169"/>
      <c r="B152" s="169"/>
      <c r="C152" s="169"/>
      <c r="D152" s="169"/>
      <c r="E152" s="169"/>
      <c r="F152" s="169"/>
      <c r="G152" s="169"/>
      <c r="H152" s="169"/>
      <c r="I152" s="209"/>
      <c r="J152" s="169"/>
      <c r="K152" s="169"/>
      <c r="L152" s="169"/>
      <c r="M152" s="169"/>
      <c r="N152" s="169"/>
      <c r="O152" s="169"/>
      <c r="P152" s="169"/>
      <c r="Q152" s="169"/>
      <c r="R152" s="169"/>
      <c r="S152" s="169"/>
      <c r="T152" s="169"/>
      <c r="U152" s="169"/>
      <c r="V152" s="169"/>
      <c r="W152" s="169"/>
      <c r="X152" s="169"/>
      <c r="Y152" s="169"/>
      <c r="Z152" s="169"/>
      <c r="AA152" s="169"/>
      <c r="AB152" s="169"/>
      <c r="AC152" s="169"/>
      <c r="AD152" s="169"/>
      <c r="AE152" s="169"/>
      <c r="AF152" s="169"/>
      <c r="AG152" s="169"/>
      <c r="AH152" s="169"/>
      <c r="AI152" s="169"/>
      <c r="AJ152" s="169"/>
      <c r="AK152" s="169"/>
      <c r="AL152" s="169"/>
      <c r="AM152" s="169"/>
      <c r="AN152" s="169"/>
      <c r="AO152" s="169"/>
      <c r="AP152" s="169"/>
      <c r="AQ152" s="169"/>
      <c r="AR152" s="169"/>
      <c r="AS152" s="169"/>
      <c r="AT152" s="169"/>
      <c r="AU152" s="169"/>
      <c r="AV152" s="169"/>
      <c r="AW152" s="169"/>
      <c r="AX152" s="169"/>
      <c r="AY152" s="169"/>
      <c r="AZ152" s="169"/>
      <c r="BA152" s="169"/>
      <c r="BB152" s="169"/>
      <c r="BC152" s="169"/>
      <c r="BD152" s="169"/>
      <c r="BE152" s="169"/>
      <c r="BF152" s="169"/>
      <c r="BG152" s="169"/>
      <c r="BH152" s="169"/>
      <c r="BI152" s="169"/>
      <c r="BJ152" s="169"/>
      <c r="BK152" s="169"/>
      <c r="BL152" s="169"/>
      <c r="BM152" s="169"/>
      <c r="BN152" s="169"/>
      <c r="BO152" s="169"/>
      <c r="BP152" s="169"/>
      <c r="BQ152" s="169" t="str">
        <f>IF(OR(IFERROR(VLOOKUP(CA152,[1]ARS!A:EL,MATCH("Price To Earnings",[1]ARS!$4:$4,0),FALSE),"-")&lt;0,IFERROR(VLOOKUP(CA152,[1]ARS!A:EL,MATCH("Price To Earnings",[1]ARS!$4:$4,0),FALSE),"-")&gt;500),"-",IFERROR(VLOOKUP(CA152,[1]ARS!A:EL,MATCH("Price To Earnings",[1]ARS!$4:$4,0),FALSE),"-"))</f>
        <v>-</v>
      </c>
      <c r="BR152" s="169"/>
      <c r="BS152" s="169"/>
      <c r="BT152" s="169"/>
      <c r="BU152" s="169"/>
      <c r="BV152" s="169"/>
    </row>
    <row r="153" spans="1:74" ht="12.75" customHeight="1" x14ac:dyDescent="0.2">
      <c r="A153" s="169"/>
      <c r="B153" s="169"/>
      <c r="C153" s="169"/>
      <c r="D153" s="169"/>
      <c r="E153" s="169"/>
      <c r="F153" s="169"/>
      <c r="G153" s="169"/>
      <c r="H153" s="169"/>
      <c r="I153" s="209"/>
      <c r="J153" s="169"/>
      <c r="K153" s="169"/>
      <c r="L153" s="169"/>
      <c r="M153" s="169"/>
      <c r="N153" s="169"/>
      <c r="O153" s="169"/>
      <c r="P153" s="169"/>
      <c r="Q153" s="169"/>
      <c r="R153" s="169"/>
      <c r="S153" s="169"/>
      <c r="T153" s="169"/>
      <c r="U153" s="169"/>
      <c r="V153" s="169"/>
      <c r="W153" s="169"/>
      <c r="X153" s="169"/>
      <c r="Y153" s="169"/>
      <c r="Z153" s="169"/>
      <c r="AA153" s="169"/>
      <c r="AB153" s="169"/>
      <c r="AC153" s="169"/>
      <c r="AD153" s="169"/>
      <c r="AE153" s="169"/>
      <c r="AF153" s="169"/>
      <c r="AG153" s="169"/>
      <c r="AH153" s="169"/>
      <c r="AI153" s="169"/>
      <c r="AJ153" s="169"/>
      <c r="AK153" s="169"/>
      <c r="AL153" s="169"/>
      <c r="AM153" s="169"/>
      <c r="AN153" s="169"/>
      <c r="AO153" s="169"/>
      <c r="AP153" s="169"/>
      <c r="AQ153" s="169"/>
      <c r="AR153" s="169"/>
      <c r="AS153" s="169"/>
      <c r="AT153" s="169"/>
      <c r="AU153" s="169"/>
      <c r="AV153" s="169"/>
      <c r="AW153" s="169"/>
      <c r="AX153" s="169"/>
      <c r="AY153" s="169"/>
      <c r="AZ153" s="169"/>
      <c r="BA153" s="169"/>
      <c r="BB153" s="169"/>
      <c r="BC153" s="169"/>
      <c r="BD153" s="169"/>
      <c r="BE153" s="169"/>
      <c r="BF153" s="169"/>
      <c r="BG153" s="169"/>
      <c r="BH153" s="169"/>
      <c r="BI153" s="169"/>
      <c r="BJ153" s="169"/>
      <c r="BK153" s="169"/>
      <c r="BL153" s="169"/>
      <c r="BM153" s="169"/>
      <c r="BN153" s="169"/>
      <c r="BO153" s="169"/>
      <c r="BP153" s="169"/>
      <c r="BQ153" s="169"/>
      <c r="BR153" s="169"/>
      <c r="BS153" s="169"/>
      <c r="BT153" s="169"/>
      <c r="BU153" s="169"/>
      <c r="BV153" s="169"/>
    </row>
    <row r="154" spans="1:74" ht="12.75" customHeight="1" x14ac:dyDescent="0.2">
      <c r="A154" s="169"/>
      <c r="B154" s="169"/>
      <c r="C154" s="169"/>
      <c r="D154" s="169"/>
      <c r="E154" s="169"/>
      <c r="F154" s="169"/>
      <c r="G154" s="169"/>
      <c r="H154" s="169"/>
      <c r="I154" s="209"/>
      <c r="J154" s="169"/>
      <c r="K154" s="169"/>
      <c r="L154" s="169"/>
      <c r="M154" s="169"/>
      <c r="N154" s="169"/>
      <c r="O154" s="169"/>
      <c r="P154" s="169"/>
      <c r="Q154" s="169"/>
      <c r="R154" s="169"/>
      <c r="S154" s="169"/>
      <c r="T154" s="169"/>
      <c r="U154" s="169"/>
      <c r="V154" s="169"/>
      <c r="W154" s="169"/>
      <c r="X154" s="169"/>
      <c r="Y154" s="169"/>
      <c r="Z154" s="169"/>
      <c r="AA154" s="169"/>
      <c r="AB154" s="169"/>
      <c r="AC154" s="169"/>
      <c r="AD154" s="169"/>
      <c r="AE154" s="169"/>
      <c r="AF154" s="169"/>
      <c r="AG154" s="169"/>
      <c r="AH154" s="169"/>
      <c r="AI154" s="169"/>
      <c r="AJ154" s="169"/>
      <c r="AK154" s="169"/>
      <c r="AL154" s="169"/>
      <c r="AM154" s="169"/>
      <c r="AN154" s="169"/>
      <c r="AO154" s="169"/>
      <c r="AP154" s="169"/>
      <c r="AQ154" s="169"/>
      <c r="AR154" s="169"/>
      <c r="AS154" s="169"/>
      <c r="AT154" s="169"/>
      <c r="AU154" s="169"/>
      <c r="AV154" s="169"/>
      <c r="AW154" s="169"/>
      <c r="AX154" s="169"/>
      <c r="AY154" s="169"/>
      <c r="AZ154" s="169"/>
      <c r="BA154" s="169"/>
      <c r="BB154" s="169"/>
      <c r="BC154" s="169"/>
      <c r="BD154" s="169"/>
      <c r="BE154" s="169"/>
      <c r="BF154" s="169"/>
      <c r="BG154" s="169"/>
      <c r="BH154" s="169"/>
      <c r="BI154" s="169"/>
      <c r="BJ154" s="169"/>
      <c r="BK154" s="169"/>
      <c r="BL154" s="169"/>
      <c r="BM154" s="169"/>
      <c r="BN154" s="169"/>
      <c r="BO154" s="169"/>
      <c r="BP154" s="169"/>
      <c r="BQ154" s="169" t="str">
        <f>IF(OR(IFERROR(VLOOKUP(CA154,[1]ARS!A:EL,MATCH("Price To Earnings",[1]ARS!$4:$4,0),FALSE),"-")&lt;0,IFERROR(VLOOKUP(CA154,[1]ARS!A:EL,MATCH("Price To Earnings",[1]ARS!$4:$4,0),FALSE),"-")&gt;500),"-",IFERROR(VLOOKUP(CA154,[1]ARS!A:EL,MATCH("Price To Earnings",[1]ARS!$4:$4,0),FALSE),"-"))</f>
        <v>-</v>
      </c>
      <c r="BR154" s="169"/>
      <c r="BS154" s="169"/>
      <c r="BT154" s="169"/>
      <c r="BU154" s="169"/>
      <c r="BV154" s="169"/>
    </row>
    <row r="155" spans="1:74" ht="12.75" customHeight="1" x14ac:dyDescent="0.2">
      <c r="A155" s="169"/>
      <c r="B155" s="169"/>
      <c r="C155" s="169"/>
      <c r="D155" s="169"/>
      <c r="E155" s="169"/>
      <c r="F155" s="169"/>
      <c r="G155" s="169"/>
      <c r="H155" s="169"/>
      <c r="I155" s="209"/>
      <c r="J155" s="169"/>
      <c r="K155" s="169"/>
      <c r="L155" s="169"/>
      <c r="M155" s="169"/>
      <c r="N155" s="169"/>
      <c r="O155" s="169"/>
      <c r="P155" s="169"/>
      <c r="Q155" s="169"/>
      <c r="R155" s="169"/>
      <c r="S155" s="169"/>
      <c r="T155" s="169"/>
      <c r="U155" s="169"/>
      <c r="V155" s="169"/>
      <c r="W155" s="169"/>
      <c r="X155" s="169"/>
      <c r="Y155" s="169"/>
      <c r="Z155" s="169"/>
      <c r="AA155" s="169"/>
      <c r="AB155" s="169"/>
      <c r="AC155" s="169"/>
      <c r="AD155" s="169"/>
      <c r="AE155" s="169"/>
      <c r="AF155" s="169"/>
      <c r="AG155" s="169"/>
      <c r="AH155" s="169"/>
      <c r="AI155" s="169"/>
      <c r="AJ155" s="169"/>
      <c r="AK155" s="169"/>
      <c r="AL155" s="169"/>
      <c r="AM155" s="169"/>
      <c r="AN155" s="169"/>
      <c r="AO155" s="169"/>
      <c r="AP155" s="169"/>
      <c r="AQ155" s="169"/>
      <c r="AR155" s="169"/>
      <c r="AS155" s="169"/>
      <c r="AT155" s="169"/>
      <c r="AU155" s="169"/>
      <c r="AV155" s="169"/>
      <c r="AW155" s="169"/>
      <c r="AX155" s="169"/>
      <c r="AY155" s="169"/>
      <c r="AZ155" s="169"/>
      <c r="BA155" s="169"/>
      <c r="BB155" s="169"/>
      <c r="BC155" s="169"/>
      <c r="BD155" s="169"/>
      <c r="BE155" s="169"/>
      <c r="BF155" s="169"/>
      <c r="BG155" s="169"/>
      <c r="BH155" s="169"/>
      <c r="BI155" s="169"/>
      <c r="BJ155" s="169"/>
      <c r="BK155" s="169"/>
      <c r="BL155" s="169"/>
      <c r="BM155" s="169"/>
      <c r="BN155" s="169"/>
      <c r="BO155" s="169"/>
      <c r="BP155" s="169"/>
      <c r="BQ155" s="169" t="str">
        <f>IF(OR(IFERROR(VLOOKUP(CA155,[1]ARS!A:EL,MATCH("Price To Earnings",[1]ARS!$4:$4,0),FALSE),"-")&lt;0,IFERROR(VLOOKUP(CA155,[1]ARS!A:EL,MATCH("Price To Earnings",[1]ARS!$4:$4,0),FALSE),"-")&gt;500),"-",IFERROR(VLOOKUP(CA155,[1]ARS!A:EL,MATCH("Price To Earnings",[1]ARS!$4:$4,0),FALSE),"-"))</f>
        <v>-</v>
      </c>
      <c r="BR155" s="169"/>
      <c r="BS155" s="169"/>
      <c r="BT155" s="169"/>
      <c r="BU155" s="169"/>
      <c r="BV155" s="169"/>
    </row>
    <row r="156" spans="1:74" ht="12.75" customHeight="1" x14ac:dyDescent="0.2">
      <c r="A156" s="169"/>
      <c r="B156" s="169"/>
      <c r="C156" s="169"/>
      <c r="D156" s="169"/>
      <c r="E156" s="169"/>
      <c r="F156" s="169"/>
      <c r="G156" s="169"/>
      <c r="H156" s="169"/>
      <c r="I156" s="209"/>
      <c r="J156" s="169"/>
      <c r="K156" s="169"/>
      <c r="L156" s="169"/>
      <c r="M156" s="169"/>
      <c r="N156" s="169"/>
      <c r="O156" s="169"/>
      <c r="P156" s="169"/>
      <c r="Q156" s="169"/>
      <c r="R156" s="169"/>
      <c r="S156" s="169"/>
      <c r="T156" s="169"/>
      <c r="U156" s="169"/>
      <c r="V156" s="169"/>
      <c r="W156" s="169"/>
      <c r="X156" s="169"/>
      <c r="Y156" s="169"/>
      <c r="Z156" s="169"/>
      <c r="AA156" s="169"/>
      <c r="AB156" s="169"/>
      <c r="AC156" s="169"/>
      <c r="AD156" s="169"/>
      <c r="AE156" s="169"/>
      <c r="AF156" s="169"/>
      <c r="AG156" s="169"/>
      <c r="AH156" s="169"/>
      <c r="AI156" s="169"/>
      <c r="AJ156" s="169"/>
      <c r="AK156" s="169"/>
      <c r="AL156" s="169"/>
      <c r="AM156" s="169"/>
      <c r="AN156" s="169"/>
      <c r="AO156" s="169"/>
      <c r="AP156" s="169"/>
      <c r="AQ156" s="169"/>
      <c r="AR156" s="169"/>
      <c r="AS156" s="169"/>
      <c r="AT156" s="169"/>
      <c r="AU156" s="169"/>
      <c r="AV156" s="169"/>
      <c r="AW156" s="169"/>
      <c r="AX156" s="169"/>
      <c r="AY156" s="169"/>
      <c r="AZ156" s="169"/>
      <c r="BA156" s="169"/>
      <c r="BB156" s="169"/>
      <c r="BC156" s="169"/>
      <c r="BD156" s="169"/>
      <c r="BE156" s="169"/>
      <c r="BF156" s="169"/>
      <c r="BG156" s="169"/>
      <c r="BH156" s="169"/>
      <c r="BI156" s="169"/>
      <c r="BJ156" s="169"/>
      <c r="BK156" s="169"/>
      <c r="BL156" s="169"/>
      <c r="BM156" s="169"/>
      <c r="BN156" s="169"/>
      <c r="BO156" s="169"/>
      <c r="BP156" s="169"/>
      <c r="BQ156" s="169"/>
      <c r="BR156" s="169"/>
      <c r="BS156" s="169"/>
      <c r="BT156" s="169"/>
      <c r="BU156" s="169"/>
      <c r="BV156" s="169"/>
    </row>
    <row r="157" spans="1:74" ht="12.75" customHeight="1" x14ac:dyDescent="0.2">
      <c r="A157" s="169"/>
      <c r="B157" s="169"/>
      <c r="C157" s="169"/>
      <c r="D157" s="169"/>
      <c r="E157" s="169"/>
      <c r="F157" s="169"/>
      <c r="G157" s="169"/>
      <c r="H157" s="169"/>
      <c r="I157" s="209"/>
      <c r="J157" s="169"/>
      <c r="K157" s="169"/>
      <c r="L157" s="169"/>
      <c r="M157" s="169"/>
      <c r="N157" s="169"/>
      <c r="O157" s="169"/>
      <c r="P157" s="169"/>
      <c r="Q157" s="169"/>
      <c r="R157" s="169"/>
      <c r="S157" s="169"/>
      <c r="T157" s="169"/>
      <c r="U157" s="169"/>
      <c r="V157" s="169"/>
      <c r="W157" s="169"/>
      <c r="X157" s="169"/>
      <c r="Y157" s="169"/>
      <c r="Z157" s="169"/>
      <c r="AA157" s="169"/>
      <c r="AB157" s="169"/>
      <c r="AC157" s="169"/>
      <c r="AD157" s="169"/>
      <c r="AE157" s="169"/>
      <c r="AF157" s="169"/>
      <c r="AG157" s="169"/>
      <c r="AH157" s="169"/>
      <c r="AI157" s="169"/>
      <c r="AJ157" s="169"/>
      <c r="AK157" s="169"/>
      <c r="AL157" s="169"/>
      <c r="AM157" s="169"/>
      <c r="AN157" s="169"/>
      <c r="AO157" s="169"/>
      <c r="AP157" s="169"/>
      <c r="AQ157" s="169"/>
      <c r="AR157" s="169"/>
      <c r="AS157" s="169"/>
      <c r="AT157" s="169"/>
      <c r="AU157" s="169"/>
      <c r="AV157" s="169"/>
      <c r="AW157" s="169"/>
      <c r="AX157" s="169"/>
      <c r="AY157" s="169"/>
      <c r="AZ157" s="169"/>
      <c r="BA157" s="169"/>
      <c r="BB157" s="169"/>
      <c r="BC157" s="169"/>
      <c r="BD157" s="169"/>
      <c r="BE157" s="169"/>
      <c r="BF157" s="169"/>
      <c r="BG157" s="169"/>
      <c r="BH157" s="169"/>
      <c r="BI157" s="169"/>
      <c r="BJ157" s="169"/>
      <c r="BK157" s="169"/>
      <c r="BL157" s="169"/>
      <c r="BM157" s="169"/>
      <c r="BN157" s="169"/>
      <c r="BO157" s="169"/>
      <c r="BP157" s="169"/>
      <c r="BQ157" s="169"/>
      <c r="BR157" s="169"/>
      <c r="BS157" s="169"/>
      <c r="BT157" s="169"/>
      <c r="BU157" s="169"/>
      <c r="BV157" s="169"/>
    </row>
    <row r="158" spans="1:74" ht="12.75" customHeight="1" x14ac:dyDescent="0.2">
      <c r="A158" s="169"/>
      <c r="B158" s="169"/>
      <c r="C158" s="169"/>
      <c r="D158" s="169"/>
      <c r="E158" s="169"/>
      <c r="F158" s="169"/>
      <c r="G158" s="169"/>
      <c r="H158" s="169"/>
      <c r="I158" s="209"/>
      <c r="J158" s="169"/>
      <c r="K158" s="169"/>
      <c r="L158" s="169"/>
      <c r="M158" s="169"/>
      <c r="N158" s="169"/>
      <c r="O158" s="169"/>
      <c r="P158" s="169"/>
      <c r="Q158" s="169"/>
      <c r="R158" s="169"/>
      <c r="S158" s="169"/>
      <c r="T158" s="169"/>
      <c r="U158" s="169"/>
      <c r="V158" s="169"/>
      <c r="W158" s="169"/>
      <c r="X158" s="169"/>
      <c r="Y158" s="169"/>
      <c r="Z158" s="169"/>
      <c r="AA158" s="169"/>
      <c r="AB158" s="169"/>
      <c r="AC158" s="169"/>
      <c r="AD158" s="169"/>
      <c r="AE158" s="169"/>
      <c r="AF158" s="169"/>
      <c r="AG158" s="169"/>
      <c r="AH158" s="169"/>
      <c r="AI158" s="169"/>
      <c r="AJ158" s="169"/>
      <c r="AK158" s="169"/>
      <c r="AL158" s="169"/>
      <c r="AM158" s="169"/>
      <c r="AN158" s="169"/>
      <c r="AO158" s="169"/>
      <c r="AP158" s="169"/>
      <c r="AQ158" s="169"/>
      <c r="AR158" s="169"/>
      <c r="AS158" s="169"/>
      <c r="AT158" s="169"/>
      <c r="AU158" s="169"/>
      <c r="AV158" s="169"/>
      <c r="AW158" s="169"/>
      <c r="AX158" s="169"/>
      <c r="AY158" s="169"/>
      <c r="AZ158" s="169"/>
      <c r="BA158" s="169"/>
      <c r="BB158" s="169"/>
      <c r="BC158" s="169"/>
      <c r="BD158" s="169"/>
      <c r="BE158" s="169"/>
      <c r="BF158" s="169"/>
      <c r="BG158" s="169"/>
      <c r="BH158" s="169"/>
      <c r="BI158" s="169"/>
      <c r="BJ158" s="169"/>
      <c r="BK158" s="169"/>
      <c r="BL158" s="169"/>
      <c r="BM158" s="169"/>
      <c r="BN158" s="169"/>
      <c r="BO158" s="169"/>
      <c r="BP158" s="169"/>
      <c r="BQ158" s="169"/>
      <c r="BR158" s="169"/>
      <c r="BS158" s="169"/>
      <c r="BT158" s="169"/>
      <c r="BU158" s="169"/>
      <c r="BV158" s="169"/>
    </row>
    <row r="159" spans="1:74" ht="12.75" customHeight="1" x14ac:dyDescent="0.2">
      <c r="A159" s="169"/>
      <c r="B159" s="169"/>
      <c r="C159" s="169"/>
      <c r="D159" s="169"/>
      <c r="E159" s="169"/>
      <c r="F159" s="169"/>
      <c r="G159" s="169"/>
      <c r="H159" s="169"/>
      <c r="I159" s="209"/>
      <c r="J159" s="169"/>
      <c r="K159" s="169"/>
      <c r="L159" s="169"/>
      <c r="M159" s="169"/>
      <c r="N159" s="169"/>
      <c r="O159" s="169"/>
      <c r="P159" s="169"/>
      <c r="Q159" s="169"/>
      <c r="R159" s="169"/>
      <c r="S159" s="169"/>
      <c r="T159" s="169"/>
      <c r="U159" s="169"/>
      <c r="V159" s="169"/>
      <c r="W159" s="169"/>
      <c r="X159" s="169"/>
      <c r="Y159" s="169"/>
      <c r="Z159" s="169"/>
      <c r="AA159" s="169"/>
      <c r="AB159" s="169"/>
      <c r="AC159" s="169"/>
      <c r="AD159" s="169"/>
      <c r="AE159" s="169"/>
      <c r="AF159" s="169"/>
      <c r="AG159" s="169"/>
      <c r="AH159" s="169"/>
      <c r="AI159" s="169"/>
      <c r="AJ159" s="169"/>
      <c r="AK159" s="169"/>
      <c r="AL159" s="169"/>
      <c r="AM159" s="169"/>
      <c r="AN159" s="169"/>
      <c r="AO159" s="169"/>
      <c r="AP159" s="169"/>
      <c r="AQ159" s="169"/>
      <c r="AR159" s="169"/>
      <c r="AS159" s="169"/>
      <c r="AT159" s="169"/>
      <c r="AU159" s="169"/>
      <c r="AV159" s="169"/>
      <c r="AW159" s="169"/>
      <c r="AX159" s="169"/>
      <c r="AY159" s="169"/>
      <c r="AZ159" s="169"/>
      <c r="BA159" s="169"/>
      <c r="BB159" s="169"/>
      <c r="BC159" s="169"/>
      <c r="BD159" s="169"/>
      <c r="BE159" s="169"/>
      <c r="BF159" s="169"/>
      <c r="BG159" s="169"/>
      <c r="BH159" s="169"/>
      <c r="BI159" s="169"/>
      <c r="BJ159" s="169"/>
      <c r="BK159" s="169"/>
      <c r="BL159" s="169"/>
      <c r="BM159" s="169"/>
      <c r="BN159" s="169"/>
      <c r="BO159" s="169"/>
      <c r="BP159" s="169"/>
      <c r="BQ159" s="169"/>
      <c r="BR159" s="169"/>
      <c r="BS159" s="169"/>
      <c r="BT159" s="169"/>
      <c r="BU159" s="169"/>
      <c r="BV159" s="169"/>
    </row>
    <row r="160" spans="1:74" ht="12.75" customHeight="1" x14ac:dyDescent="0.2">
      <c r="A160" s="169"/>
      <c r="B160" s="169"/>
      <c r="C160" s="169"/>
      <c r="D160" s="169"/>
      <c r="E160" s="169"/>
      <c r="F160" s="169"/>
      <c r="G160" s="169"/>
      <c r="H160" s="169"/>
      <c r="I160" s="209"/>
      <c r="J160" s="169"/>
      <c r="K160" s="169"/>
      <c r="L160" s="169"/>
      <c r="M160" s="169"/>
      <c r="N160" s="169"/>
      <c r="O160" s="169"/>
      <c r="P160" s="169"/>
      <c r="Q160" s="169"/>
      <c r="R160" s="169"/>
      <c r="S160" s="169"/>
      <c r="T160" s="169"/>
      <c r="U160" s="169"/>
      <c r="V160" s="169"/>
      <c r="W160" s="169"/>
      <c r="X160" s="169"/>
      <c r="Y160" s="169"/>
      <c r="Z160" s="169"/>
      <c r="AA160" s="169"/>
      <c r="AB160" s="169"/>
      <c r="AC160" s="169"/>
      <c r="AD160" s="169"/>
      <c r="AE160" s="169"/>
      <c r="AF160" s="169"/>
      <c r="AG160" s="169"/>
      <c r="AH160" s="169"/>
      <c r="AI160" s="169"/>
      <c r="AJ160" s="169"/>
      <c r="AK160" s="169"/>
      <c r="AL160" s="169"/>
      <c r="AM160" s="169"/>
      <c r="AN160" s="169"/>
      <c r="AO160" s="169"/>
      <c r="AP160" s="169"/>
      <c r="AQ160" s="169"/>
      <c r="AR160" s="169"/>
      <c r="AS160" s="169"/>
      <c r="AT160" s="169"/>
      <c r="AU160" s="169"/>
      <c r="AV160" s="169"/>
      <c r="AW160" s="169"/>
      <c r="AX160" s="169"/>
      <c r="AY160" s="169"/>
      <c r="AZ160" s="169"/>
      <c r="BA160" s="169"/>
      <c r="BB160" s="169"/>
      <c r="BC160" s="169"/>
      <c r="BD160" s="169"/>
      <c r="BE160" s="169"/>
      <c r="BF160" s="169"/>
      <c r="BG160" s="169"/>
      <c r="BH160" s="169"/>
      <c r="BI160" s="169"/>
      <c r="BJ160" s="169"/>
      <c r="BK160" s="169"/>
      <c r="BL160" s="169"/>
      <c r="BM160" s="169"/>
      <c r="BN160" s="169"/>
      <c r="BO160" s="169"/>
      <c r="BP160" s="169"/>
      <c r="BQ160" s="169"/>
      <c r="BR160" s="169"/>
      <c r="BS160" s="169"/>
      <c r="BT160" s="169"/>
      <c r="BU160" s="169"/>
      <c r="BV160" s="169"/>
    </row>
    <row r="161" spans="1:74" ht="12.75" customHeight="1" x14ac:dyDescent="0.2">
      <c r="A161" s="169"/>
      <c r="B161" s="169"/>
      <c r="C161" s="169"/>
      <c r="D161" s="169"/>
      <c r="E161" s="169"/>
      <c r="F161" s="169"/>
      <c r="G161" s="169"/>
      <c r="H161" s="169"/>
      <c r="I161" s="209"/>
      <c r="J161" s="169"/>
      <c r="K161" s="169"/>
      <c r="L161" s="169"/>
      <c r="M161" s="169"/>
      <c r="N161" s="169"/>
      <c r="O161" s="169"/>
      <c r="P161" s="169"/>
      <c r="Q161" s="169"/>
      <c r="R161" s="169"/>
      <c r="S161" s="169"/>
      <c r="T161" s="169"/>
      <c r="U161" s="169"/>
      <c r="V161" s="169"/>
      <c r="W161" s="169"/>
      <c r="X161" s="169"/>
      <c r="Y161" s="169"/>
      <c r="Z161" s="169"/>
      <c r="AA161" s="169"/>
      <c r="AB161" s="169"/>
      <c r="AC161" s="169"/>
      <c r="AD161" s="169"/>
      <c r="AE161" s="169"/>
      <c r="AF161" s="169"/>
      <c r="AG161" s="169"/>
      <c r="AH161" s="169"/>
      <c r="AI161" s="169"/>
      <c r="AJ161" s="169"/>
      <c r="AK161" s="169"/>
      <c r="AL161" s="169"/>
      <c r="AM161" s="169"/>
      <c r="AN161" s="169"/>
      <c r="AO161" s="169"/>
      <c r="AP161" s="169"/>
      <c r="AQ161" s="169"/>
      <c r="AR161" s="169"/>
      <c r="AS161" s="169"/>
      <c r="AT161" s="169"/>
      <c r="AU161" s="169"/>
      <c r="AV161" s="169"/>
      <c r="AW161" s="169"/>
      <c r="AX161" s="169"/>
      <c r="AY161" s="169"/>
      <c r="AZ161" s="169"/>
      <c r="BA161" s="169"/>
      <c r="BB161" s="169"/>
      <c r="BC161" s="169"/>
      <c r="BD161" s="169"/>
      <c r="BE161" s="169"/>
      <c r="BF161" s="169"/>
      <c r="BG161" s="169"/>
      <c r="BH161" s="169"/>
      <c r="BI161" s="169"/>
      <c r="BJ161" s="169"/>
      <c r="BK161" s="169"/>
      <c r="BL161" s="169"/>
      <c r="BM161" s="169"/>
      <c r="BN161" s="169"/>
      <c r="BO161" s="169"/>
      <c r="BP161" s="169"/>
      <c r="BQ161" s="169"/>
      <c r="BR161" s="169"/>
      <c r="BS161" s="169"/>
      <c r="BT161" s="169"/>
      <c r="BU161" s="169"/>
      <c r="BV161" s="169"/>
    </row>
    <row r="162" spans="1:74" ht="12.75" customHeight="1" x14ac:dyDescent="0.2">
      <c r="A162" s="169"/>
      <c r="B162" s="169"/>
      <c r="C162" s="169"/>
      <c r="D162" s="169"/>
      <c r="E162" s="169"/>
      <c r="F162" s="169"/>
      <c r="G162" s="169"/>
      <c r="H162" s="169"/>
      <c r="I162" s="209"/>
      <c r="J162" s="169"/>
      <c r="K162" s="169"/>
      <c r="L162" s="169"/>
      <c r="M162" s="169"/>
      <c r="N162" s="169"/>
      <c r="O162" s="169"/>
      <c r="P162" s="169"/>
      <c r="Q162" s="169"/>
      <c r="R162" s="169"/>
      <c r="S162" s="169"/>
      <c r="T162" s="169"/>
      <c r="U162" s="169"/>
      <c r="V162" s="169"/>
      <c r="W162" s="169"/>
      <c r="X162" s="169"/>
      <c r="Y162" s="169"/>
      <c r="Z162" s="169"/>
      <c r="AA162" s="169"/>
      <c r="AB162" s="169"/>
      <c r="AC162" s="169"/>
      <c r="AD162" s="169"/>
      <c r="AE162" s="169"/>
      <c r="AF162" s="169"/>
      <c r="AG162" s="169"/>
      <c r="AH162" s="169"/>
      <c r="AI162" s="169"/>
      <c r="AJ162" s="169"/>
      <c r="AK162" s="169"/>
      <c r="AL162" s="169"/>
      <c r="AM162" s="169"/>
      <c r="AN162" s="169"/>
      <c r="AO162" s="169"/>
      <c r="AP162" s="169"/>
      <c r="AQ162" s="169"/>
      <c r="AR162" s="169"/>
      <c r="AS162" s="169"/>
      <c r="AT162" s="169"/>
      <c r="AU162" s="169"/>
      <c r="AV162" s="169"/>
      <c r="AW162" s="169"/>
      <c r="AX162" s="169"/>
      <c r="AY162" s="169"/>
      <c r="AZ162" s="169"/>
      <c r="BA162" s="169"/>
      <c r="BB162" s="169"/>
      <c r="BC162" s="169"/>
      <c r="BD162" s="169"/>
      <c r="BE162" s="169"/>
      <c r="BF162" s="169"/>
      <c r="BG162" s="169"/>
      <c r="BH162" s="169"/>
      <c r="BI162" s="169"/>
      <c r="BJ162" s="169"/>
      <c r="BK162" s="169"/>
      <c r="BL162" s="169"/>
      <c r="BM162" s="169"/>
      <c r="BN162" s="169"/>
      <c r="BO162" s="169"/>
      <c r="BP162" s="169"/>
      <c r="BQ162" s="169"/>
      <c r="BR162" s="169"/>
      <c r="BS162" s="169"/>
      <c r="BT162" s="169"/>
      <c r="BU162" s="169"/>
      <c r="BV162" s="169"/>
    </row>
    <row r="163" spans="1:74" ht="12.75" customHeight="1" x14ac:dyDescent="0.2">
      <c r="A163" s="169"/>
      <c r="B163" s="169"/>
      <c r="C163" s="169"/>
      <c r="D163" s="169"/>
      <c r="E163" s="169"/>
      <c r="F163" s="169"/>
      <c r="G163" s="169"/>
      <c r="H163" s="169"/>
      <c r="I163" s="209"/>
      <c r="J163" s="169"/>
      <c r="K163" s="169"/>
      <c r="L163" s="169"/>
      <c r="M163" s="169"/>
      <c r="N163" s="169"/>
      <c r="O163" s="169"/>
      <c r="P163" s="169"/>
      <c r="Q163" s="169"/>
      <c r="R163" s="169"/>
      <c r="S163" s="169"/>
      <c r="T163" s="169"/>
      <c r="U163" s="169"/>
      <c r="V163" s="169"/>
      <c r="W163" s="169"/>
      <c r="X163" s="169"/>
      <c r="Y163" s="169"/>
      <c r="Z163" s="169"/>
      <c r="AA163" s="169"/>
      <c r="AB163" s="169"/>
      <c r="AC163" s="169"/>
      <c r="AD163" s="169"/>
      <c r="AE163" s="169"/>
      <c r="AF163" s="169"/>
      <c r="AG163" s="169"/>
      <c r="AH163" s="169"/>
      <c r="AI163" s="169"/>
      <c r="AJ163" s="169"/>
      <c r="AK163" s="169"/>
      <c r="AL163" s="169"/>
      <c r="AM163" s="169"/>
      <c r="AN163" s="169"/>
      <c r="AO163" s="169"/>
      <c r="AP163" s="169"/>
      <c r="AQ163" s="169"/>
      <c r="AR163" s="169"/>
      <c r="AS163" s="169"/>
      <c r="AT163" s="169"/>
      <c r="AU163" s="169"/>
      <c r="AV163" s="169"/>
      <c r="AW163" s="169"/>
      <c r="AX163" s="169"/>
      <c r="AY163" s="169"/>
      <c r="AZ163" s="169"/>
      <c r="BA163" s="169"/>
      <c r="BB163" s="169"/>
      <c r="BC163" s="169"/>
      <c r="BD163" s="169"/>
      <c r="BE163" s="169"/>
      <c r="BF163" s="169"/>
      <c r="BG163" s="169"/>
      <c r="BH163" s="169"/>
      <c r="BI163" s="169"/>
      <c r="BJ163" s="169"/>
      <c r="BK163" s="169"/>
      <c r="BL163" s="169"/>
      <c r="BM163" s="169"/>
      <c r="BN163" s="169"/>
      <c r="BO163" s="169"/>
      <c r="BP163" s="169"/>
      <c r="BQ163" s="169"/>
      <c r="BR163" s="169"/>
      <c r="BS163" s="169"/>
      <c r="BT163" s="169"/>
      <c r="BU163" s="169"/>
      <c r="BV163" s="169"/>
    </row>
  </sheetData>
  <mergeCells count="90">
    <mergeCell ref="A24:BB24"/>
    <mergeCell ref="A14:BB14"/>
    <mergeCell ref="A15:BB15"/>
    <mergeCell ref="A21:BB21"/>
    <mergeCell ref="A22:BB22"/>
    <mergeCell ref="A23:BB23"/>
    <mergeCell ref="A38:BB38"/>
    <mergeCell ref="A25:BB25"/>
    <mergeCell ref="A26:BB26"/>
    <mergeCell ref="A27:BB27"/>
    <mergeCell ref="A28:BB28"/>
    <mergeCell ref="A29:BB29"/>
    <mergeCell ref="A30:BB30"/>
    <mergeCell ref="A31:BB32"/>
    <mergeCell ref="A33:BB34"/>
    <mergeCell ref="A35:BB35"/>
    <mergeCell ref="A36:BB36"/>
    <mergeCell ref="A37:BB37"/>
    <mergeCell ref="AF56:AG56"/>
    <mergeCell ref="A39:BC40"/>
    <mergeCell ref="H49:I49"/>
    <mergeCell ref="J49:AA49"/>
    <mergeCell ref="AF49:AG49"/>
    <mergeCell ref="AH49:AX49"/>
    <mergeCell ref="AF50:AG50"/>
    <mergeCell ref="AF51:AG51"/>
    <mergeCell ref="AF52:AG52"/>
    <mergeCell ref="AF53:AG53"/>
    <mergeCell ref="AF54:AG54"/>
    <mergeCell ref="AF55:AG55"/>
    <mergeCell ref="AF68:AG68"/>
    <mergeCell ref="AF57:AG57"/>
    <mergeCell ref="AF58:AG58"/>
    <mergeCell ref="AF59:AG59"/>
    <mergeCell ref="AF60:AG60"/>
    <mergeCell ref="AF61:AG61"/>
    <mergeCell ref="AF62:AG62"/>
    <mergeCell ref="AF63:AG63"/>
    <mergeCell ref="AF64:AG64"/>
    <mergeCell ref="AF65:AG65"/>
    <mergeCell ref="AF66:AG66"/>
    <mergeCell ref="AF67:AG67"/>
    <mergeCell ref="AF80:AG80"/>
    <mergeCell ref="AF69:AG69"/>
    <mergeCell ref="AF70:AG70"/>
    <mergeCell ref="AF71:AG71"/>
    <mergeCell ref="AF72:AG72"/>
    <mergeCell ref="AF73:AG73"/>
    <mergeCell ref="AF74:AG74"/>
    <mergeCell ref="AF75:AG75"/>
    <mergeCell ref="AF76:AG76"/>
    <mergeCell ref="AF77:AG77"/>
    <mergeCell ref="AF78:AG78"/>
    <mergeCell ref="AF79:AG79"/>
    <mergeCell ref="A92:B92"/>
    <mergeCell ref="AF81:AG81"/>
    <mergeCell ref="AF82:AG82"/>
    <mergeCell ref="AF83:AG83"/>
    <mergeCell ref="AF84:AG84"/>
    <mergeCell ref="AF85:AG85"/>
    <mergeCell ref="AF86:AG86"/>
    <mergeCell ref="AF87:AG87"/>
    <mergeCell ref="AF88:AG88"/>
    <mergeCell ref="A89:B89"/>
    <mergeCell ref="A90:B90"/>
    <mergeCell ref="A91:B91"/>
    <mergeCell ref="A104:B104"/>
    <mergeCell ref="A93:B93"/>
    <mergeCell ref="A94:B94"/>
    <mergeCell ref="A95:B95"/>
    <mergeCell ref="A96:B96"/>
    <mergeCell ref="A97:B97"/>
    <mergeCell ref="A98:B98"/>
    <mergeCell ref="A99:B99"/>
    <mergeCell ref="A100:B100"/>
    <mergeCell ref="A101:B101"/>
    <mergeCell ref="A102:B102"/>
    <mergeCell ref="A103:B103"/>
    <mergeCell ref="A116:B116"/>
    <mergeCell ref="A105:B105"/>
    <mergeCell ref="A106:B106"/>
    <mergeCell ref="A107:B107"/>
    <mergeCell ref="A108:B108"/>
    <mergeCell ref="A109:B109"/>
    <mergeCell ref="A110:B110"/>
    <mergeCell ref="A111:B111"/>
    <mergeCell ref="A112:B112"/>
    <mergeCell ref="A113:B113"/>
    <mergeCell ref="A114:B114"/>
    <mergeCell ref="A115:B115"/>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6"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topLeftCell="L1" zoomScale="80" zoomScaleNormal="100" zoomScaleSheetLayoutView="80" workbookViewId="0">
      <selection activeCell="BG116" sqref="BG116:BI116"/>
    </sheetView>
  </sheetViews>
  <sheetFormatPr baseColWidth="10" defaultRowHeight="12.75" customHeight="1" x14ac:dyDescent="0.2"/>
  <cols>
    <col min="1" max="4" width="3.28515625" style="214" customWidth="1"/>
    <col min="5" max="5" width="4.42578125" style="214" customWidth="1"/>
    <col min="6" max="7" width="3.28515625" style="214" customWidth="1"/>
    <col min="8" max="8" width="2.28515625" style="214" customWidth="1"/>
    <col min="9" max="10" width="3.28515625" style="214" customWidth="1"/>
    <col min="11" max="11" width="5.85546875" style="214" customWidth="1"/>
    <col min="12" max="13" width="3.28515625" style="214" customWidth="1"/>
    <col min="14" max="14" width="1.28515625" style="214" customWidth="1"/>
    <col min="15" max="25" width="3.28515625" style="214" customWidth="1"/>
    <col min="26" max="26" width="3.42578125" style="214" customWidth="1"/>
    <col min="27" max="31" width="3.28515625" style="214" customWidth="1"/>
    <col min="32" max="32" width="2.140625" style="214" customWidth="1"/>
    <col min="33" max="34" width="3.28515625" style="214" customWidth="1"/>
    <col min="35" max="35" width="3" style="214" customWidth="1"/>
    <col min="36" max="36" width="3.28515625" style="162" customWidth="1"/>
    <col min="37" max="40" width="3.28515625" style="214" customWidth="1"/>
    <col min="41" max="41" width="4" style="214" customWidth="1"/>
    <col min="42" max="43" width="3.28515625" style="214" customWidth="1"/>
    <col min="44" max="44" width="3.42578125" style="214" customWidth="1"/>
    <col min="45" max="45" width="8.140625" style="214" customWidth="1"/>
    <col min="46" max="46" width="8.28515625" style="214" customWidth="1"/>
    <col min="47" max="47" width="6.140625" style="214" customWidth="1"/>
    <col min="48" max="48" width="11.42578125" style="214"/>
    <col min="49" max="49" width="5.140625" style="214" customWidth="1"/>
    <col min="50" max="51" width="11.42578125" style="214"/>
    <col min="52" max="52" width="3.140625" style="214" customWidth="1"/>
    <col min="53" max="53" width="11.42578125" style="214" customWidth="1"/>
    <col min="54" max="54" width="11.42578125" style="214"/>
    <col min="55" max="55" width="2.42578125" style="214" customWidth="1"/>
    <col min="56" max="63" width="11.42578125" style="214"/>
    <col min="64" max="64" width="2.42578125" style="214" customWidth="1"/>
    <col min="65" max="66" width="11.42578125" style="214"/>
    <col min="67" max="67" width="6" style="214" customWidth="1"/>
    <col min="68" max="70" width="11.42578125" style="214"/>
    <col min="71" max="71" width="5.28515625" style="214" customWidth="1"/>
    <col min="72" max="72" width="11.42578125" style="214"/>
    <col min="73" max="73" width="6.140625" style="214" customWidth="1"/>
    <col min="74" max="74" width="9.5703125" style="214" customWidth="1"/>
    <col min="75" max="271" width="11.42578125" style="214"/>
    <col min="272" max="272" width="14.5703125" style="214" customWidth="1"/>
    <col min="273" max="273" width="12.7109375" style="214" customWidth="1"/>
    <col min="274" max="274" width="1.5703125" style="214" customWidth="1"/>
    <col min="275" max="275" width="18.28515625" style="214" customWidth="1"/>
    <col min="276" max="276" width="11" style="214" customWidth="1"/>
    <col min="277" max="277" width="13.28515625" style="214" bestFit="1" customWidth="1"/>
    <col min="278" max="278" width="18" style="214" customWidth="1"/>
    <col min="279" max="279" width="11.42578125" style="214"/>
    <col min="280" max="280" width="11.140625" style="214" customWidth="1"/>
    <col min="281" max="281" width="11.42578125" style="214"/>
    <col min="282" max="282" width="17.42578125" style="214" customWidth="1"/>
    <col min="283" max="527" width="11.42578125" style="214"/>
    <col min="528" max="528" width="14.5703125" style="214" customWidth="1"/>
    <col min="529" max="529" width="12.7109375" style="214" customWidth="1"/>
    <col min="530" max="530" width="1.5703125" style="214" customWidth="1"/>
    <col min="531" max="531" width="18.28515625" style="214" customWidth="1"/>
    <col min="532" max="532" width="11" style="214" customWidth="1"/>
    <col min="533" max="533" width="13.28515625" style="214" bestFit="1" customWidth="1"/>
    <col min="534" max="534" width="18" style="214" customWidth="1"/>
    <col min="535" max="535" width="11.42578125" style="214"/>
    <col min="536" max="536" width="11.140625" style="214" customWidth="1"/>
    <col min="537" max="537" width="11.42578125" style="214"/>
    <col min="538" max="538" width="17.42578125" style="214" customWidth="1"/>
    <col min="539" max="783" width="11.42578125" style="214"/>
    <col min="784" max="784" width="14.5703125" style="214" customWidth="1"/>
    <col min="785" max="785" width="12.7109375" style="214" customWidth="1"/>
    <col min="786" max="786" width="1.5703125" style="214" customWidth="1"/>
    <col min="787" max="787" width="18.28515625" style="214" customWidth="1"/>
    <col min="788" max="788" width="11" style="214" customWidth="1"/>
    <col min="789" max="789" width="13.28515625" style="214" bestFit="1" customWidth="1"/>
    <col min="790" max="790" width="18" style="214" customWidth="1"/>
    <col min="791" max="791" width="11.42578125" style="214"/>
    <col min="792" max="792" width="11.140625" style="214" customWidth="1"/>
    <col min="793" max="793" width="11.42578125" style="214"/>
    <col min="794" max="794" width="17.42578125" style="214" customWidth="1"/>
    <col min="795" max="1039" width="11.42578125" style="214"/>
    <col min="1040" max="1040" width="14.5703125" style="214" customWidth="1"/>
    <col min="1041" max="1041" width="12.7109375" style="214" customWidth="1"/>
    <col min="1042" max="1042" width="1.5703125" style="214" customWidth="1"/>
    <col min="1043" max="1043" width="18.28515625" style="214" customWidth="1"/>
    <col min="1044" max="1044" width="11" style="214" customWidth="1"/>
    <col min="1045" max="1045" width="13.28515625" style="214" bestFit="1" customWidth="1"/>
    <col min="1046" max="1046" width="18" style="214" customWidth="1"/>
    <col min="1047" max="1047" width="11.42578125" style="214"/>
    <col min="1048" max="1048" width="11.140625" style="214" customWidth="1"/>
    <col min="1049" max="1049" width="11.42578125" style="214"/>
    <col min="1050" max="1050" width="17.42578125" style="214" customWidth="1"/>
    <col min="1051" max="1295" width="11.42578125" style="214"/>
    <col min="1296" max="1296" width="14.5703125" style="214" customWidth="1"/>
    <col min="1297" max="1297" width="12.7109375" style="214" customWidth="1"/>
    <col min="1298" max="1298" width="1.5703125" style="214" customWidth="1"/>
    <col min="1299" max="1299" width="18.28515625" style="214" customWidth="1"/>
    <col min="1300" max="1300" width="11" style="214" customWidth="1"/>
    <col min="1301" max="1301" width="13.28515625" style="214" bestFit="1" customWidth="1"/>
    <col min="1302" max="1302" width="18" style="214" customWidth="1"/>
    <col min="1303" max="1303" width="11.42578125" style="214"/>
    <col min="1304" max="1304" width="11.140625" style="214" customWidth="1"/>
    <col min="1305" max="1305" width="11.42578125" style="214"/>
    <col min="1306" max="1306" width="17.42578125" style="214" customWidth="1"/>
    <col min="1307" max="1551" width="11.42578125" style="214"/>
    <col min="1552" max="1552" width="14.5703125" style="214" customWidth="1"/>
    <col min="1553" max="1553" width="12.7109375" style="214" customWidth="1"/>
    <col min="1554" max="1554" width="1.5703125" style="214" customWidth="1"/>
    <col min="1555" max="1555" width="18.28515625" style="214" customWidth="1"/>
    <col min="1556" max="1556" width="11" style="214" customWidth="1"/>
    <col min="1557" max="1557" width="13.28515625" style="214" bestFit="1" customWidth="1"/>
    <col min="1558" max="1558" width="18" style="214" customWidth="1"/>
    <col min="1559" max="1559" width="11.42578125" style="214"/>
    <col min="1560" max="1560" width="11.140625" style="214" customWidth="1"/>
    <col min="1561" max="1561" width="11.42578125" style="214"/>
    <col min="1562" max="1562" width="17.42578125" style="214" customWidth="1"/>
    <col min="1563" max="1807" width="11.42578125" style="214"/>
    <col min="1808" max="1808" width="14.5703125" style="214" customWidth="1"/>
    <col min="1809" max="1809" width="12.7109375" style="214" customWidth="1"/>
    <col min="1810" max="1810" width="1.5703125" style="214" customWidth="1"/>
    <col min="1811" max="1811" width="18.28515625" style="214" customWidth="1"/>
    <col min="1812" max="1812" width="11" style="214" customWidth="1"/>
    <col min="1813" max="1813" width="13.28515625" style="214" bestFit="1" customWidth="1"/>
    <col min="1814" max="1814" width="18" style="214" customWidth="1"/>
    <col min="1815" max="1815" width="11.42578125" style="214"/>
    <col min="1816" max="1816" width="11.140625" style="214" customWidth="1"/>
    <col min="1817" max="1817" width="11.42578125" style="214"/>
    <col min="1818" max="1818" width="17.42578125" style="214" customWidth="1"/>
    <col min="1819" max="2063" width="11.42578125" style="214"/>
    <col min="2064" max="2064" width="14.5703125" style="214" customWidth="1"/>
    <col min="2065" max="2065" width="12.7109375" style="214" customWidth="1"/>
    <col min="2066" max="2066" width="1.5703125" style="214" customWidth="1"/>
    <col min="2067" max="2067" width="18.28515625" style="214" customWidth="1"/>
    <col min="2068" max="2068" width="11" style="214" customWidth="1"/>
    <col min="2069" max="2069" width="13.28515625" style="214" bestFit="1" customWidth="1"/>
    <col min="2070" max="2070" width="18" style="214" customWidth="1"/>
    <col min="2071" max="2071" width="11.42578125" style="214"/>
    <col min="2072" max="2072" width="11.140625" style="214" customWidth="1"/>
    <col min="2073" max="2073" width="11.42578125" style="214"/>
    <col min="2074" max="2074" width="17.42578125" style="214" customWidth="1"/>
    <col min="2075" max="2319" width="11.42578125" style="214"/>
    <col min="2320" max="2320" width="14.5703125" style="214" customWidth="1"/>
    <col min="2321" max="2321" width="12.7109375" style="214" customWidth="1"/>
    <col min="2322" max="2322" width="1.5703125" style="214" customWidth="1"/>
    <col min="2323" max="2323" width="18.28515625" style="214" customWidth="1"/>
    <col min="2324" max="2324" width="11" style="214" customWidth="1"/>
    <col min="2325" max="2325" width="13.28515625" style="214" bestFit="1" customWidth="1"/>
    <col min="2326" max="2326" width="18" style="214" customWidth="1"/>
    <col min="2327" max="2327" width="11.42578125" style="214"/>
    <col min="2328" max="2328" width="11.140625" style="214" customWidth="1"/>
    <col min="2329" max="2329" width="11.42578125" style="214"/>
    <col min="2330" max="2330" width="17.42578125" style="214" customWidth="1"/>
    <col min="2331" max="2575" width="11.42578125" style="214"/>
    <col min="2576" max="2576" width="14.5703125" style="214" customWidth="1"/>
    <col min="2577" max="2577" width="12.7109375" style="214" customWidth="1"/>
    <col min="2578" max="2578" width="1.5703125" style="214" customWidth="1"/>
    <col min="2579" max="2579" width="18.28515625" style="214" customWidth="1"/>
    <col min="2580" max="2580" width="11" style="214" customWidth="1"/>
    <col min="2581" max="2581" width="13.28515625" style="214" bestFit="1" customWidth="1"/>
    <col min="2582" max="2582" width="18" style="214" customWidth="1"/>
    <col min="2583" max="2583" width="11.42578125" style="214"/>
    <col min="2584" max="2584" width="11.140625" style="214" customWidth="1"/>
    <col min="2585" max="2585" width="11.42578125" style="214"/>
    <col min="2586" max="2586" width="17.42578125" style="214" customWidth="1"/>
    <col min="2587" max="2831" width="11.42578125" style="214"/>
    <col min="2832" max="2832" width="14.5703125" style="214" customWidth="1"/>
    <col min="2833" max="2833" width="12.7109375" style="214" customWidth="1"/>
    <col min="2834" max="2834" width="1.5703125" style="214" customWidth="1"/>
    <col min="2835" max="2835" width="18.28515625" style="214" customWidth="1"/>
    <col min="2836" max="2836" width="11" style="214" customWidth="1"/>
    <col min="2837" max="2837" width="13.28515625" style="214" bestFit="1" customWidth="1"/>
    <col min="2838" max="2838" width="18" style="214" customWidth="1"/>
    <col min="2839" max="2839" width="11.42578125" style="214"/>
    <col min="2840" max="2840" width="11.140625" style="214" customWidth="1"/>
    <col min="2841" max="2841" width="11.42578125" style="214"/>
    <col min="2842" max="2842" width="17.42578125" style="214" customWidth="1"/>
    <col min="2843" max="3087" width="11.42578125" style="214"/>
    <col min="3088" max="3088" width="14.5703125" style="214" customWidth="1"/>
    <col min="3089" max="3089" width="12.7109375" style="214" customWidth="1"/>
    <col min="3090" max="3090" width="1.5703125" style="214" customWidth="1"/>
    <col min="3091" max="3091" width="18.28515625" style="214" customWidth="1"/>
    <col min="3092" max="3092" width="11" style="214" customWidth="1"/>
    <col min="3093" max="3093" width="13.28515625" style="214" bestFit="1" customWidth="1"/>
    <col min="3094" max="3094" width="18" style="214" customWidth="1"/>
    <col min="3095" max="3095" width="11.42578125" style="214"/>
    <col min="3096" max="3096" width="11.140625" style="214" customWidth="1"/>
    <col min="3097" max="3097" width="11.42578125" style="214"/>
    <col min="3098" max="3098" width="17.42578125" style="214" customWidth="1"/>
    <col min="3099" max="3343" width="11.42578125" style="214"/>
    <col min="3344" max="3344" width="14.5703125" style="214" customWidth="1"/>
    <col min="3345" max="3345" width="12.7109375" style="214" customWidth="1"/>
    <col min="3346" max="3346" width="1.5703125" style="214" customWidth="1"/>
    <col min="3347" max="3347" width="18.28515625" style="214" customWidth="1"/>
    <col min="3348" max="3348" width="11" style="214" customWidth="1"/>
    <col min="3349" max="3349" width="13.28515625" style="214" bestFit="1" customWidth="1"/>
    <col min="3350" max="3350" width="18" style="214" customWidth="1"/>
    <col min="3351" max="3351" width="11.42578125" style="214"/>
    <col min="3352" max="3352" width="11.140625" style="214" customWidth="1"/>
    <col min="3353" max="3353" width="11.42578125" style="214"/>
    <col min="3354" max="3354" width="17.42578125" style="214" customWidth="1"/>
    <col min="3355" max="3599" width="11.42578125" style="214"/>
    <col min="3600" max="3600" width="14.5703125" style="214" customWidth="1"/>
    <col min="3601" max="3601" width="12.7109375" style="214" customWidth="1"/>
    <col min="3602" max="3602" width="1.5703125" style="214" customWidth="1"/>
    <col min="3603" max="3603" width="18.28515625" style="214" customWidth="1"/>
    <col min="3604" max="3604" width="11" style="214" customWidth="1"/>
    <col min="3605" max="3605" width="13.28515625" style="214" bestFit="1" customWidth="1"/>
    <col min="3606" max="3606" width="18" style="214" customWidth="1"/>
    <col min="3607" max="3607" width="11.42578125" style="214"/>
    <col min="3608" max="3608" width="11.140625" style="214" customWidth="1"/>
    <col min="3609" max="3609" width="11.42578125" style="214"/>
    <col min="3610" max="3610" width="17.42578125" style="214" customWidth="1"/>
    <col min="3611" max="3855" width="11.42578125" style="214"/>
    <col min="3856" max="3856" width="14.5703125" style="214" customWidth="1"/>
    <col min="3857" max="3857" width="12.7109375" style="214" customWidth="1"/>
    <col min="3858" max="3858" width="1.5703125" style="214" customWidth="1"/>
    <col min="3859" max="3859" width="18.28515625" style="214" customWidth="1"/>
    <col min="3860" max="3860" width="11" style="214" customWidth="1"/>
    <col min="3861" max="3861" width="13.28515625" style="214" bestFit="1" customWidth="1"/>
    <col min="3862" max="3862" width="18" style="214" customWidth="1"/>
    <col min="3863" max="3863" width="11.42578125" style="214"/>
    <col min="3864" max="3864" width="11.140625" style="214" customWidth="1"/>
    <col min="3865" max="3865" width="11.42578125" style="214"/>
    <col min="3866" max="3866" width="17.42578125" style="214" customWidth="1"/>
    <col min="3867" max="4111" width="11.42578125" style="214"/>
    <col min="4112" max="4112" width="14.5703125" style="214" customWidth="1"/>
    <col min="4113" max="4113" width="12.7109375" style="214" customWidth="1"/>
    <col min="4114" max="4114" width="1.5703125" style="214" customWidth="1"/>
    <col min="4115" max="4115" width="18.28515625" style="214" customWidth="1"/>
    <col min="4116" max="4116" width="11" style="214" customWidth="1"/>
    <col min="4117" max="4117" width="13.28515625" style="214" bestFit="1" customWidth="1"/>
    <col min="4118" max="4118" width="18" style="214" customWidth="1"/>
    <col min="4119" max="4119" width="11.42578125" style="214"/>
    <col min="4120" max="4120" width="11.140625" style="214" customWidth="1"/>
    <col min="4121" max="4121" width="11.42578125" style="214"/>
    <col min="4122" max="4122" width="17.42578125" style="214" customWidth="1"/>
    <col min="4123" max="4367" width="11.42578125" style="214"/>
    <col min="4368" max="4368" width="14.5703125" style="214" customWidth="1"/>
    <col min="4369" max="4369" width="12.7109375" style="214" customWidth="1"/>
    <col min="4370" max="4370" width="1.5703125" style="214" customWidth="1"/>
    <col min="4371" max="4371" width="18.28515625" style="214" customWidth="1"/>
    <col min="4372" max="4372" width="11" style="214" customWidth="1"/>
    <col min="4373" max="4373" width="13.28515625" style="214" bestFit="1" customWidth="1"/>
    <col min="4374" max="4374" width="18" style="214" customWidth="1"/>
    <col min="4375" max="4375" width="11.42578125" style="214"/>
    <col min="4376" max="4376" width="11.140625" style="214" customWidth="1"/>
    <col min="4377" max="4377" width="11.42578125" style="214"/>
    <col min="4378" max="4378" width="17.42578125" style="214" customWidth="1"/>
    <col min="4379" max="4623" width="11.42578125" style="214"/>
    <col min="4624" max="4624" width="14.5703125" style="214" customWidth="1"/>
    <col min="4625" max="4625" width="12.7109375" style="214" customWidth="1"/>
    <col min="4626" max="4626" width="1.5703125" style="214" customWidth="1"/>
    <col min="4627" max="4627" width="18.28515625" style="214" customWidth="1"/>
    <col min="4628" max="4628" width="11" style="214" customWidth="1"/>
    <col min="4629" max="4629" width="13.28515625" style="214" bestFit="1" customWidth="1"/>
    <col min="4630" max="4630" width="18" style="214" customWidth="1"/>
    <col min="4631" max="4631" width="11.42578125" style="214"/>
    <col min="4632" max="4632" width="11.140625" style="214" customWidth="1"/>
    <col min="4633" max="4633" width="11.42578125" style="214"/>
    <col min="4634" max="4634" width="17.42578125" style="214" customWidth="1"/>
    <col min="4635" max="4879" width="11.42578125" style="214"/>
    <col min="4880" max="4880" width="14.5703125" style="214" customWidth="1"/>
    <col min="4881" max="4881" width="12.7109375" style="214" customWidth="1"/>
    <col min="4882" max="4882" width="1.5703125" style="214" customWidth="1"/>
    <col min="4883" max="4883" width="18.28515625" style="214" customWidth="1"/>
    <col min="4884" max="4884" width="11" style="214" customWidth="1"/>
    <col min="4885" max="4885" width="13.28515625" style="214" bestFit="1" customWidth="1"/>
    <col min="4886" max="4886" width="18" style="214" customWidth="1"/>
    <col min="4887" max="4887" width="11.42578125" style="214"/>
    <col min="4888" max="4888" width="11.140625" style="214" customWidth="1"/>
    <col min="4889" max="4889" width="11.42578125" style="214"/>
    <col min="4890" max="4890" width="17.42578125" style="214" customWidth="1"/>
    <col min="4891" max="5135" width="11.42578125" style="214"/>
    <col min="5136" max="5136" width="14.5703125" style="214" customWidth="1"/>
    <col min="5137" max="5137" width="12.7109375" style="214" customWidth="1"/>
    <col min="5138" max="5138" width="1.5703125" style="214" customWidth="1"/>
    <col min="5139" max="5139" width="18.28515625" style="214" customWidth="1"/>
    <col min="5140" max="5140" width="11" style="214" customWidth="1"/>
    <col min="5141" max="5141" width="13.28515625" style="214" bestFit="1" customWidth="1"/>
    <col min="5142" max="5142" width="18" style="214" customWidth="1"/>
    <col min="5143" max="5143" width="11.42578125" style="214"/>
    <col min="5144" max="5144" width="11.140625" style="214" customWidth="1"/>
    <col min="5145" max="5145" width="11.42578125" style="214"/>
    <col min="5146" max="5146" width="17.42578125" style="214" customWidth="1"/>
    <col min="5147" max="5391" width="11.42578125" style="214"/>
    <col min="5392" max="5392" width="14.5703125" style="214" customWidth="1"/>
    <col min="5393" max="5393" width="12.7109375" style="214" customWidth="1"/>
    <col min="5394" max="5394" width="1.5703125" style="214" customWidth="1"/>
    <col min="5395" max="5395" width="18.28515625" style="214" customWidth="1"/>
    <col min="5396" max="5396" width="11" style="214" customWidth="1"/>
    <col min="5397" max="5397" width="13.28515625" style="214" bestFit="1" customWidth="1"/>
    <col min="5398" max="5398" width="18" style="214" customWidth="1"/>
    <col min="5399" max="5399" width="11.42578125" style="214"/>
    <col min="5400" max="5400" width="11.140625" style="214" customWidth="1"/>
    <col min="5401" max="5401" width="11.42578125" style="214"/>
    <col min="5402" max="5402" width="17.42578125" style="214" customWidth="1"/>
    <col min="5403" max="5647" width="11.42578125" style="214"/>
    <col min="5648" max="5648" width="14.5703125" style="214" customWidth="1"/>
    <col min="5649" max="5649" width="12.7109375" style="214" customWidth="1"/>
    <col min="5650" max="5650" width="1.5703125" style="214" customWidth="1"/>
    <col min="5651" max="5651" width="18.28515625" style="214" customWidth="1"/>
    <col min="5652" max="5652" width="11" style="214" customWidth="1"/>
    <col min="5653" max="5653" width="13.28515625" style="214" bestFit="1" customWidth="1"/>
    <col min="5654" max="5654" width="18" style="214" customWidth="1"/>
    <col min="5655" max="5655" width="11.42578125" style="214"/>
    <col min="5656" max="5656" width="11.140625" style="214" customWidth="1"/>
    <col min="5657" max="5657" width="11.42578125" style="214"/>
    <col min="5658" max="5658" width="17.42578125" style="214" customWidth="1"/>
    <col min="5659" max="5903" width="11.42578125" style="214"/>
    <col min="5904" max="5904" width="14.5703125" style="214" customWidth="1"/>
    <col min="5905" max="5905" width="12.7109375" style="214" customWidth="1"/>
    <col min="5906" max="5906" width="1.5703125" style="214" customWidth="1"/>
    <col min="5907" max="5907" width="18.28515625" style="214" customWidth="1"/>
    <col min="5908" max="5908" width="11" style="214" customWidth="1"/>
    <col min="5909" max="5909" width="13.28515625" style="214" bestFit="1" customWidth="1"/>
    <col min="5910" max="5910" width="18" style="214" customWidth="1"/>
    <col min="5911" max="5911" width="11.42578125" style="214"/>
    <col min="5912" max="5912" width="11.140625" style="214" customWidth="1"/>
    <col min="5913" max="5913" width="11.42578125" style="214"/>
    <col min="5914" max="5914" width="17.42578125" style="214" customWidth="1"/>
    <col min="5915" max="6159" width="11.42578125" style="214"/>
    <col min="6160" max="6160" width="14.5703125" style="214" customWidth="1"/>
    <col min="6161" max="6161" width="12.7109375" style="214" customWidth="1"/>
    <col min="6162" max="6162" width="1.5703125" style="214" customWidth="1"/>
    <col min="6163" max="6163" width="18.28515625" style="214" customWidth="1"/>
    <col min="6164" max="6164" width="11" style="214" customWidth="1"/>
    <col min="6165" max="6165" width="13.28515625" style="214" bestFit="1" customWidth="1"/>
    <col min="6166" max="6166" width="18" style="214" customWidth="1"/>
    <col min="6167" max="6167" width="11.42578125" style="214"/>
    <col min="6168" max="6168" width="11.140625" style="214" customWidth="1"/>
    <col min="6169" max="6169" width="11.42578125" style="214"/>
    <col min="6170" max="6170" width="17.42578125" style="214" customWidth="1"/>
    <col min="6171" max="6415" width="11.42578125" style="214"/>
    <col min="6416" max="6416" width="14.5703125" style="214" customWidth="1"/>
    <col min="6417" max="6417" width="12.7109375" style="214" customWidth="1"/>
    <col min="6418" max="6418" width="1.5703125" style="214" customWidth="1"/>
    <col min="6419" max="6419" width="18.28515625" style="214" customWidth="1"/>
    <col min="6420" max="6420" width="11" style="214" customWidth="1"/>
    <col min="6421" max="6421" width="13.28515625" style="214" bestFit="1" customWidth="1"/>
    <col min="6422" max="6422" width="18" style="214" customWidth="1"/>
    <col min="6423" max="6423" width="11.42578125" style="214"/>
    <col min="6424" max="6424" width="11.140625" style="214" customWidth="1"/>
    <col min="6425" max="6425" width="11.42578125" style="214"/>
    <col min="6426" max="6426" width="17.42578125" style="214" customWidth="1"/>
    <col min="6427" max="6671" width="11.42578125" style="214"/>
    <col min="6672" max="6672" width="14.5703125" style="214" customWidth="1"/>
    <col min="6673" max="6673" width="12.7109375" style="214" customWidth="1"/>
    <col min="6674" max="6674" width="1.5703125" style="214" customWidth="1"/>
    <col min="6675" max="6675" width="18.28515625" style="214" customWidth="1"/>
    <col min="6676" max="6676" width="11" style="214" customWidth="1"/>
    <col min="6677" max="6677" width="13.28515625" style="214" bestFit="1" customWidth="1"/>
    <col min="6678" max="6678" width="18" style="214" customWidth="1"/>
    <col min="6679" max="6679" width="11.42578125" style="214"/>
    <col min="6680" max="6680" width="11.140625" style="214" customWidth="1"/>
    <col min="6681" max="6681" width="11.42578125" style="214"/>
    <col min="6682" max="6682" width="17.42578125" style="214" customWidth="1"/>
    <col min="6683" max="6927" width="11.42578125" style="214"/>
    <col min="6928" max="6928" width="14.5703125" style="214" customWidth="1"/>
    <col min="6929" max="6929" width="12.7109375" style="214" customWidth="1"/>
    <col min="6930" max="6930" width="1.5703125" style="214" customWidth="1"/>
    <col min="6931" max="6931" width="18.28515625" style="214" customWidth="1"/>
    <col min="6932" max="6932" width="11" style="214" customWidth="1"/>
    <col min="6933" max="6933" width="13.28515625" style="214" bestFit="1" customWidth="1"/>
    <col min="6934" max="6934" width="18" style="214" customWidth="1"/>
    <col min="6935" max="6935" width="11.42578125" style="214"/>
    <col min="6936" max="6936" width="11.140625" style="214" customWidth="1"/>
    <col min="6937" max="6937" width="11.42578125" style="214"/>
    <col min="6938" max="6938" width="17.42578125" style="214" customWidth="1"/>
    <col min="6939" max="7183" width="11.42578125" style="214"/>
    <col min="7184" max="7184" width="14.5703125" style="214" customWidth="1"/>
    <col min="7185" max="7185" width="12.7109375" style="214" customWidth="1"/>
    <col min="7186" max="7186" width="1.5703125" style="214" customWidth="1"/>
    <col min="7187" max="7187" width="18.28515625" style="214" customWidth="1"/>
    <col min="7188" max="7188" width="11" style="214" customWidth="1"/>
    <col min="7189" max="7189" width="13.28515625" style="214" bestFit="1" customWidth="1"/>
    <col min="7190" max="7190" width="18" style="214" customWidth="1"/>
    <col min="7191" max="7191" width="11.42578125" style="214"/>
    <col min="7192" max="7192" width="11.140625" style="214" customWidth="1"/>
    <col min="7193" max="7193" width="11.42578125" style="214"/>
    <col min="7194" max="7194" width="17.42578125" style="214" customWidth="1"/>
    <col min="7195" max="7439" width="11.42578125" style="214"/>
    <col min="7440" max="7440" width="14.5703125" style="214" customWidth="1"/>
    <col min="7441" max="7441" width="12.7109375" style="214" customWidth="1"/>
    <col min="7442" max="7442" width="1.5703125" style="214" customWidth="1"/>
    <col min="7443" max="7443" width="18.28515625" style="214" customWidth="1"/>
    <col min="7444" max="7444" width="11" style="214" customWidth="1"/>
    <col min="7445" max="7445" width="13.28515625" style="214" bestFit="1" customWidth="1"/>
    <col min="7446" max="7446" width="18" style="214" customWidth="1"/>
    <col min="7447" max="7447" width="11.42578125" style="214"/>
    <col min="7448" max="7448" width="11.140625" style="214" customWidth="1"/>
    <col min="7449" max="7449" width="11.42578125" style="214"/>
    <col min="7450" max="7450" width="17.42578125" style="214" customWidth="1"/>
    <col min="7451" max="7695" width="11.42578125" style="214"/>
    <col min="7696" max="7696" width="14.5703125" style="214" customWidth="1"/>
    <col min="7697" max="7697" width="12.7109375" style="214" customWidth="1"/>
    <col min="7698" max="7698" width="1.5703125" style="214" customWidth="1"/>
    <col min="7699" max="7699" width="18.28515625" style="214" customWidth="1"/>
    <col min="7700" max="7700" width="11" style="214" customWidth="1"/>
    <col min="7701" max="7701" width="13.28515625" style="214" bestFit="1" customWidth="1"/>
    <col min="7702" max="7702" width="18" style="214" customWidth="1"/>
    <col min="7703" max="7703" width="11.42578125" style="214"/>
    <col min="7704" max="7704" width="11.140625" style="214" customWidth="1"/>
    <col min="7705" max="7705" width="11.42578125" style="214"/>
    <col min="7706" max="7706" width="17.42578125" style="214" customWidth="1"/>
    <col min="7707" max="7951" width="11.42578125" style="214"/>
    <col min="7952" max="7952" width="14.5703125" style="214" customWidth="1"/>
    <col min="7953" max="7953" width="12.7109375" style="214" customWidth="1"/>
    <col min="7954" max="7954" width="1.5703125" style="214" customWidth="1"/>
    <col min="7955" max="7955" width="18.28515625" style="214" customWidth="1"/>
    <col min="7956" max="7956" width="11" style="214" customWidth="1"/>
    <col min="7957" max="7957" width="13.28515625" style="214" bestFit="1" customWidth="1"/>
    <col min="7958" max="7958" width="18" style="214" customWidth="1"/>
    <col min="7959" max="7959" width="11.42578125" style="214"/>
    <col min="7960" max="7960" width="11.140625" style="214" customWidth="1"/>
    <col min="7961" max="7961" width="11.42578125" style="214"/>
    <col min="7962" max="7962" width="17.42578125" style="214" customWidth="1"/>
    <col min="7963" max="8207" width="11.42578125" style="214"/>
    <col min="8208" max="8208" width="14.5703125" style="214" customWidth="1"/>
    <col min="8209" max="8209" width="12.7109375" style="214" customWidth="1"/>
    <col min="8210" max="8210" width="1.5703125" style="214" customWidth="1"/>
    <col min="8211" max="8211" width="18.28515625" style="214" customWidth="1"/>
    <col min="8212" max="8212" width="11" style="214" customWidth="1"/>
    <col min="8213" max="8213" width="13.28515625" style="214" bestFit="1" customWidth="1"/>
    <col min="8214" max="8214" width="18" style="214" customWidth="1"/>
    <col min="8215" max="8215" width="11.42578125" style="214"/>
    <col min="8216" max="8216" width="11.140625" style="214" customWidth="1"/>
    <col min="8217" max="8217" width="11.42578125" style="214"/>
    <col min="8218" max="8218" width="17.42578125" style="214" customWidth="1"/>
    <col min="8219" max="8463" width="11.42578125" style="214"/>
    <col min="8464" max="8464" width="14.5703125" style="214" customWidth="1"/>
    <col min="8465" max="8465" width="12.7109375" style="214" customWidth="1"/>
    <col min="8466" max="8466" width="1.5703125" style="214" customWidth="1"/>
    <col min="8467" max="8467" width="18.28515625" style="214" customWidth="1"/>
    <col min="8468" max="8468" width="11" style="214" customWidth="1"/>
    <col min="8469" max="8469" width="13.28515625" style="214" bestFit="1" customWidth="1"/>
    <col min="8470" max="8470" width="18" style="214" customWidth="1"/>
    <col min="8471" max="8471" width="11.42578125" style="214"/>
    <col min="8472" max="8472" width="11.140625" style="214" customWidth="1"/>
    <col min="8473" max="8473" width="11.42578125" style="214"/>
    <col min="8474" max="8474" width="17.42578125" style="214" customWidth="1"/>
    <col min="8475" max="8719" width="11.42578125" style="214"/>
    <col min="8720" max="8720" width="14.5703125" style="214" customWidth="1"/>
    <col min="8721" max="8721" width="12.7109375" style="214" customWidth="1"/>
    <col min="8722" max="8722" width="1.5703125" style="214" customWidth="1"/>
    <col min="8723" max="8723" width="18.28515625" style="214" customWidth="1"/>
    <col min="8724" max="8724" width="11" style="214" customWidth="1"/>
    <col min="8725" max="8725" width="13.28515625" style="214" bestFit="1" customWidth="1"/>
    <col min="8726" max="8726" width="18" style="214" customWidth="1"/>
    <col min="8727" max="8727" width="11.42578125" style="214"/>
    <col min="8728" max="8728" width="11.140625" style="214" customWidth="1"/>
    <col min="8729" max="8729" width="11.42578125" style="214"/>
    <col min="8730" max="8730" width="17.42578125" style="214" customWidth="1"/>
    <col min="8731" max="8975" width="11.42578125" style="214"/>
    <col min="8976" max="8976" width="14.5703125" style="214" customWidth="1"/>
    <col min="8977" max="8977" width="12.7109375" style="214" customWidth="1"/>
    <col min="8978" max="8978" width="1.5703125" style="214" customWidth="1"/>
    <col min="8979" max="8979" width="18.28515625" style="214" customWidth="1"/>
    <col min="8980" max="8980" width="11" style="214" customWidth="1"/>
    <col min="8981" max="8981" width="13.28515625" style="214" bestFit="1" customWidth="1"/>
    <col min="8982" max="8982" width="18" style="214" customWidth="1"/>
    <col min="8983" max="8983" width="11.42578125" style="214"/>
    <col min="8984" max="8984" width="11.140625" style="214" customWidth="1"/>
    <col min="8985" max="8985" width="11.42578125" style="214"/>
    <col min="8986" max="8986" width="17.42578125" style="214" customWidth="1"/>
    <col min="8987" max="9231" width="11.42578125" style="214"/>
    <col min="9232" max="9232" width="14.5703125" style="214" customWidth="1"/>
    <col min="9233" max="9233" width="12.7109375" style="214" customWidth="1"/>
    <col min="9234" max="9234" width="1.5703125" style="214" customWidth="1"/>
    <col min="9235" max="9235" width="18.28515625" style="214" customWidth="1"/>
    <col min="9236" max="9236" width="11" style="214" customWidth="1"/>
    <col min="9237" max="9237" width="13.28515625" style="214" bestFit="1" customWidth="1"/>
    <col min="9238" max="9238" width="18" style="214" customWidth="1"/>
    <col min="9239" max="9239" width="11.42578125" style="214"/>
    <col min="9240" max="9240" width="11.140625" style="214" customWidth="1"/>
    <col min="9241" max="9241" width="11.42578125" style="214"/>
    <col min="9242" max="9242" width="17.42578125" style="214" customWidth="1"/>
    <col min="9243" max="9487" width="11.42578125" style="214"/>
    <col min="9488" max="9488" width="14.5703125" style="214" customWidth="1"/>
    <col min="9489" max="9489" width="12.7109375" style="214" customWidth="1"/>
    <col min="9490" max="9490" width="1.5703125" style="214" customWidth="1"/>
    <col min="9491" max="9491" width="18.28515625" style="214" customWidth="1"/>
    <col min="9492" max="9492" width="11" style="214" customWidth="1"/>
    <col min="9493" max="9493" width="13.28515625" style="214" bestFit="1" customWidth="1"/>
    <col min="9494" max="9494" width="18" style="214" customWidth="1"/>
    <col min="9495" max="9495" width="11.42578125" style="214"/>
    <col min="9496" max="9496" width="11.140625" style="214" customWidth="1"/>
    <col min="9497" max="9497" width="11.42578125" style="214"/>
    <col min="9498" max="9498" width="17.42578125" style="214" customWidth="1"/>
    <col min="9499" max="9743" width="11.42578125" style="214"/>
    <col min="9744" max="9744" width="14.5703125" style="214" customWidth="1"/>
    <col min="9745" max="9745" width="12.7109375" style="214" customWidth="1"/>
    <col min="9746" max="9746" width="1.5703125" style="214" customWidth="1"/>
    <col min="9747" max="9747" width="18.28515625" style="214" customWidth="1"/>
    <col min="9748" max="9748" width="11" style="214" customWidth="1"/>
    <col min="9749" max="9749" width="13.28515625" style="214" bestFit="1" customWidth="1"/>
    <col min="9750" max="9750" width="18" style="214" customWidth="1"/>
    <col min="9751" max="9751" width="11.42578125" style="214"/>
    <col min="9752" max="9752" width="11.140625" style="214" customWidth="1"/>
    <col min="9753" max="9753" width="11.42578125" style="214"/>
    <col min="9754" max="9754" width="17.42578125" style="214" customWidth="1"/>
    <col min="9755" max="9999" width="11.42578125" style="214"/>
    <col min="10000" max="10000" width="14.5703125" style="214" customWidth="1"/>
    <col min="10001" max="10001" width="12.7109375" style="214" customWidth="1"/>
    <col min="10002" max="10002" width="1.5703125" style="214" customWidth="1"/>
    <col min="10003" max="10003" width="18.28515625" style="214" customWidth="1"/>
    <col min="10004" max="10004" width="11" style="214" customWidth="1"/>
    <col min="10005" max="10005" width="13.28515625" style="214" bestFit="1" customWidth="1"/>
    <col min="10006" max="10006" width="18" style="214" customWidth="1"/>
    <col min="10007" max="10007" width="11.42578125" style="214"/>
    <col min="10008" max="10008" width="11.140625" style="214" customWidth="1"/>
    <col min="10009" max="10009" width="11.42578125" style="214"/>
    <col min="10010" max="10010" width="17.42578125" style="214" customWidth="1"/>
    <col min="10011" max="10255" width="11.42578125" style="214"/>
    <col min="10256" max="10256" width="14.5703125" style="214" customWidth="1"/>
    <col min="10257" max="10257" width="12.7109375" style="214" customWidth="1"/>
    <col min="10258" max="10258" width="1.5703125" style="214" customWidth="1"/>
    <col min="10259" max="10259" width="18.28515625" style="214" customWidth="1"/>
    <col min="10260" max="10260" width="11" style="214" customWidth="1"/>
    <col min="10261" max="10261" width="13.28515625" style="214" bestFit="1" customWidth="1"/>
    <col min="10262" max="10262" width="18" style="214" customWidth="1"/>
    <col min="10263" max="10263" width="11.42578125" style="214"/>
    <col min="10264" max="10264" width="11.140625" style="214" customWidth="1"/>
    <col min="10265" max="10265" width="11.42578125" style="214"/>
    <col min="10266" max="10266" width="17.42578125" style="214" customWidth="1"/>
    <col min="10267" max="10511" width="11.42578125" style="214"/>
    <col min="10512" max="10512" width="14.5703125" style="214" customWidth="1"/>
    <col min="10513" max="10513" width="12.7109375" style="214" customWidth="1"/>
    <col min="10514" max="10514" width="1.5703125" style="214" customWidth="1"/>
    <col min="10515" max="10515" width="18.28515625" style="214" customWidth="1"/>
    <col min="10516" max="10516" width="11" style="214" customWidth="1"/>
    <col min="10517" max="10517" width="13.28515625" style="214" bestFit="1" customWidth="1"/>
    <col min="10518" max="10518" width="18" style="214" customWidth="1"/>
    <col min="10519" max="10519" width="11.42578125" style="214"/>
    <col min="10520" max="10520" width="11.140625" style="214" customWidth="1"/>
    <col min="10521" max="10521" width="11.42578125" style="214"/>
    <col min="10522" max="10522" width="17.42578125" style="214" customWidth="1"/>
    <col min="10523" max="10767" width="11.42578125" style="214"/>
    <col min="10768" max="10768" width="14.5703125" style="214" customWidth="1"/>
    <col min="10769" max="10769" width="12.7109375" style="214" customWidth="1"/>
    <col min="10770" max="10770" width="1.5703125" style="214" customWidth="1"/>
    <col min="10771" max="10771" width="18.28515625" style="214" customWidth="1"/>
    <col min="10772" max="10772" width="11" style="214" customWidth="1"/>
    <col min="10773" max="10773" width="13.28515625" style="214" bestFit="1" customWidth="1"/>
    <col min="10774" max="10774" width="18" style="214" customWidth="1"/>
    <col min="10775" max="10775" width="11.42578125" style="214"/>
    <col min="10776" max="10776" width="11.140625" style="214" customWidth="1"/>
    <col min="10777" max="10777" width="11.42578125" style="214"/>
    <col min="10778" max="10778" width="17.42578125" style="214" customWidth="1"/>
    <col min="10779" max="11023" width="11.42578125" style="214"/>
    <col min="11024" max="11024" width="14.5703125" style="214" customWidth="1"/>
    <col min="11025" max="11025" width="12.7109375" style="214" customWidth="1"/>
    <col min="11026" max="11026" width="1.5703125" style="214" customWidth="1"/>
    <col min="11027" max="11027" width="18.28515625" style="214" customWidth="1"/>
    <col min="11028" max="11028" width="11" style="214" customWidth="1"/>
    <col min="11029" max="11029" width="13.28515625" style="214" bestFit="1" customWidth="1"/>
    <col min="11030" max="11030" width="18" style="214" customWidth="1"/>
    <col min="11031" max="11031" width="11.42578125" style="214"/>
    <col min="11032" max="11032" width="11.140625" style="214" customWidth="1"/>
    <col min="11033" max="11033" width="11.42578125" style="214"/>
    <col min="11034" max="11034" width="17.42578125" style="214" customWidth="1"/>
    <col min="11035" max="11279" width="11.42578125" style="214"/>
    <col min="11280" max="11280" width="14.5703125" style="214" customWidth="1"/>
    <col min="11281" max="11281" width="12.7109375" style="214" customWidth="1"/>
    <col min="11282" max="11282" width="1.5703125" style="214" customWidth="1"/>
    <col min="11283" max="11283" width="18.28515625" style="214" customWidth="1"/>
    <col min="11284" max="11284" width="11" style="214" customWidth="1"/>
    <col min="11285" max="11285" width="13.28515625" style="214" bestFit="1" customWidth="1"/>
    <col min="11286" max="11286" width="18" style="214" customWidth="1"/>
    <col min="11287" max="11287" width="11.42578125" style="214"/>
    <col min="11288" max="11288" width="11.140625" style="214" customWidth="1"/>
    <col min="11289" max="11289" width="11.42578125" style="214"/>
    <col min="11290" max="11290" width="17.42578125" style="214" customWidth="1"/>
    <col min="11291" max="11535" width="11.42578125" style="214"/>
    <col min="11536" max="11536" width="14.5703125" style="214" customWidth="1"/>
    <col min="11537" max="11537" width="12.7109375" style="214" customWidth="1"/>
    <col min="11538" max="11538" width="1.5703125" style="214" customWidth="1"/>
    <col min="11539" max="11539" width="18.28515625" style="214" customWidth="1"/>
    <col min="11540" max="11540" width="11" style="214" customWidth="1"/>
    <col min="11541" max="11541" width="13.28515625" style="214" bestFit="1" customWidth="1"/>
    <col min="11542" max="11542" width="18" style="214" customWidth="1"/>
    <col min="11543" max="11543" width="11.42578125" style="214"/>
    <col min="11544" max="11544" width="11.140625" style="214" customWidth="1"/>
    <col min="11545" max="11545" width="11.42578125" style="214"/>
    <col min="11546" max="11546" width="17.42578125" style="214" customWidth="1"/>
    <col min="11547" max="11791" width="11.42578125" style="214"/>
    <col min="11792" max="11792" width="14.5703125" style="214" customWidth="1"/>
    <col min="11793" max="11793" width="12.7109375" style="214" customWidth="1"/>
    <col min="11794" max="11794" width="1.5703125" style="214" customWidth="1"/>
    <col min="11795" max="11795" width="18.28515625" style="214" customWidth="1"/>
    <col min="11796" max="11796" width="11" style="214" customWidth="1"/>
    <col min="11797" max="11797" width="13.28515625" style="214" bestFit="1" customWidth="1"/>
    <col min="11798" max="11798" width="18" style="214" customWidth="1"/>
    <col min="11799" max="11799" width="11.42578125" style="214"/>
    <col min="11800" max="11800" width="11.140625" style="214" customWidth="1"/>
    <col min="11801" max="11801" width="11.42578125" style="214"/>
    <col min="11802" max="11802" width="17.42578125" style="214" customWidth="1"/>
    <col min="11803" max="12047" width="11.42578125" style="214"/>
    <col min="12048" max="12048" width="14.5703125" style="214" customWidth="1"/>
    <col min="12049" max="12049" width="12.7109375" style="214" customWidth="1"/>
    <col min="12050" max="12050" width="1.5703125" style="214" customWidth="1"/>
    <col min="12051" max="12051" width="18.28515625" style="214" customWidth="1"/>
    <col min="12052" max="12052" width="11" style="214" customWidth="1"/>
    <col min="12053" max="12053" width="13.28515625" style="214" bestFit="1" customWidth="1"/>
    <col min="12054" max="12054" width="18" style="214" customWidth="1"/>
    <col min="12055" max="12055" width="11.42578125" style="214"/>
    <col min="12056" max="12056" width="11.140625" style="214" customWidth="1"/>
    <col min="12057" max="12057" width="11.42578125" style="214"/>
    <col min="12058" max="12058" width="17.42578125" style="214" customWidth="1"/>
    <col min="12059" max="12303" width="11.42578125" style="214"/>
    <col min="12304" max="12304" width="14.5703125" style="214" customWidth="1"/>
    <col min="12305" max="12305" width="12.7109375" style="214" customWidth="1"/>
    <col min="12306" max="12306" width="1.5703125" style="214" customWidth="1"/>
    <col min="12307" max="12307" width="18.28515625" style="214" customWidth="1"/>
    <col min="12308" max="12308" width="11" style="214" customWidth="1"/>
    <col min="12309" max="12309" width="13.28515625" style="214" bestFit="1" customWidth="1"/>
    <col min="12310" max="12310" width="18" style="214" customWidth="1"/>
    <col min="12311" max="12311" width="11.42578125" style="214"/>
    <col min="12312" max="12312" width="11.140625" style="214" customWidth="1"/>
    <col min="12313" max="12313" width="11.42578125" style="214"/>
    <col min="12314" max="12314" width="17.42578125" style="214" customWidth="1"/>
    <col min="12315" max="12559" width="11.42578125" style="214"/>
    <col min="12560" max="12560" width="14.5703125" style="214" customWidth="1"/>
    <col min="12561" max="12561" width="12.7109375" style="214" customWidth="1"/>
    <col min="12562" max="12562" width="1.5703125" style="214" customWidth="1"/>
    <col min="12563" max="12563" width="18.28515625" style="214" customWidth="1"/>
    <col min="12564" max="12564" width="11" style="214" customWidth="1"/>
    <col min="12565" max="12565" width="13.28515625" style="214" bestFit="1" customWidth="1"/>
    <col min="12566" max="12566" width="18" style="214" customWidth="1"/>
    <col min="12567" max="12567" width="11.42578125" style="214"/>
    <col min="12568" max="12568" width="11.140625" style="214" customWidth="1"/>
    <col min="12569" max="12569" width="11.42578125" style="214"/>
    <col min="12570" max="12570" width="17.42578125" style="214" customWidth="1"/>
    <col min="12571" max="12815" width="11.42578125" style="214"/>
    <col min="12816" max="12816" width="14.5703125" style="214" customWidth="1"/>
    <col min="12817" max="12817" width="12.7109375" style="214" customWidth="1"/>
    <col min="12818" max="12818" width="1.5703125" style="214" customWidth="1"/>
    <col min="12819" max="12819" width="18.28515625" style="214" customWidth="1"/>
    <col min="12820" max="12820" width="11" style="214" customWidth="1"/>
    <col min="12821" max="12821" width="13.28515625" style="214" bestFit="1" customWidth="1"/>
    <col min="12822" max="12822" width="18" style="214" customWidth="1"/>
    <col min="12823" max="12823" width="11.42578125" style="214"/>
    <col min="12824" max="12824" width="11.140625" style="214" customWidth="1"/>
    <col min="12825" max="12825" width="11.42578125" style="214"/>
    <col min="12826" max="12826" width="17.42578125" style="214" customWidth="1"/>
    <col min="12827" max="13071" width="11.42578125" style="214"/>
    <col min="13072" max="13072" width="14.5703125" style="214" customWidth="1"/>
    <col min="13073" max="13073" width="12.7109375" style="214" customWidth="1"/>
    <col min="13074" max="13074" width="1.5703125" style="214" customWidth="1"/>
    <col min="13075" max="13075" width="18.28515625" style="214" customWidth="1"/>
    <col min="13076" max="13076" width="11" style="214" customWidth="1"/>
    <col min="13077" max="13077" width="13.28515625" style="214" bestFit="1" customWidth="1"/>
    <col min="13078" max="13078" width="18" style="214" customWidth="1"/>
    <col min="13079" max="13079" width="11.42578125" style="214"/>
    <col min="13080" max="13080" width="11.140625" style="214" customWidth="1"/>
    <col min="13081" max="13081" width="11.42578125" style="214"/>
    <col min="13082" max="13082" width="17.42578125" style="214" customWidth="1"/>
    <col min="13083" max="13327" width="11.42578125" style="214"/>
    <col min="13328" max="13328" width="14.5703125" style="214" customWidth="1"/>
    <col min="13329" max="13329" width="12.7109375" style="214" customWidth="1"/>
    <col min="13330" max="13330" width="1.5703125" style="214" customWidth="1"/>
    <col min="13331" max="13331" width="18.28515625" style="214" customWidth="1"/>
    <col min="13332" max="13332" width="11" style="214" customWidth="1"/>
    <col min="13333" max="13333" width="13.28515625" style="214" bestFit="1" customWidth="1"/>
    <col min="13334" max="13334" width="18" style="214" customWidth="1"/>
    <col min="13335" max="13335" width="11.42578125" style="214"/>
    <col min="13336" max="13336" width="11.140625" style="214" customWidth="1"/>
    <col min="13337" max="13337" width="11.42578125" style="214"/>
    <col min="13338" max="13338" width="17.42578125" style="214" customWidth="1"/>
    <col min="13339" max="13583" width="11.42578125" style="214"/>
    <col min="13584" max="13584" width="14.5703125" style="214" customWidth="1"/>
    <col min="13585" max="13585" width="12.7109375" style="214" customWidth="1"/>
    <col min="13586" max="13586" width="1.5703125" style="214" customWidth="1"/>
    <col min="13587" max="13587" width="18.28515625" style="214" customWidth="1"/>
    <col min="13588" max="13588" width="11" style="214" customWidth="1"/>
    <col min="13589" max="13589" width="13.28515625" style="214" bestFit="1" customWidth="1"/>
    <col min="13590" max="13590" width="18" style="214" customWidth="1"/>
    <col min="13591" max="13591" width="11.42578125" style="214"/>
    <col min="13592" max="13592" width="11.140625" style="214" customWidth="1"/>
    <col min="13593" max="13593" width="11.42578125" style="214"/>
    <col min="13594" max="13594" width="17.42578125" style="214" customWidth="1"/>
    <col min="13595" max="13839" width="11.42578125" style="214"/>
    <col min="13840" max="13840" width="14.5703125" style="214" customWidth="1"/>
    <col min="13841" max="13841" width="12.7109375" style="214" customWidth="1"/>
    <col min="13842" max="13842" width="1.5703125" style="214" customWidth="1"/>
    <col min="13843" max="13843" width="18.28515625" style="214" customWidth="1"/>
    <col min="13844" max="13844" width="11" style="214" customWidth="1"/>
    <col min="13845" max="13845" width="13.28515625" style="214" bestFit="1" customWidth="1"/>
    <col min="13846" max="13846" width="18" style="214" customWidth="1"/>
    <col min="13847" max="13847" width="11.42578125" style="214"/>
    <col min="13848" max="13848" width="11.140625" style="214" customWidth="1"/>
    <col min="13849" max="13849" width="11.42578125" style="214"/>
    <col min="13850" max="13850" width="17.42578125" style="214" customWidth="1"/>
    <col min="13851" max="14095" width="11.42578125" style="214"/>
    <col min="14096" max="14096" width="14.5703125" style="214" customWidth="1"/>
    <col min="14097" max="14097" width="12.7109375" style="214" customWidth="1"/>
    <col min="14098" max="14098" width="1.5703125" style="214" customWidth="1"/>
    <col min="14099" max="14099" width="18.28515625" style="214" customWidth="1"/>
    <col min="14100" max="14100" width="11" style="214" customWidth="1"/>
    <col min="14101" max="14101" width="13.28515625" style="214" bestFit="1" customWidth="1"/>
    <col min="14102" max="14102" width="18" style="214" customWidth="1"/>
    <col min="14103" max="14103" width="11.42578125" style="214"/>
    <col min="14104" max="14104" width="11.140625" style="214" customWidth="1"/>
    <col min="14105" max="14105" width="11.42578125" style="214"/>
    <col min="14106" max="14106" width="17.42578125" style="214" customWidth="1"/>
    <col min="14107" max="14351" width="11.42578125" style="214"/>
    <col min="14352" max="14352" width="14.5703125" style="214" customWidth="1"/>
    <col min="14353" max="14353" width="12.7109375" style="214" customWidth="1"/>
    <col min="14354" max="14354" width="1.5703125" style="214" customWidth="1"/>
    <col min="14355" max="14355" width="18.28515625" style="214" customWidth="1"/>
    <col min="14356" max="14356" width="11" style="214" customWidth="1"/>
    <col min="14357" max="14357" width="13.28515625" style="214" bestFit="1" customWidth="1"/>
    <col min="14358" max="14358" width="18" style="214" customWidth="1"/>
    <col min="14359" max="14359" width="11.42578125" style="214"/>
    <col min="14360" max="14360" width="11.140625" style="214" customWidth="1"/>
    <col min="14361" max="14361" width="11.42578125" style="214"/>
    <col min="14362" max="14362" width="17.42578125" style="214" customWidth="1"/>
    <col min="14363" max="14607" width="11.42578125" style="214"/>
    <col min="14608" max="14608" width="14.5703125" style="214" customWidth="1"/>
    <col min="14609" max="14609" width="12.7109375" style="214" customWidth="1"/>
    <col min="14610" max="14610" width="1.5703125" style="214" customWidth="1"/>
    <col min="14611" max="14611" width="18.28515625" style="214" customWidth="1"/>
    <col min="14612" max="14612" width="11" style="214" customWidth="1"/>
    <col min="14613" max="14613" width="13.28515625" style="214" bestFit="1" customWidth="1"/>
    <col min="14614" max="14614" width="18" style="214" customWidth="1"/>
    <col min="14615" max="14615" width="11.42578125" style="214"/>
    <col min="14616" max="14616" width="11.140625" style="214" customWidth="1"/>
    <col min="14617" max="14617" width="11.42578125" style="214"/>
    <col min="14618" max="14618" width="17.42578125" style="214" customWidth="1"/>
    <col min="14619" max="14863" width="11.42578125" style="214"/>
    <col min="14864" max="14864" width="14.5703125" style="214" customWidth="1"/>
    <col min="14865" max="14865" width="12.7109375" style="214" customWidth="1"/>
    <col min="14866" max="14866" width="1.5703125" style="214" customWidth="1"/>
    <col min="14867" max="14867" width="18.28515625" style="214" customWidth="1"/>
    <col min="14868" max="14868" width="11" style="214" customWidth="1"/>
    <col min="14869" max="14869" width="13.28515625" style="214" bestFit="1" customWidth="1"/>
    <col min="14870" max="14870" width="18" style="214" customWidth="1"/>
    <col min="14871" max="14871" width="11.42578125" style="214"/>
    <col min="14872" max="14872" width="11.140625" style="214" customWidth="1"/>
    <col min="14873" max="14873" width="11.42578125" style="214"/>
    <col min="14874" max="14874" width="17.42578125" style="214" customWidth="1"/>
    <col min="14875" max="15119" width="11.42578125" style="214"/>
    <col min="15120" max="15120" width="14.5703125" style="214" customWidth="1"/>
    <col min="15121" max="15121" width="12.7109375" style="214" customWidth="1"/>
    <col min="15122" max="15122" width="1.5703125" style="214" customWidth="1"/>
    <col min="15123" max="15123" width="18.28515625" style="214" customWidth="1"/>
    <col min="15124" max="15124" width="11" style="214" customWidth="1"/>
    <col min="15125" max="15125" width="13.28515625" style="214" bestFit="1" customWidth="1"/>
    <col min="15126" max="15126" width="18" style="214" customWidth="1"/>
    <col min="15127" max="15127" width="11.42578125" style="214"/>
    <col min="15128" max="15128" width="11.140625" style="214" customWidth="1"/>
    <col min="15129" max="15129" width="11.42578125" style="214"/>
    <col min="15130" max="15130" width="17.42578125" style="214" customWidth="1"/>
    <col min="15131" max="15375" width="11.42578125" style="214"/>
    <col min="15376" max="15376" width="14.5703125" style="214" customWidth="1"/>
    <col min="15377" max="15377" width="12.7109375" style="214" customWidth="1"/>
    <col min="15378" max="15378" width="1.5703125" style="214" customWidth="1"/>
    <col min="15379" max="15379" width="18.28515625" style="214" customWidth="1"/>
    <col min="15380" max="15380" width="11" style="214" customWidth="1"/>
    <col min="15381" max="15381" width="13.28515625" style="214" bestFit="1" customWidth="1"/>
    <col min="15382" max="15382" width="18" style="214" customWidth="1"/>
    <col min="15383" max="15383" width="11.42578125" style="214"/>
    <col min="15384" max="15384" width="11.140625" style="214" customWidth="1"/>
    <col min="15385" max="15385" width="11.42578125" style="214"/>
    <col min="15386" max="15386" width="17.42578125" style="214" customWidth="1"/>
    <col min="15387" max="15631" width="11.42578125" style="214"/>
    <col min="15632" max="15632" width="14.5703125" style="214" customWidth="1"/>
    <col min="15633" max="15633" width="12.7109375" style="214" customWidth="1"/>
    <col min="15634" max="15634" width="1.5703125" style="214" customWidth="1"/>
    <col min="15635" max="15635" width="18.28515625" style="214" customWidth="1"/>
    <col min="15636" max="15636" width="11" style="214" customWidth="1"/>
    <col min="15637" max="15637" width="13.28515625" style="214" bestFit="1" customWidth="1"/>
    <col min="15638" max="15638" width="18" style="214" customWidth="1"/>
    <col min="15639" max="15639" width="11.42578125" style="214"/>
    <col min="15640" max="15640" width="11.140625" style="214" customWidth="1"/>
    <col min="15641" max="15641" width="11.42578125" style="214"/>
    <col min="15642" max="15642" width="17.42578125" style="214" customWidth="1"/>
    <col min="15643" max="15887" width="11.42578125" style="214"/>
    <col min="15888" max="15888" width="14.5703125" style="214" customWidth="1"/>
    <col min="15889" max="15889" width="12.7109375" style="214" customWidth="1"/>
    <col min="15890" max="15890" width="1.5703125" style="214" customWidth="1"/>
    <col min="15891" max="15891" width="18.28515625" style="214" customWidth="1"/>
    <col min="15892" max="15892" width="11" style="214" customWidth="1"/>
    <col min="15893" max="15893" width="13.28515625" style="214" bestFit="1" customWidth="1"/>
    <col min="15894" max="15894" width="18" style="214" customWidth="1"/>
    <col min="15895" max="15895" width="11.42578125" style="214"/>
    <col min="15896" max="15896" width="11.140625" style="214" customWidth="1"/>
    <col min="15897" max="15897" width="11.42578125" style="214"/>
    <col min="15898" max="15898" width="17.42578125" style="214" customWidth="1"/>
    <col min="15899" max="16143" width="11.42578125" style="214"/>
    <col min="16144" max="16144" width="14.5703125" style="214" customWidth="1"/>
    <col min="16145" max="16145" width="12.7109375" style="214" customWidth="1"/>
    <col min="16146" max="16146" width="1.5703125" style="214" customWidth="1"/>
    <col min="16147" max="16147" width="18.28515625" style="214" customWidth="1"/>
    <col min="16148" max="16148" width="11" style="214" customWidth="1"/>
    <col min="16149" max="16149" width="13.28515625" style="214" bestFit="1" customWidth="1"/>
    <col min="16150" max="16150" width="18" style="214" customWidth="1"/>
    <col min="16151" max="16151" width="11.42578125" style="214"/>
    <col min="16152" max="16152" width="11.140625" style="214" customWidth="1"/>
    <col min="16153" max="16153" width="11.42578125" style="214"/>
    <col min="16154" max="16154" width="17.42578125" style="214" customWidth="1"/>
    <col min="16155" max="16384" width="11.42578125" style="214"/>
  </cols>
  <sheetData>
    <row r="1" spans="1:74" ht="12.75" customHeight="1" x14ac:dyDescent="0.2">
      <c r="A1" s="470" t="s">
        <v>252</v>
      </c>
      <c r="B1" s="470"/>
      <c r="C1" s="470"/>
      <c r="D1" s="470"/>
      <c r="E1" s="470"/>
      <c r="F1" s="470"/>
      <c r="G1" s="470"/>
      <c r="H1" s="470"/>
      <c r="I1" s="470"/>
      <c r="J1" s="470"/>
      <c r="K1" s="470"/>
      <c r="L1" s="470"/>
      <c r="AJ1" s="214"/>
      <c r="AR1" s="162"/>
      <c r="AS1" s="215"/>
      <c r="AT1" s="215"/>
      <c r="AU1" s="215"/>
      <c r="AV1" s="215"/>
      <c r="AW1" s="215"/>
      <c r="AX1" s="215"/>
      <c r="AY1" s="215"/>
      <c r="AZ1" s="215"/>
      <c r="BA1" s="215"/>
      <c r="BB1" s="215"/>
      <c r="BC1" s="215"/>
      <c r="BD1" s="215"/>
      <c r="BE1" s="215"/>
      <c r="BF1" s="215"/>
      <c r="BG1" s="215"/>
      <c r="BH1" s="215"/>
      <c r="BI1" s="215"/>
      <c r="BM1" s="160" t="s">
        <v>1</v>
      </c>
    </row>
    <row r="2" spans="1:74" ht="12.75" customHeight="1" x14ac:dyDescent="0.2">
      <c r="A2" s="470"/>
      <c r="B2" s="470"/>
      <c r="C2" s="470"/>
      <c r="D2" s="470"/>
      <c r="E2" s="470"/>
      <c r="F2" s="470"/>
      <c r="G2" s="470"/>
      <c r="H2" s="470"/>
      <c r="I2" s="470"/>
      <c r="J2" s="470"/>
      <c r="K2" s="470"/>
      <c r="L2" s="470"/>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162"/>
      <c r="AS2" s="215"/>
      <c r="AT2" s="215"/>
      <c r="AU2" s="215"/>
      <c r="AV2" s="215"/>
      <c r="AW2" s="215"/>
      <c r="AX2" s="215"/>
      <c r="AY2" s="215"/>
      <c r="AZ2" s="215"/>
      <c r="BA2" s="215"/>
      <c r="BB2" s="215"/>
      <c r="BC2" s="215"/>
      <c r="BD2" s="215"/>
      <c r="BE2" s="215"/>
      <c r="BF2" s="215"/>
      <c r="BG2" s="215"/>
      <c r="BH2" s="215"/>
      <c r="BI2" s="215"/>
    </row>
    <row r="3" spans="1:74" ht="12.75" customHeight="1" x14ac:dyDescent="0.2">
      <c r="A3" s="470"/>
      <c r="B3" s="471"/>
      <c r="C3" s="471"/>
      <c r="D3" s="471"/>
      <c r="E3" s="471"/>
      <c r="F3" s="471"/>
      <c r="G3" s="471"/>
      <c r="H3" s="471"/>
      <c r="I3" s="471"/>
      <c r="J3" s="471"/>
      <c r="K3" s="471"/>
      <c r="L3" s="471"/>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217"/>
      <c r="AS3" s="215"/>
      <c r="AT3" s="215"/>
      <c r="AU3" s="215"/>
      <c r="AV3" s="215"/>
      <c r="AW3" s="215"/>
      <c r="AX3" s="215"/>
      <c r="AY3" s="215"/>
      <c r="AZ3" s="215"/>
      <c r="BA3" s="215"/>
      <c r="BB3" s="215"/>
      <c r="BC3" s="215"/>
      <c r="BD3" s="215"/>
      <c r="BE3" s="215"/>
      <c r="BF3" s="215"/>
      <c r="BG3" s="215"/>
      <c r="BH3" s="215"/>
      <c r="BI3" s="215"/>
    </row>
    <row r="4" spans="1:74" ht="12.75" customHeight="1" x14ac:dyDescent="0.25">
      <c r="A4" s="218"/>
      <c r="B4" s="17"/>
      <c r="C4" s="17"/>
      <c r="D4" s="219"/>
      <c r="E4" s="17"/>
      <c r="F4" s="17"/>
      <c r="G4" s="17"/>
      <c r="H4" s="17"/>
      <c r="I4" s="17"/>
      <c r="J4" s="17"/>
      <c r="K4" s="17"/>
      <c r="L4" s="17"/>
      <c r="M4" s="17"/>
      <c r="N4" s="17"/>
      <c r="O4" s="17"/>
      <c r="P4" s="17"/>
      <c r="Q4" s="17"/>
      <c r="R4" s="17"/>
      <c r="S4" s="17"/>
      <c r="T4" s="17"/>
      <c r="U4" s="17"/>
      <c r="V4" s="17"/>
      <c r="W4" s="17"/>
      <c r="X4" s="17"/>
      <c r="Y4" s="220"/>
      <c r="Z4" s="220"/>
      <c r="AA4" s="220"/>
      <c r="AB4" s="17"/>
      <c r="AC4" s="17"/>
      <c r="AD4" s="17"/>
      <c r="AE4" s="17"/>
      <c r="AF4" s="17"/>
      <c r="AG4" s="17"/>
      <c r="AH4" s="17"/>
      <c r="AI4" s="17"/>
      <c r="AJ4" s="17"/>
      <c r="AK4" s="17"/>
      <c r="AL4" s="17"/>
      <c r="AM4" s="17"/>
      <c r="AN4" s="17"/>
      <c r="AO4" s="17"/>
      <c r="AP4" s="17"/>
      <c r="AQ4" s="17"/>
      <c r="AR4" s="221"/>
      <c r="AS4" s="161"/>
      <c r="AT4" s="161"/>
      <c r="AU4" s="161"/>
      <c r="AV4" s="161"/>
      <c r="AW4" s="161"/>
      <c r="AX4" s="161"/>
      <c r="AY4" s="161"/>
      <c r="AZ4" s="161"/>
      <c r="BA4" s="161"/>
      <c r="BB4" s="161"/>
      <c r="BC4" s="162"/>
      <c r="BE4" s="222"/>
    </row>
    <row r="5" spans="1:74" ht="12.75" customHeight="1" x14ac:dyDescent="0.2">
      <c r="A5" s="472" t="s">
        <v>253</v>
      </c>
      <c r="B5" s="472"/>
      <c r="C5" s="472"/>
      <c r="D5" s="472"/>
      <c r="E5" s="472"/>
      <c r="F5" s="472"/>
      <c r="G5" s="472"/>
      <c r="H5" s="472"/>
      <c r="I5" s="472"/>
      <c r="J5" s="472"/>
      <c r="K5" s="472"/>
      <c r="L5" s="472"/>
      <c r="M5" s="472"/>
      <c r="N5" s="472"/>
      <c r="O5" s="472"/>
      <c r="P5" s="472"/>
      <c r="Q5" s="472"/>
      <c r="R5" s="472"/>
      <c r="S5" s="472"/>
      <c r="T5" s="472"/>
      <c r="U5" s="472"/>
      <c r="V5" s="472"/>
      <c r="W5" s="472"/>
      <c r="X5" s="472"/>
      <c r="Y5" s="472"/>
      <c r="Z5" s="472"/>
      <c r="AA5" s="472"/>
      <c r="AB5" s="472"/>
      <c r="AC5" s="472"/>
      <c r="AD5" s="472"/>
      <c r="AE5" s="472"/>
      <c r="AF5" s="472"/>
      <c r="AG5" s="472"/>
      <c r="AH5" s="472"/>
      <c r="AI5" s="472"/>
      <c r="AJ5" s="472"/>
      <c r="AK5" s="472"/>
      <c r="AL5" s="472"/>
      <c r="AM5" s="472"/>
      <c r="AN5" s="472"/>
      <c r="AO5" s="472"/>
      <c r="AP5" s="472"/>
      <c r="AQ5" s="472"/>
      <c r="AR5" s="472"/>
      <c r="AS5" s="163"/>
      <c r="AT5" s="163"/>
      <c r="AU5" s="163"/>
      <c r="AV5" s="163"/>
      <c r="AW5" s="163"/>
      <c r="AX5" s="163"/>
      <c r="AY5" s="163"/>
      <c r="AZ5" s="163"/>
      <c r="BA5" s="163"/>
      <c r="BB5" s="163"/>
      <c r="BC5" s="162"/>
      <c r="BE5" s="222"/>
    </row>
    <row r="6" spans="1:74" ht="12.75" customHeight="1" x14ac:dyDescent="0.2">
      <c r="A6" s="472"/>
      <c r="B6" s="472"/>
      <c r="C6" s="472"/>
      <c r="D6" s="472"/>
      <c r="E6" s="472"/>
      <c r="F6" s="472"/>
      <c r="G6" s="472"/>
      <c r="H6" s="472"/>
      <c r="I6" s="472"/>
      <c r="J6" s="472"/>
      <c r="K6" s="472"/>
      <c r="L6" s="472"/>
      <c r="M6" s="472"/>
      <c r="N6" s="472"/>
      <c r="O6" s="472"/>
      <c r="P6" s="472"/>
      <c r="Q6" s="472"/>
      <c r="R6" s="472"/>
      <c r="S6" s="472"/>
      <c r="T6" s="472"/>
      <c r="U6" s="472"/>
      <c r="V6" s="472"/>
      <c r="W6" s="472"/>
      <c r="X6" s="472"/>
      <c r="Y6" s="472"/>
      <c r="Z6" s="472"/>
      <c r="AA6" s="472"/>
      <c r="AB6" s="472"/>
      <c r="AC6" s="472"/>
      <c r="AD6" s="472"/>
      <c r="AE6" s="472"/>
      <c r="AF6" s="472"/>
      <c r="AG6" s="472"/>
      <c r="AH6" s="472"/>
      <c r="AI6" s="472"/>
      <c r="AJ6" s="472"/>
      <c r="AK6" s="472"/>
      <c r="AL6" s="472"/>
      <c r="AM6" s="472"/>
      <c r="AN6" s="472"/>
      <c r="AO6" s="472"/>
      <c r="AP6" s="472"/>
      <c r="AQ6" s="472"/>
      <c r="AR6" s="472"/>
      <c r="AS6" s="163"/>
      <c r="AT6" s="163"/>
      <c r="AU6" s="163"/>
      <c r="AV6" s="163"/>
      <c r="AW6" s="163"/>
      <c r="AX6" s="163"/>
      <c r="AY6" s="163"/>
      <c r="AZ6" s="163"/>
      <c r="BA6" s="163"/>
      <c r="BB6" s="163"/>
      <c r="BC6" s="165"/>
      <c r="BD6" s="223"/>
      <c r="BE6" s="223"/>
      <c r="BF6" s="223"/>
      <c r="BG6" s="223"/>
      <c r="BH6" s="223"/>
      <c r="BI6" s="223"/>
      <c r="BJ6" s="223"/>
      <c r="BK6" s="223"/>
      <c r="BL6" s="223"/>
      <c r="BM6" s="223"/>
      <c r="BN6" s="223"/>
      <c r="BO6" s="223"/>
      <c r="BP6" s="223"/>
      <c r="BQ6" s="223"/>
      <c r="BR6" s="223"/>
      <c r="BS6" s="223"/>
      <c r="BT6" s="223"/>
      <c r="BU6" s="223"/>
      <c r="BV6" s="223"/>
    </row>
    <row r="7" spans="1:74" ht="27" customHeight="1" x14ac:dyDescent="0.2">
      <c r="A7" s="472"/>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167"/>
      <c r="AT7" s="167"/>
      <c r="AU7" s="167"/>
      <c r="AV7" s="167"/>
      <c r="AW7" s="167"/>
      <c r="AX7" s="167"/>
      <c r="AY7" s="167"/>
      <c r="AZ7" s="167"/>
      <c r="BA7" s="167"/>
      <c r="BB7" s="167"/>
      <c r="BC7" s="165"/>
      <c r="BD7" s="223"/>
      <c r="BE7" s="223"/>
      <c r="BF7" s="223"/>
      <c r="BG7" s="223"/>
      <c r="BH7" s="223"/>
      <c r="BI7" s="223"/>
      <c r="BJ7" s="223"/>
      <c r="BK7" s="223"/>
      <c r="BL7" s="223"/>
      <c r="BM7" s="223"/>
      <c r="BN7" s="223"/>
      <c r="BO7" s="223"/>
      <c r="BP7" s="223"/>
      <c r="BQ7" s="223"/>
      <c r="BR7" s="223"/>
      <c r="BS7" s="223"/>
      <c r="BT7" s="223"/>
      <c r="BU7" s="223"/>
      <c r="BV7" s="223"/>
    </row>
    <row r="8" spans="1:74" ht="12.75" customHeight="1" x14ac:dyDescent="0.2">
      <c r="A8" s="472"/>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167"/>
      <c r="AT8" s="167"/>
      <c r="AU8" s="167"/>
      <c r="AV8" s="167"/>
      <c r="AW8" s="167"/>
      <c r="AX8" s="167"/>
      <c r="AY8" s="167"/>
      <c r="AZ8" s="167"/>
      <c r="BA8" s="167"/>
      <c r="BB8" s="167"/>
      <c r="BC8" s="165"/>
      <c r="BE8" s="222"/>
    </row>
    <row r="9" spans="1:74" ht="12.75" customHeight="1" x14ac:dyDescent="0.2">
      <c r="A9" s="472"/>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168"/>
      <c r="AT9" s="168"/>
      <c r="AU9" s="168"/>
      <c r="AV9" s="168"/>
      <c r="AW9" s="168"/>
      <c r="AX9" s="168"/>
      <c r="AY9" s="168"/>
      <c r="AZ9" s="168"/>
      <c r="BA9" s="168"/>
      <c r="BB9" s="168"/>
      <c r="BC9" s="165"/>
      <c r="BE9" s="222"/>
    </row>
    <row r="10" spans="1:74" ht="12.75" customHeight="1" x14ac:dyDescent="0.2">
      <c r="A10" s="472"/>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167"/>
      <c r="AT10" s="167"/>
      <c r="AU10" s="167"/>
      <c r="AV10" s="167"/>
      <c r="AW10" s="167"/>
      <c r="AX10" s="167"/>
      <c r="AY10" s="167"/>
      <c r="AZ10" s="167"/>
      <c r="BA10" s="167"/>
      <c r="BB10" s="167"/>
      <c r="BC10" s="165"/>
      <c r="BE10" s="222"/>
    </row>
    <row r="11" spans="1:74" ht="12.75" customHeight="1" x14ac:dyDescent="0.2">
      <c r="A11" s="472"/>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167"/>
      <c r="AT11" s="167"/>
      <c r="AU11" s="167"/>
      <c r="AV11" s="167"/>
      <c r="AW11" s="167"/>
      <c r="AX11" s="167"/>
      <c r="AY11" s="167"/>
      <c r="AZ11" s="167"/>
      <c r="BA11" s="167"/>
      <c r="BB11" s="167"/>
      <c r="BC11" s="165"/>
      <c r="BE11" s="222"/>
    </row>
    <row r="12" spans="1:74" ht="12.75" customHeight="1" x14ac:dyDescent="0.2">
      <c r="A12" s="472"/>
      <c r="B12" s="472"/>
      <c r="C12" s="472"/>
      <c r="D12" s="472"/>
      <c r="E12" s="472"/>
      <c r="F12" s="472"/>
      <c r="G12" s="472"/>
      <c r="H12" s="472"/>
      <c r="I12" s="472"/>
      <c r="J12" s="472"/>
      <c r="K12" s="472"/>
      <c r="L12" s="472"/>
      <c r="M12" s="472"/>
      <c r="N12" s="472"/>
      <c r="O12" s="472"/>
      <c r="P12" s="472"/>
      <c r="Q12" s="472"/>
      <c r="R12" s="472"/>
      <c r="S12" s="472"/>
      <c r="T12" s="472"/>
      <c r="U12" s="472"/>
      <c r="V12" s="472"/>
      <c r="W12" s="472"/>
      <c r="X12" s="472"/>
      <c r="Y12" s="472"/>
      <c r="Z12" s="472"/>
      <c r="AA12" s="472"/>
      <c r="AB12" s="472"/>
      <c r="AC12" s="472"/>
      <c r="AD12" s="472"/>
      <c r="AE12" s="472"/>
      <c r="AF12" s="472"/>
      <c r="AG12" s="472"/>
      <c r="AH12" s="472"/>
      <c r="AI12" s="472"/>
      <c r="AJ12" s="472"/>
      <c r="AK12" s="472"/>
      <c r="AL12" s="472"/>
      <c r="AM12" s="472"/>
      <c r="AN12" s="472"/>
      <c r="AO12" s="472"/>
      <c r="AP12" s="472"/>
      <c r="AQ12" s="472"/>
      <c r="AR12" s="472"/>
      <c r="AS12" s="167"/>
      <c r="AT12" s="167"/>
      <c r="AU12" s="167"/>
      <c r="AV12" s="167"/>
      <c r="AW12" s="167"/>
      <c r="AX12" s="167"/>
      <c r="AY12" s="167"/>
      <c r="AZ12" s="167"/>
      <c r="BA12" s="167"/>
      <c r="BB12" s="167"/>
      <c r="BC12" s="165"/>
      <c r="BE12" s="222"/>
    </row>
    <row r="13" spans="1:74" ht="12.75" customHeight="1" x14ac:dyDescent="0.2">
      <c r="A13" s="472"/>
      <c r="B13" s="472"/>
      <c r="C13" s="472"/>
      <c r="D13" s="472"/>
      <c r="E13" s="472"/>
      <c r="F13" s="472"/>
      <c r="G13" s="472"/>
      <c r="H13" s="472"/>
      <c r="I13" s="472"/>
      <c r="J13" s="472"/>
      <c r="K13" s="472"/>
      <c r="L13" s="472"/>
      <c r="M13" s="472"/>
      <c r="N13" s="472"/>
      <c r="O13" s="472"/>
      <c r="P13" s="472"/>
      <c r="Q13" s="472"/>
      <c r="R13" s="472"/>
      <c r="S13" s="472"/>
      <c r="T13" s="472"/>
      <c r="U13" s="472"/>
      <c r="V13" s="472"/>
      <c r="W13" s="472"/>
      <c r="X13" s="472"/>
      <c r="Y13" s="472"/>
      <c r="Z13" s="472"/>
      <c r="AA13" s="472"/>
      <c r="AB13" s="472"/>
      <c r="AC13" s="472"/>
      <c r="AD13" s="472"/>
      <c r="AE13" s="472"/>
      <c r="AF13" s="472"/>
      <c r="AG13" s="472"/>
      <c r="AH13" s="472"/>
      <c r="AI13" s="472"/>
      <c r="AJ13" s="472"/>
      <c r="AK13" s="472"/>
      <c r="AL13" s="472"/>
      <c r="AM13" s="472"/>
      <c r="AN13" s="472"/>
      <c r="AO13" s="472"/>
      <c r="AP13" s="472"/>
      <c r="AQ13" s="472"/>
      <c r="AR13" s="472"/>
      <c r="AS13" s="168"/>
      <c r="AT13" s="168"/>
      <c r="AU13" s="168"/>
      <c r="AV13" s="168"/>
      <c r="AW13" s="168"/>
      <c r="AX13" s="168"/>
      <c r="AY13" s="168"/>
      <c r="AZ13" s="168"/>
      <c r="BA13" s="168"/>
      <c r="BB13" s="168"/>
      <c r="BC13" s="165"/>
      <c r="BE13" s="222"/>
      <c r="BG13" s="214" t="s">
        <v>42</v>
      </c>
    </row>
    <row r="14" spans="1:74" ht="12.75" customHeight="1" x14ac:dyDescent="0.2">
      <c r="A14" s="472"/>
      <c r="B14" s="472"/>
      <c r="C14" s="472"/>
      <c r="D14" s="472"/>
      <c r="E14" s="472"/>
      <c r="F14" s="472"/>
      <c r="G14" s="472"/>
      <c r="H14" s="472"/>
      <c r="I14" s="472"/>
      <c r="J14" s="472"/>
      <c r="K14" s="472"/>
      <c r="L14" s="472"/>
      <c r="M14" s="472"/>
      <c r="N14" s="472"/>
      <c r="O14" s="472"/>
      <c r="P14" s="472"/>
      <c r="Q14" s="472"/>
      <c r="R14" s="472"/>
      <c r="S14" s="472"/>
      <c r="T14" s="472"/>
      <c r="U14" s="472"/>
      <c r="V14" s="472"/>
      <c r="W14" s="472"/>
      <c r="X14" s="472"/>
      <c r="Y14" s="472"/>
      <c r="Z14" s="472"/>
      <c r="AA14" s="472"/>
      <c r="AB14" s="472"/>
      <c r="AC14" s="472"/>
      <c r="AD14" s="472"/>
      <c r="AE14" s="472"/>
      <c r="AF14" s="472"/>
      <c r="AG14" s="472"/>
      <c r="AH14" s="472"/>
      <c r="AI14" s="472"/>
      <c r="AJ14" s="472"/>
      <c r="AK14" s="472"/>
      <c r="AL14" s="472"/>
      <c r="AM14" s="472"/>
      <c r="AN14" s="472"/>
      <c r="AO14" s="472"/>
      <c r="AP14" s="472"/>
      <c r="AQ14" s="472"/>
      <c r="AR14" s="472"/>
      <c r="AS14" s="224"/>
      <c r="AT14" s="224"/>
      <c r="AU14" s="224"/>
      <c r="AV14" s="224"/>
      <c r="AW14" s="224"/>
      <c r="AX14" s="224"/>
      <c r="AY14" s="224"/>
      <c r="AZ14" s="224"/>
      <c r="BA14" s="224"/>
      <c r="BB14" s="224"/>
      <c r="BC14" s="165"/>
      <c r="BE14" s="222"/>
    </row>
    <row r="15" spans="1:74" ht="12.75" customHeight="1" x14ac:dyDescent="0.2">
      <c r="A15" s="472"/>
      <c r="B15" s="472"/>
      <c r="C15" s="472"/>
      <c r="D15" s="472"/>
      <c r="E15" s="472"/>
      <c r="F15" s="472"/>
      <c r="G15" s="472"/>
      <c r="H15" s="472"/>
      <c r="I15" s="472"/>
      <c r="J15" s="472"/>
      <c r="K15" s="472"/>
      <c r="L15" s="472"/>
      <c r="M15" s="472"/>
      <c r="N15" s="472"/>
      <c r="O15" s="472"/>
      <c r="P15" s="472"/>
      <c r="Q15" s="472"/>
      <c r="R15" s="472"/>
      <c r="S15" s="472"/>
      <c r="T15" s="472"/>
      <c r="U15" s="472"/>
      <c r="V15" s="472"/>
      <c r="W15" s="472"/>
      <c r="X15" s="472"/>
      <c r="Y15" s="472"/>
      <c r="Z15" s="472"/>
      <c r="AA15" s="472"/>
      <c r="AB15" s="472"/>
      <c r="AC15" s="472"/>
      <c r="AD15" s="472"/>
      <c r="AE15" s="472"/>
      <c r="AF15" s="472"/>
      <c r="AG15" s="472"/>
      <c r="AH15" s="472"/>
      <c r="AI15" s="472"/>
      <c r="AJ15" s="472"/>
      <c r="AK15" s="472"/>
      <c r="AL15" s="472"/>
      <c r="AM15" s="472"/>
      <c r="AN15" s="472"/>
      <c r="AO15" s="472"/>
      <c r="AP15" s="472"/>
      <c r="AQ15" s="472"/>
      <c r="AR15" s="472"/>
      <c r="AS15" s="225"/>
      <c r="AT15" s="225"/>
      <c r="AU15" s="225"/>
      <c r="AV15" s="225"/>
      <c r="AW15" s="225"/>
      <c r="AX15" s="225"/>
      <c r="AY15" s="225"/>
      <c r="AZ15" s="225"/>
      <c r="BA15" s="225"/>
      <c r="BB15" s="225"/>
      <c r="BC15" s="165"/>
      <c r="BD15" s="169"/>
      <c r="BE15" s="170"/>
      <c r="BF15" s="169"/>
      <c r="BG15" s="169"/>
      <c r="BH15" s="169"/>
      <c r="BI15" s="169"/>
      <c r="BJ15" s="169"/>
      <c r="BK15" s="169"/>
      <c r="BL15" s="169"/>
      <c r="BM15" s="169"/>
      <c r="BN15" s="169"/>
      <c r="BO15" s="169"/>
      <c r="BP15" s="169"/>
      <c r="BQ15" s="169"/>
      <c r="BR15" s="169"/>
      <c r="BS15" s="169"/>
      <c r="BT15" s="169"/>
      <c r="BU15" s="169"/>
      <c r="BV15" s="169"/>
    </row>
    <row r="16" spans="1:74" ht="12.75" customHeight="1" x14ac:dyDescent="0.2">
      <c r="A16" s="472"/>
      <c r="B16" s="472"/>
      <c r="C16" s="472"/>
      <c r="D16" s="472"/>
      <c r="E16" s="472"/>
      <c r="F16" s="472"/>
      <c r="G16" s="472"/>
      <c r="H16" s="472"/>
      <c r="I16" s="472"/>
      <c r="J16" s="472"/>
      <c r="K16" s="472"/>
      <c r="L16" s="472"/>
      <c r="M16" s="472"/>
      <c r="N16" s="472"/>
      <c r="O16" s="472"/>
      <c r="P16" s="472"/>
      <c r="Q16" s="472"/>
      <c r="R16" s="472"/>
      <c r="S16" s="472"/>
      <c r="T16" s="472"/>
      <c r="U16" s="472"/>
      <c r="V16" s="472"/>
      <c r="W16" s="472"/>
      <c r="X16" s="472"/>
      <c r="Y16" s="472"/>
      <c r="Z16" s="472"/>
      <c r="AA16" s="472"/>
      <c r="AB16" s="472"/>
      <c r="AC16" s="472"/>
      <c r="AD16" s="472"/>
      <c r="AE16" s="472"/>
      <c r="AF16" s="472"/>
      <c r="AG16" s="472"/>
      <c r="AH16" s="472"/>
      <c r="AI16" s="472"/>
      <c r="AJ16" s="472"/>
      <c r="AK16" s="472"/>
      <c r="AL16" s="472"/>
      <c r="AM16" s="472"/>
      <c r="AN16" s="472"/>
      <c r="AO16" s="472"/>
      <c r="AP16" s="472"/>
      <c r="AQ16" s="472"/>
      <c r="AR16" s="472"/>
      <c r="AS16" s="168"/>
      <c r="AT16" s="168"/>
      <c r="AU16" s="168"/>
      <c r="AV16" s="168"/>
      <c r="AW16" s="168"/>
      <c r="AX16" s="168"/>
      <c r="AY16" s="168"/>
      <c r="AZ16" s="168"/>
      <c r="BA16" s="168"/>
      <c r="BB16" s="168"/>
      <c r="BC16" s="165"/>
      <c r="BD16" s="169"/>
      <c r="BE16" s="170"/>
      <c r="BF16" s="169"/>
      <c r="BG16" s="169"/>
      <c r="BH16" s="169"/>
      <c r="BI16" s="169"/>
      <c r="BJ16" s="169"/>
      <c r="BK16" s="169"/>
      <c r="BL16" s="169"/>
      <c r="BM16" s="169"/>
      <c r="BN16" s="169"/>
      <c r="BO16" s="169"/>
      <c r="BP16" s="169"/>
      <c r="BQ16" s="169"/>
      <c r="BR16" s="169"/>
      <c r="BS16" s="169"/>
      <c r="BT16" s="169"/>
      <c r="BU16" s="169"/>
      <c r="BV16" s="169"/>
    </row>
    <row r="17" spans="1:76" ht="12.75" customHeight="1" x14ac:dyDescent="0.2">
      <c r="A17" s="472"/>
      <c r="B17" s="472"/>
      <c r="C17" s="472"/>
      <c r="D17" s="472"/>
      <c r="E17" s="472"/>
      <c r="F17" s="472"/>
      <c r="G17" s="472"/>
      <c r="H17" s="472"/>
      <c r="I17" s="472"/>
      <c r="J17" s="472"/>
      <c r="K17" s="472"/>
      <c r="L17" s="472"/>
      <c r="M17" s="472"/>
      <c r="N17" s="472"/>
      <c r="O17" s="472"/>
      <c r="P17" s="472"/>
      <c r="Q17" s="472"/>
      <c r="R17" s="472"/>
      <c r="S17" s="472"/>
      <c r="T17" s="472"/>
      <c r="U17" s="472"/>
      <c r="V17" s="472"/>
      <c r="W17" s="472"/>
      <c r="X17" s="472"/>
      <c r="Y17" s="472"/>
      <c r="Z17" s="472"/>
      <c r="AA17" s="472"/>
      <c r="AB17" s="472"/>
      <c r="AC17" s="472"/>
      <c r="AD17" s="472"/>
      <c r="AE17" s="472"/>
      <c r="AF17" s="472"/>
      <c r="AG17" s="472"/>
      <c r="AH17" s="472"/>
      <c r="AI17" s="472"/>
      <c r="AJ17" s="472"/>
      <c r="AK17" s="472"/>
      <c r="AL17" s="472"/>
      <c r="AM17" s="472"/>
      <c r="AN17" s="472"/>
      <c r="AO17" s="472"/>
      <c r="AP17" s="472"/>
      <c r="AQ17" s="472"/>
      <c r="AR17" s="472"/>
      <c r="AS17" s="167"/>
      <c r="AT17" s="167"/>
      <c r="AU17" s="167"/>
      <c r="AV17" s="167"/>
      <c r="AW17" s="167"/>
      <c r="AX17" s="167"/>
      <c r="AY17" s="167"/>
      <c r="AZ17" s="167"/>
      <c r="BA17" s="167"/>
      <c r="BB17" s="167"/>
      <c r="BC17" s="165"/>
      <c r="BD17" s="169"/>
      <c r="BE17" s="170"/>
      <c r="BF17" s="169"/>
      <c r="BG17" s="169"/>
      <c r="BH17" s="169"/>
      <c r="BI17" s="169"/>
      <c r="BJ17" s="169"/>
      <c r="BK17" s="169"/>
      <c r="BL17" s="169"/>
      <c r="BM17" s="169"/>
      <c r="BN17" s="169"/>
      <c r="BO17" s="169"/>
      <c r="BP17" s="169"/>
      <c r="BQ17" s="169"/>
      <c r="BR17" s="169"/>
      <c r="BS17" s="169"/>
      <c r="BT17" s="169"/>
      <c r="BU17" s="169"/>
      <c r="BV17" s="169"/>
    </row>
    <row r="18" spans="1:76" ht="12.75" customHeight="1" x14ac:dyDescent="0.2">
      <c r="A18" s="472"/>
      <c r="B18" s="472"/>
      <c r="C18" s="472"/>
      <c r="D18" s="472"/>
      <c r="E18" s="472"/>
      <c r="F18" s="472"/>
      <c r="G18" s="472"/>
      <c r="H18" s="472"/>
      <c r="I18" s="472"/>
      <c r="J18" s="472"/>
      <c r="K18" s="472"/>
      <c r="L18" s="472"/>
      <c r="M18" s="472"/>
      <c r="N18" s="472"/>
      <c r="O18" s="472"/>
      <c r="P18" s="472"/>
      <c r="Q18" s="472"/>
      <c r="R18" s="472"/>
      <c r="S18" s="472"/>
      <c r="T18" s="472"/>
      <c r="U18" s="472"/>
      <c r="V18" s="472"/>
      <c r="W18" s="472"/>
      <c r="X18" s="472"/>
      <c r="Y18" s="472"/>
      <c r="Z18" s="472"/>
      <c r="AA18" s="472"/>
      <c r="AB18" s="472"/>
      <c r="AC18" s="472"/>
      <c r="AD18" s="472"/>
      <c r="AE18" s="472"/>
      <c r="AF18" s="472"/>
      <c r="AG18" s="472"/>
      <c r="AH18" s="472"/>
      <c r="AI18" s="472"/>
      <c r="AJ18" s="472"/>
      <c r="AK18" s="472"/>
      <c r="AL18" s="472"/>
      <c r="AM18" s="472"/>
      <c r="AN18" s="472"/>
      <c r="AO18" s="472"/>
      <c r="AP18" s="472"/>
      <c r="AQ18" s="472"/>
      <c r="AR18" s="472"/>
      <c r="AS18" s="167"/>
      <c r="AT18" s="167"/>
      <c r="AU18" s="167"/>
      <c r="AV18" s="167"/>
      <c r="AW18" s="167"/>
      <c r="AX18" s="167"/>
      <c r="AY18" s="167"/>
      <c r="AZ18" s="167"/>
      <c r="BA18" s="167"/>
      <c r="BB18" s="167"/>
      <c r="BC18" s="165"/>
      <c r="BD18" s="169"/>
      <c r="BE18" s="170"/>
      <c r="BF18" s="169"/>
      <c r="BG18" s="169"/>
      <c r="BH18" s="169"/>
      <c r="BI18" s="169"/>
      <c r="BJ18" s="169"/>
      <c r="BK18" s="169"/>
      <c r="BL18" s="169"/>
      <c r="BM18" s="169"/>
      <c r="BN18" s="169"/>
      <c r="BO18" s="169"/>
      <c r="BP18" s="169"/>
      <c r="BQ18" s="169"/>
      <c r="BR18" s="169"/>
      <c r="BS18" s="169"/>
      <c r="BT18" s="169"/>
      <c r="BU18" s="169"/>
      <c r="BV18" s="169"/>
    </row>
    <row r="19" spans="1:76" ht="12.75" customHeight="1" x14ac:dyDescent="0.2">
      <c r="A19" s="472"/>
      <c r="B19" s="472"/>
      <c r="C19" s="472"/>
      <c r="D19" s="472"/>
      <c r="E19" s="472"/>
      <c r="F19" s="472"/>
      <c r="G19" s="472"/>
      <c r="H19" s="472"/>
      <c r="I19" s="472"/>
      <c r="J19" s="472"/>
      <c r="K19" s="472"/>
      <c r="L19" s="472"/>
      <c r="M19" s="472"/>
      <c r="N19" s="472"/>
      <c r="O19" s="472"/>
      <c r="P19" s="472"/>
      <c r="Q19" s="472"/>
      <c r="R19" s="472"/>
      <c r="S19" s="472"/>
      <c r="T19" s="472"/>
      <c r="U19" s="472"/>
      <c r="V19" s="472"/>
      <c r="W19" s="472"/>
      <c r="X19" s="472"/>
      <c r="Y19" s="472"/>
      <c r="Z19" s="472"/>
      <c r="AA19" s="472"/>
      <c r="AB19" s="472"/>
      <c r="AC19" s="472"/>
      <c r="AD19" s="472"/>
      <c r="AE19" s="472"/>
      <c r="AF19" s="472"/>
      <c r="AG19" s="472"/>
      <c r="AH19" s="472"/>
      <c r="AI19" s="472"/>
      <c r="AJ19" s="472"/>
      <c r="AK19" s="472"/>
      <c r="AL19" s="472"/>
      <c r="AM19" s="472"/>
      <c r="AN19" s="472"/>
      <c r="AO19" s="472"/>
      <c r="AP19" s="472"/>
      <c r="AQ19" s="472"/>
      <c r="AR19" s="472"/>
      <c r="AS19" s="167"/>
      <c r="AT19" s="167"/>
      <c r="AU19" s="167"/>
      <c r="AV19" s="167"/>
      <c r="AW19" s="167"/>
      <c r="AX19" s="167"/>
      <c r="AY19" s="167"/>
      <c r="AZ19" s="167"/>
      <c r="BA19" s="167"/>
      <c r="BB19" s="167"/>
      <c r="BC19" s="165"/>
      <c r="BD19" s="169"/>
      <c r="BE19" s="170" t="str">
        <f ca="1">IFERROR(_xll.BDP($BL19,"PX_TO_SALES_RATIO")*1,"-")</f>
        <v>-</v>
      </c>
      <c r="BF19" s="169"/>
      <c r="BG19" s="169"/>
      <c r="BH19" s="169" t="str">
        <f ca="1">IFERROR(_xll.BDP($BL19,"PX_TO_FREE_CASH_FLOW")*1,"-")</f>
        <v>-</v>
      </c>
      <c r="BI19" s="169"/>
      <c r="BJ19" s="169"/>
      <c r="BK19" s="169"/>
      <c r="BL19" s="169"/>
      <c r="BM19" s="169"/>
      <c r="BN19" s="169"/>
      <c r="BO19" s="169"/>
      <c r="BP19" s="169"/>
      <c r="BQ19" s="169"/>
      <c r="BR19" s="169"/>
      <c r="BS19" s="169"/>
      <c r="BT19" s="169"/>
      <c r="BU19" s="169"/>
      <c r="BV19" s="169"/>
    </row>
    <row r="20" spans="1:76" ht="12.75" customHeight="1" x14ac:dyDescent="0.2">
      <c r="A20" s="472"/>
      <c r="B20" s="472"/>
      <c r="C20" s="472"/>
      <c r="D20" s="472"/>
      <c r="E20" s="472"/>
      <c r="F20" s="472"/>
      <c r="G20" s="472"/>
      <c r="H20" s="472"/>
      <c r="I20" s="472"/>
      <c r="J20" s="472"/>
      <c r="K20" s="472"/>
      <c r="L20" s="472"/>
      <c r="M20" s="472"/>
      <c r="N20" s="472"/>
      <c r="O20" s="472"/>
      <c r="P20" s="472"/>
      <c r="Q20" s="472"/>
      <c r="R20" s="472"/>
      <c r="S20" s="472"/>
      <c r="T20" s="472"/>
      <c r="U20" s="472"/>
      <c r="V20" s="472"/>
      <c r="W20" s="472"/>
      <c r="X20" s="472"/>
      <c r="Y20" s="472"/>
      <c r="Z20" s="472"/>
      <c r="AA20" s="472"/>
      <c r="AB20" s="472"/>
      <c r="AC20" s="472"/>
      <c r="AD20" s="472"/>
      <c r="AE20" s="472"/>
      <c r="AF20" s="472"/>
      <c r="AG20" s="472"/>
      <c r="AH20" s="472"/>
      <c r="AI20" s="472"/>
      <c r="AJ20" s="472"/>
      <c r="AK20" s="472"/>
      <c r="AL20" s="472"/>
      <c r="AM20" s="472"/>
      <c r="AN20" s="472"/>
      <c r="AO20" s="472"/>
      <c r="AP20" s="472"/>
      <c r="AQ20" s="472"/>
      <c r="AR20" s="472"/>
      <c r="AS20" s="167"/>
      <c r="AT20" s="167"/>
      <c r="AU20" s="167"/>
      <c r="AV20" s="167"/>
      <c r="AW20" s="167"/>
      <c r="AX20" s="167"/>
      <c r="AY20" s="167"/>
      <c r="AZ20" s="167"/>
      <c r="BA20" s="167"/>
      <c r="BB20" s="167"/>
      <c r="BC20" s="165"/>
      <c r="BD20" s="169"/>
      <c r="BE20" s="170"/>
      <c r="BF20" s="169"/>
      <c r="BG20" s="169"/>
      <c r="BH20" s="169"/>
      <c r="BI20" s="169"/>
      <c r="BJ20" s="169"/>
      <c r="BK20" s="169"/>
      <c r="BL20" s="169"/>
      <c r="BM20" s="169"/>
      <c r="BN20" s="169"/>
      <c r="BO20" s="169"/>
      <c r="BP20" s="169"/>
      <c r="BQ20" s="169"/>
      <c r="BR20" s="169"/>
      <c r="BS20" s="169"/>
      <c r="BT20" s="169"/>
      <c r="BU20" s="169"/>
      <c r="BV20" s="169"/>
    </row>
    <row r="21" spans="1:76" ht="12.75" customHeight="1" x14ac:dyDescent="0.2">
      <c r="A21" s="472"/>
      <c r="B21" s="472"/>
      <c r="C21" s="472"/>
      <c r="D21" s="472"/>
      <c r="E21" s="472"/>
      <c r="F21" s="472"/>
      <c r="G21" s="472"/>
      <c r="H21" s="472"/>
      <c r="I21" s="472"/>
      <c r="J21" s="472"/>
      <c r="K21" s="472"/>
      <c r="L21" s="472"/>
      <c r="M21" s="472"/>
      <c r="N21" s="472"/>
      <c r="O21" s="472"/>
      <c r="P21" s="472"/>
      <c r="Q21" s="472"/>
      <c r="R21" s="472"/>
      <c r="S21" s="472"/>
      <c r="T21" s="472"/>
      <c r="U21" s="472"/>
      <c r="V21" s="472"/>
      <c r="W21" s="472"/>
      <c r="X21" s="472"/>
      <c r="Y21" s="472"/>
      <c r="Z21" s="472"/>
      <c r="AA21" s="472"/>
      <c r="AB21" s="472"/>
      <c r="AC21" s="472"/>
      <c r="AD21" s="472"/>
      <c r="AE21" s="472"/>
      <c r="AF21" s="472"/>
      <c r="AG21" s="472"/>
      <c r="AH21" s="472"/>
      <c r="AI21" s="472"/>
      <c r="AJ21" s="472"/>
      <c r="AK21" s="472"/>
      <c r="AL21" s="472"/>
      <c r="AM21" s="472"/>
      <c r="AN21" s="472"/>
      <c r="AO21" s="472"/>
      <c r="AP21" s="472"/>
      <c r="AQ21" s="472"/>
      <c r="AR21" s="472"/>
      <c r="AS21" s="224"/>
      <c r="AT21" s="224"/>
      <c r="AU21" s="224"/>
      <c r="AV21" s="224"/>
      <c r="AW21" s="224"/>
      <c r="AX21" s="224"/>
      <c r="AY21" s="224"/>
      <c r="AZ21" s="224"/>
      <c r="BA21" s="224"/>
      <c r="BB21" s="224"/>
      <c r="BC21" s="165"/>
      <c r="BD21" s="226"/>
      <c r="BE21" s="226"/>
      <c r="BF21" s="226"/>
      <c r="BG21" s="226"/>
      <c r="BH21" s="226"/>
      <c r="BI21" s="226"/>
      <c r="BJ21" s="226"/>
      <c r="BK21" s="226"/>
      <c r="BL21" s="226"/>
      <c r="BM21" s="226"/>
      <c r="BN21" s="226"/>
      <c r="BO21" s="226"/>
      <c r="BP21" s="226"/>
      <c r="BQ21" s="226"/>
      <c r="BR21" s="226"/>
      <c r="BS21" s="226"/>
      <c r="BT21" s="169"/>
      <c r="BU21" s="169"/>
      <c r="BV21" s="169"/>
    </row>
    <row r="22" spans="1:76" s="227" customFormat="1" ht="12.75" customHeight="1" x14ac:dyDescent="0.2">
      <c r="A22" s="472"/>
      <c r="B22" s="472"/>
      <c r="C22" s="472"/>
      <c r="D22" s="472"/>
      <c r="E22" s="472"/>
      <c r="F22" s="472"/>
      <c r="G22" s="472"/>
      <c r="H22" s="472"/>
      <c r="I22" s="472"/>
      <c r="J22" s="472"/>
      <c r="K22" s="472"/>
      <c r="L22" s="472"/>
      <c r="M22" s="472"/>
      <c r="N22" s="472"/>
      <c r="O22" s="472"/>
      <c r="P22" s="472"/>
      <c r="Q22" s="472"/>
      <c r="R22" s="472"/>
      <c r="S22" s="472"/>
      <c r="T22" s="472"/>
      <c r="U22" s="472"/>
      <c r="V22" s="472"/>
      <c r="W22" s="472"/>
      <c r="X22" s="472"/>
      <c r="Y22" s="472"/>
      <c r="Z22" s="472"/>
      <c r="AA22" s="472"/>
      <c r="AB22" s="472"/>
      <c r="AC22" s="472"/>
      <c r="AD22" s="472"/>
      <c r="AE22" s="472"/>
      <c r="AF22" s="472"/>
      <c r="AG22" s="472"/>
      <c r="AH22" s="472"/>
      <c r="AI22" s="472"/>
      <c r="AJ22" s="472"/>
      <c r="AK22" s="472"/>
      <c r="AL22" s="472"/>
      <c r="AM22" s="472"/>
      <c r="AN22" s="472"/>
      <c r="AO22" s="472"/>
      <c r="AP22" s="472"/>
      <c r="AQ22" s="472"/>
      <c r="AR22" s="472"/>
      <c r="AS22" s="224"/>
      <c r="AT22" s="224"/>
      <c r="AU22" s="224"/>
      <c r="AV22" s="224"/>
      <c r="AW22" s="224"/>
      <c r="AX22" s="224"/>
      <c r="AY22" s="224"/>
      <c r="AZ22" s="224"/>
      <c r="BA22" s="224"/>
      <c r="BB22" s="224"/>
      <c r="BC22" s="165"/>
      <c r="BD22" s="171"/>
      <c r="BE22" s="172"/>
      <c r="BF22" s="171" t="str">
        <f>IF(OR(IFERROR(VLOOKUP(BP22,[1]ARS!A:EL,MATCH("Price To Earnings",[1]ARS!$4:$4,0),FALSE),"-")&lt;0,IFERROR(VLOOKUP(BP22,[1]ARS!A:EL,MATCH("Price To Earnings",[1]ARS!$4:$4,0),FALSE),"-")&gt;500),"-",IFERROR(VLOOKUP(BP22,[1]ARS!A:EL,MATCH("Price To Earnings",[1]ARS!$4:$4,0),FALSE),"-"))</f>
        <v>-</v>
      </c>
      <c r="BG22" s="171"/>
      <c r="BH22" s="171"/>
      <c r="BI22" s="171"/>
      <c r="BJ22" s="171"/>
      <c r="BK22" s="171"/>
      <c r="BL22" s="171"/>
      <c r="BM22" s="171"/>
      <c r="BN22" s="171"/>
      <c r="BO22" s="171"/>
      <c r="BP22" s="171"/>
      <c r="BQ22" s="171"/>
      <c r="BR22" s="171"/>
      <c r="BS22" s="171"/>
      <c r="BT22" s="171"/>
      <c r="BU22" s="171"/>
      <c r="BV22" s="171"/>
    </row>
    <row r="23" spans="1:76" ht="12.75" customHeight="1" x14ac:dyDescent="0.2">
      <c r="A23" s="472"/>
      <c r="B23" s="472"/>
      <c r="C23" s="472"/>
      <c r="D23" s="472"/>
      <c r="E23" s="472"/>
      <c r="F23" s="472"/>
      <c r="G23" s="472"/>
      <c r="H23" s="472"/>
      <c r="I23" s="472"/>
      <c r="J23" s="472"/>
      <c r="K23" s="472"/>
      <c r="L23" s="472"/>
      <c r="M23" s="472"/>
      <c r="N23" s="472"/>
      <c r="O23" s="472"/>
      <c r="P23" s="472"/>
      <c r="Q23" s="472"/>
      <c r="R23" s="472"/>
      <c r="S23" s="472"/>
      <c r="T23" s="472"/>
      <c r="U23" s="472"/>
      <c r="V23" s="472"/>
      <c r="W23" s="472"/>
      <c r="X23" s="472"/>
      <c r="Y23" s="472"/>
      <c r="Z23" s="472"/>
      <c r="AA23" s="472"/>
      <c r="AB23" s="472"/>
      <c r="AC23" s="472"/>
      <c r="AD23" s="472"/>
      <c r="AE23" s="472"/>
      <c r="AF23" s="472"/>
      <c r="AG23" s="472"/>
      <c r="AH23" s="472"/>
      <c r="AI23" s="472"/>
      <c r="AJ23" s="472"/>
      <c r="AK23" s="472"/>
      <c r="AL23" s="472"/>
      <c r="AM23" s="472"/>
      <c r="AN23" s="472"/>
      <c r="AO23" s="472"/>
      <c r="AP23" s="472"/>
      <c r="AQ23" s="472"/>
      <c r="AR23" s="472"/>
      <c r="AS23" s="224"/>
      <c r="AT23" s="224"/>
      <c r="AU23" s="224"/>
      <c r="AV23" s="224"/>
      <c r="AW23" s="224"/>
      <c r="AX23" s="224"/>
      <c r="AY23" s="224"/>
      <c r="AZ23" s="224"/>
      <c r="BA23" s="224"/>
      <c r="BB23" s="224"/>
      <c r="BC23" s="165"/>
      <c r="BD23" s="169"/>
      <c r="BE23" s="170"/>
      <c r="BF23" s="169" t="str">
        <f>IF(OR(IFERROR(VLOOKUP(BP23,[1]ARS!A:EL,MATCH("Price To Earnings",[1]ARS!$4:$4,0),FALSE),"-")&lt;0,IFERROR(VLOOKUP(BP23,[1]ARS!A:EL,MATCH("Price To Earnings",[1]ARS!$4:$4,0),FALSE),"-")&gt;500),"-",IFERROR(VLOOKUP(BP23,[1]ARS!A:EL,MATCH("Price To Earnings",[1]ARS!$4:$4,0),FALSE),"-"))</f>
        <v>-</v>
      </c>
      <c r="BG23" s="169"/>
      <c r="BH23" s="169"/>
      <c r="BI23" s="169"/>
      <c r="BJ23" s="169"/>
      <c r="BK23" s="169"/>
      <c r="BL23" s="169"/>
      <c r="BM23" s="169"/>
      <c r="BN23" s="169"/>
      <c r="BO23" s="169"/>
      <c r="BP23" s="169"/>
      <c r="BQ23" s="169"/>
      <c r="BR23" s="169"/>
      <c r="BS23" s="169"/>
      <c r="BT23" s="169"/>
      <c r="BU23" s="169"/>
      <c r="BV23" s="169"/>
    </row>
    <row r="24" spans="1:76" s="228" customFormat="1" ht="12.75" customHeight="1" x14ac:dyDescent="0.2">
      <c r="A24" s="472"/>
      <c r="B24" s="472"/>
      <c r="C24" s="472"/>
      <c r="D24" s="472"/>
      <c r="E24" s="472"/>
      <c r="F24" s="472"/>
      <c r="G24" s="472"/>
      <c r="H24" s="472"/>
      <c r="I24" s="472"/>
      <c r="J24" s="472"/>
      <c r="K24" s="472"/>
      <c r="L24" s="472"/>
      <c r="M24" s="472"/>
      <c r="N24" s="472"/>
      <c r="O24" s="472"/>
      <c r="P24" s="472"/>
      <c r="Q24" s="472"/>
      <c r="R24" s="472"/>
      <c r="S24" s="472"/>
      <c r="T24" s="472"/>
      <c r="U24" s="472"/>
      <c r="V24" s="472"/>
      <c r="W24" s="472"/>
      <c r="X24" s="472"/>
      <c r="Y24" s="472"/>
      <c r="Z24" s="472"/>
      <c r="AA24" s="472"/>
      <c r="AB24" s="472"/>
      <c r="AC24" s="472"/>
      <c r="AD24" s="472"/>
      <c r="AE24" s="472"/>
      <c r="AF24" s="472"/>
      <c r="AG24" s="472"/>
      <c r="AH24" s="472"/>
      <c r="AI24" s="472"/>
      <c r="AJ24" s="472"/>
      <c r="AK24" s="472"/>
      <c r="AL24" s="472"/>
      <c r="AM24" s="472"/>
      <c r="AN24" s="472"/>
      <c r="AO24" s="472"/>
      <c r="AP24" s="472"/>
      <c r="AQ24" s="472"/>
      <c r="AR24" s="472"/>
      <c r="AS24" s="225"/>
      <c r="AT24" s="225"/>
      <c r="AU24" s="225"/>
      <c r="AV24" s="225"/>
      <c r="AW24" s="225"/>
      <c r="AX24" s="225"/>
      <c r="AY24" s="225"/>
      <c r="AZ24" s="225"/>
      <c r="BA24" s="225"/>
      <c r="BB24" s="225"/>
      <c r="BC24" s="165"/>
      <c r="BD24" s="175"/>
      <c r="BE24" s="176"/>
      <c r="BF24" s="175" t="str">
        <f>IF(OR(IFERROR(VLOOKUP(BP24,[1]ARS!A:EL,MATCH("Price To Earnings",[1]ARS!$4:$4,0),FALSE),"-")&lt;0,IFERROR(VLOOKUP(BP24,[1]ARS!A:EL,MATCH("Price To Earnings",[1]ARS!$4:$4,0),FALSE),"-")&gt;500),"-",IFERROR(VLOOKUP(BP24,[1]ARS!A:EL,MATCH("Price To Earnings",[1]ARS!$4:$4,0),FALSE),"-"))</f>
        <v>-</v>
      </c>
      <c r="BG24" s="175"/>
      <c r="BH24" s="175"/>
      <c r="BI24" s="175"/>
      <c r="BJ24" s="175"/>
      <c r="BK24" s="175"/>
      <c r="BL24" s="175"/>
      <c r="BM24" s="175"/>
      <c r="BN24" s="175"/>
      <c r="BO24" s="175"/>
      <c r="BP24" s="175"/>
      <c r="BQ24" s="175"/>
      <c r="BR24" s="175"/>
      <c r="BS24" s="175"/>
      <c r="BT24" s="175"/>
      <c r="BU24" s="175"/>
      <c r="BV24" s="175"/>
    </row>
    <row r="25" spans="1:76" s="228" customFormat="1" ht="12.75" customHeight="1" x14ac:dyDescent="0.2">
      <c r="A25" s="472"/>
      <c r="B25" s="472"/>
      <c r="C25" s="472"/>
      <c r="D25" s="472"/>
      <c r="E25" s="472"/>
      <c r="F25" s="472"/>
      <c r="G25" s="472"/>
      <c r="H25" s="472"/>
      <c r="I25" s="472"/>
      <c r="J25" s="472"/>
      <c r="K25" s="472"/>
      <c r="L25" s="472"/>
      <c r="M25" s="472"/>
      <c r="N25" s="472"/>
      <c r="O25" s="472"/>
      <c r="P25" s="472"/>
      <c r="Q25" s="472"/>
      <c r="R25" s="472"/>
      <c r="S25" s="472"/>
      <c r="T25" s="472"/>
      <c r="U25" s="472"/>
      <c r="V25" s="472"/>
      <c r="W25" s="472"/>
      <c r="X25" s="472"/>
      <c r="Y25" s="472"/>
      <c r="Z25" s="472"/>
      <c r="AA25" s="472"/>
      <c r="AB25" s="472"/>
      <c r="AC25" s="472"/>
      <c r="AD25" s="472"/>
      <c r="AE25" s="472"/>
      <c r="AF25" s="472"/>
      <c r="AG25" s="472"/>
      <c r="AH25" s="472"/>
      <c r="AI25" s="472"/>
      <c r="AJ25" s="472"/>
      <c r="AK25" s="472"/>
      <c r="AL25" s="472"/>
      <c r="AM25" s="472"/>
      <c r="AN25" s="472"/>
      <c r="AO25" s="472"/>
      <c r="AP25" s="472"/>
      <c r="AQ25" s="472"/>
      <c r="AR25" s="472"/>
      <c r="AS25" s="225"/>
      <c r="AT25" s="225"/>
      <c r="AU25" s="225"/>
      <c r="AV25" s="225"/>
      <c r="AW25" s="225"/>
      <c r="AX25" s="225"/>
      <c r="AY25" s="225"/>
      <c r="AZ25" s="225"/>
      <c r="BA25" s="225"/>
      <c r="BB25" s="225"/>
      <c r="BC25" s="165"/>
      <c r="BD25" s="169"/>
      <c r="BE25" s="170"/>
      <c r="BF25" s="169" t="str">
        <f>IF(OR(IFERROR(VLOOKUP(BP25,[1]ARS!A:EL,MATCH("Price To Earnings",[1]ARS!$4:$4,0),FALSE),"-")&lt;0,IFERROR(VLOOKUP(BP25,[1]ARS!A:EL,MATCH("Price To Earnings",[1]ARS!$4:$4,0),FALSE),"-")&gt;500),"-",IFERROR(VLOOKUP(BP25,[1]ARS!A:EL,MATCH("Price To Earnings",[1]ARS!$4:$4,0),FALSE),"-"))</f>
        <v>-</v>
      </c>
      <c r="BG25" s="169"/>
      <c r="BH25" s="169"/>
      <c r="BI25" s="169"/>
      <c r="BJ25" s="169"/>
      <c r="BK25" s="169"/>
      <c r="BL25" s="169"/>
      <c r="BM25" s="169"/>
      <c r="BN25" s="169"/>
      <c r="BO25" s="169"/>
      <c r="BP25" s="169"/>
      <c r="BQ25" s="169"/>
      <c r="BR25" s="169"/>
      <c r="BS25" s="169"/>
      <c r="BT25" s="169"/>
      <c r="BU25" s="169"/>
      <c r="BV25" s="169"/>
      <c r="BX25" s="228" t="s">
        <v>60</v>
      </c>
    </row>
    <row r="26" spans="1:76" s="228" customFormat="1" ht="12.75" customHeight="1" x14ac:dyDescent="0.2">
      <c r="A26" s="472"/>
      <c r="B26" s="472"/>
      <c r="C26" s="472"/>
      <c r="D26" s="472"/>
      <c r="E26" s="472"/>
      <c r="F26" s="472"/>
      <c r="G26" s="472"/>
      <c r="H26" s="472"/>
      <c r="I26" s="472"/>
      <c r="J26" s="472"/>
      <c r="K26" s="472"/>
      <c r="L26" s="472"/>
      <c r="M26" s="472"/>
      <c r="N26" s="472"/>
      <c r="O26" s="472"/>
      <c r="P26" s="472"/>
      <c r="Q26" s="472"/>
      <c r="R26" s="472"/>
      <c r="S26" s="472"/>
      <c r="T26" s="472"/>
      <c r="U26" s="472"/>
      <c r="V26" s="472"/>
      <c r="W26" s="472"/>
      <c r="X26" s="472"/>
      <c r="Y26" s="472"/>
      <c r="Z26" s="472"/>
      <c r="AA26" s="472"/>
      <c r="AB26" s="472"/>
      <c r="AC26" s="472"/>
      <c r="AD26" s="472"/>
      <c r="AE26" s="472"/>
      <c r="AF26" s="472"/>
      <c r="AG26" s="472"/>
      <c r="AH26" s="472"/>
      <c r="AI26" s="472"/>
      <c r="AJ26" s="472"/>
      <c r="AK26" s="472"/>
      <c r="AL26" s="472"/>
      <c r="AM26" s="472"/>
      <c r="AN26" s="472"/>
      <c r="AO26" s="472"/>
      <c r="AP26" s="472"/>
      <c r="AQ26" s="472"/>
      <c r="AR26" s="472"/>
      <c r="AS26" s="166"/>
      <c r="AT26" s="166"/>
      <c r="AU26" s="166"/>
      <c r="AV26" s="166"/>
      <c r="AW26" s="166"/>
      <c r="AX26" s="166"/>
      <c r="AY26" s="166"/>
      <c r="AZ26" s="166"/>
      <c r="BA26" s="166"/>
      <c r="BB26" s="166"/>
      <c r="BC26" s="165"/>
      <c r="BD26" s="175"/>
      <c r="BE26" s="176"/>
      <c r="BF26" s="175" t="str">
        <f>IF(OR(IFERROR(VLOOKUP(BP26,[1]ARS!A:EL,MATCH("Price To Earnings",[1]ARS!$4:$4,0),FALSE),"-")&lt;0,IFERROR(VLOOKUP(BP26,[1]ARS!A:EL,MATCH("Price To Earnings",[1]ARS!$4:$4,0),FALSE),"-")&gt;500),"-",IFERROR(VLOOKUP(BP26,[1]ARS!A:EL,MATCH("Price To Earnings",[1]ARS!$4:$4,0),FALSE),"-"))</f>
        <v>-</v>
      </c>
      <c r="BG26" s="175"/>
      <c r="BH26" s="175"/>
      <c r="BI26" s="175"/>
      <c r="BJ26" s="175"/>
      <c r="BK26" s="175"/>
      <c r="BL26" s="175"/>
      <c r="BM26" s="175"/>
      <c r="BN26" s="175"/>
      <c r="BO26" s="175"/>
      <c r="BP26" s="175"/>
      <c r="BQ26" s="175"/>
      <c r="BR26" s="175"/>
      <c r="BS26" s="175"/>
      <c r="BT26" s="175"/>
      <c r="BU26" s="175"/>
      <c r="BV26" s="175"/>
      <c r="BX26" s="228" t="s">
        <v>53</v>
      </c>
    </row>
    <row r="27" spans="1:76" ht="12.75" customHeight="1" x14ac:dyDescent="0.2">
      <c r="A27" s="472"/>
      <c r="B27" s="472"/>
      <c r="C27" s="472"/>
      <c r="D27" s="472"/>
      <c r="E27" s="472"/>
      <c r="F27" s="472"/>
      <c r="G27" s="472"/>
      <c r="H27" s="472"/>
      <c r="I27" s="472"/>
      <c r="J27" s="472"/>
      <c r="K27" s="472"/>
      <c r="L27" s="472"/>
      <c r="M27" s="472"/>
      <c r="N27" s="472"/>
      <c r="O27" s="472"/>
      <c r="P27" s="472"/>
      <c r="Q27" s="472"/>
      <c r="R27" s="472"/>
      <c r="S27" s="472"/>
      <c r="T27" s="472"/>
      <c r="U27" s="472"/>
      <c r="V27" s="472"/>
      <c r="W27" s="472"/>
      <c r="X27" s="472"/>
      <c r="Y27" s="472"/>
      <c r="Z27" s="472"/>
      <c r="AA27" s="472"/>
      <c r="AB27" s="472"/>
      <c r="AC27" s="472"/>
      <c r="AD27" s="472"/>
      <c r="AE27" s="472"/>
      <c r="AF27" s="472"/>
      <c r="AG27" s="472"/>
      <c r="AH27" s="472"/>
      <c r="AI27" s="472"/>
      <c r="AJ27" s="472"/>
      <c r="AK27" s="472"/>
      <c r="AL27" s="472"/>
      <c r="AM27" s="472"/>
      <c r="AN27" s="472"/>
      <c r="AO27" s="472"/>
      <c r="AP27" s="472"/>
      <c r="AQ27" s="472"/>
      <c r="AR27" s="472"/>
      <c r="AS27" s="224"/>
      <c r="AT27" s="224"/>
      <c r="AU27" s="224"/>
      <c r="AV27" s="224"/>
      <c r="AW27" s="224"/>
      <c r="AX27" s="224"/>
      <c r="AY27" s="224"/>
      <c r="AZ27" s="224"/>
      <c r="BA27" s="224"/>
      <c r="BB27" s="224"/>
      <c r="BC27" s="165"/>
      <c r="BD27" s="169"/>
      <c r="BE27" s="170"/>
      <c r="BF27" s="169" t="str">
        <f>IF(OR(IFERROR(VLOOKUP(BP27,[1]ARS!A:EL,MATCH("Price To Earnings",[1]ARS!$4:$4,0),FALSE),"-")&lt;0,IFERROR(VLOOKUP(BP27,[1]ARS!A:EL,MATCH("Price To Earnings",[1]ARS!$4:$4,0),FALSE),"-")&gt;500),"-",IFERROR(VLOOKUP(BP27,[1]ARS!A:EL,MATCH("Price To Earnings",[1]ARS!$4:$4,0),FALSE),"-"))</f>
        <v>-</v>
      </c>
      <c r="BG27" s="169"/>
      <c r="BH27" s="169"/>
      <c r="BI27" s="169"/>
      <c r="BJ27" s="169"/>
      <c r="BK27" s="169"/>
      <c r="BL27" s="169"/>
      <c r="BM27" s="169"/>
      <c r="BN27" s="169"/>
      <c r="BO27" s="169"/>
      <c r="BP27" s="169"/>
      <c r="BQ27" s="169"/>
      <c r="BR27" s="169"/>
      <c r="BS27" s="169"/>
      <c r="BT27" s="169"/>
      <c r="BU27" s="169"/>
      <c r="BV27" s="169"/>
      <c r="BW27" s="169"/>
    </row>
    <row r="28" spans="1:76" ht="12.75" customHeight="1" x14ac:dyDescent="0.2">
      <c r="A28" s="472"/>
      <c r="B28" s="472"/>
      <c r="C28" s="472"/>
      <c r="D28" s="472"/>
      <c r="E28" s="472"/>
      <c r="F28" s="472"/>
      <c r="G28" s="472"/>
      <c r="H28" s="472"/>
      <c r="I28" s="472"/>
      <c r="J28" s="472"/>
      <c r="K28" s="472"/>
      <c r="L28" s="472"/>
      <c r="M28" s="472"/>
      <c r="N28" s="472"/>
      <c r="O28" s="472"/>
      <c r="P28" s="472"/>
      <c r="Q28" s="472"/>
      <c r="R28" s="472"/>
      <c r="S28" s="472"/>
      <c r="T28" s="472"/>
      <c r="U28" s="472"/>
      <c r="V28" s="472"/>
      <c r="W28" s="472"/>
      <c r="X28" s="472"/>
      <c r="Y28" s="472"/>
      <c r="Z28" s="472"/>
      <c r="AA28" s="472"/>
      <c r="AB28" s="472"/>
      <c r="AC28" s="472"/>
      <c r="AD28" s="472"/>
      <c r="AE28" s="472"/>
      <c r="AF28" s="472"/>
      <c r="AG28" s="472"/>
      <c r="AH28" s="472"/>
      <c r="AI28" s="472"/>
      <c r="AJ28" s="472"/>
      <c r="AK28" s="472"/>
      <c r="AL28" s="472"/>
      <c r="AM28" s="472"/>
      <c r="AN28" s="472"/>
      <c r="AO28" s="472"/>
      <c r="AP28" s="472"/>
      <c r="AQ28" s="472"/>
      <c r="AR28" s="472"/>
      <c r="AS28" s="225"/>
      <c r="AT28" s="225"/>
      <c r="AU28" s="225"/>
      <c r="AV28" s="225"/>
      <c r="AW28" s="225"/>
      <c r="AX28" s="225"/>
      <c r="AY28" s="225"/>
      <c r="AZ28" s="225"/>
      <c r="BA28" s="225"/>
      <c r="BB28" s="225"/>
      <c r="BC28" s="165"/>
      <c r="BD28" s="169"/>
      <c r="BE28" s="170"/>
      <c r="BF28" s="169" t="str">
        <f>IF(OR(IFERROR(VLOOKUP(BP28,[1]ARS!A:EL,MATCH("Price To Earnings",[1]ARS!$4:$4,0),FALSE),"-")&lt;0,IFERROR(VLOOKUP(BP28,[1]ARS!A:EL,MATCH("Price To Earnings",[1]ARS!$4:$4,0),FALSE),"-")&gt;500),"-",IFERROR(VLOOKUP(BP28,[1]ARS!A:EL,MATCH("Price To Earnings",[1]ARS!$4:$4,0),FALSE),"-"))</f>
        <v>-</v>
      </c>
      <c r="BG28" s="169"/>
      <c r="BH28" s="169"/>
      <c r="BI28" s="169"/>
      <c r="BJ28" s="169"/>
      <c r="BK28" s="169"/>
      <c r="BL28" s="169"/>
      <c r="BM28" s="169"/>
      <c r="BN28" s="169"/>
      <c r="BO28" s="169"/>
      <c r="BP28" s="169"/>
      <c r="BQ28" s="169"/>
      <c r="BR28" s="169"/>
      <c r="BS28" s="169"/>
      <c r="BT28" s="169"/>
      <c r="BU28" s="169"/>
      <c r="BV28" s="169"/>
    </row>
    <row r="29" spans="1:76" ht="12.75" customHeight="1" x14ac:dyDescent="0.2">
      <c r="A29" s="229"/>
      <c r="B29" s="229"/>
      <c r="C29" s="229"/>
      <c r="D29" s="229"/>
      <c r="E29" s="229"/>
      <c r="F29" s="229"/>
      <c r="G29" s="229"/>
      <c r="H29" s="229"/>
      <c r="I29" s="229"/>
      <c r="J29" s="229"/>
      <c r="K29" s="229"/>
      <c r="L29" s="229"/>
      <c r="M29" s="230"/>
      <c r="N29" s="229"/>
      <c r="O29" s="229"/>
      <c r="P29" s="229"/>
      <c r="Q29" s="229"/>
      <c r="R29" s="229"/>
      <c r="S29" s="229"/>
      <c r="T29" s="229"/>
      <c r="U29" s="229"/>
      <c r="V29" s="231"/>
      <c r="W29" s="231"/>
      <c r="X29" s="231"/>
      <c r="Y29" s="231"/>
      <c r="Z29" s="231"/>
      <c r="AA29" s="231"/>
      <c r="AB29" s="231"/>
      <c r="AC29" s="231"/>
      <c r="AD29" s="231"/>
      <c r="AE29" s="231"/>
      <c r="AF29" s="231"/>
      <c r="AG29" s="231"/>
      <c r="AH29" s="231"/>
      <c r="AI29" s="231"/>
      <c r="AJ29" s="231"/>
      <c r="AK29" s="231"/>
      <c r="AL29" s="231"/>
      <c r="AM29" s="231"/>
      <c r="AN29" s="231"/>
      <c r="AO29" s="231"/>
      <c r="AP29" s="231"/>
      <c r="AQ29" s="231"/>
      <c r="AR29" s="232"/>
      <c r="AS29" s="225"/>
      <c r="AT29" s="225"/>
      <c r="AU29" s="225"/>
      <c r="AV29" s="225"/>
      <c r="AW29" s="225"/>
      <c r="AX29" s="225"/>
      <c r="AY29" s="225"/>
      <c r="AZ29" s="225"/>
      <c r="BA29" s="225"/>
      <c r="BB29" s="225"/>
      <c r="BC29" s="165"/>
      <c r="BD29" s="169"/>
      <c r="BE29" s="170"/>
      <c r="BF29" s="169" t="str">
        <f>IF(OR(IFERROR(VLOOKUP(BP29,[1]ARS!A:EL,MATCH("Price To Earnings",[1]ARS!$4:$4,0),FALSE),"-")&lt;0,IFERROR(VLOOKUP(BP29,[1]ARS!A:EL,MATCH("Price To Earnings",[1]ARS!$4:$4,0),FALSE),"-")&gt;500),"-",IFERROR(VLOOKUP(BP29,[1]ARS!A:EL,MATCH("Price To Earnings",[1]ARS!$4:$4,0),FALSE),"-"))</f>
        <v>-</v>
      </c>
      <c r="BG29" s="169"/>
      <c r="BH29" s="169"/>
      <c r="BI29" s="169"/>
      <c r="BJ29" s="169"/>
      <c r="BK29" s="169"/>
      <c r="BL29" s="169"/>
      <c r="BM29" s="169"/>
      <c r="BN29" s="169"/>
      <c r="BO29" s="169"/>
      <c r="BP29" s="169"/>
      <c r="BQ29" s="169"/>
      <c r="BR29" s="169"/>
      <c r="BS29" s="169"/>
      <c r="BT29" s="169"/>
      <c r="BU29" s="169"/>
      <c r="BV29" s="169"/>
    </row>
    <row r="30" spans="1:76" ht="12.75" customHeight="1" x14ac:dyDescent="0.2">
      <c r="A30" s="233"/>
      <c r="B30" s="229"/>
      <c r="C30" s="229"/>
      <c r="D30" s="229"/>
      <c r="E30" s="229"/>
      <c r="F30" s="229"/>
      <c r="G30" s="229"/>
      <c r="H30" s="229"/>
      <c r="I30" s="229"/>
      <c r="J30" s="229"/>
      <c r="K30" s="229"/>
      <c r="L30" s="229"/>
      <c r="M30" s="229"/>
      <c r="N30" s="229"/>
      <c r="O30" s="229"/>
      <c r="P30" s="229"/>
      <c r="Q30" s="229"/>
      <c r="R30" s="229"/>
      <c r="S30" s="229"/>
      <c r="T30" s="229"/>
      <c r="U30" s="229"/>
      <c r="V30" s="231"/>
      <c r="W30" s="231"/>
      <c r="X30" s="231"/>
      <c r="Y30" s="231"/>
      <c r="Z30" s="231"/>
      <c r="AA30" s="231"/>
      <c r="AB30" s="231"/>
      <c r="AC30" s="231"/>
      <c r="AD30" s="231"/>
      <c r="AE30" s="231"/>
      <c r="AF30" s="231"/>
      <c r="AG30" s="231"/>
      <c r="AH30" s="231"/>
      <c r="AI30" s="231"/>
      <c r="AJ30" s="231"/>
      <c r="AK30" s="231"/>
      <c r="AL30" s="231"/>
      <c r="AM30" s="231"/>
      <c r="AN30" s="231"/>
      <c r="AO30" s="231"/>
      <c r="AP30" s="231"/>
      <c r="AQ30" s="231"/>
      <c r="AR30" s="234"/>
      <c r="AS30" s="166"/>
      <c r="AT30" s="166"/>
      <c r="AU30" s="166"/>
      <c r="AV30" s="166"/>
      <c r="AW30" s="166"/>
      <c r="AX30" s="166"/>
      <c r="AY30" s="166"/>
      <c r="AZ30" s="166"/>
      <c r="BA30" s="166"/>
      <c r="BB30" s="166"/>
      <c r="BC30" s="165"/>
      <c r="BD30" s="169"/>
      <c r="BE30" s="170"/>
      <c r="BF30" s="169" t="str">
        <f>IF(OR(IFERROR(VLOOKUP(BP30,[1]ARS!A:EL,MATCH("Price To Earnings",[1]ARS!$4:$4,0),FALSE),"-")&lt;0,IFERROR(VLOOKUP(BP30,[1]ARS!A:EL,MATCH("Price To Earnings",[1]ARS!$4:$4,0),FALSE),"-")&gt;500),"-",IFERROR(VLOOKUP(BP30,[1]ARS!A:EL,MATCH("Price To Earnings",[1]ARS!$4:$4,0),FALSE),"-"))</f>
        <v>-</v>
      </c>
      <c r="BG30" s="169"/>
      <c r="BH30" s="169"/>
      <c r="BI30" s="169"/>
      <c r="BJ30" s="169"/>
      <c r="BK30" s="169"/>
      <c r="BL30" s="169"/>
      <c r="BM30" s="169"/>
      <c r="BN30" s="169"/>
      <c r="BO30" s="169"/>
      <c r="BP30" s="169"/>
      <c r="BQ30" s="169"/>
      <c r="BR30" s="169"/>
      <c r="BS30" s="169"/>
      <c r="BT30" s="169"/>
      <c r="BU30" s="169"/>
      <c r="BV30" s="169"/>
    </row>
    <row r="31" spans="1:76" ht="12.75" customHeight="1" x14ac:dyDescent="0.2">
      <c r="A31" s="229"/>
      <c r="B31" s="229"/>
      <c r="C31" s="229"/>
      <c r="D31" s="229"/>
      <c r="E31" s="229"/>
      <c r="F31" s="229"/>
      <c r="G31" s="229"/>
      <c r="H31" s="229"/>
      <c r="I31" s="229"/>
      <c r="J31" s="229"/>
      <c r="K31" s="229"/>
      <c r="L31" s="229"/>
      <c r="M31" s="235"/>
      <c r="N31" s="229"/>
      <c r="O31" s="229"/>
      <c r="P31" s="229"/>
      <c r="Q31" s="229"/>
      <c r="R31" s="229"/>
      <c r="S31" s="229"/>
      <c r="T31" s="229"/>
      <c r="U31" s="229"/>
      <c r="V31" s="231"/>
      <c r="W31" s="231"/>
      <c r="X31" s="231"/>
      <c r="Y31" s="231"/>
      <c r="Z31" s="231"/>
      <c r="AA31" s="231"/>
      <c r="AB31" s="231"/>
      <c r="AC31" s="231"/>
      <c r="AD31" s="231"/>
      <c r="AE31" s="231"/>
      <c r="AF31" s="231"/>
      <c r="AG31" s="231"/>
      <c r="AH31" s="231"/>
      <c r="AI31" s="231"/>
      <c r="AJ31" s="231"/>
      <c r="AK31" s="231"/>
      <c r="AL31" s="231"/>
      <c r="AM31" s="231"/>
      <c r="AN31" s="231"/>
      <c r="AO31" s="231"/>
      <c r="AP31" s="231"/>
      <c r="AQ31" s="231"/>
      <c r="AR31" s="236"/>
      <c r="AS31" s="224"/>
      <c r="AT31" s="224"/>
      <c r="AU31" s="224"/>
      <c r="AV31" s="224"/>
      <c r="AW31" s="224"/>
      <c r="AX31" s="224"/>
      <c r="AY31" s="224"/>
      <c r="AZ31" s="224"/>
      <c r="BA31" s="224"/>
      <c r="BB31" s="224"/>
      <c r="BC31" s="178"/>
      <c r="BD31" s="169"/>
      <c r="BE31" s="170"/>
      <c r="BF31" s="169" t="str">
        <f>IF(OR(IFERROR(VLOOKUP(BP31,[1]ARS!A:EL,MATCH("Price To Earnings",[1]ARS!$4:$4,0),FALSE),"-")&lt;0,IFERROR(VLOOKUP(BP31,[1]ARS!A:EL,MATCH("Price To Earnings",[1]ARS!$4:$4,0),FALSE),"-")&gt;500),"-",IFERROR(VLOOKUP(BP31,[1]ARS!A:EL,MATCH("Price To Earnings",[1]ARS!$4:$4,0),FALSE),"-"))</f>
        <v>-</v>
      </c>
      <c r="BG31" s="169"/>
      <c r="BH31" s="169"/>
      <c r="BI31" s="169"/>
      <c r="BJ31" s="169"/>
      <c r="BK31" s="169"/>
      <c r="BL31" s="169"/>
      <c r="BM31" s="169"/>
      <c r="BN31" s="169"/>
      <c r="BO31" s="169"/>
      <c r="BP31" s="169"/>
      <c r="BQ31" s="169"/>
      <c r="BR31" s="169"/>
      <c r="BS31" s="169"/>
      <c r="BT31" s="169"/>
      <c r="BU31" s="169"/>
      <c r="BV31" s="169"/>
    </row>
    <row r="32" spans="1:76" ht="12.75" customHeight="1" x14ac:dyDescent="0.2">
      <c r="A32" s="231"/>
      <c r="B32" s="231"/>
      <c r="C32" s="231"/>
      <c r="D32" s="231"/>
      <c r="E32" s="231"/>
      <c r="F32" s="231"/>
      <c r="G32" s="231"/>
      <c r="H32" s="231"/>
      <c r="I32" s="231"/>
      <c r="J32" s="231"/>
      <c r="K32" s="231"/>
      <c r="L32" s="231"/>
      <c r="M32" s="231"/>
      <c r="N32" s="231"/>
      <c r="O32" s="231"/>
      <c r="P32" s="231"/>
      <c r="Q32" s="231"/>
      <c r="R32" s="231"/>
      <c r="S32" s="231"/>
      <c r="T32" s="231"/>
      <c r="U32" s="231"/>
      <c r="V32" s="231"/>
      <c r="W32" s="231"/>
      <c r="X32" s="231"/>
      <c r="Y32" s="231"/>
      <c r="Z32" s="231"/>
      <c r="AA32" s="231"/>
      <c r="AB32" s="231"/>
      <c r="AC32" s="231"/>
      <c r="AD32" s="231"/>
      <c r="AE32" s="231"/>
      <c r="AF32" s="231"/>
      <c r="AG32" s="231"/>
      <c r="AH32" s="231"/>
      <c r="AI32" s="231"/>
      <c r="AJ32" s="231"/>
      <c r="AK32" s="231" t="str">
        <f>IF(IFERROR(VLOOKUP(CB32,[2]ARS!A:EL,MATCH("Operating Margin, Percent",[2]ARS!$4:$4,0),FALSE)/100,"-")&lt;0,"-",IFERROR(VLOOKUP(CB32,[2]ARS!A:EL,MATCH("Operating Margin, Percent",[2]ARS!$4:$4,0),FALSE)/100,"-"))</f>
        <v>-</v>
      </c>
      <c r="AL32" s="231"/>
      <c r="AM32" s="231"/>
      <c r="AN32" s="231"/>
      <c r="AO32" s="231"/>
      <c r="AP32" s="231"/>
      <c r="AQ32" s="231"/>
      <c r="AR32" s="231"/>
      <c r="AS32" s="224"/>
      <c r="AT32" s="224"/>
      <c r="AU32" s="224"/>
      <c r="AV32" s="224"/>
      <c r="AW32" s="237"/>
      <c r="AX32" s="224"/>
      <c r="AY32" s="224"/>
      <c r="AZ32" s="224"/>
      <c r="BA32" s="224"/>
      <c r="BB32" s="224"/>
      <c r="BC32" s="178"/>
      <c r="BD32" s="169"/>
      <c r="BE32" s="170"/>
      <c r="BF32" s="169" t="str">
        <f>IF(OR(IFERROR(VLOOKUP(BP32,[1]ARS!A:EL,MATCH("Price To Earnings",[1]ARS!$4:$4,0),FALSE),"-")&lt;0,IFERROR(VLOOKUP(BP32,[1]ARS!A:EL,MATCH("Price To Earnings",[1]ARS!$4:$4,0),FALSE),"-")&gt;500),"-",IFERROR(VLOOKUP(BP32,[1]ARS!A:EL,MATCH("Price To Earnings",[1]ARS!$4:$4,0),FALSE),"-"))</f>
        <v>-</v>
      </c>
      <c r="BG32" s="169"/>
      <c r="BH32" s="169"/>
      <c r="BI32" s="169"/>
      <c r="BJ32" s="169"/>
      <c r="BK32" s="169"/>
      <c r="BL32" s="169"/>
      <c r="BM32" s="169"/>
      <c r="BN32" s="169"/>
      <c r="BO32" s="169"/>
      <c r="BP32" s="169"/>
      <c r="BQ32" s="169"/>
      <c r="BR32" s="169"/>
      <c r="BS32" s="169"/>
      <c r="BT32" s="169"/>
      <c r="BU32" s="169"/>
      <c r="BV32" s="169"/>
    </row>
    <row r="33" spans="1:75" ht="12.75" customHeight="1" x14ac:dyDescent="0.2">
      <c r="A33" s="162"/>
      <c r="B33" s="162"/>
      <c r="C33" s="162"/>
      <c r="D33" s="238"/>
      <c r="E33" s="162"/>
      <c r="F33" s="162"/>
      <c r="G33" s="162"/>
      <c r="H33" s="162"/>
      <c r="I33" s="162"/>
      <c r="M33" s="239"/>
      <c r="P33" s="473"/>
      <c r="Q33" s="473"/>
      <c r="R33" s="473"/>
      <c r="S33" s="473"/>
      <c r="T33" s="473"/>
      <c r="U33" s="473"/>
      <c r="V33" s="473"/>
      <c r="W33" s="473"/>
      <c r="X33" s="473"/>
      <c r="Y33" s="473"/>
      <c r="Z33" s="473"/>
      <c r="AA33" s="473"/>
      <c r="AB33" s="473"/>
      <c r="AC33" s="231"/>
      <c r="AD33" s="231"/>
      <c r="AE33" s="231"/>
      <c r="AF33" s="231"/>
      <c r="AG33" s="231"/>
      <c r="AH33" s="231"/>
      <c r="AI33" s="231"/>
      <c r="AJ33" s="231"/>
      <c r="AK33" s="231"/>
      <c r="AL33" s="231"/>
      <c r="AM33" s="231"/>
      <c r="AN33" s="231"/>
      <c r="AO33" s="231"/>
      <c r="AP33" s="231"/>
      <c r="AQ33" s="231"/>
      <c r="AR33" s="162"/>
      <c r="AS33" s="224"/>
      <c r="AT33" s="224"/>
      <c r="AU33" s="224"/>
      <c r="AV33" s="224"/>
      <c r="AW33" s="224"/>
      <c r="AX33" s="224"/>
      <c r="AY33" s="224"/>
      <c r="AZ33" s="224"/>
      <c r="BA33" s="224"/>
      <c r="BB33" s="224"/>
      <c r="BC33" s="178"/>
      <c r="BD33" s="169"/>
      <c r="BE33" s="170"/>
      <c r="BF33" s="169" t="str">
        <f>IF(OR(IFERROR(VLOOKUP(BP33,[1]ARS!A:EL,MATCH("Price To Earnings",[1]ARS!$4:$4,0),FALSE),"-")&lt;0,IFERROR(VLOOKUP(BP33,[1]ARS!A:EL,MATCH("Price To Earnings",[1]ARS!$4:$4,0),FALSE),"-")&gt;500),"-",IFERROR(VLOOKUP(BP33,[1]ARS!A:EL,MATCH("Price To Earnings",[1]ARS!$4:$4,0),FALSE),"-"))</f>
        <v>-</v>
      </c>
      <c r="BG33" s="169"/>
      <c r="BH33" s="169"/>
      <c r="BI33" s="169"/>
      <c r="BJ33" s="169"/>
      <c r="BK33" s="169"/>
      <c r="BL33" s="169"/>
      <c r="BM33" s="169"/>
      <c r="BN33" s="169"/>
      <c r="BO33" s="169"/>
      <c r="BP33" s="169"/>
      <c r="BQ33" s="169"/>
      <c r="BR33" s="169"/>
      <c r="BS33" s="169"/>
      <c r="BT33" s="169"/>
      <c r="BU33" s="169"/>
      <c r="BV33" s="169"/>
    </row>
    <row r="34" spans="1:75" ht="12.75" customHeight="1" x14ac:dyDescent="0.2">
      <c r="A34" s="162"/>
      <c r="B34" s="162"/>
      <c r="C34" s="162"/>
      <c r="D34" s="238"/>
      <c r="E34" s="162"/>
      <c r="F34" s="162"/>
      <c r="G34" s="162"/>
      <c r="H34" s="162"/>
      <c r="I34" s="162"/>
      <c r="P34" s="240"/>
      <c r="Q34" s="240"/>
      <c r="R34" s="240"/>
      <c r="S34" s="240"/>
      <c r="T34" s="240"/>
      <c r="U34" s="240"/>
      <c r="V34" s="240"/>
      <c r="W34" s="240"/>
      <c r="X34" s="240"/>
      <c r="Y34" s="240"/>
      <c r="Z34" s="240"/>
      <c r="AA34" s="240"/>
      <c r="AB34" s="240"/>
      <c r="AC34" s="231"/>
      <c r="AD34" s="231"/>
      <c r="AE34" s="231"/>
      <c r="AF34" s="231"/>
      <c r="AG34" s="231"/>
      <c r="AH34" s="231"/>
      <c r="AI34" s="231"/>
      <c r="AJ34" s="231"/>
      <c r="AK34" s="231"/>
      <c r="AL34" s="231"/>
      <c r="AM34" s="231"/>
      <c r="AN34" s="231"/>
      <c r="AO34" s="231"/>
      <c r="AP34" s="231"/>
      <c r="AQ34" s="231"/>
      <c r="AR34" s="162"/>
      <c r="AS34" s="224"/>
      <c r="AT34" s="224"/>
      <c r="AU34" s="224"/>
      <c r="AV34" s="224"/>
      <c r="AW34" s="224"/>
      <c r="AX34" s="224"/>
      <c r="AY34" s="224"/>
      <c r="AZ34" s="224"/>
      <c r="BA34" s="224"/>
      <c r="BB34" s="224"/>
      <c r="BC34" s="178"/>
      <c r="BD34" s="169"/>
      <c r="BE34" s="170"/>
      <c r="BF34" s="169" t="str">
        <f>IF(OR(IFERROR(VLOOKUP(BP34,[1]ARS!A:EL,MATCH("Price To Earnings",[1]ARS!$4:$4,0),FALSE),"-")&lt;0,IFERROR(VLOOKUP(BP34,[1]ARS!A:EL,MATCH("Price To Earnings",[1]ARS!$4:$4,0),FALSE),"-")&gt;500),"-",IFERROR(VLOOKUP(BP34,[1]ARS!A:EL,MATCH("Price To Earnings",[1]ARS!$4:$4,0),FALSE),"-"))</f>
        <v>-</v>
      </c>
      <c r="BG34" s="169"/>
      <c r="BH34" s="169"/>
      <c r="BI34" s="169"/>
      <c r="BJ34" s="169"/>
      <c r="BK34" s="169"/>
      <c r="BL34" s="169"/>
      <c r="BM34" s="169"/>
      <c r="BN34" s="169"/>
      <c r="BO34" s="169"/>
      <c r="BP34" s="169"/>
      <c r="BQ34" s="169"/>
      <c r="BR34" s="169"/>
      <c r="BS34" s="241"/>
      <c r="BT34" s="169"/>
      <c r="BU34" s="169"/>
      <c r="BV34" s="169"/>
    </row>
    <row r="35" spans="1:75" ht="12.75" customHeight="1" x14ac:dyDescent="0.2">
      <c r="A35" s="162"/>
      <c r="B35" s="162"/>
      <c r="C35" s="162"/>
      <c r="D35" s="238"/>
      <c r="E35" s="162"/>
      <c r="F35" s="162"/>
      <c r="G35" s="162"/>
      <c r="H35" s="162"/>
      <c r="I35" s="162"/>
      <c r="K35" s="242"/>
      <c r="L35" s="242"/>
      <c r="M35" s="242"/>
      <c r="N35" s="242"/>
      <c r="O35" s="242"/>
      <c r="P35" s="243"/>
      <c r="Q35" s="243"/>
      <c r="R35" s="243"/>
      <c r="S35" s="243"/>
      <c r="T35" s="243"/>
      <c r="U35" s="243"/>
      <c r="V35" s="243"/>
      <c r="W35" s="243"/>
      <c r="X35" s="243"/>
      <c r="Y35" s="243"/>
      <c r="Z35" s="243"/>
      <c r="AA35" s="243"/>
      <c r="AB35" s="243"/>
      <c r="AC35" s="237"/>
      <c r="AD35" s="237"/>
      <c r="AE35" s="237"/>
      <c r="AF35" s="237"/>
      <c r="AG35" s="231"/>
      <c r="AH35" s="231"/>
      <c r="AI35" s="231"/>
      <c r="AJ35" s="231"/>
      <c r="AK35" s="231"/>
      <c r="AL35" s="231"/>
      <c r="AM35" s="231"/>
      <c r="AN35" s="231"/>
      <c r="AO35" s="231"/>
      <c r="AP35" s="231"/>
      <c r="AQ35" s="231"/>
      <c r="AR35" s="162"/>
      <c r="AS35" s="225"/>
      <c r="AT35" s="225"/>
      <c r="AU35" s="225"/>
      <c r="AV35" s="225"/>
      <c r="AW35" s="225"/>
      <c r="AX35" s="225"/>
      <c r="AY35" s="225"/>
      <c r="AZ35" s="225"/>
      <c r="BA35" s="225"/>
      <c r="BB35" s="225"/>
      <c r="BC35" s="178"/>
      <c r="BD35" s="169"/>
      <c r="BE35" s="170"/>
      <c r="BF35" s="169" t="str">
        <f>IF(OR(IFERROR(VLOOKUP(BP35,[1]ARS!A:EL,MATCH("Price To Earnings",[1]ARS!$4:$4,0),FALSE),"-")&lt;0,IFERROR(VLOOKUP(BP35,[1]ARS!A:EL,MATCH("Price To Earnings",[1]ARS!$4:$4,0),FALSE),"-")&gt;500),"-",IFERROR(VLOOKUP(BP35,[1]ARS!A:EL,MATCH("Price To Earnings",[1]ARS!$4:$4,0),FALSE),"-"))</f>
        <v>-</v>
      </c>
      <c r="BG35" s="169"/>
      <c r="BH35" s="169"/>
      <c r="BI35" s="169"/>
      <c r="BJ35" s="169"/>
      <c r="BK35" s="169"/>
      <c r="BL35" s="169"/>
      <c r="BM35" s="169"/>
      <c r="BN35" s="169"/>
      <c r="BO35" s="169"/>
      <c r="BP35" s="169"/>
      <c r="BQ35" s="169"/>
      <c r="BR35" s="169"/>
      <c r="BS35" s="241"/>
      <c r="BT35" s="169"/>
      <c r="BU35" s="169"/>
      <c r="BV35" s="169"/>
    </row>
    <row r="36" spans="1:75" ht="12.75" customHeight="1" x14ac:dyDescent="0.2">
      <c r="A36" s="162"/>
      <c r="B36" s="162"/>
      <c r="C36" s="162"/>
      <c r="D36" s="238"/>
      <c r="F36" s="162"/>
      <c r="G36" s="162"/>
      <c r="H36" s="162"/>
      <c r="I36" s="162"/>
      <c r="K36" s="244" t="s">
        <v>254</v>
      </c>
      <c r="L36" s="242"/>
      <c r="M36" s="242"/>
      <c r="N36" s="242"/>
      <c r="O36" s="242"/>
      <c r="P36" s="243"/>
      <c r="Q36" s="243"/>
      <c r="R36" s="243"/>
      <c r="S36" s="243"/>
      <c r="T36" s="243"/>
      <c r="U36" s="243"/>
      <c r="V36" s="244" t="s">
        <v>255</v>
      </c>
      <c r="W36" s="243"/>
      <c r="X36" s="243"/>
      <c r="Y36" s="243"/>
      <c r="Z36" s="243"/>
      <c r="AA36" s="243"/>
      <c r="AB36" s="243"/>
      <c r="AC36" s="237"/>
      <c r="AD36" s="237"/>
      <c r="AE36" s="237"/>
      <c r="AF36" s="244" t="s">
        <v>256</v>
      </c>
      <c r="AI36" s="231"/>
      <c r="AJ36" s="231"/>
      <c r="AK36" s="231"/>
      <c r="AL36" s="231"/>
      <c r="AM36" s="231"/>
      <c r="AN36" s="231"/>
      <c r="AO36" s="231"/>
      <c r="AP36" s="231"/>
      <c r="AQ36" s="231"/>
      <c r="AR36" s="162"/>
      <c r="AS36" s="224"/>
      <c r="AT36" s="224"/>
      <c r="AU36" s="224"/>
      <c r="AV36" s="224"/>
      <c r="AW36" s="224"/>
      <c r="AX36" s="224"/>
      <c r="AY36" s="224"/>
      <c r="AZ36" s="224"/>
      <c r="BA36" s="224"/>
      <c r="BB36" s="224"/>
      <c r="BC36" s="178"/>
      <c r="BD36" s="169"/>
      <c r="BE36" s="170"/>
      <c r="BF36" s="169" t="str">
        <f>IF(OR(IFERROR(VLOOKUP(BP36,[1]ARS!A:EL,MATCH("Price To Earnings",[1]ARS!$4:$4,0),FALSE),"-")&lt;0,IFERROR(VLOOKUP(BP36,[1]ARS!A:EL,MATCH("Price To Earnings",[1]ARS!$4:$4,0),FALSE),"-")&gt;500),"-",IFERROR(VLOOKUP(BP36,[1]ARS!A:EL,MATCH("Price To Earnings",[1]ARS!$4:$4,0),FALSE),"-"))</f>
        <v>-</v>
      </c>
      <c r="BG36" s="169"/>
      <c r="BH36" s="169"/>
      <c r="BI36" s="169"/>
      <c r="BJ36" s="169"/>
      <c r="BK36" s="169"/>
      <c r="BL36" s="169"/>
      <c r="BM36" s="169"/>
      <c r="BN36" s="169"/>
      <c r="BO36" s="169"/>
      <c r="BP36" s="169"/>
      <c r="BQ36" s="169"/>
      <c r="BR36" s="169"/>
      <c r="BS36" s="241"/>
      <c r="BT36" s="169"/>
      <c r="BU36" s="169"/>
      <c r="BV36" s="169"/>
    </row>
    <row r="37" spans="1:75" ht="12.75" customHeight="1" x14ac:dyDescent="0.2">
      <c r="A37" s="162"/>
      <c r="B37" s="162"/>
      <c r="C37" s="162"/>
      <c r="D37" s="238"/>
      <c r="F37" s="162"/>
      <c r="G37" s="162"/>
      <c r="H37" s="162"/>
      <c r="I37" s="162"/>
      <c r="K37" s="245" t="s">
        <v>257</v>
      </c>
      <c r="L37" s="242"/>
      <c r="M37" s="242"/>
      <c r="N37" s="242"/>
      <c r="O37" s="242"/>
      <c r="P37" s="243"/>
      <c r="Q37" s="243"/>
      <c r="R37" s="243"/>
      <c r="S37" s="243"/>
      <c r="T37" s="243"/>
      <c r="U37" s="243"/>
      <c r="V37" s="245" t="s">
        <v>258</v>
      </c>
      <c r="W37" s="243"/>
      <c r="X37" s="243"/>
      <c r="Y37" s="243"/>
      <c r="Z37" s="243"/>
      <c r="AA37" s="243"/>
      <c r="AB37" s="243"/>
      <c r="AC37" s="237"/>
      <c r="AD37" s="237"/>
      <c r="AE37" s="237"/>
      <c r="AF37" s="245" t="s">
        <v>259</v>
      </c>
      <c r="AI37" s="231"/>
      <c r="AJ37" s="231"/>
      <c r="AK37" s="231"/>
      <c r="AL37" s="231"/>
      <c r="AM37" s="231"/>
      <c r="AN37" s="231"/>
      <c r="AO37" s="231"/>
      <c r="AP37" s="231"/>
      <c r="AQ37" s="231"/>
      <c r="AR37" s="162"/>
      <c r="AS37" s="225"/>
      <c r="AT37" s="225"/>
      <c r="AU37" s="225"/>
      <c r="AV37" s="225"/>
      <c r="AW37" s="225"/>
      <c r="AX37" s="225"/>
      <c r="AY37" s="225"/>
      <c r="AZ37" s="225"/>
      <c r="BA37" s="225"/>
      <c r="BB37" s="225"/>
      <c r="BC37" s="178"/>
      <c r="BD37" s="169"/>
      <c r="BE37" s="170"/>
      <c r="BF37" s="169"/>
      <c r="BG37" s="169"/>
      <c r="BH37" s="169"/>
      <c r="BI37" s="169"/>
      <c r="BJ37" s="169"/>
      <c r="BK37" s="169"/>
      <c r="BL37" s="169"/>
      <c r="BM37" s="169"/>
      <c r="BN37" s="169"/>
      <c r="BO37" s="169"/>
      <c r="BP37" s="169"/>
      <c r="BQ37" s="169"/>
      <c r="BR37" s="169"/>
      <c r="BS37" s="169"/>
      <c r="BT37" s="169"/>
      <c r="BU37" s="169"/>
      <c r="BV37" s="169"/>
      <c r="BW37" s="169"/>
    </row>
    <row r="38" spans="1:75" ht="12.75" customHeight="1" x14ac:dyDescent="0.2">
      <c r="A38" s="246"/>
      <c r="B38" s="246"/>
      <c r="C38" s="246"/>
      <c r="D38" s="246"/>
      <c r="F38" s="246"/>
      <c r="G38" s="246"/>
      <c r="H38" s="246"/>
      <c r="I38" s="246"/>
      <c r="J38" s="246"/>
      <c r="K38" s="245" t="s">
        <v>260</v>
      </c>
      <c r="L38" s="247"/>
      <c r="M38" s="247"/>
      <c r="N38" s="247"/>
      <c r="O38" s="247"/>
      <c r="P38" s="247"/>
      <c r="Q38" s="247"/>
      <c r="R38" s="247"/>
      <c r="S38" s="247"/>
      <c r="T38" s="247"/>
      <c r="U38" s="237"/>
      <c r="V38" s="245" t="s">
        <v>261</v>
      </c>
      <c r="W38" s="237"/>
      <c r="X38" s="237"/>
      <c r="Y38" s="237"/>
      <c r="Z38" s="237"/>
      <c r="AA38" s="237"/>
      <c r="AB38" s="237"/>
      <c r="AD38" s="237"/>
      <c r="AE38" s="237"/>
      <c r="AF38" s="245" t="s">
        <v>262</v>
      </c>
      <c r="AI38" s="231"/>
      <c r="AJ38" s="231"/>
      <c r="AK38" s="231"/>
      <c r="AL38" s="231"/>
      <c r="AM38" s="231"/>
      <c r="AN38" s="231"/>
      <c r="AO38" s="231"/>
      <c r="AP38" s="231"/>
      <c r="AQ38" s="231"/>
      <c r="AR38" s="162"/>
      <c r="AS38" s="225"/>
      <c r="AT38" s="225"/>
      <c r="AU38" s="225"/>
      <c r="AV38" s="225"/>
      <c r="AW38" s="225"/>
      <c r="AX38" s="225"/>
      <c r="AY38" s="225"/>
      <c r="AZ38" s="225"/>
      <c r="BA38" s="225"/>
      <c r="BB38" s="225"/>
      <c r="BC38" s="178"/>
      <c r="BD38" s="169"/>
      <c r="BE38" s="170"/>
      <c r="BF38" s="169" t="str">
        <f>IF(OR(IFERROR(VLOOKUP(BP38,[1]ARS!A:EL,MATCH("Price To Earnings",[1]ARS!$4:$4,0),FALSE),"-")&lt;0,IFERROR(VLOOKUP(BP38,[1]ARS!A:EL,MATCH("Price To Earnings",[1]ARS!$4:$4,0),FALSE),"-")&gt;500),"-",IFERROR(VLOOKUP(BP38,[1]ARS!A:EL,MATCH("Price To Earnings",[1]ARS!$4:$4,0),FALSE),"-"))</f>
        <v>-</v>
      </c>
      <c r="BG38" s="169"/>
      <c r="BH38" s="169"/>
      <c r="BI38" s="169"/>
      <c r="BJ38" s="169"/>
      <c r="BK38" s="169"/>
      <c r="BL38" s="169"/>
      <c r="BM38" s="169"/>
      <c r="BN38" s="169"/>
      <c r="BO38" s="169"/>
      <c r="BP38" s="169"/>
      <c r="BQ38" s="169"/>
      <c r="BR38" s="169"/>
      <c r="BS38" s="169"/>
      <c r="BT38" s="169"/>
      <c r="BU38" s="169"/>
      <c r="BV38" s="169"/>
    </row>
    <row r="39" spans="1:75" ht="12.75" customHeight="1" x14ac:dyDescent="0.2">
      <c r="A39" s="246"/>
      <c r="B39" s="246"/>
      <c r="C39" s="246"/>
      <c r="D39" s="246"/>
      <c r="F39" s="246"/>
      <c r="G39" s="246"/>
      <c r="H39" s="246"/>
      <c r="I39" s="246"/>
      <c r="J39" s="246"/>
      <c r="K39" s="245" t="s">
        <v>263</v>
      </c>
      <c r="L39" s="247"/>
      <c r="M39" s="247"/>
      <c r="N39" s="247"/>
      <c r="O39" s="247"/>
      <c r="P39" s="247"/>
      <c r="Q39" s="247"/>
      <c r="R39" s="247"/>
      <c r="S39" s="247"/>
      <c r="T39" s="247"/>
      <c r="U39" s="237"/>
      <c r="V39" s="245" t="s">
        <v>264</v>
      </c>
      <c r="W39" s="237"/>
      <c r="X39" s="237"/>
      <c r="Y39" s="237"/>
      <c r="Z39" s="237"/>
      <c r="AA39" s="237"/>
      <c r="AB39" s="237"/>
      <c r="AC39" s="237"/>
      <c r="AD39" s="237"/>
      <c r="AE39" s="237"/>
      <c r="AF39" s="245"/>
      <c r="AI39" s="231"/>
      <c r="AJ39" s="231"/>
      <c r="AK39" s="231"/>
      <c r="AL39" s="231"/>
      <c r="AM39" s="231"/>
      <c r="AN39" s="231"/>
      <c r="AO39" s="231"/>
      <c r="AP39" s="231"/>
      <c r="AQ39" s="231"/>
      <c r="AR39" s="162"/>
      <c r="AS39" s="248"/>
      <c r="AT39" s="248"/>
      <c r="AU39" s="248"/>
      <c r="AV39" s="248"/>
      <c r="AW39" s="248"/>
      <c r="AX39" s="248"/>
      <c r="AY39" s="248"/>
      <c r="AZ39" s="248"/>
      <c r="BA39" s="248"/>
      <c r="BB39" s="248"/>
      <c r="BC39" s="248"/>
      <c r="BD39" s="169"/>
      <c r="BE39" s="170"/>
      <c r="BF39" s="169"/>
      <c r="BG39" s="169"/>
      <c r="BH39" s="169"/>
      <c r="BI39" s="169"/>
      <c r="BJ39" s="169"/>
      <c r="BK39" s="169"/>
      <c r="BL39" s="169"/>
      <c r="BM39" s="169"/>
      <c r="BN39" s="169"/>
      <c r="BO39" s="169"/>
      <c r="BP39" s="169"/>
      <c r="BQ39" s="169"/>
      <c r="BR39" s="169"/>
      <c r="BS39" s="169"/>
      <c r="BT39" s="169"/>
      <c r="BU39" s="169"/>
      <c r="BV39" s="169"/>
    </row>
    <row r="40" spans="1:75" ht="12.75" customHeight="1" x14ac:dyDescent="0.2">
      <c r="A40" s="246"/>
      <c r="B40" s="246"/>
      <c r="C40" s="246"/>
      <c r="D40" s="246"/>
      <c r="E40" s="246"/>
      <c r="F40" s="246"/>
      <c r="G40" s="246"/>
      <c r="H40" s="246"/>
      <c r="I40" s="246"/>
      <c r="J40" s="246"/>
      <c r="K40" s="246"/>
      <c r="L40" s="246"/>
      <c r="M40" s="246"/>
      <c r="N40" s="246"/>
      <c r="O40" s="246"/>
      <c r="P40" s="246"/>
      <c r="Q40" s="246"/>
      <c r="R40" s="246"/>
      <c r="S40" s="246"/>
      <c r="T40" s="246"/>
      <c r="U40" s="231"/>
      <c r="V40" s="231"/>
      <c r="W40" s="231"/>
      <c r="X40" s="231"/>
      <c r="Y40" s="231"/>
      <c r="Z40" s="231"/>
      <c r="AA40" s="231"/>
      <c r="AB40" s="231"/>
      <c r="AC40" s="231"/>
      <c r="AD40" s="231"/>
      <c r="AE40" s="231"/>
      <c r="AF40" s="231"/>
      <c r="AI40" s="231"/>
      <c r="AJ40" s="231"/>
      <c r="AK40" s="231"/>
      <c r="AL40" s="231"/>
      <c r="AM40" s="231"/>
      <c r="AN40" s="231"/>
      <c r="AO40" s="231"/>
      <c r="AP40" s="231"/>
      <c r="AQ40" s="231"/>
      <c r="AR40" s="162"/>
      <c r="AS40" s="248"/>
      <c r="AT40" s="248"/>
      <c r="AU40" s="248"/>
      <c r="AV40" s="248"/>
      <c r="AW40" s="248"/>
      <c r="AX40" s="248"/>
      <c r="AY40" s="248"/>
      <c r="AZ40" s="248"/>
      <c r="BA40" s="248"/>
      <c r="BB40" s="248"/>
      <c r="BC40" s="248"/>
      <c r="BD40" s="169"/>
      <c r="BE40" s="170"/>
      <c r="BF40" s="169" t="str">
        <f>IF(OR(IFERROR(VLOOKUP(BP40,[1]ARS!A:EL,MATCH("Price To Earnings",[1]ARS!$4:$4,0),FALSE),"-")&lt;0,IFERROR(VLOOKUP(BP40,[1]ARS!A:EL,MATCH("Price To Earnings",[1]ARS!$4:$4,0),FALSE),"-")&gt;500),"-",IFERROR(VLOOKUP(BP40,[1]ARS!A:EL,MATCH("Price To Earnings",[1]ARS!$4:$4,0),FALSE),"-"))</f>
        <v>-</v>
      </c>
      <c r="BG40" s="169"/>
      <c r="BH40" s="169"/>
      <c r="BI40" s="169"/>
      <c r="BJ40" s="169"/>
      <c r="BK40" s="169"/>
      <c r="BL40" s="169"/>
      <c r="BM40" s="169"/>
      <c r="BN40" s="169"/>
      <c r="BO40" s="169"/>
      <c r="BP40" s="169"/>
      <c r="BQ40" s="169"/>
      <c r="BR40" s="169"/>
      <c r="BS40" s="169"/>
      <c r="BT40" s="169"/>
      <c r="BU40" s="169"/>
      <c r="BV40" s="169"/>
    </row>
    <row r="41" spans="1:75" ht="12.75" customHeight="1" x14ac:dyDescent="0.2">
      <c r="A41" s="246"/>
      <c r="B41" s="246"/>
      <c r="C41" s="246"/>
      <c r="D41" s="246"/>
      <c r="E41" s="246"/>
      <c r="F41" s="246"/>
      <c r="G41" s="246"/>
      <c r="H41" s="246"/>
      <c r="I41" s="246"/>
      <c r="J41" s="246"/>
      <c r="K41" s="246"/>
      <c r="L41" s="246"/>
      <c r="M41" s="246"/>
      <c r="N41" s="246"/>
      <c r="O41" s="246"/>
      <c r="P41" s="246"/>
      <c r="Q41" s="246"/>
      <c r="R41" s="246"/>
      <c r="S41" s="246"/>
      <c r="T41" s="246"/>
      <c r="U41" s="231"/>
      <c r="V41" s="231"/>
      <c r="W41" s="231"/>
      <c r="X41" s="231"/>
      <c r="Y41" s="231"/>
      <c r="Z41" s="231"/>
      <c r="AA41" s="231"/>
      <c r="AB41" s="231"/>
      <c r="AC41" s="231"/>
      <c r="AD41" s="231"/>
      <c r="AE41" s="231"/>
      <c r="AF41" s="231"/>
      <c r="AI41" s="231"/>
      <c r="AJ41" s="231"/>
      <c r="AK41" s="231"/>
      <c r="AL41" s="231"/>
      <c r="AM41" s="231"/>
      <c r="AN41" s="231"/>
      <c r="AO41" s="231"/>
      <c r="AP41" s="231"/>
      <c r="AQ41" s="231"/>
      <c r="AR41" s="162"/>
      <c r="AS41" s="179"/>
      <c r="AT41" s="179"/>
      <c r="AU41" s="179"/>
      <c r="AV41" s="179"/>
      <c r="AW41" s="179"/>
      <c r="AX41" s="179"/>
      <c r="AY41" s="179"/>
      <c r="AZ41" s="179"/>
      <c r="BA41" s="179"/>
      <c r="BB41" s="179"/>
      <c r="BC41" s="178"/>
      <c r="BD41" s="169"/>
      <c r="BE41" s="170"/>
      <c r="BF41" s="169"/>
      <c r="BG41" s="169"/>
      <c r="BH41" s="169"/>
      <c r="BI41" s="169"/>
      <c r="BJ41" s="169"/>
      <c r="BK41" s="169"/>
      <c r="BL41" s="169"/>
      <c r="BM41" s="169"/>
      <c r="BN41" s="169"/>
      <c r="BO41" s="169"/>
      <c r="BP41" s="169"/>
      <c r="BQ41" s="169"/>
      <c r="BR41" s="169"/>
      <c r="BS41" s="169"/>
      <c r="BT41" s="169"/>
      <c r="BU41" s="169"/>
      <c r="BV41" s="169"/>
    </row>
    <row r="42" spans="1:75" ht="12.75" customHeight="1" x14ac:dyDescent="0.2">
      <c r="A42" s="246"/>
      <c r="B42" s="246"/>
      <c r="C42" s="246"/>
      <c r="D42" s="249"/>
      <c r="H42" s="246"/>
      <c r="I42" s="246"/>
      <c r="J42" s="246"/>
      <c r="K42" s="246"/>
      <c r="L42" s="246"/>
      <c r="M42" s="246"/>
      <c r="N42" s="246"/>
      <c r="O42" s="246"/>
      <c r="P42" s="246"/>
      <c r="Q42" s="246"/>
      <c r="R42" s="246"/>
      <c r="S42" s="246"/>
      <c r="T42" s="246"/>
      <c r="U42" s="246"/>
      <c r="V42" s="246"/>
      <c r="W42" s="231"/>
      <c r="X42" s="231"/>
      <c r="Z42" s="231"/>
      <c r="AA42" s="231"/>
      <c r="AB42" s="231"/>
      <c r="AC42" s="231"/>
      <c r="AD42" s="231"/>
      <c r="AE42" s="231"/>
      <c r="AF42" s="231"/>
      <c r="AI42" s="231"/>
      <c r="AJ42" s="231"/>
      <c r="AK42" s="231"/>
      <c r="AP42" s="231"/>
      <c r="AQ42" s="231"/>
      <c r="AR42" s="231"/>
      <c r="AS42" s="163"/>
      <c r="AT42" s="163"/>
      <c r="AU42" s="163"/>
      <c r="AV42" s="163"/>
      <c r="AW42" s="163"/>
      <c r="AX42" s="163"/>
      <c r="AY42" s="163"/>
      <c r="AZ42" s="163"/>
      <c r="BA42" s="163"/>
      <c r="BB42" s="163"/>
      <c r="BC42" s="165"/>
      <c r="BD42" s="169"/>
      <c r="BE42" s="170"/>
      <c r="BF42" s="169"/>
      <c r="BG42" s="169"/>
      <c r="BH42" s="169"/>
      <c r="BI42" s="169"/>
      <c r="BJ42" s="169"/>
      <c r="BK42" s="169"/>
      <c r="BL42" s="169"/>
      <c r="BM42" s="169"/>
      <c r="BN42" s="169"/>
      <c r="BO42" s="169"/>
      <c r="BP42" s="169"/>
      <c r="BQ42" s="169"/>
      <c r="BR42" s="169"/>
      <c r="BS42" s="169"/>
      <c r="BT42" s="169"/>
      <c r="BU42" s="169"/>
      <c r="BV42" s="169"/>
    </row>
    <row r="43" spans="1:75" ht="12.75" customHeight="1" x14ac:dyDescent="0.2">
      <c r="A43" s="246"/>
      <c r="B43" s="246"/>
      <c r="C43" s="246"/>
      <c r="D43" s="249"/>
      <c r="H43" s="246"/>
      <c r="I43" s="246"/>
      <c r="J43" s="246"/>
      <c r="K43" s="246"/>
      <c r="L43" s="246"/>
      <c r="M43" s="246"/>
      <c r="N43" s="246"/>
      <c r="O43" s="246"/>
      <c r="P43" s="246"/>
      <c r="Q43" s="246"/>
      <c r="R43" s="246"/>
      <c r="S43" s="246"/>
      <c r="T43" s="246"/>
      <c r="U43" s="246"/>
      <c r="V43" s="246"/>
      <c r="W43" s="231"/>
      <c r="X43" s="231"/>
      <c r="Z43" s="231"/>
      <c r="AA43" s="231"/>
      <c r="AB43" s="231"/>
      <c r="AC43" s="231"/>
      <c r="AD43" s="231"/>
      <c r="AE43" s="231"/>
      <c r="AF43" s="231"/>
      <c r="AI43" s="231"/>
      <c r="AJ43" s="231"/>
      <c r="AK43" s="231"/>
      <c r="AP43" s="231"/>
      <c r="AQ43" s="231"/>
      <c r="AR43" s="231"/>
      <c r="AS43" s="163"/>
      <c r="AT43" s="163"/>
      <c r="AU43" s="163"/>
      <c r="AV43" s="163"/>
      <c r="AW43" s="163"/>
      <c r="AX43" s="163"/>
      <c r="AY43" s="163"/>
      <c r="AZ43" s="163"/>
      <c r="BA43" s="163"/>
      <c r="BB43" s="163"/>
      <c r="BC43" s="165"/>
      <c r="BD43" s="169"/>
      <c r="BE43" s="170"/>
      <c r="BF43" s="169"/>
      <c r="BG43" s="169"/>
      <c r="BH43" s="169"/>
      <c r="BI43" s="169"/>
      <c r="BJ43" s="169"/>
      <c r="BK43" s="169"/>
      <c r="BL43" s="169"/>
      <c r="BM43" s="169"/>
      <c r="BN43" s="169"/>
      <c r="BO43" s="169"/>
      <c r="BP43" s="169"/>
      <c r="BQ43" s="169"/>
      <c r="BR43" s="169"/>
      <c r="BS43" s="169"/>
      <c r="BT43" s="169"/>
      <c r="BU43" s="169"/>
      <c r="BV43" s="169"/>
    </row>
    <row r="44" spans="1:75" ht="12.75" customHeight="1" x14ac:dyDescent="0.2">
      <c r="A44" s="250"/>
      <c r="B44" s="238"/>
      <c r="C44" s="251"/>
      <c r="D44" s="249"/>
      <c r="F44" s="200"/>
      <c r="G44" s="200"/>
      <c r="H44" s="169"/>
      <c r="I44" s="169"/>
      <c r="K44" s="252"/>
      <c r="S44" s="252"/>
      <c r="T44" s="169"/>
      <c r="V44" s="252"/>
      <c r="AF44" s="252"/>
      <c r="AI44" s="252"/>
      <c r="AJ44" s="214"/>
      <c r="AO44" s="203"/>
      <c r="AP44" s="169"/>
      <c r="AQ44" s="169"/>
      <c r="AR44" s="162"/>
      <c r="AS44" s="169"/>
      <c r="AT44" s="170"/>
      <c r="AU44" s="169"/>
      <c r="AV44" s="169"/>
      <c r="AW44" s="169"/>
      <c r="AX44" s="169"/>
      <c r="AY44" s="169"/>
      <c r="AZ44" s="169"/>
      <c r="BA44" s="169"/>
      <c r="BB44" s="169"/>
      <c r="BC44" s="169"/>
      <c r="BD44" s="169"/>
      <c r="BE44" s="170"/>
      <c r="BF44" s="169" t="str">
        <f>IF(OR(IFERROR(VLOOKUP(BP44,[1]ARS!A:EL,MATCH("Price To Earnings",[1]ARS!$4:$4,0),FALSE),"-")&lt;0,IFERROR(VLOOKUP(BP44,[1]ARS!A:EL,MATCH("Price To Earnings",[1]ARS!$4:$4,0),FALSE),"-")&gt;500),"-",IFERROR(VLOOKUP(BP44,[1]ARS!A:EL,MATCH("Price To Earnings",[1]ARS!$4:$4,0),FALSE),"-"))</f>
        <v>-</v>
      </c>
      <c r="BG44" s="169"/>
      <c r="BH44" s="169"/>
      <c r="BI44" s="169"/>
      <c r="BJ44" s="169"/>
      <c r="BK44" s="169"/>
      <c r="BL44" s="169"/>
      <c r="BM44" s="169"/>
      <c r="BN44" s="169"/>
      <c r="BO44" s="169"/>
      <c r="BP44" s="169"/>
      <c r="BQ44" s="169"/>
      <c r="BR44" s="169"/>
      <c r="BS44" s="169"/>
      <c r="BT44" s="169"/>
      <c r="BU44" s="169"/>
      <c r="BV44" s="169"/>
    </row>
    <row r="45" spans="1:75" ht="12.75" customHeight="1" x14ac:dyDescent="0.2">
      <c r="A45" s="253"/>
      <c r="B45" s="238"/>
      <c r="C45" s="251"/>
      <c r="D45" s="249"/>
      <c r="F45" s="254"/>
      <c r="G45" s="254"/>
      <c r="H45" s="169"/>
      <c r="I45" s="169"/>
      <c r="K45" s="255"/>
      <c r="S45" s="255"/>
      <c r="T45" s="169"/>
      <c r="V45" s="255"/>
      <c r="AF45" s="255"/>
      <c r="AI45" s="255"/>
      <c r="AJ45" s="214"/>
      <c r="AO45" s="203"/>
      <c r="AP45" s="169"/>
      <c r="AQ45" s="169"/>
      <c r="AR45" s="162"/>
      <c r="AS45" s="169"/>
      <c r="AT45" s="170"/>
      <c r="AU45" s="169"/>
      <c r="AV45" s="169"/>
      <c r="AW45" s="169"/>
      <c r="AX45" s="169"/>
      <c r="AY45" s="169"/>
      <c r="AZ45" s="169"/>
      <c r="BA45" s="169"/>
      <c r="BB45" s="169"/>
      <c r="BC45" s="169"/>
      <c r="BD45" s="169"/>
      <c r="BE45" s="170"/>
      <c r="BF45" s="169" t="str">
        <f>IF(OR(IFERROR(VLOOKUP(BP45,[1]ARS!A:EL,MATCH("Price To Earnings",[1]ARS!$4:$4,0),FALSE),"-")&lt;0,IFERROR(VLOOKUP(BP45,[1]ARS!A:EL,MATCH("Price To Earnings",[1]ARS!$4:$4,0),FALSE),"-")&gt;500),"-",IFERROR(VLOOKUP(BP45,[1]ARS!A:EL,MATCH("Price To Earnings",[1]ARS!$4:$4,0),FALSE),"-"))</f>
        <v>-</v>
      </c>
      <c r="BG45" s="169"/>
      <c r="BH45" s="169"/>
      <c r="BI45" s="169"/>
      <c r="BJ45" s="169"/>
      <c r="BK45" s="169"/>
      <c r="BL45" s="169"/>
      <c r="BM45" s="169"/>
      <c r="BN45" s="169"/>
      <c r="BO45" s="169"/>
      <c r="BP45" s="169"/>
      <c r="BQ45" s="169"/>
      <c r="BR45" s="169"/>
      <c r="BS45" s="169"/>
      <c r="BT45" s="169"/>
      <c r="BU45" s="169"/>
      <c r="BV45" s="169"/>
    </row>
    <row r="46" spans="1:75" ht="12.75" customHeight="1" x14ac:dyDescent="0.2">
      <c r="A46" s="256"/>
      <c r="B46" s="257"/>
      <c r="C46" s="251"/>
      <c r="D46" s="249"/>
      <c r="F46" s="258"/>
      <c r="G46" s="258"/>
      <c r="H46" s="169"/>
      <c r="I46" s="169"/>
      <c r="K46" s="255"/>
      <c r="S46" s="255"/>
      <c r="T46" s="169"/>
      <c r="V46" s="255"/>
      <c r="AF46" s="255"/>
      <c r="AI46" s="255"/>
      <c r="AJ46" s="214"/>
      <c r="AO46" s="203"/>
      <c r="AP46" s="169"/>
      <c r="AQ46" s="169"/>
      <c r="AR46" s="162"/>
      <c r="AS46" s="226"/>
      <c r="AT46" s="259"/>
      <c r="AU46" s="226"/>
      <c r="AV46" s="169"/>
      <c r="AW46" s="169"/>
      <c r="AX46" s="169"/>
      <c r="AY46" s="169"/>
      <c r="AZ46" s="169"/>
      <c r="BA46" s="169"/>
      <c r="BB46" s="169"/>
      <c r="BC46" s="169"/>
      <c r="BD46" s="169"/>
      <c r="BE46" s="170"/>
      <c r="BF46" s="169" t="str">
        <f>IF(OR(IFERROR(VLOOKUP(BP46,[1]ARS!A:EL,MATCH("Price To Earnings",[1]ARS!$4:$4,0),FALSE),"-")&lt;0,IFERROR(VLOOKUP(BP46,[1]ARS!A:EL,MATCH("Price To Earnings",[1]ARS!$4:$4,0),FALSE),"-")&gt;500),"-",IFERROR(VLOOKUP(BP46,[1]ARS!A:EL,MATCH("Price To Earnings",[1]ARS!$4:$4,0),FALSE),"-"))</f>
        <v>-</v>
      </c>
      <c r="BG46" s="169"/>
      <c r="BH46" s="169"/>
      <c r="BI46" s="169"/>
      <c r="BJ46" s="169"/>
      <c r="BK46" s="169"/>
      <c r="BL46" s="169"/>
      <c r="BM46" s="169"/>
      <c r="BN46" s="169"/>
      <c r="BO46" s="169"/>
      <c r="BP46" s="169"/>
      <c r="BQ46" s="169"/>
      <c r="BR46" s="169"/>
      <c r="BS46" s="169"/>
      <c r="BT46" s="169"/>
      <c r="BU46" s="169"/>
      <c r="BV46" s="169"/>
    </row>
    <row r="47" spans="1:75" ht="12.75" customHeight="1" x14ac:dyDescent="0.2">
      <c r="A47" s="260"/>
      <c r="B47" s="238"/>
      <c r="C47" s="251"/>
      <c r="D47" s="249"/>
      <c r="F47" s="208"/>
      <c r="G47" s="261"/>
      <c r="H47" s="169"/>
      <c r="I47" s="169"/>
      <c r="K47" s="255"/>
      <c r="S47" s="255"/>
      <c r="T47" s="169"/>
      <c r="V47" s="255"/>
      <c r="AF47" s="255"/>
      <c r="AI47" s="255"/>
      <c r="AJ47" s="214"/>
      <c r="AO47" s="203"/>
      <c r="AP47" s="169"/>
      <c r="AQ47" s="169"/>
      <c r="AR47" s="162"/>
      <c r="AS47" s="169"/>
      <c r="AT47" s="170"/>
      <c r="AU47" s="169"/>
      <c r="AV47" s="169"/>
      <c r="AW47" s="169"/>
      <c r="AX47" s="169"/>
      <c r="AY47" s="169"/>
      <c r="AZ47" s="169"/>
      <c r="BA47" s="169"/>
      <c r="BB47" s="169"/>
      <c r="BC47" s="169"/>
      <c r="BD47" s="169"/>
      <c r="BE47" s="170"/>
      <c r="BF47" s="169" t="str">
        <f>IF(OR(IFERROR(VLOOKUP(BP47,[1]ARS!A:EL,MATCH("Price To Earnings",[1]ARS!$4:$4,0),FALSE),"-")&lt;0,IFERROR(VLOOKUP(BP47,[1]ARS!A:EL,MATCH("Price To Earnings",[1]ARS!$4:$4,0),FALSE),"-")&gt;500),"-",IFERROR(VLOOKUP(BP47,[1]ARS!A:EL,MATCH("Price To Earnings",[1]ARS!$4:$4,0),FALSE),"-"))</f>
        <v>-</v>
      </c>
      <c r="BG47" s="169"/>
      <c r="BH47" s="169"/>
      <c r="BI47" s="169"/>
      <c r="BJ47" s="169"/>
      <c r="BK47" s="169"/>
      <c r="BL47" s="169"/>
      <c r="BM47" s="169"/>
      <c r="BN47" s="169"/>
      <c r="BO47" s="169"/>
      <c r="BP47" s="169"/>
      <c r="BQ47" s="169"/>
      <c r="BR47" s="169"/>
      <c r="BS47" s="169"/>
      <c r="BT47" s="169"/>
      <c r="BU47" s="169"/>
      <c r="BV47" s="169"/>
    </row>
    <row r="48" spans="1:75" ht="12.75" customHeight="1" x14ac:dyDescent="0.2">
      <c r="A48" s="260"/>
      <c r="B48" s="238"/>
      <c r="C48" s="251"/>
      <c r="D48" s="249"/>
      <c r="G48" s="255"/>
      <c r="I48" s="208"/>
      <c r="J48" s="261"/>
      <c r="K48" s="169"/>
      <c r="L48" s="169"/>
      <c r="M48" s="255"/>
      <c r="O48" s="255"/>
      <c r="P48" s="203"/>
      <c r="Q48" s="169"/>
      <c r="S48" s="255"/>
      <c r="T48" s="169"/>
      <c r="U48" s="203"/>
      <c r="V48" s="203"/>
      <c r="W48" s="255"/>
      <c r="AE48" s="255"/>
      <c r="AJ48" s="214"/>
      <c r="AM48" s="255"/>
      <c r="AN48" s="255"/>
      <c r="AO48" s="203"/>
      <c r="AP48" s="169"/>
      <c r="AQ48" s="169"/>
      <c r="AR48" s="162"/>
      <c r="AS48" s="169"/>
      <c r="AT48" s="170"/>
      <c r="AU48" s="169"/>
      <c r="AV48" s="169"/>
      <c r="AW48" s="169"/>
      <c r="AX48" s="169"/>
      <c r="AY48" s="169"/>
      <c r="AZ48" s="169"/>
      <c r="BA48" s="169"/>
      <c r="BB48" s="169"/>
      <c r="BC48" s="169"/>
      <c r="BD48" s="169"/>
      <c r="BE48" s="170"/>
      <c r="BF48" s="169" t="str">
        <f>IF(OR(IFERROR(VLOOKUP(BP48,[1]ARS!A:EL,MATCH("Price To Earnings",[1]ARS!$4:$4,0),FALSE),"-")&lt;0,IFERROR(VLOOKUP(BP48,[1]ARS!A:EL,MATCH("Price To Earnings",[1]ARS!$4:$4,0),FALSE),"-")&gt;500),"-",IFERROR(VLOOKUP(BP48,[1]ARS!A:EL,MATCH("Price To Earnings",[1]ARS!$4:$4,0),FALSE),"-"))</f>
        <v>-</v>
      </c>
      <c r="BG48" s="169"/>
      <c r="BH48" s="169"/>
      <c r="BI48" s="169"/>
      <c r="BJ48" s="169"/>
      <c r="BK48" s="169"/>
      <c r="BL48" s="169"/>
      <c r="BM48" s="169"/>
      <c r="BN48" s="169"/>
      <c r="BO48" s="169"/>
      <c r="BP48" s="169"/>
      <c r="BQ48" s="169"/>
      <c r="BR48" s="169"/>
      <c r="BS48" s="169"/>
      <c r="BT48" s="169"/>
      <c r="BU48" s="169"/>
      <c r="BV48" s="169"/>
    </row>
    <row r="49" spans="1:75" ht="12.75" customHeight="1" x14ac:dyDescent="0.2">
      <c r="A49" s="260"/>
      <c r="B49" s="238"/>
      <c r="C49" s="251"/>
      <c r="D49" s="249"/>
      <c r="H49" s="260"/>
      <c r="I49" s="162"/>
      <c r="J49" s="162"/>
      <c r="K49" s="162"/>
      <c r="L49" s="162"/>
      <c r="M49" s="262"/>
      <c r="N49" s="162"/>
      <c r="O49" s="238"/>
      <c r="P49" s="260"/>
      <c r="Q49" s="260"/>
      <c r="R49" s="260"/>
      <c r="S49" s="260"/>
      <c r="T49" s="260"/>
      <c r="U49" s="260"/>
      <c r="V49" s="260"/>
      <c r="W49" s="238"/>
      <c r="X49" s="162"/>
      <c r="Z49" s="162"/>
      <c r="AA49" s="162"/>
      <c r="AB49" s="162"/>
      <c r="AC49" s="162"/>
      <c r="AD49" s="162"/>
      <c r="AE49" s="162"/>
      <c r="AF49" s="162"/>
      <c r="AG49" s="162"/>
      <c r="AH49" s="162"/>
      <c r="AI49" s="162"/>
      <c r="AK49" s="162"/>
      <c r="AP49" s="162"/>
      <c r="AQ49" s="162"/>
      <c r="AR49" s="162"/>
      <c r="AS49" s="169"/>
      <c r="AT49" s="170"/>
      <c r="AU49" s="169"/>
      <c r="AV49" s="169"/>
      <c r="AW49" s="169"/>
      <c r="AX49" s="169"/>
      <c r="AY49" s="169"/>
      <c r="AZ49" s="169"/>
      <c r="BA49" s="169"/>
      <c r="BB49" s="169"/>
      <c r="BC49" s="169"/>
      <c r="BD49" s="169"/>
      <c r="BE49" s="170"/>
      <c r="BF49" s="169" t="str">
        <f>IF(OR(IFERROR(VLOOKUP(BP49,[1]ARS!A:EL,MATCH("Price To Earnings",[1]ARS!$4:$4,0),FALSE),"-")&lt;0,IFERROR(VLOOKUP(BP49,[1]ARS!A:EL,MATCH("Price To Earnings",[1]ARS!$4:$4,0),FALSE),"-")&gt;500),"-",IFERROR(VLOOKUP(BP49,[1]ARS!A:EL,MATCH("Price To Earnings",[1]ARS!$4:$4,0),FALSE),"-"))</f>
        <v>-</v>
      </c>
      <c r="BG49" s="169"/>
      <c r="BH49" s="169"/>
      <c r="BI49" s="169"/>
      <c r="BJ49" s="169"/>
      <c r="BK49" s="169"/>
      <c r="BL49" s="169"/>
      <c r="BM49" s="169"/>
      <c r="BN49" s="169"/>
      <c r="BO49" s="169"/>
      <c r="BP49" s="169"/>
      <c r="BQ49" s="169"/>
      <c r="BR49" s="169"/>
      <c r="BS49" s="169"/>
      <c r="BT49" s="169"/>
      <c r="BU49" s="169"/>
      <c r="BV49" s="169"/>
    </row>
    <row r="50" spans="1:75" ht="12.75" customHeight="1" x14ac:dyDescent="0.2">
      <c r="A50" s="260"/>
      <c r="B50" s="238"/>
      <c r="C50" s="251"/>
      <c r="D50" s="249"/>
      <c r="H50" s="260"/>
      <c r="I50" s="162"/>
      <c r="J50" s="162"/>
      <c r="K50" s="162"/>
      <c r="L50" s="162"/>
      <c r="M50" s="162"/>
      <c r="N50" s="162"/>
      <c r="P50" s="260"/>
      <c r="Q50" s="260"/>
      <c r="R50" s="260"/>
      <c r="S50" s="260"/>
      <c r="T50" s="260"/>
      <c r="U50" s="260"/>
      <c r="V50" s="260"/>
      <c r="W50" s="238"/>
      <c r="X50" s="162"/>
      <c r="Z50" s="162"/>
      <c r="AA50" s="162"/>
      <c r="AB50" s="162"/>
      <c r="AC50" s="162"/>
      <c r="AD50" s="162"/>
      <c r="AE50" s="162"/>
      <c r="AF50" s="162"/>
      <c r="AG50" s="162"/>
      <c r="AH50" s="162"/>
      <c r="AI50" s="162"/>
      <c r="AK50" s="162"/>
      <c r="AP50" s="162"/>
      <c r="AQ50" s="162"/>
      <c r="AR50" s="162"/>
      <c r="AS50" s="169"/>
      <c r="AT50" s="170"/>
      <c r="AU50" s="169"/>
      <c r="AV50" s="169"/>
      <c r="AW50" s="169"/>
      <c r="AX50" s="169"/>
      <c r="AY50" s="169"/>
      <c r="AZ50" s="169"/>
      <c r="BA50" s="169"/>
      <c r="BB50" s="169"/>
      <c r="BC50" s="169"/>
      <c r="BD50" s="169"/>
      <c r="BE50" s="170"/>
      <c r="BF50" s="169"/>
      <c r="BG50" s="169"/>
      <c r="BH50" s="169"/>
      <c r="BI50" s="169"/>
      <c r="BJ50" s="169"/>
      <c r="BK50" s="169"/>
      <c r="BL50" s="169"/>
      <c r="BM50" s="169"/>
      <c r="BN50" s="169"/>
      <c r="BO50" s="169"/>
      <c r="BP50" s="169"/>
      <c r="BQ50" s="169"/>
      <c r="BR50" s="169"/>
      <c r="BS50" s="169"/>
      <c r="BT50" s="169"/>
      <c r="BU50" s="169"/>
      <c r="BV50" s="169"/>
    </row>
    <row r="51" spans="1:75" ht="12.75" customHeight="1" x14ac:dyDescent="0.2">
      <c r="A51" s="260"/>
      <c r="B51" s="257"/>
      <c r="C51" s="263"/>
      <c r="D51" s="264"/>
      <c r="E51" s="162"/>
      <c r="F51" s="162"/>
      <c r="G51" s="162"/>
      <c r="H51" s="162"/>
      <c r="I51" s="162"/>
      <c r="J51" s="162"/>
      <c r="L51" s="264"/>
      <c r="M51" s="264"/>
      <c r="N51" s="264"/>
      <c r="O51" s="264"/>
      <c r="P51" s="265" t="s">
        <v>265</v>
      </c>
      <c r="T51" s="260"/>
      <c r="V51" s="266" t="s">
        <v>266</v>
      </c>
      <c r="Y51" s="162"/>
      <c r="AA51" s="267" t="s">
        <v>267</v>
      </c>
      <c r="AB51" s="162"/>
      <c r="AC51" s="162"/>
      <c r="AD51" s="162"/>
      <c r="AE51" s="162"/>
      <c r="AF51" s="162"/>
      <c r="AG51" s="162"/>
      <c r="AH51" s="162"/>
      <c r="AI51" s="162"/>
      <c r="AO51" s="162"/>
      <c r="AP51" s="162"/>
      <c r="AQ51" s="162"/>
      <c r="AR51" s="162"/>
      <c r="AS51" s="169"/>
      <c r="AT51" s="170"/>
      <c r="AU51" s="169"/>
      <c r="AV51" s="169"/>
      <c r="AW51" s="169"/>
      <c r="AX51" s="169"/>
      <c r="AY51" s="169"/>
      <c r="AZ51" s="169"/>
      <c r="BA51" s="169"/>
      <c r="BB51" s="169"/>
      <c r="BC51" s="169"/>
      <c r="BD51" s="169"/>
      <c r="BE51" s="170"/>
      <c r="BF51" s="169" t="str">
        <f>IF(OR(IFERROR(VLOOKUP(BP51,[1]ARS!A:EL,MATCH("Price To Earnings",[1]ARS!$4:$4,0),FALSE),"-")&lt;0,IFERROR(VLOOKUP(BP51,[1]ARS!A:EL,MATCH("Price To Earnings",[1]ARS!$4:$4,0),FALSE),"-")&gt;500),"-",IFERROR(VLOOKUP(BP51,[1]ARS!A:EL,MATCH("Price To Earnings",[1]ARS!$4:$4,0),FALSE),"-"))</f>
        <v>-</v>
      </c>
      <c r="BG51" s="169"/>
      <c r="BH51" s="169"/>
      <c r="BI51" s="169"/>
      <c r="BJ51" s="169"/>
      <c r="BK51" s="169"/>
      <c r="BL51" s="169"/>
      <c r="BM51" s="169"/>
      <c r="BN51" s="169"/>
      <c r="BO51" s="169"/>
      <c r="BP51" s="169"/>
      <c r="BQ51" s="169"/>
      <c r="BR51" s="169"/>
      <c r="BS51" s="169"/>
      <c r="BT51" s="169"/>
      <c r="BU51" s="169"/>
      <c r="BV51" s="169"/>
    </row>
    <row r="52" spans="1:75" ht="12.75" customHeight="1" x14ac:dyDescent="0.2">
      <c r="A52" s="260"/>
      <c r="B52" s="257"/>
      <c r="C52" s="263"/>
      <c r="D52" s="264"/>
      <c r="E52" s="162"/>
      <c r="F52" s="162"/>
      <c r="G52" s="162"/>
      <c r="H52" s="162"/>
      <c r="I52" s="162"/>
      <c r="J52" s="162"/>
      <c r="L52" s="264"/>
      <c r="M52" s="264"/>
      <c r="N52" s="264"/>
      <c r="O52" s="264"/>
      <c r="P52" s="265"/>
      <c r="T52" s="260"/>
      <c r="V52" s="266"/>
      <c r="Y52" s="162"/>
      <c r="AA52" s="267"/>
      <c r="AB52" s="162"/>
      <c r="AC52" s="162"/>
      <c r="AD52" s="162"/>
      <c r="AE52" s="162"/>
      <c r="AF52" s="162"/>
      <c r="AG52" s="162"/>
      <c r="AH52" s="162"/>
      <c r="AI52" s="162"/>
      <c r="AO52" s="162"/>
      <c r="AP52" s="162"/>
      <c r="AQ52" s="162"/>
      <c r="AR52" s="162"/>
      <c r="AS52" s="169"/>
      <c r="AT52" s="170"/>
      <c r="AU52" s="169"/>
      <c r="AV52" s="169"/>
      <c r="AW52" s="169"/>
      <c r="AX52" s="169"/>
      <c r="AY52" s="169"/>
      <c r="AZ52" s="169"/>
      <c r="BA52" s="169"/>
      <c r="BB52" s="169"/>
      <c r="BC52" s="169"/>
      <c r="BD52" s="169"/>
      <c r="BE52" s="170"/>
      <c r="BF52" s="169" t="str">
        <f>IF(OR(IFERROR(VLOOKUP(BP52,[1]ARS!A:EL,MATCH("Price To Earnings",[1]ARS!$4:$4,0),FALSE),"-")&lt;0,IFERROR(VLOOKUP(BP52,[1]ARS!A:EL,MATCH("Price To Earnings",[1]ARS!$4:$4,0),FALSE),"-")&gt;500),"-",IFERROR(VLOOKUP(BP52,[1]ARS!A:EL,MATCH("Price To Earnings",[1]ARS!$4:$4,0),FALSE),"-"))</f>
        <v>-</v>
      </c>
      <c r="BG52" s="169"/>
      <c r="BH52" s="169"/>
      <c r="BI52" s="169"/>
      <c r="BJ52" s="169"/>
      <c r="BK52" s="169"/>
      <c r="BL52" s="169"/>
      <c r="BM52" s="169"/>
      <c r="BN52" s="169"/>
      <c r="BO52" s="169"/>
      <c r="BP52" s="169"/>
      <c r="BQ52" s="169"/>
      <c r="BR52" s="169"/>
      <c r="BS52" s="169"/>
      <c r="BT52" s="169"/>
      <c r="BU52" s="169"/>
      <c r="BV52" s="169"/>
      <c r="BW52" s="169"/>
    </row>
    <row r="53" spans="1:75" ht="12.75" customHeight="1" x14ac:dyDescent="0.2">
      <c r="A53" s="203"/>
      <c r="B53" s="203"/>
      <c r="C53" s="169"/>
      <c r="D53" s="261"/>
      <c r="E53" s="261"/>
      <c r="F53" s="261"/>
      <c r="G53" s="261"/>
      <c r="H53" s="268"/>
      <c r="I53" s="169"/>
      <c r="J53" s="169"/>
      <c r="K53" s="169"/>
      <c r="L53" s="269"/>
      <c r="M53" s="169"/>
      <c r="N53" s="270"/>
      <c r="O53" s="169"/>
      <c r="P53" s="169"/>
      <c r="Q53" s="203"/>
      <c r="R53" s="169"/>
      <c r="S53" s="271"/>
      <c r="T53" s="203"/>
      <c r="U53" s="203"/>
      <c r="V53" s="203"/>
      <c r="W53" s="203"/>
      <c r="X53" s="203"/>
      <c r="Y53" s="203"/>
      <c r="Z53" s="203"/>
      <c r="AA53" s="203"/>
      <c r="AB53" s="203"/>
      <c r="AC53" s="169"/>
      <c r="AD53" s="169"/>
      <c r="AE53" s="169"/>
      <c r="AF53" s="169"/>
      <c r="AG53" s="203"/>
      <c r="AH53" s="203"/>
      <c r="AI53" s="203"/>
      <c r="AJ53" s="203"/>
      <c r="AK53" s="169"/>
      <c r="AL53" s="169"/>
      <c r="AM53" s="169"/>
      <c r="AN53" s="169"/>
      <c r="AO53" s="169"/>
      <c r="AP53" s="169"/>
      <c r="AQ53" s="169"/>
      <c r="AR53" s="169"/>
      <c r="AS53" s="169"/>
      <c r="AT53" s="170"/>
      <c r="AU53" s="169"/>
      <c r="AV53" s="169"/>
      <c r="AW53" s="169"/>
      <c r="AX53" s="169"/>
      <c r="AY53" s="169"/>
      <c r="AZ53" s="169"/>
      <c r="BA53" s="169"/>
      <c r="BB53" s="169"/>
      <c r="BC53" s="169"/>
      <c r="BD53" s="169"/>
      <c r="BE53" s="170"/>
      <c r="BF53" s="169" t="str">
        <f>IF(OR(IFERROR(VLOOKUP(BP53,[1]ARS!A:EL,MATCH("Price To Earnings",[1]ARS!$4:$4,0),FALSE),"-")&lt;0,IFERROR(VLOOKUP(BP53,[1]ARS!A:EL,MATCH("Price To Earnings",[1]ARS!$4:$4,0),FALSE),"-")&gt;500),"-",IFERROR(VLOOKUP(BP53,[1]ARS!A:EL,MATCH("Price To Earnings",[1]ARS!$4:$4,0),FALSE),"-"))</f>
        <v>-</v>
      </c>
      <c r="BG53" s="169"/>
      <c r="BH53" s="169"/>
      <c r="BI53" s="169"/>
      <c r="BJ53" s="169"/>
      <c r="BK53" s="169"/>
      <c r="BL53" s="169"/>
      <c r="BM53" s="169"/>
      <c r="BN53" s="169"/>
      <c r="BO53" s="169"/>
      <c r="BP53" s="169"/>
      <c r="BQ53" s="169"/>
      <c r="BR53" s="169"/>
      <c r="BS53" s="169"/>
      <c r="BT53" s="169"/>
      <c r="BU53" s="169"/>
      <c r="BV53" s="169"/>
    </row>
    <row r="54" spans="1:75" ht="12.75" customHeight="1" x14ac:dyDescent="0.2">
      <c r="A54" s="203"/>
      <c r="B54" s="203"/>
      <c r="C54" s="169"/>
      <c r="D54" s="261"/>
      <c r="E54" s="261"/>
      <c r="F54" s="261"/>
      <c r="G54" s="261"/>
      <c r="H54" s="268"/>
      <c r="I54" s="169"/>
      <c r="J54" s="169"/>
      <c r="K54" s="169"/>
      <c r="L54" s="269"/>
      <c r="M54" s="169"/>
      <c r="N54" s="270"/>
      <c r="O54" s="169"/>
      <c r="P54" s="169"/>
      <c r="Q54" s="203"/>
      <c r="R54" s="169"/>
      <c r="S54" s="271"/>
      <c r="T54" s="203"/>
      <c r="U54" s="203"/>
      <c r="V54" s="203"/>
      <c r="W54" s="203"/>
      <c r="X54" s="203"/>
      <c r="Y54" s="203"/>
      <c r="Z54" s="203"/>
      <c r="AA54" s="203"/>
      <c r="AB54" s="203"/>
      <c r="AC54" s="169"/>
      <c r="AD54" s="169"/>
      <c r="AE54" s="169"/>
      <c r="AF54" s="169"/>
      <c r="AG54" s="203"/>
      <c r="AH54" s="203"/>
      <c r="AI54" s="203"/>
      <c r="AJ54" s="203"/>
      <c r="AK54" s="169"/>
      <c r="AL54" s="169"/>
      <c r="AM54" s="169"/>
      <c r="AN54" s="169"/>
      <c r="AO54" s="169"/>
      <c r="AP54" s="169"/>
      <c r="AQ54" s="169"/>
      <c r="AR54" s="169"/>
      <c r="AS54" s="169"/>
      <c r="AT54" s="170"/>
      <c r="AU54" s="169"/>
      <c r="AV54" s="169"/>
      <c r="AW54" s="169"/>
      <c r="AX54" s="169"/>
      <c r="AY54" s="169"/>
      <c r="AZ54" s="169"/>
      <c r="BA54" s="169"/>
      <c r="BB54" s="169"/>
      <c r="BC54" s="169"/>
      <c r="BD54" s="169"/>
      <c r="BE54" s="170"/>
      <c r="BF54" s="169"/>
      <c r="BG54" s="169"/>
      <c r="BH54" s="169"/>
      <c r="BI54" s="169"/>
      <c r="BJ54" s="169"/>
      <c r="BK54" s="169"/>
      <c r="BL54" s="169"/>
      <c r="BM54" s="169"/>
      <c r="BN54" s="169"/>
      <c r="BO54" s="169"/>
      <c r="BP54" s="169"/>
      <c r="BQ54" s="169"/>
      <c r="BR54" s="169"/>
      <c r="BS54" s="169"/>
      <c r="BT54" s="169"/>
      <c r="BU54" s="169"/>
      <c r="BV54" s="169"/>
    </row>
    <row r="55" spans="1:75" ht="12.75" customHeight="1" x14ac:dyDescent="0.2">
      <c r="A55" s="203"/>
      <c r="B55" s="203"/>
      <c r="C55" s="169"/>
      <c r="D55" s="261"/>
      <c r="E55" s="261"/>
      <c r="F55" s="261"/>
      <c r="G55" s="261"/>
      <c r="H55" s="203"/>
      <c r="I55" s="261"/>
      <c r="J55" s="261"/>
      <c r="K55" s="269"/>
      <c r="L55" s="269"/>
      <c r="M55" s="169"/>
      <c r="N55" s="208"/>
      <c r="O55" s="203"/>
      <c r="P55" s="203"/>
      <c r="Q55" s="203"/>
      <c r="R55" s="203"/>
      <c r="S55" s="203"/>
      <c r="T55" s="203"/>
      <c r="U55" s="203"/>
      <c r="V55" s="203"/>
      <c r="W55" s="203"/>
      <c r="X55" s="203"/>
      <c r="Y55" s="203"/>
      <c r="Z55" s="203"/>
      <c r="AA55" s="203"/>
      <c r="AB55" s="203"/>
      <c r="AC55" s="203"/>
      <c r="AD55" s="203"/>
      <c r="AE55" s="203"/>
      <c r="AF55" s="203"/>
      <c r="AG55" s="203"/>
      <c r="AH55" s="203"/>
      <c r="AI55" s="203"/>
      <c r="AJ55" s="203"/>
      <c r="AK55" s="169"/>
      <c r="AL55" s="169"/>
      <c r="AM55" s="169"/>
      <c r="AN55" s="169"/>
      <c r="AO55" s="169"/>
      <c r="AP55" s="169"/>
      <c r="AQ55" s="169"/>
      <c r="AR55" s="169"/>
      <c r="AS55" s="169"/>
      <c r="AT55" s="170"/>
      <c r="AU55" s="169"/>
      <c r="AV55" s="169"/>
      <c r="AW55" s="169"/>
      <c r="AX55" s="169"/>
      <c r="AY55" s="169"/>
      <c r="AZ55" s="169"/>
      <c r="BA55" s="169"/>
      <c r="BB55" s="169"/>
      <c r="BC55" s="169"/>
      <c r="BD55" s="169"/>
      <c r="BE55" s="170"/>
      <c r="BF55" s="169" t="str">
        <f>IF(OR(IFERROR(VLOOKUP(BP55,[1]ARS!A:EL,MATCH("Price To Earnings",[1]ARS!$4:$4,0),FALSE),"-")&lt;0,IFERROR(VLOOKUP(BP55,[1]ARS!A:EL,MATCH("Price To Earnings",[1]ARS!$4:$4,0),FALSE),"-")&gt;500),"-",IFERROR(VLOOKUP(BP55,[1]ARS!A:EL,MATCH("Price To Earnings",[1]ARS!$4:$4,0),FALSE),"-"))</f>
        <v>-</v>
      </c>
      <c r="BG55" s="169"/>
      <c r="BH55" s="169"/>
      <c r="BI55" s="169"/>
      <c r="BJ55" s="169"/>
      <c r="BK55" s="169"/>
      <c r="BL55" s="169"/>
      <c r="BM55" s="169"/>
      <c r="BN55" s="169"/>
      <c r="BO55" s="169"/>
      <c r="BP55" s="169"/>
      <c r="BQ55" s="169"/>
      <c r="BR55" s="169"/>
      <c r="BS55" s="169"/>
      <c r="BT55" s="169"/>
      <c r="BU55" s="169"/>
      <c r="BV55" s="169"/>
    </row>
    <row r="56" spans="1:75" ht="12.75" customHeight="1" x14ac:dyDescent="0.2">
      <c r="A56" s="203"/>
      <c r="B56" s="203"/>
      <c r="C56" s="169"/>
      <c r="D56" s="261"/>
      <c r="E56" s="272"/>
      <c r="F56" s="261"/>
      <c r="G56" s="261"/>
      <c r="H56" s="203"/>
      <c r="I56" s="269"/>
      <c r="J56" s="261"/>
      <c r="K56" s="269"/>
      <c r="L56" s="269"/>
      <c r="M56" s="169"/>
      <c r="N56" s="208"/>
      <c r="O56" s="203"/>
      <c r="P56" s="203"/>
      <c r="Q56" s="203"/>
      <c r="R56" s="203"/>
      <c r="S56" s="203"/>
      <c r="T56" s="203"/>
      <c r="U56" s="203"/>
      <c r="V56" s="203"/>
      <c r="W56" s="203"/>
      <c r="X56" s="203"/>
      <c r="Y56" s="203"/>
      <c r="Z56" s="203"/>
      <c r="AA56" s="203"/>
      <c r="AB56" s="203"/>
      <c r="AC56" s="203"/>
      <c r="AD56" s="203"/>
      <c r="AE56" s="203"/>
      <c r="AF56" s="203"/>
      <c r="AG56" s="203"/>
      <c r="AH56" s="203"/>
      <c r="AI56" s="203"/>
      <c r="AJ56" s="203"/>
      <c r="AK56" s="169"/>
      <c r="AL56" s="170"/>
      <c r="AM56" s="169"/>
      <c r="AN56" s="169"/>
      <c r="AO56" s="169"/>
      <c r="AP56" s="169"/>
      <c r="AQ56" s="169"/>
      <c r="AR56" s="169"/>
      <c r="AS56" s="169"/>
      <c r="AT56" s="170"/>
      <c r="AU56" s="169"/>
      <c r="AV56" s="169"/>
      <c r="AW56" s="169"/>
      <c r="AX56" s="169"/>
      <c r="AY56" s="169"/>
      <c r="AZ56" s="169"/>
      <c r="BA56" s="169"/>
      <c r="BB56" s="169"/>
      <c r="BC56" s="169"/>
      <c r="BD56" s="169"/>
      <c r="BE56" s="170"/>
      <c r="BF56" s="169" t="str">
        <f>IF(OR(IFERROR(VLOOKUP(BP56,[1]ARS!A:EL,MATCH("Price To Earnings",[1]ARS!$4:$4,0),FALSE),"-")&lt;0,IFERROR(VLOOKUP(BP56,[1]ARS!A:EL,MATCH("Price To Earnings",[1]ARS!$4:$4,0),FALSE),"-")&gt;500),"-",IFERROR(VLOOKUP(BP56,[1]ARS!A:EL,MATCH("Price To Earnings",[1]ARS!$4:$4,0),FALSE),"-"))</f>
        <v>-</v>
      </c>
      <c r="BG56" s="169"/>
      <c r="BH56" s="169"/>
      <c r="BI56" s="169"/>
      <c r="BJ56" s="169"/>
      <c r="BK56" s="169"/>
      <c r="BL56" s="169"/>
      <c r="BM56" s="169"/>
      <c r="BN56" s="169"/>
      <c r="BO56" s="169"/>
      <c r="BP56" s="169"/>
      <c r="BQ56" s="169"/>
      <c r="BR56" s="169"/>
      <c r="BS56" s="169"/>
      <c r="BT56" s="169"/>
      <c r="BU56" s="169"/>
      <c r="BV56" s="169"/>
    </row>
    <row r="57" spans="1:75" ht="12.75" customHeight="1" x14ac:dyDescent="0.2">
      <c r="A57" s="203"/>
      <c r="B57" s="203"/>
      <c r="C57" s="169"/>
      <c r="D57" s="261"/>
      <c r="E57" s="261"/>
      <c r="F57" s="261"/>
      <c r="G57" s="261"/>
      <c r="H57" s="203"/>
      <c r="I57" s="269"/>
      <c r="J57" s="261"/>
      <c r="K57" s="269"/>
      <c r="L57" s="269"/>
      <c r="M57" s="169"/>
      <c r="N57" s="208"/>
      <c r="O57" s="203"/>
      <c r="P57" s="203"/>
      <c r="Q57" s="203"/>
      <c r="R57" s="203"/>
      <c r="S57" s="203"/>
      <c r="T57" s="203"/>
      <c r="U57" s="203"/>
      <c r="V57" s="203"/>
      <c r="W57" s="203"/>
      <c r="X57" s="203"/>
      <c r="Y57" s="203"/>
      <c r="Z57" s="203"/>
      <c r="AA57" s="203"/>
      <c r="AB57" s="203"/>
      <c r="AC57" s="203"/>
      <c r="AD57" s="203"/>
      <c r="AE57" s="203"/>
      <c r="AF57" s="203"/>
      <c r="AG57" s="203"/>
      <c r="AH57" s="203"/>
      <c r="AI57" s="203"/>
      <c r="AJ57" s="203"/>
      <c r="AK57" s="169"/>
      <c r="AL57" s="169"/>
      <c r="AM57" s="169"/>
      <c r="AN57" s="169"/>
      <c r="AO57" s="169"/>
      <c r="AP57" s="169"/>
      <c r="AQ57" s="169"/>
      <c r="AR57" s="169"/>
      <c r="AS57" s="169"/>
      <c r="AT57" s="170"/>
      <c r="AU57" s="169"/>
      <c r="AV57" s="169"/>
      <c r="AW57" s="169"/>
      <c r="AX57" s="169"/>
      <c r="AY57" s="169"/>
      <c r="AZ57" s="169"/>
      <c r="BA57" s="169"/>
      <c r="BB57" s="169"/>
      <c r="BC57" s="169"/>
      <c r="BD57" s="169"/>
      <c r="BE57" s="170"/>
      <c r="BF57" s="169" t="str">
        <f>IF(OR(IFERROR(VLOOKUP(BP57,[1]ARS!A:EL,MATCH("Price To Earnings",[1]ARS!$4:$4,0),FALSE),"-")&lt;0,IFERROR(VLOOKUP(BP57,[1]ARS!A:EL,MATCH("Price To Earnings",[1]ARS!$4:$4,0),FALSE),"-")&gt;500),"-",IFERROR(VLOOKUP(BP57,[1]ARS!A:EL,MATCH("Price To Earnings",[1]ARS!$4:$4,0),FALSE),"-"))</f>
        <v>-</v>
      </c>
      <c r="BG57" s="169"/>
      <c r="BH57" s="169"/>
      <c r="BI57" s="169"/>
      <c r="BJ57" s="169"/>
      <c r="BK57" s="169"/>
      <c r="BL57" s="169"/>
      <c r="BM57" s="169"/>
      <c r="BN57" s="169"/>
      <c r="BO57" s="169"/>
      <c r="BP57" s="169"/>
      <c r="BQ57" s="169"/>
      <c r="BR57" s="169"/>
      <c r="BS57" s="169"/>
      <c r="BT57" s="169"/>
      <c r="BU57" s="169"/>
      <c r="BV57" s="169"/>
    </row>
    <row r="58" spans="1:75" ht="12.75" customHeight="1" x14ac:dyDescent="0.2">
      <c r="A58" s="273"/>
      <c r="B58" s="273"/>
      <c r="C58" s="273"/>
      <c r="D58" s="273"/>
      <c r="E58" s="273"/>
      <c r="F58" s="273"/>
      <c r="G58" s="273"/>
      <c r="H58" s="273"/>
      <c r="I58" s="273"/>
      <c r="J58" s="273"/>
      <c r="K58" s="273"/>
      <c r="L58" s="273"/>
      <c r="M58" s="273"/>
      <c r="N58" s="203"/>
      <c r="O58" s="203"/>
      <c r="P58" s="203"/>
      <c r="Q58" s="203"/>
      <c r="R58" s="203"/>
      <c r="S58" s="203"/>
      <c r="T58" s="203"/>
      <c r="U58" s="203"/>
      <c r="V58" s="203"/>
      <c r="W58" s="203"/>
      <c r="X58" s="203"/>
      <c r="Y58" s="203"/>
      <c r="Z58" s="203"/>
      <c r="AA58" s="203"/>
      <c r="AB58" s="203"/>
      <c r="AC58" s="203"/>
      <c r="AD58" s="203"/>
      <c r="AE58" s="203"/>
      <c r="AF58" s="203"/>
      <c r="AG58" s="203"/>
      <c r="AH58" s="203"/>
      <c r="AI58" s="203"/>
      <c r="AJ58" s="203"/>
      <c r="AK58" s="169"/>
      <c r="AL58" s="169"/>
      <c r="AM58" s="169"/>
      <c r="AN58" s="169"/>
      <c r="AO58" s="169"/>
      <c r="AP58" s="169"/>
      <c r="AQ58" s="169"/>
      <c r="AR58" s="169"/>
      <c r="AS58" s="169"/>
      <c r="AT58" s="170"/>
      <c r="AU58" s="169"/>
      <c r="AV58" s="169"/>
      <c r="AW58" s="169"/>
      <c r="AX58" s="169"/>
      <c r="AY58" s="169"/>
      <c r="AZ58" s="169"/>
      <c r="BA58" s="169"/>
      <c r="BB58" s="169"/>
      <c r="BC58" s="169"/>
      <c r="BD58" s="169"/>
      <c r="BE58" s="170"/>
      <c r="BF58" s="169" t="str">
        <f>IF(OR(IFERROR(VLOOKUP(BP58,[1]ARS!A:EL,MATCH("Price To Earnings",[1]ARS!$4:$4,0),FALSE),"-")&lt;0,IFERROR(VLOOKUP(BP58,[1]ARS!A:EL,MATCH("Price To Earnings",[1]ARS!$4:$4,0),FALSE),"-")&gt;500),"-",IFERROR(VLOOKUP(BP58,[1]ARS!A:EL,MATCH("Price To Earnings",[1]ARS!$4:$4,0),FALSE),"-"))</f>
        <v>-</v>
      </c>
      <c r="BG58" s="169"/>
      <c r="BH58" s="169"/>
      <c r="BI58" s="169"/>
      <c r="BJ58" s="169"/>
      <c r="BK58" s="169"/>
      <c r="BL58" s="169"/>
      <c r="BM58" s="169"/>
      <c r="BN58" s="169"/>
      <c r="BO58" s="169"/>
      <c r="BP58" s="169"/>
      <c r="BQ58" s="169"/>
      <c r="BR58" s="169"/>
      <c r="BS58" s="169"/>
      <c r="BT58" s="169"/>
      <c r="BU58" s="169"/>
      <c r="BV58" s="169"/>
    </row>
    <row r="59" spans="1:75" ht="12.75" customHeight="1" x14ac:dyDescent="0.2">
      <c r="A59" s="205"/>
      <c r="B59" s="205"/>
      <c r="C59" s="205"/>
      <c r="D59" s="205"/>
      <c r="E59" s="205"/>
      <c r="F59" s="205"/>
      <c r="G59" s="205"/>
      <c r="H59" s="205"/>
      <c r="I59" s="205"/>
      <c r="J59" s="205"/>
      <c r="K59" s="205"/>
      <c r="L59" s="205"/>
      <c r="M59" s="205"/>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03"/>
      <c r="AK59" s="169"/>
      <c r="AL59" s="169"/>
      <c r="AM59" s="169"/>
      <c r="AN59" s="169"/>
      <c r="AO59" s="169"/>
      <c r="AP59" s="169"/>
      <c r="AQ59" s="169"/>
      <c r="AR59" s="169"/>
      <c r="AS59" s="169"/>
      <c r="AT59" s="170"/>
      <c r="AU59" s="169"/>
      <c r="AV59" s="169"/>
      <c r="AW59" s="169"/>
      <c r="AX59" s="169"/>
      <c r="AY59" s="169"/>
      <c r="AZ59" s="169"/>
      <c r="BA59" s="169"/>
      <c r="BB59" s="169"/>
      <c r="BC59" s="169"/>
      <c r="BD59" s="169"/>
      <c r="BE59" s="170"/>
      <c r="BF59" s="169" t="str">
        <f>IF(OR(IFERROR(VLOOKUP(BP59,[1]ARS!A:EL,MATCH("Price To Earnings",[1]ARS!$4:$4,0),FALSE),"-")&lt;0,IFERROR(VLOOKUP(BP59,[1]ARS!A:EL,MATCH("Price To Earnings",[1]ARS!$4:$4,0),FALSE),"-")&gt;500),"-",IFERROR(VLOOKUP(BP59,[1]ARS!A:EL,MATCH("Price To Earnings",[1]ARS!$4:$4,0),FALSE),"-"))</f>
        <v>-</v>
      </c>
      <c r="BG59" s="169"/>
      <c r="BH59" s="169"/>
      <c r="BI59" s="169"/>
      <c r="BJ59" s="169"/>
      <c r="BK59" s="169"/>
      <c r="BL59" s="169"/>
      <c r="BM59" s="169"/>
      <c r="BN59" s="169"/>
      <c r="BO59" s="169"/>
      <c r="BP59" s="169"/>
      <c r="BQ59" s="169"/>
      <c r="BR59" s="169"/>
      <c r="BS59" s="169"/>
      <c r="BT59" s="169"/>
      <c r="BU59" s="169"/>
      <c r="BV59" s="169"/>
    </row>
    <row r="60" spans="1:75" ht="12.75" customHeight="1" x14ac:dyDescent="0.2">
      <c r="A60" s="205"/>
      <c r="B60" s="205"/>
      <c r="C60" s="205"/>
      <c r="D60" s="205"/>
      <c r="E60" s="274"/>
      <c r="F60" s="205"/>
      <c r="G60" s="205"/>
      <c r="H60" s="205"/>
      <c r="I60" s="205"/>
      <c r="J60" s="205"/>
      <c r="K60" s="205"/>
      <c r="L60" s="205"/>
      <c r="M60" s="205"/>
      <c r="N60" s="205"/>
      <c r="O60" s="205"/>
      <c r="P60" s="205"/>
      <c r="Q60" s="205"/>
      <c r="R60" s="205"/>
      <c r="S60" s="205"/>
      <c r="T60" s="205"/>
      <c r="U60" s="205"/>
      <c r="V60" s="205"/>
      <c r="W60" s="205"/>
      <c r="X60" s="205"/>
      <c r="Y60" s="205"/>
      <c r="Z60" s="205"/>
      <c r="AA60" s="205"/>
      <c r="AB60" s="205"/>
      <c r="AC60" s="205"/>
      <c r="AD60" s="205"/>
      <c r="AE60" s="205"/>
      <c r="AF60" s="205"/>
      <c r="AG60" s="205"/>
      <c r="AH60" s="205"/>
      <c r="AI60" s="205"/>
      <c r="AJ60" s="203"/>
      <c r="AK60" s="169"/>
      <c r="AL60" s="169"/>
      <c r="AM60" s="169"/>
      <c r="AN60" s="169"/>
      <c r="AO60" s="169"/>
      <c r="AP60" s="169"/>
      <c r="AQ60" s="169"/>
      <c r="AR60" s="169"/>
      <c r="AS60" s="169"/>
      <c r="AT60" s="170"/>
      <c r="AU60" s="169"/>
      <c r="AV60" s="169"/>
      <c r="AW60" s="169"/>
      <c r="AX60" s="169"/>
      <c r="AY60" s="169"/>
      <c r="AZ60" s="169"/>
      <c r="BA60" s="169"/>
      <c r="BB60" s="169"/>
      <c r="BC60" s="169"/>
      <c r="BD60" s="169"/>
      <c r="BE60" s="170"/>
      <c r="BF60" s="169" t="str">
        <f>IF(OR(IFERROR(VLOOKUP(BP60,[1]ARS!A:EL,MATCH("Price To Earnings",[1]ARS!$4:$4,0),FALSE),"-")&lt;0,IFERROR(VLOOKUP(BP60,[1]ARS!A:EL,MATCH("Price To Earnings",[1]ARS!$4:$4,0),FALSE),"-")&gt;500),"-",IFERROR(VLOOKUP(BP60,[1]ARS!A:EL,MATCH("Price To Earnings",[1]ARS!$4:$4,0),FALSE),"-"))</f>
        <v>-</v>
      </c>
      <c r="BG60" s="169"/>
      <c r="BH60" s="169"/>
      <c r="BI60" s="169"/>
      <c r="BJ60" s="169"/>
      <c r="BK60" s="169"/>
      <c r="BL60" s="169"/>
      <c r="BM60" s="169"/>
      <c r="BN60" s="169"/>
      <c r="BO60" s="169"/>
      <c r="BP60" s="169"/>
      <c r="BQ60" s="169"/>
      <c r="BR60" s="169"/>
      <c r="BS60" s="169"/>
      <c r="BT60" s="169"/>
      <c r="BU60" s="169"/>
      <c r="BV60" s="169"/>
    </row>
    <row r="61" spans="1:75" ht="12.75" customHeight="1" x14ac:dyDescent="0.2">
      <c r="A61" s="203"/>
      <c r="B61" s="203"/>
      <c r="C61" s="203"/>
      <c r="D61" s="203"/>
      <c r="E61" s="203"/>
      <c r="F61" s="203"/>
      <c r="G61" s="203"/>
      <c r="H61" s="203"/>
      <c r="I61" s="203"/>
      <c r="J61" s="203"/>
      <c r="K61" s="203"/>
      <c r="L61" s="203"/>
      <c r="M61" s="203"/>
      <c r="N61" s="205"/>
      <c r="O61" s="205"/>
      <c r="P61" s="205"/>
      <c r="Q61" s="205"/>
      <c r="R61" s="205"/>
      <c r="S61" s="205"/>
      <c r="T61" s="205"/>
      <c r="U61" s="205"/>
      <c r="V61" s="205"/>
      <c r="W61" s="205"/>
      <c r="X61" s="205"/>
      <c r="Y61" s="205"/>
      <c r="Z61" s="205"/>
      <c r="AA61" s="205"/>
      <c r="AB61" s="205"/>
      <c r="AC61" s="205"/>
      <c r="AD61" s="205"/>
      <c r="AE61" s="205"/>
      <c r="AF61" s="205"/>
      <c r="AG61" s="205"/>
      <c r="AH61" s="205"/>
      <c r="AI61" s="205"/>
      <c r="AJ61" s="203"/>
      <c r="AK61" s="169"/>
      <c r="AL61" s="169"/>
      <c r="AM61" s="169"/>
      <c r="AN61" s="169"/>
      <c r="AO61" s="169"/>
      <c r="AP61" s="169"/>
      <c r="AQ61" s="169"/>
      <c r="AR61" s="169"/>
      <c r="AS61" s="169"/>
      <c r="AT61" s="170"/>
      <c r="AU61" s="169"/>
      <c r="AV61" s="169"/>
      <c r="AW61" s="169"/>
      <c r="AX61" s="169"/>
      <c r="AY61" s="169"/>
      <c r="AZ61" s="169"/>
      <c r="BA61" s="169"/>
      <c r="BB61" s="169"/>
      <c r="BC61" s="169"/>
      <c r="BD61" s="169"/>
      <c r="BE61" s="170"/>
      <c r="BF61" s="169" t="str">
        <f>IF(OR(IFERROR(VLOOKUP(BP61,[1]ARS!A:EL,MATCH("Price To Earnings",[1]ARS!$4:$4,0),FALSE),"-")&lt;0,IFERROR(VLOOKUP(BP61,[1]ARS!A:EL,MATCH("Price To Earnings",[1]ARS!$4:$4,0),FALSE),"-")&gt;500),"-",IFERROR(VLOOKUP(BP61,[1]ARS!A:EL,MATCH("Price To Earnings",[1]ARS!$4:$4,0),FALSE),"-"))</f>
        <v>-</v>
      </c>
      <c r="BG61" s="169"/>
      <c r="BH61" s="169"/>
      <c r="BI61" s="169"/>
      <c r="BJ61" s="169"/>
      <c r="BK61" s="169"/>
      <c r="BL61" s="169"/>
      <c r="BM61" s="169"/>
      <c r="BN61" s="169"/>
      <c r="BO61" s="169"/>
      <c r="BP61" s="169"/>
      <c r="BQ61" s="169"/>
      <c r="BR61" s="169"/>
      <c r="BS61" s="169"/>
      <c r="BT61" s="169"/>
      <c r="BU61" s="169"/>
      <c r="BV61" s="169"/>
    </row>
    <row r="62" spans="1:75" ht="12.75" customHeight="1" x14ac:dyDescent="0.2">
      <c r="A62" s="260"/>
      <c r="B62" s="257"/>
      <c r="C62" s="169"/>
      <c r="D62" s="169"/>
      <c r="E62" s="169"/>
      <c r="F62" s="169"/>
      <c r="G62" s="169"/>
      <c r="H62" s="169"/>
      <c r="I62" s="169"/>
      <c r="J62" s="169"/>
      <c r="K62" s="169"/>
      <c r="L62" s="169"/>
      <c r="M62" s="169"/>
      <c r="N62" s="169"/>
      <c r="O62" s="169"/>
      <c r="P62" s="169"/>
      <c r="Q62" s="169"/>
      <c r="R62" s="169"/>
      <c r="S62" s="169"/>
      <c r="T62" s="169"/>
      <c r="U62" s="169"/>
      <c r="V62" s="169"/>
      <c r="W62" s="169"/>
      <c r="X62" s="169"/>
      <c r="Y62" s="169"/>
      <c r="Z62" s="169"/>
      <c r="AA62" s="169"/>
      <c r="AB62" s="169"/>
      <c r="AC62" s="169"/>
      <c r="AD62" s="169"/>
      <c r="AE62" s="169"/>
      <c r="AF62" s="169"/>
      <c r="AG62" s="169"/>
      <c r="AH62" s="169"/>
      <c r="AI62" s="169"/>
      <c r="AJ62" s="203"/>
      <c r="AK62" s="169"/>
      <c r="AL62" s="169"/>
      <c r="AM62" s="169"/>
      <c r="AN62" s="169"/>
      <c r="AO62" s="169"/>
      <c r="AP62" s="169"/>
      <c r="AQ62" s="169"/>
      <c r="AR62" s="169"/>
      <c r="AS62" s="169"/>
      <c r="AT62" s="170"/>
      <c r="AU62" s="169"/>
      <c r="AV62" s="169"/>
      <c r="AW62" s="169"/>
      <c r="AX62" s="169"/>
      <c r="AY62" s="169"/>
      <c r="AZ62" s="169"/>
      <c r="BA62" s="169"/>
      <c r="BB62" s="169"/>
      <c r="BC62" s="169"/>
      <c r="BD62" s="169"/>
      <c r="BE62" s="169"/>
      <c r="BF62" s="169" t="str">
        <f>IF(OR(IFERROR(VLOOKUP(BP62,[1]ARS!A:EL,MATCH("Price To Earnings",[1]ARS!$4:$4,0),FALSE),"-")&lt;0,IFERROR(VLOOKUP(BP62,[1]ARS!A:EL,MATCH("Price To Earnings",[1]ARS!$4:$4,0),FALSE),"-")&gt;500),"-",IFERROR(VLOOKUP(BP62,[1]ARS!A:EL,MATCH("Price To Earnings",[1]ARS!$4:$4,0),FALSE),"-"))</f>
        <v>-</v>
      </c>
      <c r="BG62" s="169"/>
      <c r="BH62" s="169"/>
      <c r="BI62" s="169"/>
      <c r="BJ62" s="169"/>
      <c r="BK62" s="169"/>
      <c r="BL62" s="169"/>
      <c r="BM62" s="169"/>
      <c r="BN62" s="169"/>
      <c r="BO62" s="169"/>
      <c r="BP62" s="169"/>
      <c r="BQ62" s="169"/>
      <c r="BR62" s="169"/>
      <c r="BS62" s="169"/>
      <c r="BT62" s="169"/>
      <c r="BU62" s="169"/>
      <c r="BV62" s="169"/>
    </row>
    <row r="63" spans="1:75" ht="12.75" customHeight="1" x14ac:dyDescent="0.2">
      <c r="A63" s="169"/>
      <c r="B63" s="169"/>
      <c r="C63" s="169"/>
      <c r="D63" s="169"/>
      <c r="E63" s="210"/>
      <c r="F63" s="169"/>
      <c r="G63" s="169"/>
      <c r="H63" s="169"/>
      <c r="I63" s="169"/>
      <c r="J63" s="169"/>
      <c r="K63" s="169"/>
      <c r="L63" s="169"/>
      <c r="M63" s="169"/>
      <c r="N63" s="169"/>
      <c r="O63" s="169"/>
      <c r="P63" s="169"/>
      <c r="Q63" s="169"/>
      <c r="R63" s="169"/>
      <c r="S63" s="169"/>
      <c r="T63" s="169"/>
      <c r="U63" s="169"/>
      <c r="V63" s="169"/>
      <c r="W63" s="169"/>
      <c r="X63" s="169"/>
      <c r="Y63" s="169"/>
      <c r="Z63" s="169"/>
      <c r="AA63" s="169"/>
      <c r="AB63" s="169"/>
      <c r="AC63" s="169"/>
      <c r="AD63" s="169"/>
      <c r="AE63" s="169"/>
      <c r="AF63" s="169"/>
      <c r="AG63" s="169"/>
      <c r="AH63" s="169"/>
      <c r="AI63" s="169"/>
      <c r="AJ63" s="203"/>
      <c r="AK63" s="169"/>
      <c r="AL63" s="169"/>
      <c r="AM63" s="169"/>
      <c r="AN63" s="169"/>
      <c r="AO63" s="169"/>
      <c r="AP63" s="169"/>
      <c r="AQ63" s="169"/>
      <c r="AR63" s="169"/>
      <c r="AS63" s="169"/>
      <c r="AT63" s="170"/>
      <c r="AU63" s="169"/>
      <c r="AV63" s="169"/>
      <c r="AW63" s="169"/>
      <c r="AX63" s="169"/>
      <c r="AY63" s="169"/>
      <c r="AZ63" s="169"/>
      <c r="BA63" s="169"/>
      <c r="BB63" s="169"/>
      <c r="BC63" s="169"/>
      <c r="BD63" s="169"/>
      <c r="BE63" s="169"/>
      <c r="BF63" s="169" t="str">
        <f>IF(OR(IFERROR(VLOOKUP(BP63,[1]ARS!A:EL,MATCH("Price To Earnings",[1]ARS!$4:$4,0),FALSE),"-")&lt;0,IFERROR(VLOOKUP(BP63,[1]ARS!A:EL,MATCH("Price To Earnings",[1]ARS!$4:$4,0),FALSE),"-")&gt;500),"-",IFERROR(VLOOKUP(BP63,[1]ARS!A:EL,MATCH("Price To Earnings",[1]ARS!$4:$4,0),FALSE),"-"))</f>
        <v>-</v>
      </c>
      <c r="BG63" s="169"/>
      <c r="BH63" s="169"/>
      <c r="BI63" s="169"/>
      <c r="BJ63" s="169"/>
      <c r="BK63" s="169"/>
      <c r="BL63" s="169"/>
      <c r="BM63" s="169"/>
      <c r="BN63" s="169"/>
      <c r="BO63" s="169"/>
      <c r="BP63" s="169"/>
      <c r="BQ63" s="169"/>
      <c r="BR63" s="169"/>
      <c r="BS63" s="169"/>
      <c r="BT63" s="169"/>
      <c r="BU63" s="169"/>
      <c r="BV63" s="169"/>
      <c r="BW63" s="169"/>
    </row>
    <row r="64" spans="1:75" ht="12.75" customHeight="1" x14ac:dyDescent="0.2">
      <c r="A64" s="169"/>
      <c r="B64" s="169"/>
      <c r="C64" s="169"/>
      <c r="D64" s="169"/>
      <c r="E64" s="211"/>
      <c r="F64" s="169"/>
      <c r="G64" s="169"/>
      <c r="H64" s="169"/>
      <c r="I64" s="169"/>
      <c r="J64" s="169"/>
      <c r="K64" s="169"/>
      <c r="L64" s="169"/>
      <c r="M64" s="169"/>
      <c r="N64" s="169"/>
      <c r="O64" s="169"/>
      <c r="P64" s="169"/>
      <c r="Q64" s="169"/>
      <c r="R64" s="169"/>
      <c r="S64" s="169"/>
      <c r="T64" s="169"/>
      <c r="U64" s="169"/>
      <c r="V64" s="169"/>
      <c r="W64" s="169"/>
      <c r="X64" s="169"/>
      <c r="Y64" s="169"/>
      <c r="Z64" s="169"/>
      <c r="AA64" s="169"/>
      <c r="AB64" s="169"/>
      <c r="AC64" s="169"/>
      <c r="AD64" s="169"/>
      <c r="AE64" s="169"/>
      <c r="AF64" s="169"/>
      <c r="AG64" s="169"/>
      <c r="AH64" s="169"/>
      <c r="AI64" s="169"/>
      <c r="AJ64" s="203"/>
      <c r="AK64" s="169"/>
      <c r="AL64" s="169"/>
      <c r="AM64" s="169"/>
      <c r="AN64" s="169"/>
      <c r="AO64" s="169"/>
      <c r="AP64" s="169"/>
      <c r="AQ64" s="169"/>
      <c r="AR64" s="169"/>
      <c r="AS64" s="169"/>
      <c r="AT64" s="170"/>
      <c r="AU64" s="169"/>
      <c r="AV64" s="169"/>
      <c r="AW64" s="169"/>
      <c r="AX64" s="169"/>
      <c r="AY64" s="169"/>
      <c r="AZ64" s="169"/>
      <c r="BA64" s="169"/>
      <c r="BB64" s="169"/>
      <c r="BC64" s="169"/>
      <c r="BD64" s="169"/>
      <c r="BE64" s="169"/>
      <c r="BF64" s="169" t="str">
        <f>IF(OR(IFERROR(VLOOKUP(BP64,[1]ARS!A:EL,MATCH("Price To Earnings",[1]ARS!$4:$4,0),FALSE),"-")&lt;0,IFERROR(VLOOKUP(BP64,[1]ARS!A:EL,MATCH("Price To Earnings",[1]ARS!$4:$4,0),FALSE),"-")&gt;500),"-",IFERROR(VLOOKUP(BP64,[1]ARS!A:EL,MATCH("Price To Earnings",[1]ARS!$4:$4,0),FALSE),"-"))</f>
        <v>-</v>
      </c>
      <c r="BG64" s="169"/>
      <c r="BH64" s="169"/>
      <c r="BI64" s="169"/>
      <c r="BJ64" s="169"/>
      <c r="BK64" s="169"/>
      <c r="BL64" s="169"/>
      <c r="BM64" s="169"/>
      <c r="BN64" s="169"/>
      <c r="BO64" s="169"/>
      <c r="BP64" s="169"/>
      <c r="BQ64" s="169"/>
      <c r="BR64" s="169"/>
      <c r="BS64" s="169"/>
      <c r="BT64" s="169"/>
      <c r="BU64" s="169"/>
      <c r="BV64" s="169"/>
    </row>
    <row r="65" spans="1:75" ht="12.75" customHeight="1" x14ac:dyDescent="0.2">
      <c r="A65" s="169"/>
      <c r="B65" s="169"/>
      <c r="C65" s="169"/>
      <c r="D65" s="169"/>
      <c r="E65" s="169"/>
      <c r="F65" s="169"/>
      <c r="G65" s="169"/>
      <c r="H65" s="169"/>
      <c r="I65" s="169"/>
      <c r="J65" s="169"/>
      <c r="K65" s="169"/>
      <c r="L65" s="169"/>
      <c r="M65" s="169"/>
      <c r="N65" s="169"/>
      <c r="O65" s="169"/>
      <c r="P65" s="169"/>
      <c r="Q65" s="169"/>
      <c r="R65" s="169"/>
      <c r="S65" s="169"/>
      <c r="T65" s="169"/>
      <c r="U65" s="169"/>
      <c r="V65" s="169"/>
      <c r="W65" s="169"/>
      <c r="X65" s="169"/>
      <c r="Y65" s="169"/>
      <c r="Z65" s="169"/>
      <c r="AA65" s="169"/>
      <c r="AB65" s="169"/>
      <c r="AC65" s="169"/>
      <c r="AD65" s="169"/>
      <c r="AE65" s="169"/>
      <c r="AF65" s="169"/>
      <c r="AG65" s="169"/>
      <c r="AH65" s="169"/>
      <c r="AI65" s="169"/>
      <c r="AJ65" s="203"/>
      <c r="AK65" s="169"/>
      <c r="AL65" s="169"/>
      <c r="AM65" s="169"/>
      <c r="AN65" s="169"/>
      <c r="AO65" s="169"/>
      <c r="AP65" s="169"/>
      <c r="AQ65" s="169"/>
      <c r="AR65" s="169"/>
      <c r="AS65" s="169"/>
      <c r="AT65" s="170"/>
      <c r="AU65" s="169"/>
      <c r="AV65" s="169"/>
      <c r="AW65" s="169"/>
      <c r="AX65" s="169"/>
      <c r="AY65" s="169"/>
      <c r="AZ65" s="169"/>
      <c r="BA65" s="169"/>
      <c r="BB65" s="169"/>
      <c r="BC65" s="169"/>
      <c r="BD65" s="169"/>
      <c r="BE65" s="169"/>
      <c r="BF65" s="169" t="str">
        <f>IF(OR(IFERROR(VLOOKUP(BP65,[1]ARS!A:EL,MATCH("Price To Earnings",[1]ARS!$4:$4,0),FALSE),"-")&lt;0,IFERROR(VLOOKUP(BP65,[1]ARS!A:EL,MATCH("Price To Earnings",[1]ARS!$4:$4,0),FALSE),"-")&gt;500),"-",IFERROR(VLOOKUP(BP65,[1]ARS!A:EL,MATCH("Price To Earnings",[1]ARS!$4:$4,0),FALSE),"-"))</f>
        <v>-</v>
      </c>
      <c r="BG65" s="169"/>
      <c r="BH65" s="169"/>
      <c r="BI65" s="169"/>
      <c r="BJ65" s="169"/>
      <c r="BK65" s="169"/>
      <c r="BL65" s="169"/>
      <c r="BM65" s="169"/>
      <c r="BN65" s="169"/>
      <c r="BO65" s="169"/>
      <c r="BP65" s="169"/>
      <c r="BQ65" s="169"/>
      <c r="BR65" s="169"/>
      <c r="BS65" s="169"/>
      <c r="BT65" s="169"/>
      <c r="BU65" s="169"/>
      <c r="BV65" s="169"/>
    </row>
    <row r="66" spans="1:75" ht="12.75" customHeight="1" x14ac:dyDescent="0.2">
      <c r="A66" s="169"/>
      <c r="B66" s="169"/>
      <c r="C66" s="169"/>
      <c r="D66" s="169"/>
      <c r="E66" s="169"/>
      <c r="F66" s="169"/>
      <c r="G66" s="169"/>
      <c r="H66" s="169"/>
      <c r="I66" s="169"/>
      <c r="J66" s="169"/>
      <c r="K66" s="169"/>
      <c r="L66" s="169"/>
      <c r="M66" s="169"/>
      <c r="N66" s="169"/>
      <c r="O66" s="169"/>
      <c r="P66" s="169"/>
      <c r="Q66" s="169"/>
      <c r="R66" s="169"/>
      <c r="S66" s="169"/>
      <c r="T66" s="169"/>
      <c r="U66" s="169"/>
      <c r="V66" s="169"/>
      <c r="W66" s="169"/>
      <c r="X66" s="169"/>
      <c r="Y66" s="169"/>
      <c r="Z66" s="169"/>
      <c r="AA66" s="169"/>
      <c r="AB66" s="169"/>
      <c r="AC66" s="169"/>
      <c r="AD66" s="169"/>
      <c r="AE66" s="169"/>
      <c r="AF66" s="169"/>
      <c r="AG66" s="169"/>
      <c r="AH66" s="169"/>
      <c r="AI66" s="169"/>
      <c r="AJ66" s="203"/>
      <c r="AK66" s="169"/>
      <c r="AL66" s="169"/>
      <c r="AM66" s="169"/>
      <c r="AN66" s="169"/>
      <c r="AO66" s="169"/>
      <c r="AP66" s="169"/>
      <c r="AQ66" s="169"/>
      <c r="AR66" s="169"/>
      <c r="AS66" s="169"/>
      <c r="AT66" s="170"/>
      <c r="AU66" s="169"/>
      <c r="AV66" s="169"/>
      <c r="AW66" s="169"/>
      <c r="AX66" s="169"/>
      <c r="AY66" s="169"/>
      <c r="AZ66" s="169"/>
      <c r="BA66" s="169"/>
      <c r="BB66" s="169"/>
      <c r="BC66" s="169"/>
      <c r="BD66" s="169"/>
      <c r="BE66" s="169"/>
      <c r="BF66" s="169" t="str">
        <f>IF(OR(IFERROR(VLOOKUP(BP66,[1]ARS!A:EL,MATCH("Price To Earnings",[1]ARS!$4:$4,0),FALSE),"-")&lt;0,IFERROR(VLOOKUP(BP66,[1]ARS!A:EL,MATCH("Price To Earnings",[1]ARS!$4:$4,0),FALSE),"-")&gt;500),"-",IFERROR(VLOOKUP(BP66,[1]ARS!A:EL,MATCH("Price To Earnings",[1]ARS!$4:$4,0),FALSE),"-"))</f>
        <v>-</v>
      </c>
      <c r="BG66" s="169"/>
      <c r="BH66" s="169"/>
      <c r="BI66" s="169"/>
      <c r="BJ66" s="169"/>
      <c r="BK66" s="169"/>
      <c r="BL66" s="169"/>
      <c r="BM66" s="169"/>
      <c r="BN66" s="169"/>
      <c r="BO66" s="169"/>
      <c r="BP66" s="169"/>
      <c r="BQ66" s="169"/>
      <c r="BR66" s="169"/>
      <c r="BS66" s="169"/>
      <c r="BT66" s="169"/>
      <c r="BU66" s="169"/>
      <c r="BV66" s="169"/>
    </row>
    <row r="67" spans="1:75" ht="12.75" customHeight="1" x14ac:dyDescent="0.2">
      <c r="A67" s="169"/>
      <c r="B67" s="169"/>
      <c r="C67" s="169"/>
      <c r="D67" s="169"/>
      <c r="E67" s="169"/>
      <c r="F67" s="169"/>
      <c r="G67" s="169"/>
      <c r="H67" s="169"/>
      <c r="I67" s="169"/>
      <c r="J67" s="169"/>
      <c r="K67" s="169"/>
      <c r="L67" s="169"/>
      <c r="M67" s="169"/>
      <c r="N67" s="169"/>
      <c r="O67" s="169"/>
      <c r="P67" s="169"/>
      <c r="Q67" s="169"/>
      <c r="R67" s="169"/>
      <c r="S67" s="169"/>
      <c r="T67" s="169"/>
      <c r="U67" s="169"/>
      <c r="V67" s="169"/>
      <c r="W67" s="169"/>
      <c r="X67" s="169"/>
      <c r="Y67" s="169"/>
      <c r="Z67" s="169"/>
      <c r="AA67" s="169"/>
      <c r="AB67" s="169"/>
      <c r="AC67" s="169"/>
      <c r="AD67" s="169"/>
      <c r="AE67" s="169"/>
      <c r="AF67" s="169"/>
      <c r="AG67" s="169"/>
      <c r="AH67" s="169"/>
      <c r="AI67" s="169"/>
      <c r="AJ67" s="203"/>
      <c r="AK67" s="169"/>
      <c r="AL67" s="169"/>
      <c r="AM67" s="169"/>
      <c r="AN67" s="169"/>
      <c r="AO67" s="169"/>
      <c r="AP67" s="169"/>
      <c r="AQ67" s="169"/>
      <c r="AR67" s="169"/>
      <c r="AS67" s="169"/>
      <c r="AT67" s="170"/>
      <c r="AU67" s="169"/>
      <c r="AV67" s="169"/>
      <c r="AW67" s="169"/>
      <c r="AX67" s="169"/>
      <c r="AY67" s="169"/>
      <c r="AZ67" s="169"/>
      <c r="BA67" s="169"/>
      <c r="BB67" s="169"/>
      <c r="BC67" s="169"/>
      <c r="BD67" s="169"/>
      <c r="BE67" s="169"/>
      <c r="BF67" s="169"/>
      <c r="BG67" s="169"/>
      <c r="BH67" s="169"/>
      <c r="BI67" s="169"/>
      <c r="BJ67" s="169"/>
      <c r="BK67" s="169"/>
      <c r="BL67" s="169"/>
      <c r="BM67" s="169"/>
      <c r="BN67" s="169"/>
      <c r="BO67" s="169"/>
      <c r="BP67" s="169"/>
      <c r="BQ67" s="169"/>
      <c r="BR67" s="169"/>
      <c r="BS67" s="169"/>
      <c r="BT67" s="169"/>
      <c r="BU67" s="169"/>
      <c r="BV67" s="169"/>
    </row>
    <row r="68" spans="1:75" ht="12.75" customHeight="1" x14ac:dyDescent="0.2">
      <c r="A68" s="169"/>
      <c r="B68" s="169"/>
      <c r="C68" s="169"/>
      <c r="D68" s="169"/>
      <c r="E68" s="169"/>
      <c r="F68" s="169"/>
      <c r="G68" s="169"/>
      <c r="H68" s="169"/>
      <c r="I68" s="169"/>
      <c r="J68" s="169"/>
      <c r="K68" s="169"/>
      <c r="L68" s="169"/>
      <c r="M68" s="169"/>
      <c r="N68" s="169"/>
      <c r="O68" s="169"/>
      <c r="P68" s="169"/>
      <c r="Q68" s="169"/>
      <c r="R68" s="169"/>
      <c r="S68" s="169"/>
      <c r="T68" s="169"/>
      <c r="U68" s="169"/>
      <c r="V68" s="169"/>
      <c r="W68" s="169"/>
      <c r="X68" s="169"/>
      <c r="Y68" s="169"/>
      <c r="Z68" s="169"/>
      <c r="AA68" s="169"/>
      <c r="AB68" s="169"/>
      <c r="AC68" s="169"/>
      <c r="AD68" s="169"/>
      <c r="AE68" s="169"/>
      <c r="AF68" s="169"/>
      <c r="AG68" s="169"/>
      <c r="AH68" s="169"/>
      <c r="AI68" s="169"/>
      <c r="AJ68" s="203"/>
      <c r="AK68" s="169"/>
      <c r="AL68" s="169"/>
      <c r="AM68" s="169"/>
      <c r="AN68" s="169"/>
      <c r="AO68" s="169"/>
      <c r="AP68" s="169"/>
      <c r="AQ68" s="169"/>
      <c r="AR68" s="169"/>
      <c r="AS68" s="169"/>
      <c r="AT68" s="170"/>
      <c r="AU68" s="169"/>
      <c r="AV68" s="169"/>
      <c r="AW68" s="169"/>
      <c r="AX68" s="169"/>
      <c r="AY68" s="169"/>
      <c r="AZ68" s="169"/>
      <c r="BA68" s="169"/>
      <c r="BB68" s="169"/>
      <c r="BC68" s="169"/>
      <c r="BD68" s="169"/>
      <c r="BE68" s="169"/>
      <c r="BF68" s="169" t="str">
        <f>IF(OR(IFERROR(VLOOKUP(BP68,[1]ARS!A:EL,MATCH("Price To Earnings",[1]ARS!$4:$4,0),FALSE),"-")&lt;0,IFERROR(VLOOKUP(BP68,[1]ARS!A:EL,MATCH("Price To Earnings",[1]ARS!$4:$4,0),FALSE),"-")&gt;500),"-",IFERROR(VLOOKUP(BP68,[1]ARS!A:EL,MATCH("Price To Earnings",[1]ARS!$4:$4,0),FALSE),"-"))</f>
        <v>-</v>
      </c>
      <c r="BG68" s="169"/>
      <c r="BH68" s="169"/>
      <c r="BI68" s="169"/>
      <c r="BJ68" s="169"/>
      <c r="BK68" s="169"/>
      <c r="BL68" s="169"/>
      <c r="BM68" s="169"/>
      <c r="BN68" s="169"/>
      <c r="BO68" s="169"/>
      <c r="BP68" s="169"/>
      <c r="BQ68" s="169"/>
      <c r="BR68" s="169"/>
      <c r="BS68" s="169"/>
      <c r="BT68" s="169"/>
      <c r="BU68" s="169"/>
      <c r="BV68" s="169"/>
    </row>
    <row r="69" spans="1:75" ht="12.75" customHeight="1" x14ac:dyDescent="0.2">
      <c r="A69" s="169"/>
      <c r="B69" s="169"/>
      <c r="C69" s="169"/>
      <c r="D69" s="169"/>
      <c r="E69" s="169"/>
      <c r="F69" s="169"/>
      <c r="G69" s="169"/>
      <c r="H69" s="169"/>
      <c r="I69" s="169"/>
      <c r="J69" s="169"/>
      <c r="K69" s="169"/>
      <c r="L69" s="169"/>
      <c r="M69" s="169"/>
      <c r="N69" s="169"/>
      <c r="O69" s="169"/>
      <c r="P69" s="169"/>
      <c r="Q69" s="169"/>
      <c r="R69" s="169"/>
      <c r="S69" s="169"/>
      <c r="T69" s="169"/>
      <c r="U69" s="169"/>
      <c r="V69" s="169"/>
      <c r="W69" s="169"/>
      <c r="X69" s="169"/>
      <c r="Y69" s="169"/>
      <c r="Z69" s="169"/>
      <c r="AA69" s="169"/>
      <c r="AB69" s="169"/>
      <c r="AC69" s="169"/>
      <c r="AD69" s="169"/>
      <c r="AE69" s="169"/>
      <c r="AF69" s="169"/>
      <c r="AG69" s="169"/>
      <c r="AH69" s="169"/>
      <c r="AI69" s="169"/>
      <c r="AJ69" s="203"/>
      <c r="AK69" s="169"/>
      <c r="AL69" s="169"/>
      <c r="AM69" s="169"/>
      <c r="AN69" s="169"/>
      <c r="AO69" s="169"/>
      <c r="AP69" s="169"/>
      <c r="AQ69" s="169"/>
      <c r="AR69" s="169"/>
      <c r="AS69" s="169"/>
      <c r="AT69" s="170"/>
      <c r="AU69" s="169"/>
      <c r="AV69" s="169"/>
      <c r="AW69" s="169"/>
      <c r="AX69" s="169"/>
      <c r="AY69" s="169"/>
      <c r="AZ69" s="169"/>
      <c r="BA69" s="169"/>
      <c r="BB69" s="169"/>
      <c r="BC69" s="169"/>
      <c r="BD69" s="169"/>
      <c r="BE69" s="169"/>
      <c r="BF69" s="169" t="str">
        <f>IF(OR(IFERROR(VLOOKUP(BP69,[1]ARS!A:EL,MATCH("Price To Earnings",[1]ARS!$4:$4,0),FALSE),"-")&lt;0,IFERROR(VLOOKUP(BP69,[1]ARS!A:EL,MATCH("Price To Earnings",[1]ARS!$4:$4,0),FALSE),"-")&gt;500),"-",IFERROR(VLOOKUP(BP69,[1]ARS!A:EL,MATCH("Price To Earnings",[1]ARS!$4:$4,0),FALSE),"-"))</f>
        <v>-</v>
      </c>
      <c r="BG69" s="169"/>
      <c r="BH69" s="169"/>
      <c r="BI69" s="169"/>
      <c r="BJ69" s="169"/>
      <c r="BK69" s="169"/>
      <c r="BL69" s="169"/>
      <c r="BM69" s="169"/>
      <c r="BN69" s="169"/>
      <c r="BO69" s="169"/>
      <c r="BP69" s="169"/>
      <c r="BQ69" s="169"/>
      <c r="BR69" s="169"/>
      <c r="BS69" s="169"/>
      <c r="BT69" s="169"/>
      <c r="BU69" s="169"/>
      <c r="BV69" s="169"/>
    </row>
    <row r="70" spans="1:75" ht="12.75" customHeight="1" x14ac:dyDescent="0.2">
      <c r="A70" s="169"/>
      <c r="B70" s="169"/>
      <c r="C70" s="169"/>
      <c r="D70" s="169"/>
      <c r="E70" s="169"/>
      <c r="F70" s="169"/>
      <c r="G70" s="169"/>
      <c r="H70" s="169"/>
      <c r="I70" s="169"/>
      <c r="J70" s="169"/>
      <c r="K70" s="169"/>
      <c r="L70" s="169"/>
      <c r="M70" s="169"/>
      <c r="N70" s="169"/>
      <c r="O70" s="169"/>
      <c r="P70" s="169"/>
      <c r="Q70" s="169"/>
      <c r="R70" s="169"/>
      <c r="S70" s="169"/>
      <c r="T70" s="169"/>
      <c r="U70" s="169"/>
      <c r="V70" s="169"/>
      <c r="W70" s="169"/>
      <c r="X70" s="169"/>
      <c r="Y70" s="169"/>
      <c r="Z70" s="169"/>
      <c r="AA70" s="169"/>
      <c r="AB70" s="169"/>
      <c r="AC70" s="169"/>
      <c r="AD70" s="169"/>
      <c r="AE70" s="169"/>
      <c r="AF70" s="169"/>
      <c r="AG70" s="169"/>
      <c r="AH70" s="169"/>
      <c r="AI70" s="169"/>
      <c r="AJ70" s="203"/>
      <c r="AK70" s="169"/>
      <c r="AL70" s="169"/>
      <c r="AM70" s="169"/>
      <c r="AN70" s="169"/>
      <c r="AO70" s="169"/>
      <c r="AP70" s="169"/>
      <c r="AQ70" s="169"/>
      <c r="AR70" s="169"/>
      <c r="AS70" s="169"/>
      <c r="AT70" s="170"/>
      <c r="AU70" s="169"/>
      <c r="AV70" s="169"/>
      <c r="AW70" s="169"/>
      <c r="AX70" s="169"/>
      <c r="AY70" s="169"/>
      <c r="AZ70" s="169"/>
      <c r="BA70" s="169"/>
      <c r="BB70" s="169"/>
      <c r="BC70" s="169"/>
      <c r="BD70" s="169"/>
      <c r="BE70" s="169"/>
      <c r="BF70" s="169" t="str">
        <f>IF(OR(IFERROR(VLOOKUP(BP70,[1]ARS!A:EL,MATCH("Price To Earnings",[1]ARS!$4:$4,0),FALSE),"-")&lt;0,IFERROR(VLOOKUP(BP70,[1]ARS!A:EL,MATCH("Price To Earnings",[1]ARS!$4:$4,0),FALSE),"-")&gt;500),"-",IFERROR(VLOOKUP(BP70,[1]ARS!A:EL,MATCH("Price To Earnings",[1]ARS!$4:$4,0),FALSE),"-"))</f>
        <v>-</v>
      </c>
      <c r="BG70" s="169"/>
      <c r="BH70" s="169"/>
      <c r="BI70" s="169"/>
      <c r="BJ70" s="169"/>
      <c r="BK70" s="169"/>
      <c r="BL70" s="169"/>
      <c r="BM70" s="169"/>
      <c r="BN70" s="169"/>
      <c r="BO70" s="169"/>
      <c r="BP70" s="169"/>
      <c r="BQ70" s="169"/>
      <c r="BR70" s="169"/>
      <c r="BS70" s="169"/>
      <c r="BT70" s="169"/>
      <c r="BU70" s="169"/>
      <c r="BV70" s="169"/>
    </row>
    <row r="71" spans="1:75" ht="12.75" customHeight="1" x14ac:dyDescent="0.2">
      <c r="A71" s="169"/>
      <c r="B71" s="169"/>
      <c r="C71" s="169"/>
      <c r="D71" s="169"/>
      <c r="E71" s="169"/>
      <c r="F71" s="169"/>
      <c r="G71" s="169"/>
      <c r="H71" s="169"/>
      <c r="I71" s="169"/>
      <c r="J71" s="169"/>
      <c r="K71" s="169"/>
      <c r="L71" s="169"/>
      <c r="M71" s="169"/>
      <c r="N71" s="169"/>
      <c r="O71" s="169"/>
      <c r="P71" s="169"/>
      <c r="Q71" s="169"/>
      <c r="R71" s="169"/>
      <c r="S71" s="169"/>
      <c r="T71" s="169"/>
      <c r="U71" s="169"/>
      <c r="V71" s="169"/>
      <c r="W71" s="169"/>
      <c r="X71" s="169"/>
      <c r="Y71" s="169"/>
      <c r="Z71" s="169"/>
      <c r="AA71" s="169"/>
      <c r="AB71" s="169"/>
      <c r="AC71" s="169"/>
      <c r="AD71" s="169"/>
      <c r="AE71" s="169"/>
      <c r="AF71" s="169"/>
      <c r="AG71" s="169"/>
      <c r="AH71" s="169"/>
      <c r="AI71" s="169"/>
      <c r="AJ71" s="203"/>
      <c r="AK71" s="169"/>
      <c r="AL71" s="169"/>
      <c r="AM71" s="169"/>
      <c r="AN71" s="169"/>
      <c r="AO71" s="169"/>
      <c r="AP71" s="169"/>
      <c r="AQ71" s="169"/>
      <c r="AR71" s="169"/>
      <c r="AS71" s="169"/>
      <c r="AT71" s="170"/>
      <c r="AU71" s="169"/>
      <c r="AV71" s="169"/>
      <c r="AW71" s="169"/>
      <c r="AX71" s="169"/>
      <c r="AY71" s="169"/>
      <c r="AZ71" s="169"/>
      <c r="BA71" s="169"/>
      <c r="BB71" s="169"/>
      <c r="BC71" s="169"/>
      <c r="BD71" s="169"/>
      <c r="BE71" s="169"/>
      <c r="BF71" s="169" t="str">
        <f>IF(OR(IFERROR(VLOOKUP(BP71,[1]ARS!A:EL,MATCH("Price To Earnings",[1]ARS!$4:$4,0),FALSE),"-")&lt;0,IFERROR(VLOOKUP(BP71,[1]ARS!A:EL,MATCH("Price To Earnings",[1]ARS!$4:$4,0),FALSE),"-")&gt;500),"-",IFERROR(VLOOKUP(BP71,[1]ARS!A:EL,MATCH("Price To Earnings",[1]ARS!$4:$4,0),FALSE),"-"))</f>
        <v>-</v>
      </c>
      <c r="BG71" s="169"/>
      <c r="BH71" s="169"/>
      <c r="BI71" s="169"/>
      <c r="BJ71" s="169"/>
      <c r="BK71" s="169"/>
      <c r="BL71" s="169"/>
      <c r="BM71" s="169"/>
      <c r="BN71" s="169"/>
      <c r="BO71" s="169"/>
      <c r="BP71" s="169"/>
      <c r="BQ71" s="169"/>
      <c r="BR71" s="169"/>
      <c r="BS71" s="169"/>
      <c r="BT71" s="169"/>
      <c r="BU71" s="169"/>
      <c r="BV71" s="169"/>
    </row>
    <row r="72" spans="1:75" ht="12.75" customHeight="1" x14ac:dyDescent="0.2">
      <c r="A72" s="169"/>
      <c r="B72" s="169"/>
      <c r="C72" s="169"/>
      <c r="D72" s="169"/>
      <c r="E72" s="212"/>
      <c r="F72" s="169"/>
      <c r="G72" s="169"/>
      <c r="H72" s="169"/>
      <c r="I72" s="169"/>
      <c r="J72" s="169"/>
      <c r="K72" s="169"/>
      <c r="L72" s="169"/>
      <c r="M72" s="169"/>
      <c r="N72" s="169"/>
      <c r="O72" s="169"/>
      <c r="P72" s="169"/>
      <c r="Q72" s="169"/>
      <c r="R72" s="169"/>
      <c r="S72" s="169"/>
      <c r="T72" s="169"/>
      <c r="U72" s="169"/>
      <c r="V72" s="169"/>
      <c r="W72" s="169"/>
      <c r="X72" s="169"/>
      <c r="Y72" s="169"/>
      <c r="Z72" s="169"/>
      <c r="AA72" s="169"/>
      <c r="AB72" s="169"/>
      <c r="AC72" s="169"/>
      <c r="AD72" s="169"/>
      <c r="AE72" s="169"/>
      <c r="AF72" s="169"/>
      <c r="AG72" s="169"/>
      <c r="AH72" s="169"/>
      <c r="AI72" s="169"/>
      <c r="AJ72" s="203"/>
      <c r="AK72" s="169"/>
      <c r="AL72" s="169"/>
      <c r="AM72" s="169"/>
      <c r="AN72" s="169"/>
      <c r="AO72" s="169"/>
      <c r="AP72" s="169"/>
      <c r="AQ72" s="169"/>
      <c r="AR72" s="169"/>
      <c r="AS72" s="169"/>
      <c r="AT72" s="170"/>
      <c r="AU72" s="169"/>
      <c r="AV72" s="169"/>
      <c r="AW72" s="169"/>
      <c r="AX72" s="169"/>
      <c r="AY72" s="169"/>
      <c r="AZ72" s="169"/>
      <c r="BA72" s="169"/>
      <c r="BB72" s="169"/>
      <c r="BC72" s="169"/>
      <c r="BD72" s="169"/>
      <c r="BE72" s="169"/>
      <c r="BF72" s="169" t="str">
        <f>IF(OR(IFERROR(VLOOKUP(BP72,[1]ARS!A:EL,MATCH("Price To Earnings",[1]ARS!$4:$4,0),FALSE),"-")&lt;0,IFERROR(VLOOKUP(BP72,[1]ARS!A:EL,MATCH("Price To Earnings",[1]ARS!$4:$4,0),FALSE),"-")&gt;500),"-",IFERROR(VLOOKUP(BP72,[1]ARS!A:EL,MATCH("Price To Earnings",[1]ARS!$4:$4,0),FALSE),"-"))</f>
        <v>-</v>
      </c>
      <c r="BG72" s="169"/>
      <c r="BH72" s="169"/>
      <c r="BI72" s="169"/>
      <c r="BJ72" s="169"/>
      <c r="BK72" s="169"/>
      <c r="BL72" s="169"/>
      <c r="BM72" s="169"/>
      <c r="BN72" s="169"/>
      <c r="BO72" s="169"/>
      <c r="BP72" s="169"/>
      <c r="BQ72" s="169"/>
      <c r="BR72" s="169"/>
      <c r="BS72" s="169"/>
      <c r="BT72" s="169"/>
      <c r="BU72" s="169"/>
      <c r="BV72" s="169"/>
    </row>
    <row r="73" spans="1:75" ht="12.75" customHeight="1" x14ac:dyDescent="0.2">
      <c r="A73" s="169"/>
      <c r="B73" s="169"/>
      <c r="C73" s="169"/>
      <c r="D73" s="169"/>
      <c r="E73" s="169"/>
      <c r="F73" s="169"/>
      <c r="G73" s="169"/>
      <c r="H73" s="169"/>
      <c r="I73" s="169"/>
      <c r="J73" s="169"/>
      <c r="K73" s="169"/>
      <c r="L73" s="169"/>
      <c r="M73" s="169"/>
      <c r="N73" s="169"/>
      <c r="O73" s="169"/>
      <c r="P73" s="169"/>
      <c r="Q73" s="169"/>
      <c r="R73" s="169"/>
      <c r="S73" s="169"/>
      <c r="T73" s="169"/>
      <c r="U73" s="169"/>
      <c r="V73" s="169"/>
      <c r="W73" s="169"/>
      <c r="X73" s="169"/>
      <c r="Y73" s="169"/>
      <c r="Z73" s="169"/>
      <c r="AA73" s="169"/>
      <c r="AB73" s="169"/>
      <c r="AC73" s="169"/>
      <c r="AD73" s="169"/>
      <c r="AE73" s="169"/>
      <c r="AF73" s="169"/>
      <c r="AG73" s="169"/>
      <c r="AH73" s="169"/>
      <c r="AI73" s="169"/>
      <c r="AJ73" s="203"/>
      <c r="AK73" s="169"/>
      <c r="AL73" s="169"/>
      <c r="AM73" s="169"/>
      <c r="AN73" s="169"/>
      <c r="AO73" s="169"/>
      <c r="AP73" s="169"/>
      <c r="AQ73" s="169"/>
      <c r="AR73" s="169"/>
      <c r="AS73" s="169"/>
      <c r="AT73" s="170"/>
      <c r="AU73" s="169"/>
      <c r="AV73" s="169"/>
      <c r="AW73" s="169"/>
      <c r="AX73" s="169"/>
      <c r="AY73" s="169"/>
      <c r="AZ73" s="169"/>
      <c r="BA73" s="169"/>
      <c r="BB73" s="169"/>
      <c r="BC73" s="169"/>
      <c r="BD73" s="169"/>
      <c r="BE73" s="169"/>
      <c r="BF73" s="169" t="str">
        <f>IF(OR(IFERROR(VLOOKUP(BP73,[1]ARS!A:EL,MATCH("Price To Earnings",[1]ARS!$4:$4,0),FALSE),"-")&lt;0,IFERROR(VLOOKUP(BP73,[1]ARS!A:EL,MATCH("Price To Earnings",[1]ARS!$4:$4,0),FALSE),"-")&gt;500),"-",IFERROR(VLOOKUP(BP73,[1]ARS!A:EL,MATCH("Price To Earnings",[1]ARS!$4:$4,0),FALSE),"-"))</f>
        <v>-</v>
      </c>
      <c r="BG73" s="169"/>
      <c r="BH73" s="169"/>
      <c r="BI73" s="169"/>
      <c r="BJ73" s="169"/>
      <c r="BK73" s="169"/>
      <c r="BL73" s="169"/>
      <c r="BM73" s="169"/>
      <c r="BN73" s="169"/>
      <c r="BO73" s="169"/>
      <c r="BP73" s="169"/>
      <c r="BQ73" s="169"/>
      <c r="BR73" s="169"/>
      <c r="BS73" s="169"/>
      <c r="BT73" s="169"/>
      <c r="BU73" s="169"/>
      <c r="BV73" s="169"/>
    </row>
    <row r="74" spans="1:75" ht="12.75" customHeight="1" x14ac:dyDescent="0.2">
      <c r="A74" s="169"/>
      <c r="B74" s="169"/>
      <c r="C74" s="169"/>
      <c r="D74" s="169"/>
      <c r="E74" s="169"/>
      <c r="F74" s="169"/>
      <c r="G74" s="169"/>
      <c r="H74" s="169"/>
      <c r="I74" s="169"/>
      <c r="J74" s="169"/>
      <c r="K74" s="169"/>
      <c r="L74" s="169"/>
      <c r="M74" s="169"/>
      <c r="N74" s="169"/>
      <c r="O74" s="169"/>
      <c r="P74" s="169"/>
      <c r="Q74" s="169"/>
      <c r="R74" s="169"/>
      <c r="S74" s="169"/>
      <c r="T74" s="169"/>
      <c r="U74" s="169"/>
      <c r="V74" s="169"/>
      <c r="W74" s="169"/>
      <c r="X74" s="169"/>
      <c r="Y74" s="169"/>
      <c r="Z74" s="169"/>
      <c r="AA74" s="169"/>
      <c r="AB74" s="169"/>
      <c r="AC74" s="169"/>
      <c r="AD74" s="169"/>
      <c r="AE74" s="169"/>
      <c r="AF74" s="169"/>
      <c r="AG74" s="169"/>
      <c r="AH74" s="169"/>
      <c r="AI74" s="169"/>
      <c r="AJ74" s="203"/>
      <c r="AK74" s="169"/>
      <c r="AL74" s="169"/>
      <c r="AM74" s="169"/>
      <c r="AN74" s="169"/>
      <c r="AO74" s="169"/>
      <c r="AP74" s="169"/>
      <c r="AQ74" s="169"/>
      <c r="AR74" s="169"/>
      <c r="AS74" s="169"/>
      <c r="AT74" s="170"/>
      <c r="AU74" s="169"/>
      <c r="AV74" s="169"/>
      <c r="AW74" s="169"/>
      <c r="AX74" s="169"/>
      <c r="AY74" s="169"/>
      <c r="AZ74" s="169"/>
      <c r="BA74" s="169"/>
      <c r="BB74" s="169"/>
      <c r="BC74" s="169"/>
      <c r="BD74" s="169"/>
      <c r="BE74" s="169"/>
      <c r="BF74" s="169" t="str">
        <f>IF(OR(IFERROR(VLOOKUP(BP74,[1]ARS!A:EL,MATCH("Price To Earnings",[1]ARS!$4:$4,0),FALSE),"-")&lt;0,IFERROR(VLOOKUP(BP74,[1]ARS!A:EL,MATCH("Price To Earnings",[1]ARS!$4:$4,0),FALSE),"-")&gt;500),"-",IFERROR(VLOOKUP(BP74,[1]ARS!A:EL,MATCH("Price To Earnings",[1]ARS!$4:$4,0),FALSE),"-"))</f>
        <v>-</v>
      </c>
      <c r="BG74" s="169"/>
      <c r="BH74" s="169"/>
      <c r="BI74" s="169"/>
      <c r="BJ74" s="169"/>
      <c r="BK74" s="169"/>
      <c r="BL74" s="169"/>
      <c r="BM74" s="169"/>
      <c r="BN74" s="169"/>
      <c r="BO74" s="169"/>
      <c r="BP74" s="169"/>
      <c r="BQ74" s="169"/>
      <c r="BR74" s="169"/>
      <c r="BS74" s="169"/>
      <c r="BT74" s="169"/>
      <c r="BU74" s="169"/>
      <c r="BV74" s="169"/>
    </row>
    <row r="75" spans="1:75" ht="12.75" customHeight="1" x14ac:dyDescent="0.2">
      <c r="A75" s="169"/>
      <c r="B75" s="169"/>
      <c r="C75" s="169"/>
      <c r="D75" s="169"/>
      <c r="E75" s="169"/>
      <c r="F75" s="169"/>
      <c r="G75" s="169"/>
      <c r="H75" s="169"/>
      <c r="I75" s="169"/>
      <c r="J75" s="169"/>
      <c r="K75" s="169"/>
      <c r="L75" s="169"/>
      <c r="M75" s="169"/>
      <c r="N75" s="169"/>
      <c r="O75" s="169"/>
      <c r="P75" s="169"/>
      <c r="Q75" s="169"/>
      <c r="R75" s="169"/>
      <c r="S75" s="169"/>
      <c r="T75" s="169"/>
      <c r="U75" s="169"/>
      <c r="V75" s="169"/>
      <c r="W75" s="169"/>
      <c r="X75" s="169"/>
      <c r="Y75" s="169"/>
      <c r="Z75" s="169"/>
      <c r="AA75" s="169"/>
      <c r="AB75" s="169"/>
      <c r="AC75" s="169"/>
      <c r="AD75" s="169"/>
      <c r="AE75" s="169"/>
      <c r="AF75" s="169"/>
      <c r="AG75" s="169"/>
      <c r="AH75" s="169"/>
      <c r="AI75" s="169"/>
      <c r="AJ75" s="203"/>
      <c r="AK75" s="169"/>
      <c r="AL75" s="169"/>
      <c r="AM75" s="169"/>
      <c r="AN75" s="169"/>
      <c r="AO75" s="169"/>
      <c r="AP75" s="169"/>
      <c r="AQ75" s="169"/>
      <c r="AR75" s="169"/>
      <c r="AS75" s="169"/>
      <c r="AT75" s="170"/>
      <c r="AU75" s="169"/>
      <c r="AV75" s="169"/>
      <c r="AW75" s="169"/>
      <c r="AX75" s="169"/>
      <c r="AY75" s="169"/>
      <c r="AZ75" s="169"/>
      <c r="BA75" s="169"/>
      <c r="BB75" s="169"/>
      <c r="BC75" s="169"/>
      <c r="BD75" s="169"/>
      <c r="BE75" s="169"/>
      <c r="BF75" s="169" t="str">
        <f>IF(OR(IFERROR(VLOOKUP(BP75,[1]ARS!A:EL,MATCH("Price To Earnings",[1]ARS!$4:$4,0),FALSE),"-")&lt;0,IFERROR(VLOOKUP(BP75,[1]ARS!A:EL,MATCH("Price To Earnings",[1]ARS!$4:$4,0),FALSE),"-")&gt;500),"-",IFERROR(VLOOKUP(BP75,[1]ARS!A:EL,MATCH("Price To Earnings",[1]ARS!$4:$4,0),FALSE),"-"))</f>
        <v>-</v>
      </c>
      <c r="BG75" s="169"/>
      <c r="BH75" s="169"/>
      <c r="BI75" s="169"/>
      <c r="BJ75" s="169"/>
      <c r="BK75" s="169"/>
      <c r="BL75" s="169"/>
      <c r="BM75" s="169"/>
      <c r="BN75" s="169"/>
      <c r="BO75" s="169"/>
      <c r="BP75" s="169"/>
      <c r="BQ75" s="169"/>
      <c r="BR75" s="169"/>
      <c r="BS75" s="169"/>
      <c r="BT75" s="169"/>
      <c r="BU75" s="169"/>
      <c r="BV75" s="169"/>
      <c r="BW75" s="169"/>
    </row>
    <row r="76" spans="1:75" ht="12.75" customHeight="1" x14ac:dyDescent="0.2">
      <c r="A76" s="169"/>
      <c r="B76" s="169"/>
      <c r="C76" s="169"/>
      <c r="D76" s="169"/>
      <c r="E76" s="169"/>
      <c r="F76" s="169"/>
      <c r="G76" s="169"/>
      <c r="H76" s="169"/>
      <c r="I76" s="169"/>
      <c r="J76" s="169"/>
      <c r="K76" s="169"/>
      <c r="L76" s="169"/>
      <c r="M76" s="169"/>
      <c r="N76" s="169"/>
      <c r="O76" s="169"/>
      <c r="P76" s="169"/>
      <c r="Q76" s="169"/>
      <c r="R76" s="169"/>
      <c r="S76" s="169"/>
      <c r="T76" s="169"/>
      <c r="U76" s="169"/>
      <c r="V76" s="169"/>
      <c r="W76" s="169"/>
      <c r="X76" s="169"/>
      <c r="Y76" s="169"/>
      <c r="Z76" s="169"/>
      <c r="AA76" s="169"/>
      <c r="AB76" s="169"/>
      <c r="AC76" s="169"/>
      <c r="AD76" s="169"/>
      <c r="AE76" s="169"/>
      <c r="AF76" s="169"/>
      <c r="AG76" s="169"/>
      <c r="AH76" s="169"/>
      <c r="AI76" s="169"/>
      <c r="AJ76" s="203"/>
      <c r="AK76" s="169"/>
      <c r="AL76" s="169"/>
      <c r="AM76" s="169"/>
      <c r="AN76" s="169"/>
      <c r="AO76" s="169"/>
      <c r="AP76" s="169"/>
      <c r="AQ76" s="169"/>
      <c r="AR76" s="169"/>
      <c r="AS76" s="169"/>
      <c r="AT76" s="170"/>
      <c r="AU76" s="169"/>
      <c r="AV76" s="169"/>
      <c r="AW76" s="169"/>
      <c r="AX76" s="169"/>
      <c r="AY76" s="169"/>
      <c r="AZ76" s="169"/>
      <c r="BA76" s="169"/>
      <c r="BB76" s="169"/>
      <c r="BC76" s="169"/>
      <c r="BD76" s="169"/>
      <c r="BE76" s="169"/>
      <c r="BF76" s="169" t="str">
        <f>IF(OR(IFERROR(VLOOKUP(BP76,[1]ARS!A:EL,MATCH("Price To Earnings",[1]ARS!$4:$4,0),FALSE),"-")&lt;0,IFERROR(VLOOKUP(BP76,[1]ARS!A:EL,MATCH("Price To Earnings",[1]ARS!$4:$4,0),FALSE),"-")&gt;500),"-",IFERROR(VLOOKUP(BP76,[1]ARS!A:EL,MATCH("Price To Earnings",[1]ARS!$4:$4,0),FALSE),"-"))</f>
        <v>-</v>
      </c>
      <c r="BG76" s="169"/>
      <c r="BH76" s="169"/>
      <c r="BI76" s="169"/>
      <c r="BJ76" s="169"/>
      <c r="BK76" s="169"/>
      <c r="BL76" s="169"/>
      <c r="BM76" s="169"/>
      <c r="BN76" s="169"/>
      <c r="BO76" s="169"/>
      <c r="BP76" s="169"/>
      <c r="BQ76" s="169"/>
      <c r="BR76" s="169"/>
      <c r="BS76" s="169"/>
      <c r="BT76" s="169"/>
      <c r="BU76" s="169"/>
      <c r="BV76" s="169"/>
    </row>
    <row r="77" spans="1:75" ht="12.75" customHeight="1" x14ac:dyDescent="0.2">
      <c r="A77" s="169"/>
      <c r="B77" s="169"/>
      <c r="C77" s="169"/>
      <c r="D77" s="169"/>
      <c r="E77" s="210"/>
      <c r="F77" s="169"/>
      <c r="G77" s="169"/>
      <c r="H77" s="169"/>
      <c r="I77" s="169"/>
      <c r="J77" s="169"/>
      <c r="K77" s="169"/>
      <c r="L77" s="169"/>
      <c r="M77" s="169"/>
      <c r="N77" s="169"/>
      <c r="O77" s="169"/>
      <c r="P77" s="169"/>
      <c r="Q77" s="169"/>
      <c r="R77" s="169"/>
      <c r="S77" s="169"/>
      <c r="T77" s="169"/>
      <c r="U77" s="169"/>
      <c r="V77" s="169"/>
      <c r="W77" s="169"/>
      <c r="X77" s="169"/>
      <c r="Y77" s="169"/>
      <c r="Z77" s="169"/>
      <c r="AA77" s="169"/>
      <c r="AB77" s="169"/>
      <c r="AC77" s="169"/>
      <c r="AD77" s="169"/>
      <c r="AE77" s="169"/>
      <c r="AF77" s="169"/>
      <c r="AG77" s="169"/>
      <c r="AH77" s="169"/>
      <c r="AI77" s="169"/>
      <c r="AJ77" s="203"/>
      <c r="AK77" s="169"/>
      <c r="AL77" s="169"/>
      <c r="AM77" s="169"/>
      <c r="AN77" s="169"/>
      <c r="AO77" s="169"/>
      <c r="AP77" s="169"/>
      <c r="AQ77" s="169"/>
      <c r="AR77" s="169"/>
      <c r="AS77" s="169"/>
      <c r="AT77" s="170"/>
      <c r="AU77" s="169"/>
      <c r="AV77" s="169"/>
      <c r="AW77" s="169"/>
      <c r="AX77" s="169"/>
      <c r="AY77" s="169"/>
      <c r="AZ77" s="169"/>
      <c r="BA77" s="169"/>
      <c r="BB77" s="169"/>
      <c r="BC77" s="169"/>
      <c r="BD77" s="169"/>
      <c r="BE77" s="169"/>
      <c r="BF77" s="169"/>
      <c r="BG77" s="169"/>
      <c r="BH77" s="169"/>
      <c r="BI77" s="169"/>
      <c r="BJ77" s="169"/>
      <c r="BK77" s="169"/>
      <c r="BL77" s="169"/>
      <c r="BM77" s="169"/>
      <c r="BN77" s="169"/>
      <c r="BO77" s="169"/>
      <c r="BP77" s="169"/>
      <c r="BQ77" s="169"/>
      <c r="BR77" s="169"/>
      <c r="BS77" s="169"/>
      <c r="BT77" s="169"/>
      <c r="BU77" s="169"/>
      <c r="BV77" s="169"/>
    </row>
    <row r="78" spans="1:75" ht="12.75" customHeight="1" x14ac:dyDescent="0.2">
      <c r="A78" s="169"/>
      <c r="B78" s="169"/>
      <c r="C78" s="169"/>
      <c r="D78" s="169"/>
      <c r="E78" s="169"/>
      <c r="F78" s="169"/>
      <c r="G78" s="169"/>
      <c r="H78" s="169"/>
      <c r="I78" s="169"/>
      <c r="J78" s="169"/>
      <c r="K78" s="169"/>
      <c r="L78" s="169"/>
      <c r="M78" s="169"/>
      <c r="N78" s="169"/>
      <c r="O78" s="169"/>
      <c r="P78" s="169"/>
      <c r="Q78" s="169"/>
      <c r="R78" s="169"/>
      <c r="S78" s="169"/>
      <c r="T78" s="169"/>
      <c r="U78" s="169"/>
      <c r="V78" s="169"/>
      <c r="W78" s="169"/>
      <c r="X78" s="169"/>
      <c r="Y78" s="169"/>
      <c r="Z78" s="169"/>
      <c r="AA78" s="169"/>
      <c r="AB78" s="169"/>
      <c r="AC78" s="169"/>
      <c r="AD78" s="169"/>
      <c r="AE78" s="169"/>
      <c r="AF78" s="169"/>
      <c r="AG78" s="169"/>
      <c r="AH78" s="169"/>
      <c r="AI78" s="169"/>
      <c r="AJ78" s="203"/>
      <c r="AK78" s="169"/>
      <c r="AL78" s="169"/>
      <c r="AM78" s="169"/>
      <c r="AN78" s="169"/>
      <c r="AO78" s="169"/>
      <c r="AP78" s="169"/>
      <c r="AQ78" s="169"/>
      <c r="AR78" s="169"/>
      <c r="AS78" s="169"/>
      <c r="AT78" s="170"/>
      <c r="AU78" s="169"/>
      <c r="AV78" s="169"/>
      <c r="AW78" s="169"/>
      <c r="AX78" s="169"/>
      <c r="AY78" s="169"/>
      <c r="AZ78" s="169"/>
      <c r="BA78" s="169"/>
      <c r="BB78" s="169"/>
      <c r="BC78" s="169"/>
      <c r="BD78" s="169"/>
      <c r="BE78" s="169"/>
      <c r="BF78" s="169" t="str">
        <f>IF(OR(IFERROR(VLOOKUP(BP78,[1]ARS!A:EL,MATCH("Price To Earnings",[1]ARS!$4:$4,0),FALSE),"-")&lt;0,IFERROR(VLOOKUP(BP78,[1]ARS!A:EL,MATCH("Price To Earnings",[1]ARS!$4:$4,0),FALSE),"-")&gt;500),"-",IFERROR(VLOOKUP(BP78,[1]ARS!A:EL,MATCH("Price To Earnings",[1]ARS!$4:$4,0),FALSE),"-"))</f>
        <v>-</v>
      </c>
      <c r="BG78" s="169"/>
      <c r="BH78" s="169"/>
      <c r="BI78" s="169"/>
      <c r="BJ78" s="169"/>
      <c r="BK78" s="169"/>
      <c r="BL78" s="169"/>
      <c r="BM78" s="169"/>
      <c r="BN78" s="169"/>
      <c r="BO78" s="169"/>
      <c r="BP78" s="169"/>
      <c r="BQ78" s="169"/>
      <c r="BR78" s="169"/>
      <c r="BS78" s="169"/>
      <c r="BT78" s="169"/>
      <c r="BU78" s="169"/>
      <c r="BV78" s="169"/>
    </row>
    <row r="79" spans="1:75" ht="12.75" customHeight="1" x14ac:dyDescent="0.2">
      <c r="A79" s="169"/>
      <c r="B79" s="169"/>
      <c r="C79" s="169"/>
      <c r="D79" s="169"/>
      <c r="E79" s="169"/>
      <c r="F79" s="169"/>
      <c r="G79" s="169"/>
      <c r="H79" s="169"/>
      <c r="I79" s="169"/>
      <c r="J79" s="169"/>
      <c r="K79" s="169"/>
      <c r="L79" s="169"/>
      <c r="M79" s="169"/>
      <c r="N79" s="169"/>
      <c r="O79" s="169"/>
      <c r="P79" s="169"/>
      <c r="Q79" s="169"/>
      <c r="R79" s="169"/>
      <c r="S79" s="169"/>
      <c r="T79" s="169"/>
      <c r="U79" s="169"/>
      <c r="V79" s="169"/>
      <c r="W79" s="169"/>
      <c r="X79" s="169"/>
      <c r="Y79" s="169"/>
      <c r="Z79" s="169"/>
      <c r="AA79" s="169"/>
      <c r="AB79" s="169"/>
      <c r="AC79" s="169"/>
      <c r="AD79" s="169"/>
      <c r="AE79" s="169"/>
      <c r="AF79" s="169"/>
      <c r="AG79" s="169"/>
      <c r="AH79" s="169"/>
      <c r="AI79" s="169"/>
      <c r="AJ79" s="203"/>
      <c r="AK79" s="169"/>
      <c r="AL79" s="169"/>
      <c r="AM79" s="169"/>
      <c r="AN79" s="169"/>
      <c r="AO79" s="169"/>
      <c r="AP79" s="169"/>
      <c r="AQ79" s="169"/>
      <c r="AR79" s="169"/>
      <c r="AS79" s="169"/>
      <c r="AT79" s="170"/>
      <c r="AU79" s="275"/>
      <c r="AV79" s="275"/>
      <c r="AW79" s="275"/>
      <c r="AX79" s="169"/>
      <c r="AY79" s="169"/>
      <c r="AZ79" s="169"/>
      <c r="BA79" s="169"/>
      <c r="BB79" s="169"/>
      <c r="BC79" s="169"/>
      <c r="BD79" s="169"/>
      <c r="BE79" s="169"/>
      <c r="BF79" s="169" t="str">
        <f>IF(OR(IFERROR(VLOOKUP(BP79,[1]ARS!A:EL,MATCH("Price To Earnings",[1]ARS!$4:$4,0),FALSE),"-")&lt;0,IFERROR(VLOOKUP(BP79,[1]ARS!A:EL,MATCH("Price To Earnings",[1]ARS!$4:$4,0),FALSE),"-")&gt;500),"-",IFERROR(VLOOKUP(BP79,[1]ARS!A:EL,MATCH("Price To Earnings",[1]ARS!$4:$4,0),FALSE),"-"))</f>
        <v>-</v>
      </c>
      <c r="BG79" s="169"/>
      <c r="BH79" s="169"/>
      <c r="BI79" s="169"/>
      <c r="BJ79" s="169"/>
      <c r="BK79" s="169"/>
      <c r="BL79" s="169"/>
      <c r="BM79" s="169"/>
      <c r="BN79" s="169"/>
      <c r="BO79" s="169"/>
      <c r="BP79" s="169"/>
      <c r="BQ79" s="169"/>
      <c r="BR79" s="169"/>
      <c r="BS79" s="169"/>
      <c r="BT79" s="169"/>
      <c r="BU79" s="169"/>
      <c r="BV79" s="169"/>
    </row>
    <row r="80" spans="1:75" ht="12.75" customHeight="1" x14ac:dyDescent="0.2">
      <c r="A80" s="169"/>
      <c r="B80" s="169"/>
      <c r="C80" s="169"/>
      <c r="D80" s="169"/>
      <c r="E80" s="169"/>
      <c r="F80" s="169"/>
      <c r="G80" s="169"/>
      <c r="H80" s="169"/>
      <c r="I80" s="169"/>
      <c r="J80" s="169"/>
      <c r="K80" s="169"/>
      <c r="L80" s="169"/>
      <c r="M80" s="169"/>
      <c r="N80" s="169"/>
      <c r="O80" s="169"/>
      <c r="P80" s="169"/>
      <c r="Q80" s="169"/>
      <c r="R80" s="169"/>
      <c r="S80" s="169"/>
      <c r="T80" s="169"/>
      <c r="U80" s="169"/>
      <c r="V80" s="169"/>
      <c r="W80" s="169"/>
      <c r="X80" s="169"/>
      <c r="Y80" s="169"/>
      <c r="Z80" s="169"/>
      <c r="AA80" s="169"/>
      <c r="AB80" s="169"/>
      <c r="AC80" s="169"/>
      <c r="AD80" s="169"/>
      <c r="AE80" s="169"/>
      <c r="AF80" s="169"/>
      <c r="AG80" s="169"/>
      <c r="AH80" s="169"/>
      <c r="AI80" s="169"/>
      <c r="AJ80" s="203"/>
      <c r="AK80" s="169"/>
      <c r="AL80" s="169"/>
      <c r="AM80" s="169"/>
      <c r="AN80" s="169"/>
      <c r="AO80" s="169"/>
      <c r="AP80" s="169"/>
      <c r="AQ80" s="169"/>
      <c r="AR80" s="169"/>
      <c r="AS80" s="169"/>
      <c r="AT80" s="170"/>
      <c r="AU80" s="275"/>
      <c r="AV80" s="275"/>
      <c r="AW80" s="275"/>
      <c r="AX80" s="169"/>
      <c r="AY80" s="169"/>
      <c r="AZ80" s="169"/>
      <c r="BA80" s="169"/>
      <c r="BB80" s="169"/>
      <c r="BC80" s="169"/>
      <c r="BD80" s="169"/>
      <c r="BE80" s="169"/>
      <c r="BF80" s="169" t="str">
        <f>IF(OR(IFERROR(VLOOKUP(BP80,[1]ARS!A:EL,MATCH("Price To Earnings",[1]ARS!$4:$4,0),FALSE),"-")&lt;0,IFERROR(VLOOKUP(BP80,[1]ARS!A:EL,MATCH("Price To Earnings",[1]ARS!$4:$4,0),FALSE),"-")&gt;500),"-",IFERROR(VLOOKUP(BP80,[1]ARS!A:EL,MATCH("Price To Earnings",[1]ARS!$4:$4,0),FALSE),"-"))</f>
        <v>-</v>
      </c>
      <c r="BG80" s="169"/>
      <c r="BH80" s="169"/>
      <c r="BI80" s="169"/>
      <c r="BJ80" s="169"/>
      <c r="BK80" s="169"/>
      <c r="BL80" s="169"/>
      <c r="BM80" s="169"/>
      <c r="BN80" s="169"/>
      <c r="BO80" s="169"/>
      <c r="BP80" s="169"/>
      <c r="BQ80" s="169"/>
      <c r="BR80" s="169"/>
      <c r="BS80" s="169"/>
      <c r="BT80" s="169"/>
      <c r="BU80" s="169"/>
      <c r="BV80" s="169"/>
    </row>
    <row r="81" spans="1:75" ht="12.75" customHeight="1" x14ac:dyDescent="0.2">
      <c r="A81" s="169"/>
      <c r="B81" s="169"/>
      <c r="C81" s="169"/>
      <c r="D81" s="169"/>
      <c r="E81" s="169"/>
      <c r="F81" s="169"/>
      <c r="G81" s="169"/>
      <c r="H81" s="169"/>
      <c r="I81" s="169"/>
      <c r="J81" s="169"/>
      <c r="K81" s="169"/>
      <c r="L81" s="169"/>
      <c r="M81" s="169"/>
      <c r="N81" s="169"/>
      <c r="O81" s="169"/>
      <c r="P81" s="169"/>
      <c r="Q81" s="169"/>
      <c r="R81" s="169"/>
      <c r="S81" s="169"/>
      <c r="T81" s="169"/>
      <c r="U81" s="169"/>
      <c r="V81" s="169"/>
      <c r="W81" s="169"/>
      <c r="X81" s="169"/>
      <c r="Y81" s="169"/>
      <c r="Z81" s="169"/>
      <c r="AA81" s="169"/>
      <c r="AB81" s="169"/>
      <c r="AC81" s="169"/>
      <c r="AD81" s="169"/>
      <c r="AE81" s="169"/>
      <c r="AF81" s="169"/>
      <c r="AG81" s="169"/>
      <c r="AH81" s="169"/>
      <c r="AI81" s="169"/>
      <c r="AJ81" s="203"/>
      <c r="AK81" s="169"/>
      <c r="AL81" s="169"/>
      <c r="AM81" s="169"/>
      <c r="AN81" s="169"/>
      <c r="AO81" s="169"/>
      <c r="AP81" s="169"/>
      <c r="AQ81" s="169"/>
      <c r="AR81" s="169"/>
      <c r="AS81" s="169"/>
      <c r="AT81" s="170"/>
      <c r="AU81" s="275"/>
      <c r="AV81" s="275"/>
      <c r="AW81" s="275"/>
      <c r="AX81" s="169"/>
      <c r="AY81" s="169"/>
      <c r="AZ81" s="169"/>
      <c r="BA81" s="169"/>
      <c r="BB81" s="169"/>
      <c r="BC81" s="169"/>
      <c r="BD81" s="169"/>
      <c r="BE81" s="169"/>
      <c r="BF81" s="169" t="str">
        <f>IF(OR(IFERROR(VLOOKUP(BP81,[1]ARS!A:EL,MATCH("Price To Earnings",[1]ARS!$4:$4,0),FALSE),"-")&lt;0,IFERROR(VLOOKUP(BP81,[1]ARS!A:EL,MATCH("Price To Earnings",[1]ARS!$4:$4,0),FALSE),"-")&gt;500),"-",IFERROR(VLOOKUP(BP81,[1]ARS!A:EL,MATCH("Price To Earnings",[1]ARS!$4:$4,0),FALSE),"-"))</f>
        <v>-</v>
      </c>
      <c r="BG81" s="169"/>
      <c r="BH81" s="169"/>
      <c r="BI81" s="169"/>
      <c r="BJ81" s="169"/>
      <c r="BK81" s="169"/>
      <c r="BL81" s="169"/>
      <c r="BM81" s="169"/>
      <c r="BN81" s="169"/>
      <c r="BO81" s="169"/>
      <c r="BP81" s="169"/>
      <c r="BQ81" s="169"/>
      <c r="BR81" s="169"/>
      <c r="BS81" s="169"/>
      <c r="BT81" s="169"/>
      <c r="BU81" s="169"/>
      <c r="BV81" s="169"/>
    </row>
    <row r="82" spans="1:75" ht="12.75" customHeight="1" x14ac:dyDescent="0.2">
      <c r="A82" s="169"/>
      <c r="B82" s="169"/>
      <c r="C82" s="169"/>
      <c r="D82" s="169"/>
      <c r="E82" s="169"/>
      <c r="F82" s="169"/>
      <c r="G82" s="169"/>
      <c r="H82" s="169"/>
      <c r="I82" s="169"/>
      <c r="J82" s="169"/>
      <c r="K82" s="169"/>
      <c r="L82" s="169"/>
      <c r="M82" s="169"/>
      <c r="N82" s="169"/>
      <c r="O82" s="169"/>
      <c r="P82" s="169"/>
      <c r="Q82" s="169"/>
      <c r="R82" s="169"/>
      <c r="S82" s="169"/>
      <c r="T82" s="169"/>
      <c r="U82" s="169"/>
      <c r="V82" s="169"/>
      <c r="W82" s="169"/>
      <c r="X82" s="169"/>
      <c r="Y82" s="169"/>
      <c r="Z82" s="169"/>
      <c r="AA82" s="169"/>
      <c r="AB82" s="169"/>
      <c r="AC82" s="169"/>
      <c r="AD82" s="169"/>
      <c r="AE82" s="169"/>
      <c r="AF82" s="169"/>
      <c r="AG82" s="169"/>
      <c r="AH82" s="169"/>
      <c r="AI82" s="169"/>
      <c r="AJ82" s="203"/>
      <c r="AK82" s="169"/>
      <c r="AL82" s="169"/>
      <c r="AM82" s="169"/>
      <c r="AN82" s="169"/>
      <c r="AO82" s="169"/>
      <c r="AP82" s="169"/>
      <c r="AQ82" s="169"/>
      <c r="AR82" s="169"/>
      <c r="AS82" s="169"/>
      <c r="AT82" s="170"/>
      <c r="AU82" s="275"/>
      <c r="AV82" s="275"/>
      <c r="AW82" s="275"/>
      <c r="AX82" s="169"/>
      <c r="AY82" s="169"/>
      <c r="AZ82" s="169"/>
      <c r="BA82" s="169"/>
      <c r="BB82" s="169"/>
      <c r="BC82" s="169"/>
      <c r="BD82" s="169"/>
      <c r="BE82" s="169"/>
      <c r="BF82" s="169" t="str">
        <f>IF(OR(IFERROR(VLOOKUP(BP82,[1]ARS!A:EL,MATCH("Price To Earnings",[1]ARS!$4:$4,0),FALSE),"-")&lt;0,IFERROR(VLOOKUP(BP82,[1]ARS!A:EL,MATCH("Price To Earnings",[1]ARS!$4:$4,0),FALSE),"-")&gt;500),"-",IFERROR(VLOOKUP(BP82,[1]ARS!A:EL,MATCH("Price To Earnings",[1]ARS!$4:$4,0),FALSE),"-"))</f>
        <v>-</v>
      </c>
      <c r="BG82" s="169"/>
      <c r="BH82" s="169"/>
      <c r="BI82" s="169"/>
      <c r="BJ82" s="169"/>
      <c r="BK82" s="169"/>
      <c r="BL82" s="169"/>
      <c r="BM82" s="169"/>
      <c r="BN82" s="169"/>
      <c r="BO82" s="169"/>
      <c r="BP82" s="169"/>
      <c r="BQ82" s="169"/>
      <c r="BR82" s="169"/>
      <c r="BS82" s="169"/>
      <c r="BT82" s="169"/>
      <c r="BU82" s="169"/>
      <c r="BV82" s="169"/>
    </row>
    <row r="83" spans="1:75" ht="12.75" customHeight="1" x14ac:dyDescent="0.2">
      <c r="A83" s="169"/>
      <c r="B83" s="169"/>
      <c r="C83" s="169"/>
      <c r="D83" s="169"/>
      <c r="E83" s="169"/>
      <c r="F83" s="169"/>
      <c r="G83" s="169"/>
      <c r="H83" s="169"/>
      <c r="I83" s="169"/>
      <c r="J83" s="169"/>
      <c r="K83" s="169"/>
      <c r="L83" s="169"/>
      <c r="M83" s="169"/>
      <c r="N83" s="169"/>
      <c r="O83" s="169"/>
      <c r="P83" s="169"/>
      <c r="Q83" s="169"/>
      <c r="R83" s="169"/>
      <c r="S83" s="169"/>
      <c r="T83" s="169"/>
      <c r="U83" s="169"/>
      <c r="V83" s="169"/>
      <c r="W83" s="169"/>
      <c r="X83" s="169"/>
      <c r="Y83" s="169"/>
      <c r="Z83" s="169"/>
      <c r="AA83" s="169"/>
      <c r="AB83" s="169"/>
      <c r="AC83" s="169"/>
      <c r="AD83" s="169"/>
      <c r="AE83" s="169"/>
      <c r="AF83" s="169"/>
      <c r="AG83" s="169"/>
      <c r="AH83" s="169"/>
      <c r="AI83" s="169"/>
      <c r="AJ83" s="203"/>
      <c r="AK83" s="169"/>
      <c r="AL83" s="169"/>
      <c r="AM83" s="169"/>
      <c r="AN83" s="169"/>
      <c r="AO83" s="169"/>
      <c r="AP83" s="169"/>
      <c r="AQ83" s="169"/>
      <c r="AR83" s="169"/>
      <c r="AS83" s="169"/>
      <c r="AT83" s="170"/>
      <c r="AU83" s="275"/>
      <c r="AV83" s="275"/>
      <c r="AW83" s="275"/>
      <c r="AX83" s="169"/>
      <c r="AY83" s="169"/>
      <c r="AZ83" s="169"/>
      <c r="BA83" s="169"/>
      <c r="BB83" s="169"/>
      <c r="BC83" s="169"/>
      <c r="BD83" s="169"/>
      <c r="BE83" s="169"/>
      <c r="BF83" s="169" t="str">
        <f>IF(OR(IFERROR(VLOOKUP(BP83,[1]ARS!A:EL,MATCH("Price To Earnings",[1]ARS!$4:$4,0),FALSE),"-")&lt;0,IFERROR(VLOOKUP(BP83,[1]ARS!A:EL,MATCH("Price To Earnings",[1]ARS!$4:$4,0),FALSE),"-")&gt;500),"-",IFERROR(VLOOKUP(BP83,[1]ARS!A:EL,MATCH("Price To Earnings",[1]ARS!$4:$4,0),FALSE),"-"))</f>
        <v>-</v>
      </c>
      <c r="BG83" s="169"/>
      <c r="BH83" s="169"/>
      <c r="BI83" s="169"/>
      <c r="BJ83" s="169"/>
      <c r="BK83" s="169"/>
      <c r="BL83" s="169"/>
      <c r="BM83" s="169"/>
      <c r="BN83" s="169"/>
      <c r="BO83" s="169"/>
      <c r="BP83" s="169"/>
      <c r="BQ83" s="169"/>
      <c r="BR83" s="169"/>
      <c r="BS83" s="169"/>
      <c r="BT83" s="169"/>
      <c r="BU83" s="169"/>
      <c r="BV83" s="169"/>
    </row>
    <row r="84" spans="1:75" ht="12.75" customHeight="1" x14ac:dyDescent="0.2">
      <c r="A84" s="169"/>
      <c r="B84" s="169"/>
      <c r="C84" s="169"/>
      <c r="D84" s="169"/>
      <c r="E84" s="169"/>
      <c r="F84" s="169"/>
      <c r="G84" s="169"/>
      <c r="H84" s="169"/>
      <c r="I84" s="169"/>
      <c r="J84" s="169"/>
      <c r="K84" s="169"/>
      <c r="L84" s="169"/>
      <c r="M84" s="169"/>
      <c r="N84" s="169"/>
      <c r="O84" s="169"/>
      <c r="P84" s="169"/>
      <c r="Q84" s="169"/>
      <c r="R84" s="169"/>
      <c r="S84" s="169"/>
      <c r="T84" s="169"/>
      <c r="U84" s="169"/>
      <c r="V84" s="169"/>
      <c r="W84" s="169"/>
      <c r="X84" s="169"/>
      <c r="Y84" s="169"/>
      <c r="Z84" s="169"/>
      <c r="AA84" s="169"/>
      <c r="AB84" s="169"/>
      <c r="AC84" s="169"/>
      <c r="AD84" s="169"/>
      <c r="AE84" s="169"/>
      <c r="AF84" s="169"/>
      <c r="AG84" s="169"/>
      <c r="AH84" s="169"/>
      <c r="AI84" s="169"/>
      <c r="AJ84" s="203"/>
      <c r="AK84" s="169"/>
      <c r="AL84" s="169"/>
      <c r="AM84" s="169"/>
      <c r="AN84" s="169"/>
      <c r="AO84" s="169"/>
      <c r="AP84" s="169"/>
      <c r="AQ84" s="169"/>
      <c r="AR84" s="169"/>
      <c r="AS84" s="169"/>
      <c r="AT84" s="170"/>
      <c r="AU84" s="275"/>
      <c r="AV84" s="275"/>
      <c r="AW84" s="275"/>
      <c r="AX84" s="169"/>
      <c r="AY84" s="169"/>
      <c r="AZ84" s="169"/>
      <c r="BA84" s="169"/>
      <c r="BB84" s="169"/>
      <c r="BC84" s="169"/>
      <c r="BD84" s="169"/>
      <c r="BE84" s="169"/>
      <c r="BF84" s="169"/>
      <c r="BG84" s="169"/>
      <c r="BH84" s="169"/>
      <c r="BI84" s="169"/>
      <c r="BJ84" s="169"/>
      <c r="BK84" s="169"/>
      <c r="BL84" s="169"/>
      <c r="BM84" s="169"/>
      <c r="BN84" s="169"/>
      <c r="BO84" s="169"/>
      <c r="BP84" s="169"/>
      <c r="BQ84" s="169"/>
      <c r="BR84" s="169"/>
      <c r="BS84" s="169"/>
      <c r="BT84" s="169"/>
      <c r="BU84" s="169"/>
      <c r="BV84" s="169"/>
    </row>
    <row r="85" spans="1:75" ht="12.75" customHeight="1" x14ac:dyDescent="0.2">
      <c r="A85" s="169"/>
      <c r="B85" s="169"/>
      <c r="C85" s="169"/>
      <c r="D85" s="169"/>
      <c r="E85" s="169"/>
      <c r="F85" s="169"/>
      <c r="G85" s="169"/>
      <c r="H85" s="169"/>
      <c r="I85" s="169"/>
      <c r="J85" s="169"/>
      <c r="K85" s="169"/>
      <c r="L85" s="169"/>
      <c r="M85" s="169"/>
      <c r="N85" s="169"/>
      <c r="O85" s="169"/>
      <c r="P85" s="169"/>
      <c r="Q85" s="169"/>
      <c r="R85" s="169"/>
      <c r="S85" s="169"/>
      <c r="T85" s="169"/>
      <c r="U85" s="169"/>
      <c r="V85" s="169"/>
      <c r="W85" s="169"/>
      <c r="X85" s="169"/>
      <c r="Y85" s="169"/>
      <c r="Z85" s="169"/>
      <c r="AA85" s="169"/>
      <c r="AB85" s="169"/>
      <c r="AC85" s="169"/>
      <c r="AD85" s="169"/>
      <c r="AE85" s="169"/>
      <c r="AF85" s="169"/>
      <c r="AG85" s="169"/>
      <c r="AH85" s="169"/>
      <c r="AI85" s="169"/>
      <c r="AJ85" s="203"/>
      <c r="AK85" s="169"/>
      <c r="AL85" s="169"/>
      <c r="AM85" s="169"/>
      <c r="AN85" s="169"/>
      <c r="AO85" s="169"/>
      <c r="AP85" s="169"/>
      <c r="AQ85" s="169"/>
      <c r="AR85" s="169"/>
      <c r="AS85" s="169"/>
      <c r="AT85" s="170"/>
      <c r="AU85" s="275"/>
      <c r="AV85" s="275"/>
      <c r="AW85" s="275"/>
      <c r="AX85" s="169"/>
      <c r="AY85" s="169"/>
      <c r="AZ85" s="169"/>
      <c r="BA85" s="169"/>
      <c r="BB85" s="169"/>
      <c r="BC85" s="169"/>
      <c r="BD85" s="169"/>
      <c r="BE85" s="169"/>
      <c r="BF85" s="169" t="str">
        <f>IF(OR(IFERROR(VLOOKUP(BP85,[1]ARS!A:EL,MATCH("Price To Earnings",[1]ARS!$4:$4,0),FALSE),"-")&lt;0,IFERROR(VLOOKUP(BP85,[1]ARS!A:EL,MATCH("Price To Earnings",[1]ARS!$4:$4,0),FALSE),"-")&gt;500),"-",IFERROR(VLOOKUP(BP85,[1]ARS!A:EL,MATCH("Price To Earnings",[1]ARS!$4:$4,0),FALSE),"-"))</f>
        <v>-</v>
      </c>
      <c r="BG85" s="169"/>
      <c r="BH85" s="169"/>
      <c r="BI85" s="169"/>
      <c r="BJ85" s="169"/>
      <c r="BK85" s="169"/>
      <c r="BL85" s="169"/>
      <c r="BM85" s="169"/>
      <c r="BN85" s="169"/>
      <c r="BO85" s="169"/>
      <c r="BP85" s="169"/>
      <c r="BQ85" s="169"/>
      <c r="BR85" s="169"/>
      <c r="BS85" s="169"/>
      <c r="BT85" s="169"/>
      <c r="BU85" s="169"/>
      <c r="BV85" s="169"/>
      <c r="BW85" s="169"/>
    </row>
    <row r="86" spans="1:75" ht="12.75" customHeight="1" x14ac:dyDescent="0.2">
      <c r="A86" s="169"/>
      <c r="B86" s="169"/>
      <c r="C86" s="169"/>
      <c r="D86" s="169"/>
      <c r="E86" s="169"/>
      <c r="F86" s="169"/>
      <c r="G86" s="169"/>
      <c r="H86" s="169"/>
      <c r="I86" s="169"/>
      <c r="J86" s="169"/>
      <c r="K86" s="169"/>
      <c r="L86" s="169"/>
      <c r="M86" s="169"/>
      <c r="N86" s="169"/>
      <c r="O86" s="169"/>
      <c r="P86" s="169"/>
      <c r="Q86" s="169"/>
      <c r="R86" s="169"/>
      <c r="S86" s="169"/>
      <c r="T86" s="169"/>
      <c r="U86" s="169"/>
      <c r="V86" s="169"/>
      <c r="W86" s="169"/>
      <c r="X86" s="169"/>
      <c r="Y86" s="169"/>
      <c r="Z86" s="169"/>
      <c r="AA86" s="169"/>
      <c r="AB86" s="169"/>
      <c r="AC86" s="169"/>
      <c r="AD86" s="169"/>
      <c r="AE86" s="169"/>
      <c r="AF86" s="169"/>
      <c r="AG86" s="169"/>
      <c r="AH86" s="169"/>
      <c r="AI86" s="169"/>
      <c r="AJ86" s="203"/>
      <c r="AK86" s="169"/>
      <c r="AL86" s="169"/>
      <c r="AM86" s="169"/>
      <c r="AN86" s="169"/>
      <c r="AO86" s="169"/>
      <c r="AP86" s="169"/>
      <c r="AQ86" s="169"/>
      <c r="AR86" s="169"/>
      <c r="AS86" s="169"/>
      <c r="AT86" s="170"/>
      <c r="AU86" s="275"/>
      <c r="AV86" s="275"/>
      <c r="AW86" s="275"/>
      <c r="AX86" s="169"/>
      <c r="AY86" s="169"/>
      <c r="AZ86" s="169"/>
      <c r="BA86" s="169"/>
      <c r="BB86" s="169"/>
      <c r="BC86" s="169"/>
      <c r="BD86" s="169"/>
      <c r="BE86" s="169"/>
      <c r="BF86" s="169" t="str">
        <f>IF(OR(IFERROR(VLOOKUP(BP86,[1]ARS!A:EL,MATCH("Price To Earnings",[1]ARS!$4:$4,0),FALSE),"-")&lt;0,IFERROR(VLOOKUP(BP86,[1]ARS!A:EL,MATCH("Price To Earnings",[1]ARS!$4:$4,0),FALSE),"-")&gt;500),"-",IFERROR(VLOOKUP(BP86,[1]ARS!A:EL,MATCH("Price To Earnings",[1]ARS!$4:$4,0),FALSE),"-"))</f>
        <v>-</v>
      </c>
      <c r="BG86" s="169"/>
      <c r="BH86" s="169"/>
      <c r="BI86" s="169"/>
      <c r="BJ86" s="169"/>
      <c r="BK86" s="169"/>
      <c r="BL86" s="169"/>
      <c r="BM86" s="169"/>
      <c r="BN86" s="169"/>
      <c r="BO86" s="169"/>
      <c r="BP86" s="169"/>
      <c r="BQ86" s="169"/>
      <c r="BR86" s="169"/>
      <c r="BS86" s="169"/>
      <c r="BT86" s="169"/>
      <c r="BU86" s="169"/>
      <c r="BV86" s="169"/>
    </row>
    <row r="87" spans="1:75" ht="12.75" customHeight="1" x14ac:dyDescent="0.2">
      <c r="A87" s="169"/>
      <c r="B87" s="169"/>
      <c r="C87" s="169"/>
      <c r="D87" s="169"/>
      <c r="E87" s="169"/>
      <c r="F87" s="169"/>
      <c r="G87" s="169"/>
      <c r="H87" s="169"/>
      <c r="I87" s="169"/>
      <c r="J87" s="169"/>
      <c r="K87" s="169"/>
      <c r="L87" s="169"/>
      <c r="M87" s="169"/>
      <c r="N87" s="169"/>
      <c r="O87" s="169"/>
      <c r="P87" s="169"/>
      <c r="Q87" s="169"/>
      <c r="R87" s="169"/>
      <c r="S87" s="169"/>
      <c r="T87" s="169"/>
      <c r="U87" s="169"/>
      <c r="V87" s="169"/>
      <c r="W87" s="169"/>
      <c r="X87" s="169"/>
      <c r="Y87" s="169"/>
      <c r="Z87" s="169"/>
      <c r="AA87" s="169"/>
      <c r="AB87" s="169"/>
      <c r="AC87" s="169"/>
      <c r="AD87" s="169"/>
      <c r="AE87" s="169"/>
      <c r="AF87" s="169"/>
      <c r="AG87" s="169"/>
      <c r="AH87" s="169"/>
      <c r="AI87" s="169"/>
      <c r="AJ87" s="203"/>
      <c r="AK87" s="169"/>
      <c r="AL87" s="169"/>
      <c r="AM87" s="169"/>
      <c r="AN87" s="169"/>
      <c r="AO87" s="169"/>
      <c r="AP87" s="169"/>
      <c r="AQ87" s="169"/>
      <c r="AR87" s="169"/>
      <c r="AS87" s="169"/>
      <c r="AT87" s="170"/>
      <c r="AU87" s="275"/>
      <c r="AV87" s="275"/>
      <c r="AW87" s="275"/>
      <c r="AX87" s="169"/>
      <c r="AY87" s="169"/>
      <c r="AZ87" s="169"/>
      <c r="BA87" s="169"/>
      <c r="BB87" s="169"/>
      <c r="BC87" s="169"/>
      <c r="BD87" s="169"/>
      <c r="BE87" s="169"/>
      <c r="BF87" s="169" t="str">
        <f>IF(OR(IFERROR(VLOOKUP(BP87,[1]ARS!A:EL,MATCH("Price To Earnings",[1]ARS!$4:$4,0),FALSE),"-")&lt;0,IFERROR(VLOOKUP(BP87,[1]ARS!A:EL,MATCH("Price To Earnings",[1]ARS!$4:$4,0),FALSE),"-")&gt;500),"-",IFERROR(VLOOKUP(BP87,[1]ARS!A:EL,MATCH("Price To Earnings",[1]ARS!$4:$4,0),FALSE),"-"))</f>
        <v>-</v>
      </c>
      <c r="BG87" s="169"/>
      <c r="BH87" s="169"/>
      <c r="BI87" s="169"/>
      <c r="BJ87" s="169"/>
      <c r="BK87" s="169"/>
      <c r="BL87" s="169"/>
      <c r="BM87" s="169"/>
      <c r="BN87" s="169"/>
      <c r="BO87" s="169"/>
      <c r="BP87" s="169"/>
      <c r="BQ87" s="169"/>
      <c r="BR87" s="169"/>
      <c r="BS87" s="169"/>
      <c r="BT87" s="169"/>
      <c r="BU87" s="169"/>
      <c r="BV87" s="169"/>
    </row>
    <row r="88" spans="1:75" ht="12.75" customHeight="1" x14ac:dyDescent="0.2">
      <c r="A88" s="169"/>
      <c r="B88" s="169"/>
      <c r="C88" s="169"/>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9"/>
      <c r="AC88" s="169"/>
      <c r="AD88" s="169"/>
      <c r="AE88" s="169"/>
      <c r="AF88" s="169"/>
      <c r="AG88" s="169"/>
      <c r="AH88" s="169"/>
      <c r="AI88" s="169"/>
      <c r="AJ88" s="203"/>
      <c r="AK88" s="169"/>
      <c r="AL88" s="169"/>
      <c r="AM88" s="169"/>
      <c r="AN88" s="169"/>
      <c r="AO88" s="169"/>
      <c r="AP88" s="169"/>
      <c r="AQ88" s="169"/>
      <c r="AR88" s="169"/>
      <c r="AS88" s="169"/>
      <c r="AT88" s="170"/>
      <c r="AU88" s="275"/>
      <c r="AV88" s="275"/>
      <c r="AW88" s="275"/>
      <c r="AX88" s="169"/>
      <c r="AY88" s="169"/>
      <c r="AZ88" s="169"/>
      <c r="BA88" s="169"/>
      <c r="BB88" s="169"/>
      <c r="BC88" s="169"/>
      <c r="BD88" s="169"/>
      <c r="BE88" s="169"/>
      <c r="BF88" s="169" t="str">
        <f>IF(OR(IFERROR(VLOOKUP(BP88,[1]ARS!A:EL,MATCH("Price To Earnings",[1]ARS!$4:$4,0),FALSE),"-")&lt;0,IFERROR(VLOOKUP(BP88,[1]ARS!A:EL,MATCH("Price To Earnings",[1]ARS!$4:$4,0),FALSE),"-")&gt;500),"-",IFERROR(VLOOKUP(BP88,[1]ARS!A:EL,MATCH("Price To Earnings",[1]ARS!$4:$4,0),FALSE),"-"))</f>
        <v>-</v>
      </c>
      <c r="BG88" s="169"/>
      <c r="BH88" s="169"/>
      <c r="BI88" s="169"/>
      <c r="BJ88" s="169"/>
      <c r="BK88" s="169"/>
      <c r="BL88" s="169"/>
      <c r="BM88" s="169"/>
      <c r="BN88" s="169"/>
      <c r="BO88" s="169"/>
      <c r="BP88" s="169"/>
      <c r="BQ88" s="169"/>
      <c r="BR88" s="169"/>
      <c r="BS88" s="169"/>
      <c r="BT88" s="169"/>
      <c r="BU88" s="169"/>
      <c r="BV88" s="169"/>
    </row>
    <row r="89" spans="1:75" ht="12.75" customHeight="1" x14ac:dyDescent="0.2">
      <c r="A89" s="169"/>
      <c r="B89" s="169"/>
      <c r="C89" s="169"/>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9"/>
      <c r="AC89" s="169"/>
      <c r="AD89" s="169"/>
      <c r="AE89" s="169"/>
      <c r="AF89" s="169"/>
      <c r="AG89" s="169"/>
      <c r="AH89" s="169"/>
      <c r="AI89" s="169"/>
      <c r="AJ89" s="203"/>
      <c r="AK89" s="169"/>
      <c r="AL89" s="169"/>
      <c r="AM89" s="169"/>
      <c r="AN89" s="169"/>
      <c r="AO89" s="169"/>
      <c r="AP89" s="169"/>
      <c r="AQ89" s="169"/>
      <c r="AR89" s="169"/>
      <c r="AS89" s="169"/>
      <c r="AT89" s="170"/>
      <c r="AU89" s="275"/>
      <c r="AV89" s="275"/>
      <c r="AW89" s="275"/>
      <c r="AX89" s="169"/>
      <c r="AY89" s="169"/>
      <c r="AZ89" s="169"/>
      <c r="BA89" s="169"/>
      <c r="BB89" s="169"/>
      <c r="BC89" s="169"/>
      <c r="BD89" s="169"/>
      <c r="BE89" s="169"/>
      <c r="BF89" s="169" t="str">
        <f>IF(OR(IFERROR(VLOOKUP(BP89,[1]ARS!A:EL,MATCH("Price To Earnings",[1]ARS!$4:$4,0),FALSE),"-")&lt;0,IFERROR(VLOOKUP(BP89,[1]ARS!A:EL,MATCH("Price To Earnings",[1]ARS!$4:$4,0),FALSE),"-")&gt;500),"-",IFERROR(VLOOKUP(BP89,[1]ARS!A:EL,MATCH("Price To Earnings",[1]ARS!$4:$4,0),FALSE),"-"))</f>
        <v>-</v>
      </c>
      <c r="BG89" s="169"/>
      <c r="BH89" s="169"/>
      <c r="BI89" s="169"/>
      <c r="BJ89" s="169"/>
      <c r="BK89" s="169"/>
      <c r="BL89" s="169"/>
      <c r="BM89" s="169"/>
      <c r="BN89" s="169"/>
      <c r="BO89" s="169"/>
      <c r="BP89" s="169"/>
      <c r="BQ89" s="169"/>
      <c r="BR89" s="169"/>
      <c r="BS89" s="169"/>
      <c r="BT89" s="169"/>
      <c r="BU89" s="169"/>
      <c r="BV89" s="169"/>
    </row>
    <row r="90" spans="1:75" ht="12.75" customHeight="1" x14ac:dyDescent="0.2">
      <c r="A90" s="169"/>
      <c r="B90" s="169"/>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169"/>
      <c r="AC90" s="169"/>
      <c r="AD90" s="169"/>
      <c r="AE90" s="169"/>
      <c r="AF90" s="169"/>
      <c r="AG90" s="169"/>
      <c r="AH90" s="169"/>
      <c r="AI90" s="169"/>
      <c r="AJ90" s="203"/>
      <c r="AK90" s="169"/>
      <c r="AL90" s="169"/>
      <c r="AM90" s="169"/>
      <c r="AN90" s="169"/>
      <c r="AO90" s="169"/>
      <c r="AP90" s="169"/>
      <c r="AQ90" s="169"/>
      <c r="AR90" s="169"/>
      <c r="AS90" s="169"/>
      <c r="AT90" s="170"/>
      <c r="AU90" s="275"/>
      <c r="AV90" s="275"/>
      <c r="AW90" s="275"/>
      <c r="AX90" s="169"/>
      <c r="AY90" s="169"/>
      <c r="AZ90" s="169"/>
      <c r="BA90" s="169"/>
      <c r="BB90" s="169"/>
      <c r="BC90" s="169"/>
      <c r="BD90" s="169"/>
      <c r="BE90" s="169"/>
      <c r="BF90" s="169" t="str">
        <f>IF(OR(IFERROR(VLOOKUP(BP90,[1]ARS!A:EL,MATCH("Price To Earnings",[1]ARS!$4:$4,0),FALSE),"-")&lt;0,IFERROR(VLOOKUP(BP90,[1]ARS!A:EL,MATCH("Price To Earnings",[1]ARS!$4:$4,0),FALSE),"-")&gt;500),"-",IFERROR(VLOOKUP(BP90,[1]ARS!A:EL,MATCH("Price To Earnings",[1]ARS!$4:$4,0),FALSE),"-"))</f>
        <v>-</v>
      </c>
      <c r="BG90" s="169"/>
      <c r="BH90" s="169"/>
      <c r="BI90" s="169"/>
      <c r="BJ90" s="169"/>
      <c r="BK90" s="169"/>
      <c r="BL90" s="169"/>
      <c r="BM90" s="169"/>
      <c r="BN90" s="169"/>
      <c r="BO90" s="169"/>
      <c r="BP90" s="169"/>
      <c r="BQ90" s="169"/>
      <c r="BR90" s="169"/>
      <c r="BS90" s="169"/>
      <c r="BT90" s="169"/>
      <c r="BU90" s="169"/>
      <c r="BV90" s="169"/>
    </row>
    <row r="91" spans="1:75" ht="12.75" customHeight="1" x14ac:dyDescent="0.2">
      <c r="A91" s="169"/>
      <c r="B91" s="169"/>
      <c r="C91" s="169"/>
      <c r="D91" s="169"/>
      <c r="E91" s="169"/>
      <c r="F91" s="169"/>
      <c r="G91" s="169"/>
      <c r="H91" s="169"/>
      <c r="I91" s="169"/>
      <c r="J91" s="169"/>
      <c r="K91" s="169"/>
      <c r="L91" s="169"/>
      <c r="M91" s="169"/>
      <c r="N91" s="169"/>
      <c r="O91" s="169"/>
      <c r="P91" s="169"/>
      <c r="Q91" s="169"/>
      <c r="R91" s="169"/>
      <c r="S91" s="169"/>
      <c r="T91" s="169"/>
      <c r="U91" s="169"/>
      <c r="V91" s="169"/>
      <c r="W91" s="169"/>
      <c r="X91" s="169"/>
      <c r="Y91" s="169"/>
      <c r="Z91" s="169"/>
      <c r="AA91" s="169"/>
      <c r="AB91" s="169"/>
      <c r="AC91" s="169"/>
      <c r="AD91" s="169"/>
      <c r="AE91" s="169"/>
      <c r="AF91" s="169"/>
      <c r="AG91" s="169"/>
      <c r="AH91" s="169"/>
      <c r="AI91" s="169"/>
      <c r="AJ91" s="203"/>
      <c r="AK91" s="169"/>
      <c r="AL91" s="169"/>
      <c r="AM91" s="169"/>
      <c r="AN91" s="169"/>
      <c r="AO91" s="169"/>
      <c r="AP91" s="169"/>
      <c r="AQ91" s="169"/>
      <c r="AR91" s="169"/>
      <c r="AS91" s="169"/>
      <c r="AT91" s="170"/>
      <c r="AU91" s="275"/>
      <c r="AV91" s="275"/>
      <c r="AW91" s="275"/>
      <c r="AX91" s="169"/>
      <c r="AY91" s="169"/>
      <c r="AZ91" s="169"/>
      <c r="BA91" s="169"/>
      <c r="BB91" s="169"/>
      <c r="BC91" s="169"/>
      <c r="BD91" s="169"/>
      <c r="BE91" s="169"/>
      <c r="BF91" s="169" t="str">
        <f>IF(OR(IFERROR(VLOOKUP(BP91,[1]ARS!A:EL,MATCH("Price To Earnings",[1]ARS!$4:$4,0),FALSE),"-")&lt;0,IFERROR(VLOOKUP(BP91,[1]ARS!A:EL,MATCH("Price To Earnings",[1]ARS!$4:$4,0),FALSE),"-")&gt;500),"-",IFERROR(VLOOKUP(BP91,[1]ARS!A:EL,MATCH("Price To Earnings",[1]ARS!$4:$4,0),FALSE),"-"))</f>
        <v>-</v>
      </c>
      <c r="BG91" s="169"/>
      <c r="BH91" s="169"/>
      <c r="BI91" s="169"/>
      <c r="BJ91" s="169"/>
      <c r="BK91" s="169"/>
      <c r="BL91" s="169"/>
      <c r="BM91" s="169"/>
      <c r="BN91" s="169"/>
      <c r="BO91" s="169"/>
      <c r="BP91" s="169"/>
      <c r="BQ91" s="169"/>
      <c r="BR91" s="169"/>
      <c r="BS91" s="169"/>
      <c r="BT91" s="169"/>
      <c r="BU91" s="169"/>
      <c r="BV91" s="169"/>
    </row>
    <row r="92" spans="1:75" ht="12.75" customHeight="1" x14ac:dyDescent="0.2">
      <c r="AT92" s="222"/>
      <c r="AU92" s="276"/>
      <c r="AV92" s="276"/>
      <c r="AW92" s="276"/>
      <c r="BF92" s="214" t="str">
        <f>IF(OR(IFERROR(VLOOKUP(BP92,[1]ARS!A:EL,MATCH("Price To Earnings",[1]ARS!$4:$4,0),FALSE),"-")&lt;0,IFERROR(VLOOKUP(BP92,[1]ARS!A:EL,MATCH("Price To Earnings",[1]ARS!$4:$4,0),FALSE),"-")&gt;500),"-",IFERROR(VLOOKUP(BP92,[1]ARS!A:EL,MATCH("Price To Earnings",[1]ARS!$4:$4,0),FALSE),"-"))</f>
        <v>-</v>
      </c>
    </row>
    <row r="93" spans="1:75" ht="12.75" customHeight="1" x14ac:dyDescent="0.2">
      <c r="AT93" s="222"/>
      <c r="AU93" s="276"/>
      <c r="AV93" s="276"/>
      <c r="AW93" s="276"/>
      <c r="BF93" s="214" t="str">
        <f>IF(OR(IFERROR(VLOOKUP(BP93,[1]ARS!A:EL,MATCH("Price To Earnings",[1]ARS!$4:$4,0),FALSE),"-")&lt;0,IFERROR(VLOOKUP(BP93,[1]ARS!A:EL,MATCH("Price To Earnings",[1]ARS!$4:$4,0),FALSE),"-")&gt;500),"-",IFERROR(VLOOKUP(BP93,[1]ARS!A:EL,MATCH("Price To Earnings",[1]ARS!$4:$4,0),FALSE),"-"))</f>
        <v>-</v>
      </c>
    </row>
    <row r="94" spans="1:75" ht="12.75" customHeight="1" x14ac:dyDescent="0.2">
      <c r="AT94" s="222"/>
      <c r="AU94" s="276"/>
      <c r="AV94" s="276"/>
      <c r="AW94" s="276"/>
      <c r="BF94" s="214" t="str">
        <f>IF(OR(IFERROR(VLOOKUP(BP94,[1]ARS!A:EL,MATCH("Price To Earnings",[1]ARS!$4:$4,0),FALSE),"-")&lt;0,IFERROR(VLOOKUP(BP94,[1]ARS!A:EL,MATCH("Price To Earnings",[1]ARS!$4:$4,0),FALSE),"-")&gt;500),"-",IFERROR(VLOOKUP(BP94,[1]ARS!A:EL,MATCH("Price To Earnings",[1]ARS!$4:$4,0),FALSE),"-"))</f>
        <v>-</v>
      </c>
    </row>
    <row r="95" spans="1:75" ht="12.75" customHeight="1" x14ac:dyDescent="0.2">
      <c r="AT95" s="222"/>
      <c r="AU95" s="276"/>
      <c r="AV95" s="276"/>
      <c r="AW95" s="276"/>
    </row>
    <row r="96" spans="1:75" ht="12.75" customHeight="1" x14ac:dyDescent="0.2">
      <c r="AT96" s="222"/>
      <c r="AU96" s="276"/>
      <c r="AV96" s="276"/>
      <c r="AW96" s="276"/>
      <c r="BF96" s="214" t="str">
        <f>IF(OR(IFERROR(VLOOKUP(BP96,[1]ARS!A:EL,MATCH("Price To Earnings",[1]ARS!$4:$4,0),FALSE),"-")&lt;0,IFERROR(VLOOKUP(BP96,[1]ARS!A:EL,MATCH("Price To Earnings",[1]ARS!$4:$4,0),FALSE),"-")&gt;500),"-",IFERROR(VLOOKUP(BP96,[1]ARS!A:EL,MATCH("Price To Earnings",[1]ARS!$4:$4,0),FALSE),"-"))</f>
        <v>-</v>
      </c>
    </row>
    <row r="97" spans="46:58" ht="12.75" customHeight="1" x14ac:dyDescent="0.2">
      <c r="AT97" s="222"/>
      <c r="AU97" s="276"/>
      <c r="AV97" s="276"/>
      <c r="AW97" s="276"/>
      <c r="BF97" s="214" t="str">
        <f>IF(OR(IFERROR(VLOOKUP(BP97,[1]ARS!A:EL,MATCH("Price To Earnings",[1]ARS!$4:$4,0),FALSE),"-")&lt;0,IFERROR(VLOOKUP(BP97,[1]ARS!A:EL,MATCH("Price To Earnings",[1]ARS!$4:$4,0),FALSE),"-")&gt;500),"-",IFERROR(VLOOKUP(BP97,[1]ARS!A:EL,MATCH("Price To Earnings",[1]ARS!$4:$4,0),FALSE),"-"))</f>
        <v>-</v>
      </c>
    </row>
    <row r="98" spans="46:58" ht="12.75" customHeight="1" x14ac:dyDescent="0.2">
      <c r="AT98" s="222"/>
      <c r="AU98" s="276"/>
      <c r="AV98" s="276"/>
      <c r="AW98" s="276"/>
    </row>
    <row r="99" spans="46:58" ht="12.75" customHeight="1" x14ac:dyDescent="0.2">
      <c r="AT99" s="222"/>
      <c r="AU99" s="276"/>
      <c r="AV99" s="276"/>
      <c r="AW99" s="276"/>
    </row>
    <row r="100" spans="46:58" ht="12.75" customHeight="1" x14ac:dyDescent="0.2">
      <c r="AT100" s="222"/>
      <c r="AU100" s="276"/>
      <c r="AV100" s="276"/>
      <c r="AW100" s="276"/>
    </row>
    <row r="101" spans="46:58" ht="12.75" customHeight="1" x14ac:dyDescent="0.2">
      <c r="AT101" s="222"/>
      <c r="AU101" s="276"/>
      <c r="AV101" s="276"/>
      <c r="AW101" s="276"/>
    </row>
    <row r="102" spans="46:58" ht="12.75" customHeight="1" x14ac:dyDescent="0.2">
      <c r="AT102" s="222"/>
      <c r="AU102" s="276"/>
      <c r="AV102" s="276"/>
      <c r="AW102" s="276"/>
    </row>
    <row r="103" spans="46:58" ht="12.75" customHeight="1" x14ac:dyDescent="0.2">
      <c r="AT103" s="222"/>
      <c r="AU103" s="276"/>
      <c r="AV103" s="276"/>
      <c r="AW103" s="276"/>
    </row>
    <row r="104" spans="46:58" ht="12.75" customHeight="1" x14ac:dyDescent="0.2">
      <c r="AT104" s="222"/>
      <c r="AU104" s="276"/>
      <c r="AV104" s="276"/>
      <c r="AW104" s="276"/>
    </row>
    <row r="105" spans="46:58" ht="12.75" customHeight="1" x14ac:dyDescent="0.2">
      <c r="AT105" s="222"/>
      <c r="AU105" s="276"/>
      <c r="AV105" s="276"/>
      <c r="AW105" s="276"/>
    </row>
    <row r="106" spans="46:58" ht="12.75" customHeight="1" x14ac:dyDescent="0.2">
      <c r="AT106" s="222"/>
      <c r="AU106" s="276"/>
      <c r="AV106" s="276"/>
      <c r="AW106" s="276"/>
    </row>
    <row r="107" spans="46:58" ht="12.75" customHeight="1" x14ac:dyDescent="0.2">
      <c r="AT107" s="222"/>
      <c r="AU107" s="276"/>
      <c r="AV107" s="276"/>
      <c r="AW107" s="276"/>
    </row>
    <row r="108" spans="46:58" ht="12.75" customHeight="1" x14ac:dyDescent="0.2">
      <c r="AT108" s="222"/>
      <c r="AU108" s="276"/>
      <c r="AV108" s="276"/>
      <c r="AW108" s="276"/>
    </row>
    <row r="109" spans="46:58" ht="12.75" customHeight="1" x14ac:dyDescent="0.2">
      <c r="AT109" s="222"/>
    </row>
    <row r="110" spans="46:58" ht="12.75" customHeight="1" x14ac:dyDescent="0.2">
      <c r="AT110" s="222"/>
    </row>
    <row r="111" spans="46:58" ht="12.75" customHeight="1" x14ac:dyDescent="0.2">
      <c r="AT111" s="222"/>
    </row>
    <row r="112" spans="46:58" ht="12.75" customHeight="1" x14ac:dyDescent="0.2">
      <c r="AT112" s="222"/>
    </row>
    <row r="113" spans="46:46" ht="12.75" customHeight="1" x14ac:dyDescent="0.2">
      <c r="AT113" s="222"/>
    </row>
    <row r="114" spans="46:46" ht="12.75" customHeight="1" x14ac:dyDescent="0.2">
      <c r="AT114" s="222"/>
    </row>
    <row r="115" spans="46:46" ht="12.75" customHeight="1" x14ac:dyDescent="0.2">
      <c r="AT115" s="222"/>
    </row>
    <row r="116" spans="46:46" ht="12.75" customHeight="1" x14ac:dyDescent="0.2">
      <c r="AT116" s="222"/>
    </row>
    <row r="117" spans="46:46" ht="12.75" customHeight="1" x14ac:dyDescent="0.2">
      <c r="AT117" s="222"/>
    </row>
    <row r="118" spans="46:46" ht="12.75" customHeight="1" x14ac:dyDescent="0.2">
      <c r="AT118" s="222"/>
    </row>
    <row r="119" spans="46:46" ht="12.75" customHeight="1" x14ac:dyDescent="0.2">
      <c r="AT119" s="222"/>
    </row>
    <row r="120" spans="46:46" ht="12.75" customHeight="1" x14ac:dyDescent="0.2">
      <c r="AT120" s="222"/>
    </row>
    <row r="121" spans="46:46" ht="12.75" customHeight="1" x14ac:dyDescent="0.2">
      <c r="AT121" s="222"/>
    </row>
    <row r="122" spans="46:46" ht="12.75" customHeight="1" x14ac:dyDescent="0.2">
      <c r="AT122" s="222"/>
    </row>
    <row r="123" spans="46:46" ht="12.75" customHeight="1" x14ac:dyDescent="0.2">
      <c r="AT123" s="222"/>
    </row>
    <row r="124" spans="46:46" ht="12.75" customHeight="1" x14ac:dyDescent="0.2">
      <c r="AT124" s="222"/>
    </row>
    <row r="125" spans="46:46" ht="12.75" customHeight="1" x14ac:dyDescent="0.2">
      <c r="AT125" s="222"/>
    </row>
    <row r="126" spans="46:46" ht="12.75" customHeight="1" x14ac:dyDescent="0.2">
      <c r="AT126" s="222"/>
    </row>
    <row r="127" spans="46:46" ht="12.75" customHeight="1" x14ac:dyDescent="0.2">
      <c r="AT127" s="222"/>
    </row>
    <row r="128" spans="46:46" ht="12.75" customHeight="1" x14ac:dyDescent="0.2">
      <c r="AT128" s="222"/>
    </row>
    <row r="129" spans="46:49" ht="12.75" customHeight="1" x14ac:dyDescent="0.2">
      <c r="AT129" s="222"/>
    </row>
    <row r="130" spans="46:49" ht="12.75" customHeight="1" x14ac:dyDescent="0.2">
      <c r="AT130" s="222"/>
    </row>
    <row r="131" spans="46:49" ht="12.75" customHeight="1" x14ac:dyDescent="0.2">
      <c r="AT131" s="222"/>
      <c r="AU131" s="277"/>
      <c r="AV131" s="277"/>
      <c r="AW131" s="277"/>
    </row>
    <row r="132" spans="46:49" ht="12.75" customHeight="1" x14ac:dyDescent="0.2">
      <c r="AT132" s="222"/>
      <c r="AU132" s="277"/>
      <c r="AV132" s="277"/>
      <c r="AW132" s="277"/>
    </row>
    <row r="133" spans="46:49" ht="12.75" customHeight="1" x14ac:dyDescent="0.2">
      <c r="AT133" s="222"/>
      <c r="AU133" s="277"/>
      <c r="AV133" s="277"/>
      <c r="AW133" s="277"/>
    </row>
    <row r="134" spans="46:49" ht="12.75" customHeight="1" x14ac:dyDescent="0.2">
      <c r="AT134" s="222"/>
      <c r="AU134" s="277"/>
      <c r="AV134" s="277"/>
      <c r="AW134" s="277"/>
    </row>
    <row r="135" spans="46:49" ht="12.75" customHeight="1" x14ac:dyDescent="0.2">
      <c r="AT135" s="222"/>
    </row>
    <row r="136" spans="46:49" ht="12.75" customHeight="1" x14ac:dyDescent="0.2">
      <c r="AT136" s="222"/>
    </row>
    <row r="137" spans="46:49" ht="12.75" customHeight="1" x14ac:dyDescent="0.2">
      <c r="AT137" s="222"/>
    </row>
    <row r="138" spans="46:49" ht="12.75" customHeight="1" x14ac:dyDescent="0.2">
      <c r="AT138" s="222"/>
    </row>
    <row r="139" spans="46:49" ht="12.75" customHeight="1" x14ac:dyDescent="0.2">
      <c r="AT139" s="222"/>
    </row>
    <row r="140" spans="46:49" ht="12.75" customHeight="1" x14ac:dyDescent="0.2">
      <c r="AT140" s="222"/>
    </row>
    <row r="141" spans="46:49" ht="12.75" customHeight="1" x14ac:dyDescent="0.2">
      <c r="AT141" s="222"/>
    </row>
    <row r="142" spans="46:49" ht="12.75" customHeight="1" x14ac:dyDescent="0.2">
      <c r="AT142" s="222"/>
    </row>
    <row r="143" spans="46:49" ht="12.75" customHeight="1" x14ac:dyDescent="0.2">
      <c r="AT143" s="222"/>
    </row>
    <row r="144" spans="46:49" ht="12.75" customHeight="1" x14ac:dyDescent="0.2">
      <c r="AT144" s="222"/>
    </row>
    <row r="145" spans="46:46" ht="12.75" customHeight="1" x14ac:dyDescent="0.2">
      <c r="AT145" s="222"/>
    </row>
    <row r="146" spans="46:46" ht="12.75" customHeight="1" x14ac:dyDescent="0.2">
      <c r="AT146" s="222"/>
    </row>
    <row r="147" spans="46:46" ht="12.75" customHeight="1" x14ac:dyDescent="0.2">
      <c r="AT147" s="222"/>
    </row>
    <row r="148" spans="46:46" ht="12.75" customHeight="1" x14ac:dyDescent="0.2">
      <c r="AT148" s="222"/>
    </row>
    <row r="149" spans="46:46" ht="12.75" customHeight="1" x14ac:dyDescent="0.2">
      <c r="AT149" s="222"/>
    </row>
    <row r="150" spans="46:46" ht="12.75" customHeight="1" x14ac:dyDescent="0.2">
      <c r="AT150" s="222"/>
    </row>
    <row r="151" spans="46:46" ht="12.75" customHeight="1" x14ac:dyDescent="0.2">
      <c r="AT151" s="222"/>
    </row>
    <row r="152" spans="46:46" ht="12.75" customHeight="1" x14ac:dyDescent="0.2">
      <c r="AT152" s="222"/>
    </row>
    <row r="153" spans="46:46" ht="12.75" customHeight="1" x14ac:dyDescent="0.2">
      <c r="AT153" s="222"/>
    </row>
    <row r="154" spans="46:46" ht="12.75" customHeight="1" x14ac:dyDescent="0.2">
      <c r="AT154" s="222"/>
    </row>
    <row r="155" spans="46:46" ht="12.75" customHeight="1" x14ac:dyDescent="0.2">
      <c r="AT155" s="222"/>
    </row>
    <row r="156" spans="46:46" ht="12.75" customHeight="1" x14ac:dyDescent="0.2">
      <c r="AT156" s="222"/>
    </row>
    <row r="157" spans="46:46" ht="12.75" customHeight="1" x14ac:dyDescent="0.2">
      <c r="AT157" s="222"/>
    </row>
    <row r="158" spans="46:46" ht="12.75" customHeight="1" x14ac:dyDescent="0.2">
      <c r="AT158" s="222"/>
    </row>
    <row r="159" spans="46:46" ht="12.75" customHeight="1" x14ac:dyDescent="0.2">
      <c r="AT159" s="222"/>
    </row>
    <row r="160" spans="46:46" ht="12.75" customHeight="1" x14ac:dyDescent="0.2">
      <c r="AT160" s="222"/>
    </row>
    <row r="161" spans="46:49" ht="12.75" customHeight="1" x14ac:dyDescent="0.2">
      <c r="AT161" s="222"/>
    </row>
    <row r="162" spans="46:49" ht="12.75" customHeight="1" x14ac:dyDescent="0.2">
      <c r="AT162" s="222"/>
    </row>
    <row r="163" spans="46:49" ht="12.75" customHeight="1" x14ac:dyDescent="0.2">
      <c r="AT163" s="222"/>
    </row>
    <row r="164" spans="46:49" ht="12.75" customHeight="1" x14ac:dyDescent="0.2">
      <c r="AT164" s="222"/>
    </row>
    <row r="165" spans="46:49" ht="12.75" customHeight="1" x14ac:dyDescent="0.2">
      <c r="AT165" s="222"/>
    </row>
    <row r="166" spans="46:49" ht="12.75" customHeight="1" x14ac:dyDescent="0.2">
      <c r="AT166" s="222"/>
    </row>
    <row r="167" spans="46:49" ht="12.75" customHeight="1" x14ac:dyDescent="0.2">
      <c r="AT167" s="222"/>
    </row>
    <row r="168" spans="46:49" ht="12.75" customHeight="1" x14ac:dyDescent="0.2">
      <c r="AT168" s="222"/>
    </row>
    <row r="169" spans="46:49" ht="12.75" customHeight="1" x14ac:dyDescent="0.2">
      <c r="AT169" s="222"/>
    </row>
    <row r="170" spans="46:49" ht="12.75" customHeight="1" x14ac:dyDescent="0.2">
      <c r="AT170" s="222"/>
    </row>
    <row r="171" spans="46:49" ht="12.75" customHeight="1" x14ac:dyDescent="0.2">
      <c r="AT171" s="222"/>
      <c r="AU171" s="278"/>
      <c r="AV171" s="278"/>
      <c r="AW171" s="278"/>
    </row>
    <row r="172" spans="46:49" ht="12.75" customHeight="1" x14ac:dyDescent="0.2">
      <c r="AT172" s="222"/>
      <c r="AU172" s="278"/>
      <c r="AV172" s="278"/>
      <c r="AW172" s="278"/>
    </row>
    <row r="173" spans="46:49" ht="12.75" customHeight="1" x14ac:dyDescent="0.2">
      <c r="AT173" s="222"/>
      <c r="AU173" s="278"/>
      <c r="AV173" s="278"/>
      <c r="AW173" s="278"/>
    </row>
    <row r="174" spans="46:49" ht="12.75" customHeight="1" x14ac:dyDescent="0.2">
      <c r="AT174" s="222"/>
      <c r="AU174" s="278"/>
      <c r="AV174" s="278"/>
      <c r="AW174" s="278"/>
    </row>
    <row r="175" spans="46:49" ht="12.75" customHeight="1" x14ac:dyDescent="0.2">
      <c r="AT175" s="222"/>
      <c r="AU175" s="278"/>
      <c r="AV175" s="278"/>
      <c r="AW175" s="278"/>
    </row>
    <row r="176" spans="46:49" ht="12.75" customHeight="1" x14ac:dyDescent="0.2">
      <c r="AT176" s="222"/>
      <c r="AU176" s="278"/>
      <c r="AV176" s="278"/>
      <c r="AW176" s="278"/>
    </row>
    <row r="177" spans="46:49" ht="12.75" customHeight="1" x14ac:dyDescent="0.2">
      <c r="AT177" s="222"/>
      <c r="AU177" s="278"/>
      <c r="AV177" s="278"/>
      <c r="AW177" s="278"/>
    </row>
    <row r="178" spans="46:49" ht="12.75" customHeight="1" x14ac:dyDescent="0.2">
      <c r="AT178" s="222"/>
      <c r="AU178" s="278"/>
      <c r="AV178" s="278"/>
      <c r="AW178" s="278"/>
    </row>
    <row r="179" spans="46:49" ht="12.75" customHeight="1" x14ac:dyDescent="0.2">
      <c r="AT179" s="222"/>
      <c r="AU179" s="278"/>
      <c r="AV179" s="278"/>
      <c r="AW179" s="278"/>
    </row>
    <row r="180" spans="46:49" ht="12.75" customHeight="1" x14ac:dyDescent="0.2">
      <c r="AT180" s="222"/>
      <c r="AU180" s="278"/>
      <c r="AV180" s="278"/>
      <c r="AW180" s="278"/>
    </row>
    <row r="181" spans="46:49" ht="12.75" customHeight="1" x14ac:dyDescent="0.2">
      <c r="AT181" s="222"/>
      <c r="AU181" s="278"/>
      <c r="AV181" s="278"/>
      <c r="AW181" s="278"/>
    </row>
    <row r="182" spans="46:49" ht="12.75" customHeight="1" x14ac:dyDescent="0.2">
      <c r="AT182" s="222"/>
      <c r="AU182" s="278"/>
      <c r="AV182" s="278"/>
      <c r="AW182" s="278"/>
    </row>
    <row r="183" spans="46:49" ht="12.75" customHeight="1" x14ac:dyDescent="0.2">
      <c r="AT183" s="222"/>
      <c r="AU183" s="278"/>
      <c r="AV183" s="278"/>
      <c r="AW183" s="278"/>
    </row>
    <row r="184" spans="46:49" ht="12.75" customHeight="1" x14ac:dyDescent="0.2">
      <c r="AT184" s="222"/>
      <c r="AU184" s="278"/>
      <c r="AV184" s="278"/>
      <c r="AW184" s="278"/>
    </row>
    <row r="185" spans="46:49" ht="12.75" customHeight="1" x14ac:dyDescent="0.2">
      <c r="AT185" s="222"/>
      <c r="AU185" s="278"/>
      <c r="AV185" s="278"/>
      <c r="AW185" s="278"/>
    </row>
    <row r="186" spans="46:49" ht="12.75" customHeight="1" x14ac:dyDescent="0.2">
      <c r="AT186" s="222"/>
      <c r="AU186" s="278"/>
      <c r="AV186" s="278"/>
      <c r="AW186" s="278"/>
    </row>
    <row r="187" spans="46:49" ht="12.75" customHeight="1" x14ac:dyDescent="0.2">
      <c r="AT187" s="222"/>
      <c r="AU187" s="278"/>
      <c r="AV187" s="278"/>
      <c r="AW187" s="278"/>
    </row>
    <row r="188" spans="46:49" ht="12.75" customHeight="1" x14ac:dyDescent="0.2">
      <c r="AT188" s="222"/>
      <c r="AU188" s="278"/>
      <c r="AV188" s="278"/>
      <c r="AW188" s="278"/>
    </row>
    <row r="189" spans="46:49" ht="12.75" customHeight="1" x14ac:dyDescent="0.2">
      <c r="AT189" s="222"/>
      <c r="AU189" s="278"/>
      <c r="AV189" s="278"/>
      <c r="AW189" s="278"/>
    </row>
    <row r="190" spans="46:49" ht="12.75" customHeight="1" x14ac:dyDescent="0.2">
      <c r="AT190" s="222"/>
      <c r="AU190" s="278"/>
      <c r="AV190" s="278"/>
      <c r="AW190" s="278"/>
    </row>
    <row r="191" spans="46:49" ht="12.75" customHeight="1" x14ac:dyDescent="0.2">
      <c r="AT191" s="222"/>
      <c r="AU191" s="278"/>
      <c r="AV191" s="278"/>
      <c r="AW191" s="278"/>
    </row>
    <row r="192" spans="46:49" ht="12.75" customHeight="1" x14ac:dyDescent="0.2">
      <c r="AT192" s="222"/>
      <c r="AU192" s="278"/>
      <c r="AV192" s="278"/>
      <c r="AW192" s="278"/>
    </row>
    <row r="193" spans="46:49" ht="12.75" customHeight="1" x14ac:dyDescent="0.2">
      <c r="AT193" s="222"/>
      <c r="AU193" s="278"/>
      <c r="AV193" s="278"/>
      <c r="AW193" s="278"/>
    </row>
    <row r="194" spans="46:49" ht="12.75" customHeight="1" x14ac:dyDescent="0.2">
      <c r="AT194" s="222"/>
      <c r="AU194" s="278"/>
      <c r="AV194" s="278"/>
      <c r="AW194" s="278"/>
    </row>
    <row r="195" spans="46:49" ht="12.75" customHeight="1" x14ac:dyDescent="0.2">
      <c r="AT195" s="222"/>
      <c r="AU195" s="278"/>
      <c r="AV195" s="278"/>
      <c r="AW195" s="278"/>
    </row>
    <row r="196" spans="46:49" ht="12.75" customHeight="1" x14ac:dyDescent="0.2">
      <c r="AT196" s="222"/>
      <c r="AU196" s="278"/>
      <c r="AV196" s="278"/>
      <c r="AW196" s="278"/>
    </row>
    <row r="197" spans="46:49" ht="12.75" customHeight="1" x14ac:dyDescent="0.2">
      <c r="AT197" s="222"/>
      <c r="AU197" s="278"/>
      <c r="AV197" s="278"/>
      <c r="AW197" s="278"/>
    </row>
    <row r="198" spans="46:49" ht="12.75" customHeight="1" x14ac:dyDescent="0.2">
      <c r="AT198" s="222"/>
      <c r="AU198" s="278"/>
      <c r="AV198" s="278"/>
      <c r="AW198" s="278"/>
    </row>
    <row r="199" spans="46:49" ht="12.75" customHeight="1" x14ac:dyDescent="0.2">
      <c r="AT199" s="222"/>
      <c r="AU199" s="278"/>
      <c r="AV199" s="278"/>
      <c r="AW199" s="278"/>
    </row>
    <row r="200" spans="46:49" ht="12.75" customHeight="1" x14ac:dyDescent="0.2">
      <c r="AT200" s="222"/>
    </row>
    <row r="201" spans="46:49" ht="12.75" customHeight="1" x14ac:dyDescent="0.2">
      <c r="AT201" s="222"/>
    </row>
    <row r="202" spans="46:49" ht="12.75" customHeight="1" x14ac:dyDescent="0.2">
      <c r="AT202" s="222"/>
    </row>
    <row r="203" spans="46:49" ht="12.75" customHeight="1" x14ac:dyDescent="0.2">
      <c r="AT203" s="222"/>
    </row>
    <row r="204" spans="46:49" ht="12.75" customHeight="1" x14ac:dyDescent="0.2">
      <c r="AT204" s="222"/>
    </row>
    <row r="205" spans="46:49" ht="12.75" customHeight="1" x14ac:dyDescent="0.2">
      <c r="AT205" s="222"/>
    </row>
    <row r="206" spans="46:49" ht="12.75" customHeight="1" x14ac:dyDescent="0.2">
      <c r="AT206" s="222"/>
    </row>
    <row r="207" spans="46:49" ht="12.75" customHeight="1" x14ac:dyDescent="0.2">
      <c r="AT207" s="222"/>
    </row>
    <row r="208" spans="46:49" ht="12.75" customHeight="1" x14ac:dyDescent="0.2">
      <c r="AT208" s="222"/>
    </row>
    <row r="209" spans="46:46" ht="12.75" customHeight="1" x14ac:dyDescent="0.2">
      <c r="AT209" s="222"/>
    </row>
    <row r="210" spans="46:46" ht="12.75" customHeight="1" x14ac:dyDescent="0.2">
      <c r="AT210" s="222"/>
    </row>
    <row r="211" spans="46:46" ht="12.75" customHeight="1" x14ac:dyDescent="0.2">
      <c r="AT211" s="222"/>
    </row>
    <row r="212" spans="46:46" ht="12.75" customHeight="1" x14ac:dyDescent="0.2">
      <c r="AT212" s="222"/>
    </row>
    <row r="213" spans="46:46" ht="12.75" customHeight="1" x14ac:dyDescent="0.2">
      <c r="AT213" s="222"/>
    </row>
    <row r="214" spans="46:46" ht="12.75" customHeight="1" x14ac:dyDescent="0.2">
      <c r="AT214" s="222"/>
    </row>
    <row r="215" spans="46:46" ht="12.75" customHeight="1" x14ac:dyDescent="0.2">
      <c r="AT215" s="222"/>
    </row>
    <row r="216" spans="46:46" ht="12.75" customHeight="1" x14ac:dyDescent="0.2">
      <c r="AT216" s="222"/>
    </row>
    <row r="217" spans="46:46" ht="12.75" customHeight="1" x14ac:dyDescent="0.2">
      <c r="AT217" s="222"/>
    </row>
    <row r="218" spans="46:46" ht="12.75" customHeight="1" x14ac:dyDescent="0.2">
      <c r="AT218" s="222"/>
    </row>
    <row r="219" spans="46:46" ht="12.75" customHeight="1" x14ac:dyDescent="0.2">
      <c r="AT219" s="222"/>
    </row>
    <row r="220" spans="46:46" ht="12.75" customHeight="1" x14ac:dyDescent="0.2">
      <c r="AT220" s="222"/>
    </row>
    <row r="221" spans="46:46" ht="12.75" customHeight="1" x14ac:dyDescent="0.2">
      <c r="AT221" s="222"/>
    </row>
    <row r="222" spans="46:46" ht="12.75" customHeight="1" x14ac:dyDescent="0.2">
      <c r="AT222" s="222"/>
    </row>
    <row r="223" spans="46:46" ht="12.75" customHeight="1" x14ac:dyDescent="0.2">
      <c r="AT223" s="222"/>
    </row>
    <row r="224" spans="46:46" ht="12.75" customHeight="1" x14ac:dyDescent="0.2">
      <c r="AT224" s="222"/>
    </row>
    <row r="225" spans="46:46" ht="12.75" customHeight="1" x14ac:dyDescent="0.2">
      <c r="AT225" s="222"/>
    </row>
    <row r="226" spans="46:46" ht="12.75" customHeight="1" x14ac:dyDescent="0.2">
      <c r="AT226" s="222"/>
    </row>
    <row r="227" spans="46:46" ht="12.75" customHeight="1" x14ac:dyDescent="0.2">
      <c r="AT227" s="222"/>
    </row>
    <row r="228" spans="46:46" ht="12.75" customHeight="1" x14ac:dyDescent="0.2">
      <c r="AT228" s="222"/>
    </row>
    <row r="229" spans="46:46" ht="12.75" customHeight="1" x14ac:dyDescent="0.2">
      <c r="AT229" s="222"/>
    </row>
    <row r="230" spans="46:46" ht="12.75" customHeight="1" x14ac:dyDescent="0.2">
      <c r="AT230" s="222"/>
    </row>
    <row r="231" spans="46:46" ht="12.75" customHeight="1" x14ac:dyDescent="0.2">
      <c r="AT231" s="222"/>
    </row>
    <row r="232" spans="46:46" ht="12.75" customHeight="1" x14ac:dyDescent="0.2">
      <c r="AT232" s="222"/>
    </row>
    <row r="233" spans="46:46" ht="12.75" customHeight="1" x14ac:dyDescent="0.2">
      <c r="AT233" s="222"/>
    </row>
    <row r="234" spans="46:46" ht="12.75" customHeight="1" x14ac:dyDescent="0.2">
      <c r="AT234" s="222"/>
    </row>
    <row r="235" spans="46:46" ht="12.75" customHeight="1" x14ac:dyDescent="0.2">
      <c r="AT235" s="222"/>
    </row>
    <row r="236" spans="46:46" ht="12.75" customHeight="1" x14ac:dyDescent="0.2">
      <c r="AT236" s="222"/>
    </row>
    <row r="237" spans="46:46" ht="12.75" customHeight="1" x14ac:dyDescent="0.2">
      <c r="AT237" s="222"/>
    </row>
    <row r="238" spans="46:46" ht="12.75" customHeight="1" x14ac:dyDescent="0.2">
      <c r="AT238" s="222"/>
    </row>
    <row r="239" spans="46:46" ht="12.75" customHeight="1" x14ac:dyDescent="0.2">
      <c r="AT239" s="222"/>
    </row>
    <row r="240" spans="46:46" ht="12.75" customHeight="1" x14ac:dyDescent="0.2">
      <c r="AT240" s="222"/>
    </row>
    <row r="241" spans="46:46" ht="12.75" customHeight="1" x14ac:dyDescent="0.2">
      <c r="AT241" s="222"/>
    </row>
    <row r="242" spans="46:46" ht="12.75" customHeight="1" x14ac:dyDescent="0.2">
      <c r="AT242" s="222"/>
    </row>
    <row r="243" spans="46:46" ht="12.75" customHeight="1" x14ac:dyDescent="0.2">
      <c r="AT243" s="222"/>
    </row>
    <row r="244" spans="46:46" ht="12.75" customHeight="1" x14ac:dyDescent="0.2">
      <c r="AT244" s="222"/>
    </row>
    <row r="245" spans="46:46" ht="12.75" customHeight="1" x14ac:dyDescent="0.2">
      <c r="AT245" s="222"/>
    </row>
    <row r="246" spans="46:46" ht="12.75" customHeight="1" x14ac:dyDescent="0.2">
      <c r="AT246" s="222"/>
    </row>
    <row r="247" spans="46:46" ht="12.75" customHeight="1" x14ac:dyDescent="0.2">
      <c r="AT247" s="222"/>
    </row>
    <row r="248" spans="46:46" ht="12.75" customHeight="1" x14ac:dyDescent="0.2">
      <c r="AT248" s="222"/>
    </row>
    <row r="249" spans="46:46" ht="12.75" customHeight="1" x14ac:dyDescent="0.2">
      <c r="AT249" s="222"/>
    </row>
    <row r="250" spans="46:46" ht="12.75" customHeight="1" x14ac:dyDescent="0.2">
      <c r="AT250" s="222"/>
    </row>
    <row r="251" spans="46:46" ht="12.75" customHeight="1" x14ac:dyDescent="0.2">
      <c r="AT251" s="222"/>
    </row>
    <row r="252" spans="46:46" ht="12.75" customHeight="1" x14ac:dyDescent="0.2">
      <c r="AT252" s="222"/>
    </row>
    <row r="253" spans="46:46" ht="12.75" customHeight="1" x14ac:dyDescent="0.2">
      <c r="AT253" s="222"/>
    </row>
    <row r="254" spans="46:46" ht="12.75" customHeight="1" x14ac:dyDescent="0.2">
      <c r="AT254" s="222"/>
    </row>
    <row r="255" spans="46:46" ht="12.75" customHeight="1" x14ac:dyDescent="0.2">
      <c r="AT255" s="222"/>
    </row>
    <row r="256" spans="46:46" ht="12.75" customHeight="1" x14ac:dyDescent="0.2">
      <c r="AT256" s="222"/>
    </row>
    <row r="257" spans="46:46" ht="12.75" customHeight="1" x14ac:dyDescent="0.2">
      <c r="AT257" s="222"/>
    </row>
    <row r="258" spans="46:46" ht="12.75" customHeight="1" x14ac:dyDescent="0.2">
      <c r="AT258" s="222"/>
    </row>
    <row r="259" spans="46:46" ht="12.75" customHeight="1" x14ac:dyDescent="0.2">
      <c r="AT259" s="222"/>
    </row>
    <row r="260" spans="46:46" ht="12.75" customHeight="1" x14ac:dyDescent="0.2">
      <c r="AT260" s="222"/>
    </row>
    <row r="261" spans="46:46" ht="12.75" customHeight="1" x14ac:dyDescent="0.2">
      <c r="AT261" s="222"/>
    </row>
    <row r="262" spans="46:46" ht="12.75" customHeight="1" x14ac:dyDescent="0.2">
      <c r="AT262" s="222"/>
    </row>
    <row r="263" spans="46:46" ht="12.75" customHeight="1" x14ac:dyDescent="0.2">
      <c r="AT263" s="222"/>
    </row>
    <row r="264" spans="46:46" ht="12.75" customHeight="1" x14ac:dyDescent="0.2">
      <c r="AT264" s="222"/>
    </row>
    <row r="265" spans="46:46" ht="12.75" customHeight="1" x14ac:dyDescent="0.2">
      <c r="AT265" s="222"/>
    </row>
    <row r="266" spans="46:46" ht="12.75" customHeight="1" x14ac:dyDescent="0.2">
      <c r="AT266" s="222"/>
    </row>
    <row r="267" spans="46:46" ht="12.75" customHeight="1" x14ac:dyDescent="0.2">
      <c r="AT267" s="222"/>
    </row>
    <row r="268" spans="46:46" ht="12.75" customHeight="1" x14ac:dyDescent="0.2">
      <c r="AT268" s="222"/>
    </row>
    <row r="269" spans="46:46" ht="12.75" customHeight="1" x14ac:dyDescent="0.2">
      <c r="AT269" s="222"/>
    </row>
    <row r="270" spans="46:46" ht="12.75" customHeight="1" x14ac:dyDescent="0.2">
      <c r="AT270" s="222"/>
    </row>
    <row r="271" spans="46:46" ht="12.75" customHeight="1" x14ac:dyDescent="0.2">
      <c r="AT271" s="222"/>
    </row>
    <row r="272" spans="46:46" ht="12.75" customHeight="1" x14ac:dyDescent="0.2">
      <c r="AT272" s="222"/>
    </row>
    <row r="273" spans="46:46" ht="12.75" customHeight="1" x14ac:dyDescent="0.2">
      <c r="AT273" s="222"/>
    </row>
    <row r="274" spans="46:46" ht="12.75" customHeight="1" x14ac:dyDescent="0.2">
      <c r="AT274" s="222"/>
    </row>
    <row r="275" spans="46:46" ht="12.75" customHeight="1" x14ac:dyDescent="0.2">
      <c r="AT275" s="222"/>
    </row>
    <row r="276" spans="46:46" ht="12.75" customHeight="1" x14ac:dyDescent="0.2">
      <c r="AT276" s="222"/>
    </row>
    <row r="277" spans="46:46" ht="12.75" customHeight="1" x14ac:dyDescent="0.2">
      <c r="AT277" s="222"/>
    </row>
    <row r="278" spans="46:46" ht="12.75" customHeight="1" x14ac:dyDescent="0.2">
      <c r="AT278" s="222"/>
    </row>
    <row r="279" spans="46:46" ht="12.75" customHeight="1" x14ac:dyDescent="0.2">
      <c r="AT279" s="222"/>
    </row>
    <row r="280" spans="46:46" ht="12.75" customHeight="1" x14ac:dyDescent="0.2">
      <c r="AT280" s="222"/>
    </row>
    <row r="281" spans="46:46" ht="12.75" customHeight="1" x14ac:dyDescent="0.2">
      <c r="AT281" s="222"/>
    </row>
    <row r="282" spans="46:46" ht="12.75" customHeight="1" x14ac:dyDescent="0.2">
      <c r="AT282" s="222"/>
    </row>
    <row r="283" spans="46:46" ht="12.75" customHeight="1" x14ac:dyDescent="0.2">
      <c r="AT283" s="222"/>
    </row>
    <row r="284" spans="46:46" ht="12.75" customHeight="1" x14ac:dyDescent="0.2">
      <c r="AT284" s="222"/>
    </row>
    <row r="285" spans="46:46" ht="12.75" customHeight="1" x14ac:dyDescent="0.2">
      <c r="AT285" s="222"/>
    </row>
    <row r="286" spans="46:46" ht="12.75" customHeight="1" x14ac:dyDescent="0.2">
      <c r="AT286" s="222"/>
    </row>
    <row r="287" spans="46:46" ht="12.75" customHeight="1" x14ac:dyDescent="0.2">
      <c r="AT287" s="222"/>
    </row>
    <row r="288" spans="46:46" ht="12.75" customHeight="1" x14ac:dyDescent="0.2">
      <c r="AT288" s="222"/>
    </row>
    <row r="289" spans="46:46" ht="12.75" customHeight="1" x14ac:dyDescent="0.2">
      <c r="AT289" s="222"/>
    </row>
    <row r="290" spans="46:46" ht="12.75" customHeight="1" x14ac:dyDescent="0.2">
      <c r="AT290" s="222"/>
    </row>
    <row r="291" spans="46:46" ht="12.75" customHeight="1" x14ac:dyDescent="0.2">
      <c r="AT291" s="222"/>
    </row>
    <row r="292" spans="46:46" ht="12.75" customHeight="1" x14ac:dyDescent="0.2">
      <c r="AT292" s="222"/>
    </row>
    <row r="293" spans="46:46" ht="12.75" customHeight="1" x14ac:dyDescent="0.2">
      <c r="AT293" s="222"/>
    </row>
    <row r="294" spans="46:46" ht="12.75" customHeight="1" x14ac:dyDescent="0.2">
      <c r="AT294" s="222"/>
    </row>
    <row r="295" spans="46:46" ht="12.75" customHeight="1" x14ac:dyDescent="0.2">
      <c r="AT295" s="222"/>
    </row>
    <row r="296" spans="46:46" ht="12.75" customHeight="1" x14ac:dyDescent="0.2">
      <c r="AT296" s="222"/>
    </row>
    <row r="297" spans="46:46" ht="12.75" customHeight="1" x14ac:dyDescent="0.2">
      <c r="AT297" s="222"/>
    </row>
    <row r="298" spans="46:46" ht="12.75" customHeight="1" x14ac:dyDescent="0.2">
      <c r="AT298" s="222"/>
    </row>
    <row r="299" spans="46:46" ht="12.75" customHeight="1" x14ac:dyDescent="0.2">
      <c r="AT299" s="222"/>
    </row>
    <row r="300" spans="46:46" ht="12.75" customHeight="1" x14ac:dyDescent="0.2">
      <c r="AT300" s="222"/>
    </row>
    <row r="301" spans="46:46" ht="12.75" customHeight="1" x14ac:dyDescent="0.2">
      <c r="AT301" s="222"/>
    </row>
    <row r="302" spans="46:46" ht="12.75" customHeight="1" x14ac:dyDescent="0.2">
      <c r="AT302" s="222"/>
    </row>
    <row r="303" spans="46:46" ht="12.75" customHeight="1" x14ac:dyDescent="0.2">
      <c r="AT303" s="222"/>
    </row>
    <row r="304" spans="46:46" ht="12.75" customHeight="1" x14ac:dyDescent="0.2">
      <c r="AT304" s="222"/>
    </row>
    <row r="305" spans="46:46" ht="12.75" customHeight="1" x14ac:dyDescent="0.2">
      <c r="AT305" s="222"/>
    </row>
    <row r="306" spans="46:46" ht="12.75" customHeight="1" x14ac:dyDescent="0.2">
      <c r="AT306" s="222"/>
    </row>
    <row r="307" spans="46:46" ht="12.75" customHeight="1" x14ac:dyDescent="0.2">
      <c r="AT307" s="222"/>
    </row>
    <row r="308" spans="46:46" ht="12.75" customHeight="1" x14ac:dyDescent="0.2">
      <c r="AT308" s="222"/>
    </row>
    <row r="309" spans="46:46" ht="12.75" customHeight="1" x14ac:dyDescent="0.2">
      <c r="AT309" s="222"/>
    </row>
    <row r="310" spans="46:46" ht="12.75" customHeight="1" x14ac:dyDescent="0.2">
      <c r="AT310" s="222"/>
    </row>
    <row r="311" spans="46:46" ht="12.75" customHeight="1" x14ac:dyDescent="0.2">
      <c r="AT311" s="222"/>
    </row>
    <row r="312" spans="46:46" ht="12.75" customHeight="1" x14ac:dyDescent="0.2">
      <c r="AT312" s="222"/>
    </row>
    <row r="313" spans="46:46" ht="12.75" customHeight="1" x14ac:dyDescent="0.2">
      <c r="AT313" s="222"/>
    </row>
    <row r="314" spans="46:46" ht="12.75" customHeight="1" x14ac:dyDescent="0.2">
      <c r="AT314" s="222"/>
    </row>
    <row r="315" spans="46:46" ht="12.75" customHeight="1" x14ac:dyDescent="0.2">
      <c r="AT315" s="222"/>
    </row>
    <row r="316" spans="46:46" ht="12.75" customHeight="1" x14ac:dyDescent="0.2">
      <c r="AT316" s="222"/>
    </row>
    <row r="317" spans="46:46" ht="12.75" customHeight="1" x14ac:dyDescent="0.2">
      <c r="AT317" s="222"/>
    </row>
    <row r="318" spans="46:46" ht="12.75" customHeight="1" x14ac:dyDescent="0.2">
      <c r="AT318" s="222"/>
    </row>
    <row r="319" spans="46:46" ht="12.75" customHeight="1" x14ac:dyDescent="0.2">
      <c r="AT319" s="222"/>
    </row>
    <row r="320" spans="46:46" ht="12.75" customHeight="1" x14ac:dyDescent="0.2">
      <c r="AT320" s="222"/>
    </row>
    <row r="321" spans="46:46" ht="12.75" customHeight="1" x14ac:dyDescent="0.2">
      <c r="AT321" s="222"/>
    </row>
    <row r="322" spans="46:46" ht="12.75" customHeight="1" x14ac:dyDescent="0.2">
      <c r="AT322" s="222"/>
    </row>
    <row r="323" spans="46:46" ht="12.75" customHeight="1" x14ac:dyDescent="0.2">
      <c r="AT323" s="222"/>
    </row>
    <row r="324" spans="46:46" ht="12.75" customHeight="1" x14ac:dyDescent="0.2">
      <c r="AT324" s="222"/>
    </row>
    <row r="325" spans="46:46" ht="12.75" customHeight="1" x14ac:dyDescent="0.2">
      <c r="AT325" s="222"/>
    </row>
    <row r="326" spans="46:46" ht="12.75" customHeight="1" x14ac:dyDescent="0.2">
      <c r="AT326" s="222"/>
    </row>
    <row r="327" spans="46:46" ht="12.75" customHeight="1" x14ac:dyDescent="0.2">
      <c r="AT327" s="222"/>
    </row>
    <row r="328" spans="46:46" ht="12.75" customHeight="1" x14ac:dyDescent="0.2">
      <c r="AT328" s="222"/>
    </row>
    <row r="329" spans="46:46" ht="12.75" customHeight="1" x14ac:dyDescent="0.2">
      <c r="AT329" s="222"/>
    </row>
  </sheetData>
  <mergeCells count="6">
    <mergeCell ref="A1:L3"/>
    <mergeCell ref="A5:AR28"/>
    <mergeCell ref="P33:T33"/>
    <mergeCell ref="U33:W33"/>
    <mergeCell ref="X33:Z33"/>
    <mergeCell ref="AA33:AB33"/>
  </mergeCells>
  <hyperlinks>
    <hyperlink ref="V39" display="fmatsuda@invertironline.com"/>
    <hyperlink ref="P51" display="www.invertironline.com"/>
    <hyperlink ref="AF38" r:id="rId1"/>
  </hyperlinks>
  <printOptions horizontalCentered="1"/>
  <pageMargins left="0" right="0" top="0.25" bottom="0" header="0" footer="0"/>
  <pageSetup paperSize="9" scale="69" orientation="landscape" r:id="rId2"/>
  <headerFooter>
    <oddHeader>&amp;R&amp;G</oddHeader>
    <oddFooter>&amp;C&amp;8San Martin 323 Piso 11 C.A.B.A. - Argentina - Te. 4000-1400 - 0810-1222-IOL (465)</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Samanta Corderí</dc:creator>
  <cp:lastModifiedBy>Lucas Gregori</cp:lastModifiedBy>
  <dcterms:created xsi:type="dcterms:W3CDTF">2018-02-15T19:50:36Z</dcterms:created>
  <dcterms:modified xsi:type="dcterms:W3CDTF">2018-02-22T20:10:20Z</dcterms:modified>
</cp:coreProperties>
</file>