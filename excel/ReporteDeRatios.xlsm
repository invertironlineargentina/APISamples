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Z:\Proyectos\APIs\APISamples\excel\"/>
    </mc:Choice>
  </mc:AlternateContent>
  <bookViews>
    <workbookView xWindow="0" yWindow="0" windowWidth="20490" windowHeight="7755"/>
  </bookViews>
  <sheets>
    <sheet name="Heatmap" sheetId="1" r:id="rId1"/>
    <sheet name="Mercado" sheetId="2" r:id="rId2"/>
    <sheet name="Fundamentals" sheetId="3" r:id="rId3"/>
    <sheet name="Earnings" sheetId="4" r:id="rId4"/>
    <sheet name="Glosario" sheetId="5" r:id="rId5"/>
    <sheet name="Disclaimer" sheetId="6" r:id="rId6"/>
  </sheets>
  <externalReferences>
    <externalReference r:id="rId7"/>
  </externalReferences>
  <definedNames>
    <definedName name="_xlnm.Print_Area" localSheetId="5">Disclaimer!$A$1:$S$37</definedName>
    <definedName name="_xlnm.Print_Area" localSheetId="3">Earnings!$A$1:$AF$114</definedName>
    <definedName name="_xlnm.Print_Area" localSheetId="2">Fundamentals!$A$1:$W$117</definedName>
    <definedName name="_xlnm.Print_Area" localSheetId="4">Glosario!$A$1:$K$132</definedName>
    <definedName name="_xlnm.Print_Area" localSheetId="0">Heatmap!$B$3:$R$86</definedName>
    <definedName name="_xlnm.Print_Area" localSheetId="1">Mercado!$B$1:$Y$124</definedName>
    <definedName name="CIQWBGuid" hidden="1">"cddf7c10-2bd3-45f5-9c6e-436007013129"</definedName>
    <definedName name="fechas">'[1]Heatmap CA'!$P$2:$AA$2</definedName>
    <definedName name="precios">'[1]Heatmap CA'!$B$4:$N$78</definedName>
    <definedName name="rendimientos">'[1]Heatmap CA'!$P$4:$AA$78</definedName>
    <definedName name="RICs">'[1]Heatmap CA'!$A$4:$A$78</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Mariano Gasparoli</author>
  </authors>
  <commentList>
    <comment ref="AC34" authorId="0" shapeId="0">
      <text>
        <r>
          <rPr>
            <sz val="9"/>
            <color indexed="81"/>
            <rFont val="Tahoma"/>
            <family val="2"/>
          </rPr>
          <t xml:space="preserve">Al 31.12.2018
</t>
        </r>
      </text>
    </comment>
    <comment ref="AC38" authorId="0" shapeId="0">
      <text>
        <r>
          <rPr>
            <sz val="9"/>
            <color indexed="81"/>
            <rFont val="Tahoma"/>
            <family val="2"/>
          </rPr>
          <t>Al 31.12.2018</t>
        </r>
      </text>
    </comment>
  </commentList>
</comments>
</file>

<file path=xl/sharedStrings.xml><?xml version="1.0" encoding="utf-8"?>
<sst xmlns="http://schemas.openxmlformats.org/spreadsheetml/2006/main" count="2076" uniqueCount="444">
  <si>
    <t>Reporte de ratios Argentina</t>
  </si>
  <si>
    <t>Heatmap de Mercado</t>
  </si>
  <si>
    <t>Rendimientos calculados en base al precio de cierre al último día hábil de cada mes</t>
  </si>
  <si>
    <t>Ticker</t>
  </si>
  <si>
    <t>Variación MoM</t>
  </si>
  <si>
    <t>Evolución de Precios - Últimos 12 meses</t>
  </si>
  <si>
    <t>Rdto. Acum. 12 M</t>
  </si>
  <si>
    <t>TS</t>
  </si>
  <si>
    <t>APBR</t>
  </si>
  <si>
    <t>COLO</t>
  </si>
  <si>
    <t>MERA</t>
  </si>
  <si>
    <t>PATY</t>
  </si>
  <si>
    <t>INVJ</t>
  </si>
  <si>
    <t>RICH</t>
  </si>
  <si>
    <t>INAG</t>
  </si>
  <si>
    <t>FIPL</t>
  </si>
  <si>
    <t>GCLA</t>
  </si>
  <si>
    <t>BYMA</t>
  </si>
  <si>
    <t>IRCP</t>
  </si>
  <si>
    <t>RIGO</t>
  </si>
  <si>
    <t>CADO</t>
  </si>
  <si>
    <t>PAMP</t>
  </si>
  <si>
    <t>OEST</t>
  </si>
  <si>
    <t>GARO</t>
  </si>
  <si>
    <t>INTR</t>
  </si>
  <si>
    <t>ROSE</t>
  </si>
  <si>
    <t>BBAR</t>
  </si>
  <si>
    <t>BBAR.BA</t>
  </si>
  <si>
    <t>CELU</t>
  </si>
  <si>
    <t>GRIM</t>
  </si>
  <si>
    <t>CECO2</t>
  </si>
  <si>
    <t>METR</t>
  </si>
  <si>
    <t>AUSO</t>
  </si>
  <si>
    <t>TXAR</t>
  </si>
  <si>
    <t>MOLI</t>
  </si>
  <si>
    <t>TGSU2</t>
  </si>
  <si>
    <t>SEMI</t>
  </si>
  <si>
    <t>CAPX</t>
  </si>
  <si>
    <t>POLL</t>
  </si>
  <si>
    <t>FERR</t>
  </si>
  <si>
    <t>BPAT</t>
  </si>
  <si>
    <t>TECO2</t>
  </si>
  <si>
    <t>IRSA</t>
  </si>
  <si>
    <t>CVH</t>
  </si>
  <si>
    <t>DYCA</t>
  </si>
  <si>
    <t>CEPU</t>
  </si>
  <si>
    <t>EDN</t>
  </si>
  <si>
    <t>VALO</t>
  </si>
  <si>
    <t>ESME</t>
  </si>
  <si>
    <t>MORI</t>
  </si>
  <si>
    <t>TRAN</t>
  </si>
  <si>
    <t>DGCU2</t>
  </si>
  <si>
    <t>AGRO</t>
  </si>
  <si>
    <t>BRIO</t>
  </si>
  <si>
    <t>LEDE</t>
  </si>
  <si>
    <t>CTIO</t>
  </si>
  <si>
    <t>GBAN</t>
  </si>
  <si>
    <t>TGNO4</t>
  </si>
  <si>
    <t>HARG</t>
  </si>
  <si>
    <t>CRES</t>
  </si>
  <si>
    <t>BHIP</t>
  </si>
  <si>
    <t>LOMA</t>
  </si>
  <si>
    <t>CGPA2</t>
  </si>
  <si>
    <t>CARC</t>
  </si>
  <si>
    <t>HAVA</t>
  </si>
  <si>
    <t>MOLA</t>
  </si>
  <si>
    <t>ALUA</t>
  </si>
  <si>
    <t>PATA</t>
  </si>
  <si>
    <t>BMA</t>
  </si>
  <si>
    <t>COME</t>
  </si>
  <si>
    <t>MIRG</t>
  </si>
  <si>
    <t>SAMI</t>
  </si>
  <si>
    <t>LONG</t>
  </si>
  <si>
    <t>TGLT</t>
  </si>
  <si>
    <t>PGR</t>
  </si>
  <si>
    <t>GGAL</t>
  </si>
  <si>
    <t>BOLT</t>
  </si>
  <si>
    <t>YPFD</t>
  </si>
  <si>
    <t>DOME</t>
  </si>
  <si>
    <t>C9&gt;.15</t>
  </si>
  <si>
    <t>verde 255</t>
  </si>
  <si>
    <t>Y(C9&lt;=0.15,C9&gt;0.1)</t>
  </si>
  <si>
    <t>verde 200</t>
  </si>
  <si>
    <t>Y(C9&lt;=0.1,C9&gt;0.05)</t>
  </si>
  <si>
    <t>verde 150</t>
  </si>
  <si>
    <t>Y(C9&lt;=0.05,C9&gt;0)</t>
  </si>
  <si>
    <t>rojo 255, verde 255</t>
  </si>
  <si>
    <t>Y(C9&lt;=-0.0,C9&gt;-0.05)</t>
  </si>
  <si>
    <t>rojo 255, verde 150</t>
  </si>
  <si>
    <t>Y(C9&lt;=-0.05,C9&gt;-0.1)</t>
  </si>
  <si>
    <t>Y(C9&lt;=-0.1,C9&gt;-0.15)</t>
  </si>
  <si>
    <t>C9&lt;-.15</t>
  </si>
  <si>
    <t>Datos de Mercado</t>
  </si>
  <si>
    <t>Precio</t>
  </si>
  <si>
    <t>52 semanas</t>
  </si>
  <si>
    <t>% de Variación</t>
  </si>
  <si>
    <t>Volatilidad (ars)</t>
  </si>
  <si>
    <t>Volat. Usd 10yr</t>
  </si>
  <si>
    <t>Rto. Usd 10yr</t>
  </si>
  <si>
    <t>Beta</t>
  </si>
  <si>
    <t>Rdo. Vs Merval</t>
  </si>
  <si>
    <t>Valor empresa</t>
  </si>
  <si>
    <t>Div. Yield</t>
  </si>
  <si>
    <t>Ratios de mercado</t>
  </si>
  <si>
    <t>Máx</t>
  </si>
  <si>
    <t>Mín</t>
  </si>
  <si>
    <t>Diario</t>
  </si>
  <si>
    <t>30 días</t>
  </si>
  <si>
    <t>90 días</t>
  </si>
  <si>
    <t>Mkt cap (Mil mill)</t>
  </si>
  <si>
    <t>EV (Mil mill)</t>
  </si>
  <si>
    <t>EV/EBITDA</t>
  </si>
  <si>
    <t>P/S</t>
  </si>
  <si>
    <t>P/E</t>
  </si>
  <si>
    <t>P/E est.</t>
  </si>
  <si>
    <t>P/B</t>
  </si>
  <si>
    <t>P/FCF</t>
  </si>
  <si>
    <t>CONSUMO BÁSICO</t>
  </si>
  <si>
    <t>Marzo</t>
  </si>
  <si>
    <t>Promedio</t>
  </si>
  <si>
    <t>Prom.</t>
  </si>
  <si>
    <t>CONSUMO DISCRECIONAL</t>
  </si>
  <si>
    <t>ENERGÍA</t>
  </si>
  <si>
    <t>YPF</t>
  </si>
  <si>
    <t>mkt. Cap_ARS</t>
  </si>
  <si>
    <t>#_Acciones</t>
  </si>
  <si>
    <t>PN_ARSmillones</t>
  </si>
  <si>
    <t>P/BV</t>
  </si>
  <si>
    <t>PN_ARSmiles</t>
  </si>
  <si>
    <t>P</t>
  </si>
  <si>
    <t>FINANCIERO</t>
  </si>
  <si>
    <t>INDUSTRIAL</t>
  </si>
  <si>
    <t>INMOBILIARIO</t>
  </si>
  <si>
    <t>MATERIALES</t>
  </si>
  <si>
    <t>SALUD</t>
  </si>
  <si>
    <t>SERVICIOS PÚBLICOS</t>
  </si>
  <si>
    <t>TECNOLOGÍA DE LA INFORMACIÓN</t>
  </si>
  <si>
    <t>TELECOMUNICACIONES</t>
  </si>
  <si>
    <t>MERVAL</t>
  </si>
  <si>
    <t>Fuente: Refinitiv (ex Thomson Reuters)</t>
  </si>
  <si>
    <t>Las empresas están clasificadas por sector de acuerdo al GICS (Global Industry Classification Standard). Dentro de cada uno de ellos se ordena por Market Cap, de mayor a menor.</t>
  </si>
  <si>
    <t>Datos fundamentales</t>
  </si>
  <si>
    <t>VN</t>
  </si>
  <si>
    <t>Q reportado</t>
  </si>
  <si>
    <t>Solvencia / Riesgo</t>
  </si>
  <si>
    <t>Liquidez</t>
  </si>
  <si>
    <t>Operativos</t>
  </si>
  <si>
    <t>Rendimiento</t>
  </si>
  <si>
    <t>D/PN</t>
  </si>
  <si>
    <t>Ap. Financ.</t>
  </si>
  <si>
    <t>Ac/Pc</t>
  </si>
  <si>
    <t>P. Ácida</t>
  </si>
  <si>
    <t>V/A</t>
  </si>
  <si>
    <t>Ciclo Caja</t>
  </si>
  <si>
    <t>Mg Brt.</t>
  </si>
  <si>
    <t>Mg. Op.</t>
  </si>
  <si>
    <t xml:space="preserve">Mg. Neto </t>
  </si>
  <si>
    <t>FCF/V</t>
  </si>
  <si>
    <t>ROE</t>
  </si>
  <si>
    <t>ROA</t>
  </si>
  <si>
    <t>EPS</t>
  </si>
  <si>
    <r>
      <rPr>
        <b/>
        <sz val="10"/>
        <color theme="0"/>
        <rFont val="Calibri"/>
        <family val="2"/>
      </rPr>
      <t xml:space="preserve">∆ </t>
    </r>
    <r>
      <rPr>
        <b/>
        <sz val="10"/>
        <color theme="0"/>
        <rFont val="Calibri"/>
        <family val="2"/>
        <scheme val="minor"/>
      </rPr>
      <t>Rdo. Trim. ia.</t>
    </r>
  </si>
  <si>
    <t>Rdo. Pr. 5 yr (mill.)</t>
  </si>
  <si>
    <t>Pr. ∆ Rdo. Anual 5yr</t>
  </si>
  <si>
    <t>Desv. ∆ Rdo. Anual 5yr</t>
  </si>
  <si>
    <t>Pr. Vtas 5 yr (K mill.)</t>
  </si>
  <si>
    <t>Pr. ∆ Vta. 5yr</t>
  </si>
  <si>
    <t>Resultados</t>
  </si>
  <si>
    <t>Trimestrales individuales en Mill. ARS</t>
  </si>
  <si>
    <t>4Q2019</t>
  </si>
  <si>
    <t>3Q2019</t>
  </si>
  <si>
    <t>2Q2019</t>
  </si>
  <si>
    <t>1Q2019</t>
  </si>
  <si>
    <t>4Q2018</t>
  </si>
  <si>
    <t>3Q2018</t>
  </si>
  <si>
    <t>2Q2018</t>
  </si>
  <si>
    <t>1Q2018</t>
  </si>
  <si>
    <t>4Q2017</t>
  </si>
  <si>
    <t>3Q2017</t>
  </si>
  <si>
    <t>2Q2017</t>
  </si>
  <si>
    <t>1Q2017</t>
  </si>
  <si>
    <t>4Q2016</t>
  </si>
  <si>
    <t>3Q2016</t>
  </si>
  <si>
    <t>2Q2016</t>
  </si>
  <si>
    <t>1Q2016</t>
  </si>
  <si>
    <t>4Q2015</t>
  </si>
  <si>
    <t>3Q2015</t>
  </si>
  <si>
    <t>2Q2015</t>
  </si>
  <si>
    <t>1Q2015</t>
  </si>
  <si>
    <t>4Q2014</t>
  </si>
  <si>
    <t>3Q2014</t>
  </si>
  <si>
    <t>2Q2014</t>
  </si>
  <si>
    <t>1Q2014</t>
  </si>
  <si>
    <t>4 Q</t>
  </si>
  <si>
    <t>3 Q</t>
  </si>
  <si>
    <t>2 Q</t>
  </si>
  <si>
    <t>1 Q</t>
  </si>
  <si>
    <t>4Q</t>
  </si>
  <si>
    <t>1Q</t>
  </si>
  <si>
    <t>3Q</t>
  </si>
  <si>
    <t>-</t>
  </si>
  <si>
    <t>* Los resultados de PGR se encuentran expersados en forma semestral.</t>
  </si>
  <si>
    <t>* A partir del 2018 la información se encuentra ajustada por inflación, de acuerdo con la Norma Internacional de Contabilidad Nª 29. (Normas NIIF)</t>
  </si>
  <si>
    <t>Glosario</t>
  </si>
  <si>
    <t>52 semanas - Máx</t>
  </si>
  <si>
    <t>Precio de cierre máximo de las últimas 52 semanas (1 año).</t>
  </si>
  <si>
    <t>52 semanas - Mín</t>
  </si>
  <si>
    <t>Precio de cierre mínimo de las últimas 52 semanas (1 año).</t>
  </si>
  <si>
    <t>Volatilidad (ars) 30 días</t>
  </si>
  <si>
    <t>La volatilidad de una acción hace referencia a las oscilaciones que presenta su cotización. El grado de oscilación que presenta una acción se mide con el desvío estándar de la variación diaria de los precios durante las últimas 30 ruedas.</t>
  </si>
  <si>
    <t>Volatilidad (ars) 90 días</t>
  </si>
  <si>
    <t>La volatilidad de una acción hace referencia a las oscilaciones que presenta su cotización. El grado de oscilación que presenta una acción se mide con el desvío estándar de la variación diaria de los precios durante las últimas 90 ruedas.</t>
  </si>
  <si>
    <t>Volatilidad usd 10yr</t>
  </si>
  <si>
    <t xml:space="preserve">Fórmula: 
Medida de dispersión anualizada del rendimiento diario del precio de la acción en dólares (CCL) de los últimos 10años. En caso de que el papel tenga menos de 10 años de historia, el valor de la volatilidad no estará disponible. </t>
  </si>
  <si>
    <t>Rdto. usd 10yr</t>
  </si>
  <si>
    <t xml:space="preserve">Fórmula: 
Rendimiento anual compuesto del precio de la acción valuada al dólar CCL, de los últimos 10 años. En caso de que el papel tenga menos de 10 años de historia, el valor no estará disponible. </t>
  </si>
  <si>
    <t>Beta representa el cambio en el precio de una compañía ante el cambio en el precio del Merval. El período de tiempo para la estimación del Beta es 180 días cuando está disponible. Un Beta mayor que 1, indica que en los dos últimos años, en promedio, la acción se movió más que el Merval (tanto a la baja como a la suba).</t>
  </si>
  <si>
    <t>Versus Merval</t>
  </si>
  <si>
    <t>Prima de rendimiento de la acción respecto del Merval, para las ruedas del mes y año en curso.</t>
  </si>
  <si>
    <t>Mkt cap (Mil mill.)</t>
  </si>
  <si>
    <t>Fórmula: Precio de mercado actual por acción x Número de acciones en circulación. La capitalización es una medida del tamaño corporativo. Expresada en miles de millones de pesos.</t>
  </si>
  <si>
    <t>EV (Mil mill.)</t>
  </si>
  <si>
    <t>Fórmula: Capitalización bursátil + Deuda total - Total efectivo e inversiones a corto plazo
El valor de la empresa (EV) es una medida del precio de canje teórico, y es útil en comparaciones frente a partidas de estados de ingresos superiores a las partidas de gastos /ingresos por intereses, tales como ingresos y EBITDA. Se tomaron los datps de los últimos 12 meses.</t>
  </si>
  <si>
    <t>Fórmula: Valor de la empresa / EBITDA
Valor de la firma comparado con EBITDA (siglas en inglés de: ganancias antes de intereses, impuestos, depreciaciones y amortizaciones). Se tomaron los datos de los últimos 12 meses.</t>
  </si>
  <si>
    <t>Rentabilidad del dividendo
Fórmula: (Dividendo anual  / Precio de mercado actual) x 100.</t>
  </si>
  <si>
    <t>Fórmula: Precio por Acción/Ventas Netas
Para calcular este ratio se utilizan las ventas por acción de los  últimos 12 meses, así como el precio actual del activo.</t>
  </si>
  <si>
    <t>Fórmula: Precio actual/Ganancias diluidas por Acción. 
Price/Earnings. Para calcular este ratio se utilizan el resultado neto diluido por acción de los últimos 12 meses, así como el precio actual del activo. En caso de pérdidas el ratio no se calcula.</t>
  </si>
  <si>
    <r>
      <t xml:space="preserve">Fórmula: Precio actual / Ganancias </t>
    </r>
    <r>
      <rPr>
        <b/>
        <sz val="11"/>
        <color theme="1"/>
        <rFont val="Calibri"/>
        <family val="2"/>
        <scheme val="minor"/>
      </rPr>
      <t>proyectadas</t>
    </r>
    <r>
      <rPr>
        <sz val="11"/>
        <color theme="1"/>
        <rFont val="Calibri"/>
        <family val="2"/>
        <scheme val="minor"/>
      </rPr>
      <t xml:space="preserve"> por acción
Una relación de valoración que se calcula dividiendo el precio de mercado actual por las ganancias proyectadas a 12 meses por acción.</t>
    </r>
  </si>
  <si>
    <t>Fórmula: Precio actual/Valor Libro por acción. 
El valor libro por acción es el patrimonio neto del último año fiscal dividido por la cantidad de acciones emitidas.</t>
  </si>
  <si>
    <t>Fórmula: Precio actual por acción/Flujo Caja Libre por acción
 Se utiliza el flujo de caja libre operativo por acción de los últimos 12 meses, así como el precio actual del activo.</t>
  </si>
  <si>
    <t>Datos Fundamentales</t>
  </si>
  <si>
    <t>Valor Nominal mínimo que es posible adquirir. El precio está expresado en VN 1.</t>
  </si>
  <si>
    <t>Fecha de cierre del trimestre del cual se reportaron los estados contables.</t>
  </si>
  <si>
    <t>Deuda Total/Patrimonio Neto. Se utilizan los datos del último año fiscal.</t>
  </si>
  <si>
    <t>Ap. Finan. (Apalancamiento Financiero)</t>
  </si>
  <si>
    <t>Fórmula: Activo/Patrimonio Neto. 
Se utilizan los datos de los últimos 12 meses.</t>
  </si>
  <si>
    <t>Ac/Pc (Ratio Corriente)</t>
  </si>
  <si>
    <t>Fórmula: Activo Corriente/Pasivo Corriente. 
(Current ratio). Se utilizan los datos de los últimos 12 meses.</t>
  </si>
  <si>
    <t>P. Ácida (Prueba Ácida)</t>
  </si>
  <si>
    <t>Fórmula: (Activo Corriente - Inventarios)/Pasivo Corriente
(Quick ratio). Se utilizan los datos de los últimos 12 meses.</t>
  </si>
  <si>
    <t>V/A (Rotación de Activos)</t>
  </si>
  <si>
    <t>Fórmula: Ventas /Activo Total
Se utilizan las ventas y el activo total d elos últimos 12 meses.</t>
  </si>
  <si>
    <t>x</t>
  </si>
  <si>
    <t>Ciclo Caja (Ciclo de Conversión de Caja)</t>
  </si>
  <si>
    <t>Es el tiempo en días que el efectivo de la empresa se inmoviliza entre el pago de los insumos para la producción y el cobro de la venta del precio resultante.</t>
  </si>
  <si>
    <t>Mg. Brt. (Margen Bruto)</t>
  </si>
  <si>
    <t>Fórmula: (Ventas Netas - Costo de Mercaderías Vendidas)/Ventas Netas
Se utilizan datos de los últimos12 meses. No se calcula en el caso en que el ingreso bruto sea negativo.</t>
  </si>
  <si>
    <t>Mg. Op. (Margen Operativo)</t>
  </si>
  <si>
    <t>Fórmula: Resultado Operativo/Ventas Netas
Se utilizan datos de los últimos 12 meses. No se calcula en el caso en que el ingreso operativo sea negativo.</t>
  </si>
  <si>
    <t>Mg. Neto (Margen Neto)</t>
  </si>
  <si>
    <t>Fórmula: Resultado Neto/Ventas Netas
Se utilizan datos de los últimos 12 meses. No se calcula en el caso en que el ingreso neto sea negativo.</t>
  </si>
  <si>
    <t>Fórmula: Flujo de Caja Libre/Ventas
Para calcular este ratio se utilizan los datos de los últimos 12 meses.</t>
  </si>
  <si>
    <t>ROE (Retorno sobre Patrimonio Neto)</t>
  </si>
  <si>
    <t>Fórmula: Resultado Neto/Patrimonio Neto
Se utiliza el resultado neto excluyendo resultados extraordinarios de los últimos 12 meses, así como el promedio del patrimonio neto del mismo período. El ratio no se calcula en caso en que el patrimonio neto sea negativo.</t>
  </si>
  <si>
    <t>ROA (Retorno sobre Activo)</t>
  </si>
  <si>
    <t xml:space="preserve">Fórmula: Resultado Neto/Activo Total
Se utilizan el resultado neto excluyendo resultados extraordinarios de los últimos 12 meses, así como el promedio del activo del mismo período. </t>
  </si>
  <si>
    <t>EPS (Earnings per share)</t>
  </si>
  <si>
    <t>Fórmula: Resultado neto asignado a accionistas ordinarios/Cantidad de acciones ordinarias
Se utilizan los resultados de los últimos 12 meses.</t>
  </si>
  <si>
    <t>∆ Rdo. Trim. ia.</t>
  </si>
  <si>
    <t>Tasa trimestral interanual del crecimiento del resultado neto, calculado como el ingreso del último trimestre comparado con el ingreso del mismo período del año anterior.</t>
  </si>
  <si>
    <t>Promedio del resultado neto de los últimos 5 años. Expresado en millones de pesos.</t>
  </si>
  <si>
    <t>Tasa promedio anualizada de crecimiento del resultado neto de los últimos 5 años.</t>
  </si>
  <si>
    <t>Medida de dispersión de la tasa anual de crecimiento del resultado neto de los últimos 5 años.</t>
  </si>
  <si>
    <t>Prom. Vtas 5yr (K mill.)</t>
  </si>
  <si>
    <t>Promedio de las ventas de los últimos 5 años expresado en miles de millones de pesos.</t>
  </si>
  <si>
    <t>Promedio del crecimiento de las ventas anuales de los últimos 5 años.</t>
  </si>
  <si>
    <t>Listado de compañías analizadas</t>
  </si>
  <si>
    <t>Empresa</t>
  </si>
  <si>
    <t>AGROMETAL S.A.</t>
  </si>
  <si>
    <t>ALUAR ALUMINIO ARGENTINO S.A.</t>
  </si>
  <si>
    <t>INDU</t>
  </si>
  <si>
    <t>PETROLEO BRASILEIRO S.A.</t>
  </si>
  <si>
    <t>AUTOPISTAS DEL SOL S.A.</t>
  </si>
  <si>
    <t>BANCO HIPOTECARIO S.A.</t>
  </si>
  <si>
    <t>BANCO MACRO S.A.</t>
  </si>
  <si>
    <t>BOLDT S.A.</t>
  </si>
  <si>
    <t>BANCO PATAGONIA S.A.</t>
  </si>
  <si>
    <t>BANCO SANTANDER RIO S.A.</t>
  </si>
  <si>
    <t>BOLSAS Y MERCADOS ARGENTINOS S.A.</t>
  </si>
  <si>
    <t>MERANOL S.A.C.I.</t>
  </si>
  <si>
    <t>CARLOS CASADO S.A.</t>
  </si>
  <si>
    <t>CAPU</t>
  </si>
  <si>
    <t>CAPUTO S.A.</t>
  </si>
  <si>
    <t>CAPEX S.A.</t>
  </si>
  <si>
    <t>CARBOCLOR S. A.</t>
  </si>
  <si>
    <t>ENEL GENERACION COSTANERA S.A.</t>
  </si>
  <si>
    <t>CELULOSA ARGENTINA S.A.</t>
  </si>
  <si>
    <t>CENTRAL PUERTO S.A.</t>
  </si>
  <si>
    <t>CAMUZZI GAS PAMPEANA S.A.</t>
  </si>
  <si>
    <t>COLORIN S.A.</t>
  </si>
  <si>
    <t>SOCIEDAD COMERCIAL DEL PLATA S.A.</t>
  </si>
  <si>
    <t>CRESUD S.A.</t>
  </si>
  <si>
    <t>CONSULTATIO S.A.</t>
  </si>
  <si>
    <t>PSUR</t>
  </si>
  <si>
    <t>CABLEVISION HOLDING S.A.</t>
  </si>
  <si>
    <t>DISTRIBUIDORA DE GAS CUYANA S.A.</t>
  </si>
  <si>
    <t>DOMEC S.A.</t>
  </si>
  <si>
    <t>DYCASA SOCIEDAD ANONIMA</t>
  </si>
  <si>
    <t>EMPRESA DISTRIB. Y COMERCIALZADORA NORTE S.A. (EDENOR S.A.)</t>
  </si>
  <si>
    <t>BODEGAS ESMERALDA S.A.</t>
  </si>
  <si>
    <t>FERRUM S.A.</t>
  </si>
  <si>
    <t>TEF</t>
  </si>
  <si>
    <t>FIPLASTO S.A.</t>
  </si>
  <si>
    <t>FRAN</t>
  </si>
  <si>
    <t>BBVA BANCO FRANCES S. A.</t>
  </si>
  <si>
    <t>GAROVAGLIO Y ZORRAQUIN S. A.</t>
  </si>
  <si>
    <t>GAS NATURAL BAN S.A.</t>
  </si>
  <si>
    <t>GRUPO CLARIN S.A.</t>
  </si>
  <si>
    <t>GRUPO FINANCIERO GALICIA S.A.</t>
  </si>
  <si>
    <t>GRIMOLDI S.A.</t>
  </si>
  <si>
    <t>HOLCIM (Argentina) S.A.</t>
  </si>
  <si>
    <t>HAVANNA HOLDING S.A.</t>
  </si>
  <si>
    <t>Composición de índices</t>
  </si>
  <si>
    <t>Segmento de Negociación por Subastas</t>
  </si>
  <si>
    <t>S&amp;P MERVAL</t>
  </si>
  <si>
    <t>S&amp;P MERVAL AR</t>
  </si>
  <si>
    <t xml:space="preserve"> S&amp;P MERVAL 25</t>
  </si>
  <si>
    <t>Vigente a partir del 11/01/2019</t>
  </si>
  <si>
    <t>SUPV</t>
  </si>
  <si>
    <t>Fuente: Instituto Argentino del Mercado de Capitales</t>
  </si>
  <si>
    <t>Cotización por subasta</t>
  </si>
  <si>
    <t>APBRA </t>
  </si>
  <si>
    <t>Petroleo Brasileiro (Preferidas)</t>
  </si>
  <si>
    <t>EMDE </t>
  </si>
  <si>
    <t>Emdersa</t>
  </si>
  <si>
    <t>LEID </t>
  </si>
  <si>
    <t>LEYDEN ARG.</t>
  </si>
  <si>
    <t>BRIO6 </t>
  </si>
  <si>
    <t>Banco Río de la Plata 6 Votos</t>
  </si>
  <si>
    <t>ESME </t>
  </si>
  <si>
    <t>Bodegas Esmeralda</t>
  </si>
  <si>
    <t>LONG </t>
  </si>
  <si>
    <t>Longvie</t>
  </si>
  <si>
    <t>CAPU </t>
  </si>
  <si>
    <t>Caputo</t>
  </si>
  <si>
    <t>EURO </t>
  </si>
  <si>
    <t>Euromayor</t>
  </si>
  <si>
    <t>MERA </t>
  </si>
  <si>
    <t>COLO </t>
  </si>
  <si>
    <t>Colorín</t>
  </si>
  <si>
    <t>FERR </t>
  </si>
  <si>
    <t>Ferrum</t>
  </si>
  <si>
    <t>MVIA </t>
  </si>
  <si>
    <t>METROVIAS</t>
  </si>
  <si>
    <t>COMO </t>
  </si>
  <si>
    <t>Comodoro Rivadavia</t>
  </si>
  <si>
    <t>FIPL </t>
  </si>
  <si>
    <t>Fiplasto</t>
  </si>
  <si>
    <t>PATR </t>
  </si>
  <si>
    <t>PATRICIOS -NOMINATIVAS</t>
  </si>
  <si>
    <t>DOME </t>
  </si>
  <si>
    <t>Domec</t>
  </si>
  <si>
    <t>GARO </t>
  </si>
  <si>
    <t>Garovaglio y Zorraquin</t>
  </si>
  <si>
    <t>POLL </t>
  </si>
  <si>
    <t>Polledo</t>
  </si>
  <si>
    <t>DSUR </t>
  </si>
  <si>
    <t>EMP.DISTRIB.SUR(EDESUR)</t>
  </si>
  <si>
    <t>GBAN </t>
  </si>
  <si>
    <t>Gas Natural BAN</t>
  </si>
  <si>
    <t>PREN1 </t>
  </si>
  <si>
    <t>Papel Prensa</t>
  </si>
  <si>
    <t>EDLH </t>
  </si>
  <si>
    <t>EDESAL HOLDING S.A.</t>
  </si>
  <si>
    <t>HULI </t>
  </si>
  <si>
    <t>Hulytego S.A.</t>
  </si>
  <si>
    <t>PSUR </t>
  </si>
  <si>
    <t>Petrolera Del Conosur</t>
  </si>
  <si>
    <t>EDSH </t>
  </si>
  <si>
    <t>EDESA HOLDING S.A.</t>
  </si>
  <si>
    <t>INAG </t>
  </si>
  <si>
    <t>Insumos Agroquímicos</t>
  </si>
  <si>
    <t>REGE </t>
  </si>
  <si>
    <t>García Regera</t>
  </si>
  <si>
    <t>ELAP </t>
  </si>
  <si>
    <t>EMP.DISTRIB.LA PLATA(EDELAP)</t>
  </si>
  <si>
    <t>INTR </t>
  </si>
  <si>
    <t>Compania Introductora de Bs As</t>
  </si>
  <si>
    <t>RIGO </t>
  </si>
  <si>
    <t>Rigolleau</t>
  </si>
  <si>
    <t>EMAC </t>
  </si>
  <si>
    <t>ELECTROMAC</t>
  </si>
  <si>
    <t>IRCP </t>
  </si>
  <si>
    <t>Alto Palermo</t>
  </si>
  <si>
    <t>ROSE </t>
  </si>
  <si>
    <t>Instituto Rosenbusch</t>
  </si>
  <si>
    <t>Las acciones han sido ordenadas de acuerdo a su rendimiento a la fecha más reciente del mes en curso en comparación con el mes inmediatamente anterior.</t>
  </si>
  <si>
    <t>José Ignacio Bano</t>
  </si>
  <si>
    <t>Gerente de BI&amp;R</t>
  </si>
  <si>
    <t>jbano@invertironline.com</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</si>
  <si>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pérdida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</si>
  <si>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Flavia Matsuda</t>
  </si>
  <si>
    <t>Coordinadora de Research</t>
  </si>
  <si>
    <t>fmatsuda@invertironline.com</t>
  </si>
  <si>
    <t>Ignacio Solari</t>
  </si>
  <si>
    <t>Analista de Research</t>
  </si>
  <si>
    <t>isolari@invertironline.com</t>
  </si>
  <si>
    <t>@InvertirOnline</t>
  </si>
  <si>
    <t>InvertirOnline.com</t>
  </si>
  <si>
    <t>invertirOnline</t>
  </si>
  <si>
    <t>invertirOnline.com</t>
  </si>
  <si>
    <t>Grales., Comerc. y Admin.</t>
  </si>
  <si>
    <t>Remuneraciones</t>
  </si>
  <si>
    <t>Marketing y Publicidad</t>
  </si>
  <si>
    <t>Depreciación</t>
  </si>
  <si>
    <t>20 de Marzo  de 2020</t>
  </si>
  <si>
    <t/>
  </si>
  <si>
    <t>PGR*</t>
  </si>
  <si>
    <t>INSUMOS AGROQUIMICOS S.A.</t>
  </si>
  <si>
    <t>UNIPAR INDUPA SOCIEDAD ANONIMA INDUSTRIAL Y COMERCIAL</t>
  </si>
  <si>
    <t>COMPAÑIA INTRODUCTORA DE BUENOS AIRES S.A.</t>
  </si>
  <si>
    <t>INVERSORA JURAMENTO S.A.</t>
  </si>
  <si>
    <t>IRSA PROPIEDADES COMERCIALES S.A.</t>
  </si>
  <si>
    <t>IRSA INVERSIONES Y REPRESENTACIONES S.A.</t>
  </si>
  <si>
    <t>LEDESMA S.A.</t>
  </si>
  <si>
    <t>LOMA NEGRA COMPAÑIA INDUSTRIAL ARGENTINA SOCIEDAD ANONIMA</t>
  </si>
  <si>
    <t>LONGVIE S.A.</t>
  </si>
  <si>
    <t>METROGAS S.A.</t>
  </si>
  <si>
    <t>MIRGOR S.A.</t>
  </si>
  <si>
    <t>MOLINOS AGRO S.A.</t>
  </si>
  <si>
    <t>MOLINOS RIO DE LA PLATA S.A.</t>
  </si>
  <si>
    <t>MORIXE HERMANOS S.A.</t>
  </si>
  <si>
    <t>GRUPO CONCESIONARIO DEL OESTE S.A.</t>
  </si>
  <si>
    <t>PAMPA ENERGIA S.A</t>
  </si>
  <si>
    <t>IMPORTADORA Y EXPORTADORA DE LA PATAGONIA S.A.</t>
  </si>
  <si>
    <t>QUICKFOOD S.A.</t>
  </si>
  <si>
    <t>PHOENIX GLOBAL RESOURCES P.L.C.</t>
  </si>
  <si>
    <t>POLLEDO S.A.</t>
  </si>
  <si>
    <t>PETROLERA DEL CONOSUR S.A.</t>
  </si>
  <si>
    <t>LABORATORIOS RICHMOND S.A.C.I.F.</t>
  </si>
  <si>
    <t>RIGOLLEAU S.A.</t>
  </si>
  <si>
    <t>INSTITUTO ROSENBUSCH S.A.</t>
  </si>
  <si>
    <t>S.A. SAN MIGUEL</t>
  </si>
  <si>
    <t>MOLINOS JUAN SEMINO S.A.</t>
  </si>
  <si>
    <t>TELECOM ARGENTINA S. A.</t>
  </si>
  <si>
    <t>TELEFONICA S.A.</t>
  </si>
  <si>
    <t>TGLT S.A.</t>
  </si>
  <si>
    <t>TRANSPORTADORA DE GAS DEL NORTE S.A.</t>
  </si>
  <si>
    <t>TRANSPORTADORA DE GAS DEL SUR S.A.</t>
  </si>
  <si>
    <t>TRANSENER CIA. DE TRANSP. DE ENERGIA ELECTR. EN ALTA TENSION</t>
  </si>
  <si>
    <t>TENARIS S.A.</t>
  </si>
  <si>
    <t>TERNIUM ARGENTINA S.A.</t>
  </si>
  <si>
    <t>GRUPO FINANCIERO VALORES SOCIEDAD ANONIMA</t>
  </si>
  <si>
    <t>YPF S.A.</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</si>
</sst>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0.00_);&quot;&lt;&quot;\-0%"/>
    <numFmt numFmtId="165" formatCode="&quot;&gt;&quot;0%"/>
    <numFmt numFmtId="166" formatCode="_(* #,##0.00_);_(* \(#,##0.00\);_(* &quot;-&quot;??_);_(@_)"/>
    <numFmt numFmtId="167" formatCode="0.0%"/>
    <numFmt numFmtId="168" formatCode="_(* #,##0.0_);_(* \(#,##0.0\);_(* &quot;-&quot;??_);_(@_)"/>
    <numFmt numFmtId="169" formatCode="0.0"/>
    <numFmt numFmtId="170" formatCode="_(* #,##0_);_(* \(#,##0\);_(* &quot;-&quot;??_);_(@_)"/>
    <numFmt numFmtId="171" formatCode="_(* #,##0.0000_);_(* \(#,##0.0000\);_(* &quot;-&quot;??_);_(@_)"/>
    <numFmt numFmtId="172" formatCode="m/d/yy;@"/>
  </numFmts>
  <fonts count="45"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30"/>
      <color theme="1"/>
      <name val="Calibri"/>
      <family val="2"/>
      <scheme val="minor"/>
    </font>
    <font>
      <sz val="22"/>
      <color rgb="FF564585"/>
      <name val="Calibri"/>
      <family val="2"/>
      <scheme val="minor"/>
    </font>
    <font>
      <sz val="14"/>
      <color theme="1"/>
      <name val="Calibri"/>
      <family val="2"/>
      <scheme val="minor"/>
    </font>
    <font>
      <sz val="20"/>
      <color rgb="FF564585"/>
      <name val="Calibri"/>
      <family val="2"/>
      <scheme val="minor"/>
    </font>
    <font>
      <sz val="16"/>
      <color theme="1"/>
      <name val="Calibri"/>
      <family val="2"/>
      <scheme val="minor"/>
    </font>
    <font>
      <sz val="10"/>
      <name val="Arial"/>
      <family val="2"/>
    </font>
    <font>
      <b/>
      <sz val="10"/>
      <color theme="0"/>
      <name val="Calibri"/>
      <family val="2"/>
      <scheme val="minor"/>
    </font>
    <font>
      <sz val="1"/>
      <color rgb="FFF8F8F8"/>
      <name val="Calibri"/>
      <family val="2"/>
      <scheme val="minor"/>
    </font>
    <font>
      <sz val="11"/>
      <name val="Calibri"/>
      <family val="2"/>
      <scheme val="minor"/>
    </font>
    <font>
      <sz val="24"/>
      <color theme="1"/>
      <name val="Calibri"/>
      <family val="2"/>
      <scheme val="minor"/>
    </font>
    <font>
      <b/>
      <i/>
      <sz val="11"/>
      <color theme="1"/>
      <name val="Calibri"/>
      <family val="2"/>
      <scheme val="minor"/>
    </font>
    <font>
      <i/>
      <sz val="11"/>
      <color theme="1"/>
      <name val="Calibri"/>
      <family val="2"/>
      <scheme val="minor"/>
    </font>
    <font>
      <i/>
      <sz val="10"/>
      <color theme="1"/>
      <name val="Calibri"/>
      <family val="2"/>
      <scheme val="minor"/>
    </font>
    <font>
      <sz val="9"/>
      <color theme="1"/>
      <name val="Calibri"/>
      <family val="2"/>
      <scheme val="minor"/>
    </font>
    <font>
      <sz val="9"/>
      <color indexed="81"/>
      <name val="Tahoma"/>
      <family val="2"/>
    </font>
    <font>
      <sz val="20"/>
      <color rgb="FF0278BA"/>
      <name val="Calibri"/>
      <family val="2"/>
      <scheme val="minor"/>
    </font>
    <font>
      <b/>
      <sz val="10"/>
      <color theme="0"/>
      <name val="Calibri"/>
      <family val="2"/>
    </font>
    <font>
      <b/>
      <sz val="9"/>
      <color theme="0"/>
      <name val="Calibri"/>
      <family val="2"/>
      <scheme val="minor"/>
    </font>
    <font>
      <sz val="20"/>
      <color rgb="FF190258"/>
      <name val="Calibri"/>
      <family val="2"/>
      <scheme val="minor"/>
    </font>
    <font>
      <sz val="11"/>
      <color rgb="FF190258"/>
      <name val="Calibri"/>
      <family val="2"/>
      <scheme val="minor"/>
    </font>
    <font>
      <sz val="8"/>
      <color theme="0"/>
      <name val="Calibri"/>
      <family val="2"/>
      <scheme val="minor"/>
    </font>
    <font>
      <sz val="10.5"/>
      <color theme="1"/>
      <name val="Calibri"/>
      <family val="2"/>
      <scheme val="minor"/>
    </font>
    <font>
      <sz val="8"/>
      <color theme="1"/>
      <name val="Calibri"/>
      <family val="2"/>
      <scheme val="minor"/>
    </font>
    <font>
      <b/>
      <sz val="10.5"/>
      <color theme="1"/>
      <name val="Calibri"/>
      <family val="2"/>
      <scheme val="minor"/>
    </font>
    <font>
      <u/>
      <sz val="11"/>
      <color theme="1"/>
      <name val="Calibri"/>
      <family val="2"/>
      <scheme val="minor"/>
    </font>
    <font>
      <b/>
      <sz val="11"/>
      <name val="Calibri"/>
      <family val="2"/>
      <scheme val="minor"/>
    </font>
    <font>
      <sz val="10"/>
      <name val="Calibri"/>
      <family val="2"/>
      <scheme val="minor"/>
    </font>
    <font>
      <sz val="10"/>
      <color theme="1"/>
      <name val="Calibri"/>
      <family val="2"/>
      <scheme val="minor"/>
    </font>
    <font>
      <b/>
      <sz val="10"/>
      <color theme="1"/>
      <name val="Calibri"/>
      <family val="2"/>
      <scheme val="minor"/>
    </font>
    <font>
      <u/>
      <sz val="12"/>
      <name val="Calibri"/>
      <family val="2"/>
      <scheme val="minor"/>
    </font>
    <font>
      <b/>
      <u/>
      <sz val="12"/>
      <name val="Calibri"/>
      <family val="2"/>
      <scheme val="minor"/>
    </font>
    <font>
      <sz val="8"/>
      <name val="Calibri"/>
      <family val="2"/>
      <scheme val="minor"/>
    </font>
    <font>
      <sz val="8"/>
      <name val="Arial"/>
      <family val="2"/>
    </font>
    <font>
      <b/>
      <sz val="14"/>
      <name val="Calibri"/>
      <family val="2"/>
      <scheme val="minor"/>
    </font>
    <font>
      <sz val="12"/>
      <name val="Arial"/>
      <family val="2"/>
    </font>
    <font>
      <sz val="12"/>
      <name val="Calibri"/>
      <family val="2"/>
      <scheme val="minor"/>
    </font>
    <font>
      <sz val="12"/>
      <color theme="1"/>
      <name val="Calibri"/>
      <family val="2"/>
      <scheme val="minor"/>
    </font>
    <font>
      <sz val="12"/>
      <color rgb="FFFF0000"/>
      <name val="Calibri"/>
      <family val="2"/>
      <scheme val="minor"/>
    </font>
    <font>
      <sz val="10"/>
      <color rgb="FFFF0000"/>
      <name val="Arial"/>
      <family val="2"/>
    </font>
    <font>
      <sz val="8.5"/>
      <name val="Calibri"/>
      <family val="2"/>
      <scheme val="minor"/>
    </font>
    <font>
      <sz val="9"/>
      <name val="Calibri"/>
      <family val="2"/>
      <scheme val="minor"/>
    </font>
  </fonts>
  <fills count="9">
    <fill>
      <patternFill patternType="none"/>
    </fill>
    <fill>
      <patternFill patternType="gray125"/>
    </fill>
    <fill>
      <patternFill patternType="solid">
        <fgColor rgb="FF564585"/>
        <bgColor indexed="64"/>
      </patternFill>
    </fill>
    <fill>
      <patternFill patternType="solid">
        <fgColor theme="0" tint="-0.34998626667073579"/>
        <bgColor indexed="64"/>
      </patternFill>
    </fill>
    <fill>
      <patternFill patternType="solid">
        <fgColor rgb="FFFFFF00"/>
        <bgColor indexed="64"/>
      </patternFill>
    </fill>
    <fill>
      <patternFill patternType="solid">
        <fgColor rgb="FF0278BA"/>
        <bgColor indexed="64"/>
      </patternFill>
    </fill>
    <fill>
      <patternFill patternType="solid">
        <fgColor rgb="FF190258"/>
        <bgColor indexed="64"/>
      </patternFill>
    </fill>
    <fill>
      <patternFill patternType="solid">
        <fgColor theme="0" tint="-4.9989318521683403E-2"/>
        <bgColor indexed="64"/>
      </patternFill>
    </fill>
    <fill>
      <patternFill patternType="solid">
        <fgColor theme="7" tint="0.59999389629810485"/>
        <bgColor indexed="64"/>
      </patternFill>
    </fill>
  </fills>
  <borders count="25">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top/>
      <bottom style="thin">
        <color indexed="64"/>
      </bottom>
      <diagonal/>
    </border>
    <border>
      <left/>
      <right style="thin">
        <color indexed="64"/>
      </right>
      <top/>
      <bottom/>
      <diagonal/>
    </border>
    <border>
      <left style="thin">
        <color indexed="64"/>
      </left>
      <right/>
      <top/>
      <bottom style="thin">
        <color indexed="64"/>
      </bottom>
      <diagonal/>
    </border>
    <border>
      <left style="thin">
        <color theme="0"/>
      </left>
      <right/>
      <top style="thin">
        <color theme="0"/>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right/>
      <top style="thin">
        <color theme="0"/>
      </top>
      <bottom/>
      <diagonal/>
    </border>
    <border>
      <left style="thin">
        <color theme="0"/>
      </left>
      <right/>
      <top/>
      <bottom style="thin">
        <color theme="0"/>
      </bottom>
      <diagonal/>
    </border>
    <border>
      <left style="thin">
        <color theme="0"/>
      </left>
      <right style="thin">
        <color theme="0"/>
      </right>
      <top/>
      <bottom style="thin">
        <color theme="0"/>
      </bottom>
      <diagonal/>
    </border>
    <border>
      <left/>
      <right/>
      <top/>
      <bottom style="thin">
        <color theme="0"/>
      </bottom>
      <diagonal/>
    </border>
    <border>
      <left/>
      <right/>
      <top style="thin">
        <color indexed="64"/>
      </top>
      <bottom style="thin">
        <color indexed="64"/>
      </bottom>
      <diagonal/>
    </border>
    <border>
      <left/>
      <right style="thin">
        <color theme="0"/>
      </right>
      <top style="thin">
        <color theme="0"/>
      </top>
      <bottom/>
      <diagonal/>
    </border>
    <border>
      <left style="thin">
        <color theme="0"/>
      </left>
      <right/>
      <top/>
      <bottom/>
      <diagonal/>
    </border>
  </borders>
  <cellStyleXfs count="4">
    <xf numFmtId="0" fontId="0" fillId="0" borderId="0"/>
    <xf numFmtId="166" fontId="1" fillId="0" borderId="0" applyFont="0" applyFill="0" applyBorder="0" applyAlignment="0" applyProtection="0"/>
    <xf numFmtId="9" fontId="1" fillId="0" borderId="0" applyFont="0" applyFill="0" applyBorder="0" applyAlignment="0" applyProtection="0"/>
    <xf numFmtId="0" fontId="9" fillId="0" borderId="0"/>
  </cellStyleXfs>
  <cellXfs count="340">
    <xf numFmtId="0" fontId="0" fillId="0" borderId="0" xfId="0"/>
    <xf numFmtId="14" fontId="0" fillId="0" borderId="0" xfId="0" applyNumberFormat="1"/>
    <xf numFmtId="0" fontId="4" fillId="0" borderId="0" xfId="0" applyFont="1"/>
    <xf numFmtId="0" fontId="5" fillId="0" borderId="0" xfId="0" applyFont="1"/>
    <xf numFmtId="0" fontId="6" fillId="0" borderId="0" xfId="0" applyFont="1" applyAlignment="1">
      <alignment vertical="center"/>
    </xf>
    <xf numFmtId="0" fontId="0" fillId="0" borderId="0" xfId="0" applyAlignment="1">
      <alignment vertical="center"/>
    </xf>
    <xf numFmtId="0" fontId="7" fillId="0" borderId="0" xfId="0" applyFont="1"/>
    <xf numFmtId="164" fontId="8" fillId="0" borderId="1" xfId="2" applyNumberFormat="1" applyFont="1" applyFill="1" applyBorder="1" applyAlignment="1">
      <alignment horizontal="center" vertical="center"/>
    </xf>
    <xf numFmtId="9" fontId="8" fillId="0" borderId="2" xfId="2" applyFont="1" applyFill="1" applyBorder="1" applyAlignment="1">
      <alignment horizontal="center" vertical="center"/>
    </xf>
    <xf numFmtId="165" fontId="8" fillId="0" borderId="3" xfId="2" applyNumberFormat="1" applyFont="1" applyFill="1" applyBorder="1" applyAlignment="1">
      <alignment horizontal="center" vertical="center"/>
    </xf>
    <xf numFmtId="0" fontId="10" fillId="2" borderId="4" xfId="3" applyFont="1" applyFill="1" applyBorder="1" applyAlignment="1">
      <alignment horizontal="center" vertical="center"/>
    </xf>
    <xf numFmtId="0" fontId="10" fillId="2" borderId="4" xfId="3" applyFont="1" applyFill="1" applyBorder="1" applyAlignment="1">
      <alignment horizontal="center" vertical="center" wrapText="1"/>
    </xf>
    <xf numFmtId="0" fontId="10" fillId="2" borderId="6" xfId="3" applyFont="1" applyFill="1" applyBorder="1" applyAlignment="1">
      <alignment horizontal="center" vertical="center"/>
    </xf>
    <xf numFmtId="0" fontId="10" fillId="2" borderId="6" xfId="3" applyFont="1" applyFill="1" applyBorder="1" applyAlignment="1">
      <alignment horizontal="center" vertical="center" wrapText="1"/>
    </xf>
    <xf numFmtId="0" fontId="10" fillId="2" borderId="7" xfId="3" applyFont="1" applyFill="1" applyBorder="1" applyAlignment="1">
      <alignment horizontal="center" vertical="center" wrapText="1"/>
    </xf>
    <xf numFmtId="0" fontId="10" fillId="2" borderId="8" xfId="3" applyFont="1" applyFill="1" applyBorder="1" applyAlignment="1">
      <alignment horizontal="center" vertical="center" wrapText="1"/>
    </xf>
    <xf numFmtId="0" fontId="10" fillId="2" borderId="9" xfId="3" applyFont="1" applyFill="1" applyBorder="1" applyAlignment="1">
      <alignment horizontal="center" vertical="center"/>
    </xf>
    <xf numFmtId="0" fontId="10" fillId="2" borderId="9" xfId="3" applyFont="1" applyFill="1" applyBorder="1" applyAlignment="1">
      <alignment horizontal="center" vertical="center" wrapText="1"/>
    </xf>
    <xf numFmtId="0" fontId="10" fillId="2" borderId="10" xfId="3" applyFont="1" applyFill="1" applyBorder="1" applyAlignment="1">
      <alignment horizontal="center" vertical="center" wrapText="1"/>
    </xf>
    <xf numFmtId="0" fontId="0" fillId="0" borderId="8" xfId="0" applyFill="1" applyBorder="1"/>
    <xf numFmtId="10" fontId="1" fillId="0" borderId="4" xfId="2" applyNumberFormat="1" applyFont="1" applyFill="1" applyBorder="1" applyAlignment="1">
      <alignment horizontal="center" vertical="center"/>
    </xf>
    <xf numFmtId="9" fontId="11" fillId="0" borderId="0" xfId="2" applyFont="1"/>
    <xf numFmtId="0" fontId="0" fillId="0" borderId="0" xfId="0" applyFill="1" applyBorder="1" applyAlignment="1">
      <alignment horizontal="right"/>
    </xf>
    <xf numFmtId="0" fontId="0" fillId="0" borderId="0" xfId="0" applyBorder="1"/>
    <xf numFmtId="166" fontId="0" fillId="0" borderId="0" xfId="1" applyFont="1"/>
    <xf numFmtId="0" fontId="0" fillId="0" borderId="0" xfId="0" quotePrefix="1"/>
    <xf numFmtId="0" fontId="0" fillId="0" borderId="0" xfId="0" applyBorder="1" applyAlignment="1">
      <alignment horizontal="right"/>
    </xf>
    <xf numFmtId="0" fontId="0" fillId="0" borderId="11" xfId="0" applyFill="1" applyBorder="1"/>
    <xf numFmtId="9" fontId="1" fillId="0" borderId="4" xfId="2" applyNumberFormat="1" applyFont="1" applyFill="1" applyBorder="1" applyAlignment="1">
      <alignment horizontal="center" vertical="center"/>
    </xf>
    <xf numFmtId="0" fontId="0" fillId="0" borderId="9" xfId="0" applyFill="1" applyBorder="1" applyAlignment="1">
      <alignment horizontal="right"/>
    </xf>
    <xf numFmtId="0" fontId="0" fillId="0" borderId="9" xfId="0" applyBorder="1"/>
    <xf numFmtId="0" fontId="0" fillId="0" borderId="0" xfId="0" applyFill="1"/>
    <xf numFmtId="10" fontId="12" fillId="0" borderId="0" xfId="2" applyNumberFormat="1" applyFont="1" applyBorder="1" applyAlignment="1">
      <alignment horizontal="center"/>
    </xf>
    <xf numFmtId="9" fontId="0" fillId="0" borderId="0" xfId="2" applyFont="1"/>
    <xf numFmtId="0" fontId="13" fillId="0" borderId="0" xfId="0" applyFont="1"/>
    <xf numFmtId="0" fontId="10" fillId="2" borderId="12" xfId="3" applyFont="1" applyFill="1" applyBorder="1" applyAlignment="1">
      <alignment horizontal="center" vertical="center"/>
    </xf>
    <xf numFmtId="0" fontId="10" fillId="2" borderId="13" xfId="3" applyFont="1" applyFill="1" applyBorder="1" applyAlignment="1">
      <alignment horizontal="center" vertical="center"/>
    </xf>
    <xf numFmtId="0" fontId="10" fillId="2" borderId="14" xfId="3" applyFont="1" applyFill="1" applyBorder="1" applyAlignment="1">
      <alignment horizontal="center" vertical="center"/>
    </xf>
    <xf numFmtId="0" fontId="10" fillId="2" borderId="15" xfId="3" applyFont="1" applyFill="1" applyBorder="1" applyAlignment="1">
      <alignment horizontal="center" vertical="center"/>
    </xf>
    <xf numFmtId="0" fontId="10" fillId="2" borderId="16" xfId="3" applyFont="1" applyFill="1" applyBorder="1" applyAlignment="1">
      <alignment horizontal="center" vertical="center"/>
    </xf>
    <xf numFmtId="0" fontId="10" fillId="2" borderId="17" xfId="3" applyFont="1" applyFill="1" applyBorder="1" applyAlignment="1">
      <alignment horizontal="center" vertical="center" wrapText="1"/>
    </xf>
    <xf numFmtId="0" fontId="10" fillId="2" borderId="13" xfId="3" applyFont="1" applyFill="1" applyBorder="1" applyAlignment="1">
      <alignment horizontal="center" vertical="center" wrapText="1"/>
    </xf>
    <xf numFmtId="0" fontId="10" fillId="2" borderId="18" xfId="3" applyFont="1" applyFill="1" applyBorder="1" applyAlignment="1">
      <alignment horizontal="center" vertical="center"/>
    </xf>
    <xf numFmtId="0" fontId="10" fillId="2" borderId="19" xfId="3" applyFont="1" applyFill="1" applyBorder="1" applyAlignment="1">
      <alignment horizontal="center" vertical="center"/>
    </xf>
    <xf numFmtId="0" fontId="10" fillId="2" borderId="13" xfId="3" applyFont="1" applyFill="1" applyBorder="1" applyAlignment="1">
      <alignment horizontal="center" vertical="center"/>
    </xf>
    <xf numFmtId="0" fontId="10" fillId="2" borderId="13" xfId="3" applyFont="1" applyFill="1" applyBorder="1" applyAlignment="1">
      <alignment horizontal="center" vertical="center" wrapText="1"/>
    </xf>
    <xf numFmtId="0" fontId="10" fillId="2" borderId="20" xfId="3" applyFont="1" applyFill="1" applyBorder="1" applyAlignment="1">
      <alignment horizontal="center" vertical="center" wrapText="1"/>
    </xf>
    <xf numFmtId="0" fontId="10" fillId="2" borderId="13" xfId="3" applyFont="1" applyFill="1" applyBorder="1" applyAlignment="1">
      <alignment vertical="center" wrapText="1"/>
    </xf>
    <xf numFmtId="0" fontId="10" fillId="2" borderId="13" xfId="3" applyNumberFormat="1" applyFont="1" applyFill="1" applyBorder="1" applyAlignment="1">
      <alignment horizontal="center" vertical="center" wrapText="1"/>
    </xf>
    <xf numFmtId="0" fontId="10" fillId="2" borderId="21" xfId="3" applyFont="1" applyFill="1" applyBorder="1" applyAlignment="1">
      <alignment horizontal="center" vertical="center"/>
    </xf>
    <xf numFmtId="0" fontId="14" fillId="3" borderId="0" xfId="0" applyFont="1" applyFill="1"/>
    <xf numFmtId="0" fontId="0" fillId="3" borderId="0" xfId="0" applyFill="1"/>
    <xf numFmtId="0" fontId="0" fillId="0" borderId="0" xfId="0" applyAlignment="1">
      <alignment horizontal="center"/>
    </xf>
    <xf numFmtId="166" fontId="0" fillId="0" borderId="0" xfId="1" applyFont="1" applyAlignment="1">
      <alignment horizontal="center" vertical="center"/>
    </xf>
    <xf numFmtId="167" fontId="0" fillId="0" borderId="0" xfId="2" applyNumberFormat="1" applyFont="1" applyAlignment="1">
      <alignment horizontal="center"/>
    </xf>
    <xf numFmtId="9" fontId="0" fillId="0" borderId="0" xfId="2" applyFont="1" applyAlignment="1">
      <alignment horizontal="center"/>
    </xf>
    <xf numFmtId="10" fontId="0" fillId="0" borderId="0" xfId="2" applyNumberFormat="1" applyFont="1" applyAlignment="1">
      <alignment horizontal="center"/>
    </xf>
    <xf numFmtId="166" fontId="0" fillId="0" borderId="0" xfId="1" applyFont="1" applyAlignment="1">
      <alignment horizontal="center"/>
    </xf>
    <xf numFmtId="9" fontId="0" fillId="0" borderId="0" xfId="2" applyNumberFormat="1" applyFont="1" applyAlignment="1">
      <alignment horizontal="center"/>
    </xf>
    <xf numFmtId="168" fontId="0" fillId="0" borderId="0" xfId="1" applyNumberFormat="1" applyFont="1" applyAlignment="1">
      <alignment horizontal="center"/>
    </xf>
    <xf numFmtId="0" fontId="0" fillId="0" borderId="0" xfId="0" applyAlignment="1">
      <alignment horizontal="right"/>
    </xf>
    <xf numFmtId="168" fontId="0" fillId="0" borderId="9" xfId="1" applyNumberFormat="1" applyFont="1" applyBorder="1" applyAlignment="1">
      <alignment horizontal="center"/>
    </xf>
    <xf numFmtId="0" fontId="15" fillId="0" borderId="6" xfId="0" applyFont="1" applyBorder="1"/>
    <xf numFmtId="0" fontId="0" fillId="0" borderId="6" xfId="0" applyBorder="1"/>
    <xf numFmtId="167" fontId="0" fillId="0" borderId="6" xfId="0" applyNumberFormat="1" applyFont="1" applyBorder="1" applyAlignment="1">
      <alignment horizontal="center"/>
    </xf>
    <xf numFmtId="9" fontId="0" fillId="0" borderId="6" xfId="0" applyNumberFormat="1" applyFont="1" applyBorder="1" applyAlignment="1">
      <alignment horizontal="center"/>
    </xf>
    <xf numFmtId="166" fontId="0" fillId="0" borderId="6" xfId="1" applyFont="1" applyBorder="1" applyAlignment="1">
      <alignment horizontal="center"/>
    </xf>
    <xf numFmtId="168" fontId="0" fillId="0" borderId="6" xfId="1" applyNumberFormat="1" applyFont="1" applyBorder="1" applyAlignment="1">
      <alignment horizontal="center"/>
    </xf>
    <xf numFmtId="2" fontId="0" fillId="0" borderId="6" xfId="0" applyNumberFormat="1" applyFont="1" applyBorder="1" applyAlignment="1">
      <alignment horizontal="center"/>
    </xf>
    <xf numFmtId="168" fontId="0" fillId="0" borderId="6" xfId="0" applyNumberFormat="1" applyFont="1" applyBorder="1" applyAlignment="1">
      <alignment horizontal="center"/>
    </xf>
    <xf numFmtId="169" fontId="0" fillId="0" borderId="6" xfId="0" applyNumberFormat="1" applyFont="1" applyBorder="1" applyAlignment="1">
      <alignment horizontal="center"/>
    </xf>
    <xf numFmtId="0" fontId="15" fillId="0" borderId="6" xfId="0" applyFont="1" applyBorder="1" applyAlignment="1">
      <alignment horizontal="right"/>
    </xf>
    <xf numFmtId="9" fontId="0" fillId="0" borderId="0" xfId="2" applyNumberFormat="1" applyFont="1"/>
    <xf numFmtId="168" fontId="0" fillId="0" borderId="0" xfId="1" applyNumberFormat="1" applyFont="1"/>
    <xf numFmtId="167" fontId="0" fillId="0" borderId="0" xfId="2" applyNumberFormat="1" applyFont="1"/>
    <xf numFmtId="0" fontId="3" fillId="3" borderId="0" xfId="0" applyFont="1" applyFill="1"/>
    <xf numFmtId="9" fontId="3" fillId="3" borderId="0" xfId="2" applyFont="1" applyFill="1"/>
    <xf numFmtId="166" fontId="3" fillId="3" borderId="0" xfId="1" applyFont="1" applyFill="1"/>
    <xf numFmtId="9" fontId="3" fillId="3" borderId="0" xfId="2" applyNumberFormat="1" applyFont="1" applyFill="1"/>
    <xf numFmtId="168" fontId="3" fillId="3" borderId="0" xfId="1" applyNumberFormat="1" applyFont="1" applyFill="1"/>
    <xf numFmtId="167" fontId="3" fillId="3" borderId="0" xfId="2" applyNumberFormat="1" applyFont="1" applyFill="1"/>
    <xf numFmtId="0" fontId="3" fillId="3" borderId="0" xfId="0" applyFont="1" applyFill="1" applyAlignment="1">
      <alignment horizontal="right"/>
    </xf>
    <xf numFmtId="166" fontId="0" fillId="4" borderId="0" xfId="1" applyFont="1" applyFill="1"/>
    <xf numFmtId="170" fontId="0" fillId="0" borderId="0" xfId="1" applyNumberFormat="1" applyFont="1"/>
    <xf numFmtId="171" fontId="0" fillId="4" borderId="0" xfId="1" applyNumberFormat="1" applyFont="1" applyFill="1"/>
    <xf numFmtId="0" fontId="10" fillId="2" borderId="18" xfId="3" applyFont="1" applyFill="1" applyBorder="1" applyAlignment="1">
      <alignment horizontal="right" vertical="center"/>
    </xf>
    <xf numFmtId="0" fontId="10" fillId="2" borderId="21" xfId="3" applyFont="1" applyFill="1" applyBorder="1" applyAlignment="1">
      <alignment horizontal="right" vertical="center"/>
    </xf>
    <xf numFmtId="166" fontId="0" fillId="0" borderId="6" xfId="1" applyNumberFormat="1" applyFont="1" applyBorder="1" applyAlignment="1">
      <alignment horizontal="center"/>
    </xf>
    <xf numFmtId="167" fontId="0" fillId="0" borderId="6" xfId="2" applyNumberFormat="1" applyFont="1" applyBorder="1" applyAlignment="1">
      <alignment horizontal="center"/>
    </xf>
    <xf numFmtId="166" fontId="0" fillId="0" borderId="0" xfId="1" applyFont="1" applyAlignment="1"/>
    <xf numFmtId="0" fontId="15" fillId="0" borderId="0" xfId="0" applyFont="1" applyBorder="1"/>
    <xf numFmtId="167" fontId="0" fillId="0" borderId="0" xfId="2" applyNumberFormat="1" applyFont="1" applyBorder="1"/>
    <xf numFmtId="9" fontId="0" fillId="0" borderId="0" xfId="2" applyFont="1" applyBorder="1"/>
    <xf numFmtId="166" fontId="0" fillId="0" borderId="0" xfId="1" applyFont="1" applyBorder="1"/>
    <xf numFmtId="9" fontId="0" fillId="0" borderId="0" xfId="2" applyNumberFormat="1" applyFont="1" applyBorder="1"/>
    <xf numFmtId="168" fontId="0" fillId="0" borderId="0" xfId="1" applyNumberFormat="1" applyFont="1" applyBorder="1"/>
    <xf numFmtId="0" fontId="15" fillId="0" borderId="0" xfId="0" applyFont="1" applyBorder="1" applyAlignment="1">
      <alignment horizontal="right"/>
    </xf>
    <xf numFmtId="0" fontId="10" fillId="2" borderId="17" xfId="3" applyFont="1" applyFill="1" applyBorder="1" applyAlignment="1">
      <alignment horizontal="center" vertical="center"/>
    </xf>
    <xf numFmtId="0" fontId="10" fillId="2" borderId="12" xfId="3" applyFont="1" applyFill="1" applyBorder="1" applyAlignment="1">
      <alignment horizontal="right" vertical="center"/>
    </xf>
    <xf numFmtId="0" fontId="10" fillId="2" borderId="20" xfId="3" applyFont="1" applyFill="1" applyBorder="1" applyAlignment="1">
      <alignment horizontal="center" vertical="center"/>
    </xf>
    <xf numFmtId="0" fontId="10" fillId="2" borderId="19" xfId="3" applyFont="1" applyFill="1" applyBorder="1" applyAlignment="1">
      <alignment horizontal="right" vertical="center"/>
    </xf>
    <xf numFmtId="170" fontId="0" fillId="0" borderId="0" xfId="1" applyNumberFormat="1" applyFont="1" applyAlignment="1">
      <alignment horizontal="center"/>
    </xf>
    <xf numFmtId="170" fontId="0" fillId="0" borderId="6" xfId="1" applyNumberFormat="1" applyFont="1" applyBorder="1" applyAlignment="1">
      <alignment horizontal="center"/>
    </xf>
    <xf numFmtId="0" fontId="15" fillId="0" borderId="22" xfId="0" applyFont="1" applyBorder="1"/>
    <xf numFmtId="0" fontId="0" fillId="0" borderId="22" xfId="0" applyBorder="1"/>
    <xf numFmtId="167" fontId="0" fillId="0" borderId="22" xfId="0" applyNumberFormat="1" applyFont="1" applyBorder="1" applyAlignment="1">
      <alignment horizontal="center"/>
    </xf>
    <xf numFmtId="9" fontId="0" fillId="0" borderId="22" xfId="0" applyNumberFormat="1" applyFont="1" applyBorder="1" applyAlignment="1">
      <alignment horizontal="center"/>
    </xf>
    <xf numFmtId="166" fontId="0" fillId="0" borderId="22" xfId="1" applyFont="1" applyBorder="1" applyAlignment="1">
      <alignment horizontal="center"/>
    </xf>
    <xf numFmtId="168" fontId="0" fillId="0" borderId="22" xfId="1" applyNumberFormat="1" applyFont="1" applyBorder="1" applyAlignment="1">
      <alignment horizontal="center"/>
    </xf>
    <xf numFmtId="168" fontId="0" fillId="0" borderId="22" xfId="0" applyNumberFormat="1" applyFont="1" applyBorder="1" applyAlignment="1">
      <alignment horizontal="center"/>
    </xf>
    <xf numFmtId="0" fontId="15" fillId="0" borderId="22" xfId="0" applyFont="1" applyBorder="1" applyAlignment="1">
      <alignment horizontal="right"/>
    </xf>
    <xf numFmtId="0" fontId="16" fillId="0" borderId="0" xfId="0" applyFont="1"/>
    <xf numFmtId="0" fontId="1" fillId="0" borderId="0" xfId="1" applyNumberFormat="1" applyFont="1" applyAlignment="1">
      <alignment horizontal="center"/>
    </xf>
    <xf numFmtId="0" fontId="15" fillId="0" borderId="0" xfId="0" applyFont="1" applyAlignment="1">
      <alignment horizontal="right"/>
    </xf>
    <xf numFmtId="0" fontId="17" fillId="0" borderId="0" xfId="1" applyNumberFormat="1" applyFont="1"/>
    <xf numFmtId="0" fontId="15" fillId="0" borderId="0" xfId="0" applyFont="1"/>
    <xf numFmtId="0" fontId="19" fillId="0" borderId="0" xfId="0" applyFont="1"/>
    <xf numFmtId="0" fontId="10" fillId="5" borderId="12" xfId="3" applyFont="1" applyFill="1" applyBorder="1" applyAlignment="1">
      <alignment horizontal="center" vertical="center"/>
    </xf>
    <xf numFmtId="0" fontId="10" fillId="5" borderId="17" xfId="3" applyFont="1" applyFill="1" applyBorder="1" applyAlignment="1">
      <alignment horizontal="center" vertical="center"/>
    </xf>
    <xf numFmtId="0" fontId="10" fillId="5" borderId="17" xfId="3" applyFont="1" applyFill="1" applyBorder="1" applyAlignment="1">
      <alignment horizontal="center" vertical="center" wrapText="1"/>
    </xf>
    <xf numFmtId="0" fontId="10" fillId="5" borderId="14" xfId="3" applyFont="1" applyFill="1" applyBorder="1" applyAlignment="1">
      <alignment horizontal="center" vertical="center"/>
    </xf>
    <xf numFmtId="0" fontId="10" fillId="5" borderId="15" xfId="3" applyFont="1" applyFill="1" applyBorder="1" applyAlignment="1">
      <alignment horizontal="center" vertical="center"/>
    </xf>
    <xf numFmtId="0" fontId="10" fillId="5" borderId="16" xfId="3" applyFont="1" applyFill="1" applyBorder="1" applyAlignment="1">
      <alignment horizontal="center" vertical="center"/>
    </xf>
    <xf numFmtId="0" fontId="10" fillId="5" borderId="19" xfId="3" applyFont="1" applyFill="1" applyBorder="1" applyAlignment="1">
      <alignment horizontal="center" vertical="center"/>
    </xf>
    <xf numFmtId="0" fontId="10" fillId="5" borderId="20" xfId="3" applyFont="1" applyFill="1" applyBorder="1" applyAlignment="1">
      <alignment horizontal="center" vertical="center"/>
    </xf>
    <xf numFmtId="0" fontId="10" fillId="5" borderId="20" xfId="3" applyFont="1" applyFill="1" applyBorder="1" applyAlignment="1">
      <alignment horizontal="center" vertical="center" wrapText="1"/>
    </xf>
    <xf numFmtId="0" fontId="10" fillId="5" borderId="14" xfId="3" applyFont="1" applyFill="1" applyBorder="1" applyAlignment="1">
      <alignment horizontal="center" vertical="center" wrapText="1"/>
    </xf>
    <xf numFmtId="0" fontId="10" fillId="5" borderId="13" xfId="3" applyFont="1" applyFill="1" applyBorder="1" applyAlignment="1">
      <alignment horizontal="center" vertical="center" wrapText="1"/>
    </xf>
    <xf numFmtId="0" fontId="21" fillId="5" borderId="13" xfId="3" applyFont="1" applyFill="1" applyBorder="1" applyAlignment="1">
      <alignment horizontal="center" vertical="center" wrapText="1"/>
    </xf>
    <xf numFmtId="0" fontId="21" fillId="5" borderId="13" xfId="3" applyNumberFormat="1" applyFont="1" applyFill="1" applyBorder="1" applyAlignment="1">
      <alignment horizontal="center" vertical="center" wrapText="1"/>
    </xf>
    <xf numFmtId="2" fontId="17" fillId="0" borderId="0" xfId="0" applyNumberFormat="1" applyFont="1"/>
    <xf numFmtId="172" fontId="0" fillId="0" borderId="0" xfId="0" applyNumberFormat="1" applyAlignment="1">
      <alignment horizontal="right"/>
    </xf>
    <xf numFmtId="166" fontId="0" fillId="0" borderId="0" xfId="1" applyFont="1" applyAlignment="1">
      <alignment horizontal="right"/>
    </xf>
    <xf numFmtId="9" fontId="0" fillId="0" borderId="0" xfId="2" applyNumberFormat="1" applyFont="1" applyAlignment="1">
      <alignment horizontal="right"/>
    </xf>
    <xf numFmtId="170" fontId="0" fillId="0" borderId="0" xfId="1" applyNumberFormat="1" applyFont="1" applyAlignment="1">
      <alignment horizontal="right"/>
    </xf>
    <xf numFmtId="167" fontId="0" fillId="0" borderId="0" xfId="2" applyNumberFormat="1" applyFont="1" applyAlignment="1">
      <alignment horizontal="right"/>
    </xf>
    <xf numFmtId="166" fontId="0" fillId="0" borderId="0" xfId="1" applyFont="1" applyAlignment="1">
      <alignment horizontal="right" vertical="center"/>
    </xf>
    <xf numFmtId="0" fontId="0" fillId="0" borderId="6" xfId="0" applyBorder="1" applyAlignment="1">
      <alignment horizontal="right"/>
    </xf>
    <xf numFmtId="166" fontId="0" fillId="0" borderId="6" xfId="1" applyFont="1" applyBorder="1" applyAlignment="1">
      <alignment horizontal="right" vertical="center"/>
    </xf>
    <xf numFmtId="166" fontId="0" fillId="0" borderId="6" xfId="1" applyFont="1" applyBorder="1" applyAlignment="1">
      <alignment horizontal="right"/>
    </xf>
    <xf numFmtId="9" fontId="0" fillId="0" borderId="6" xfId="2" applyNumberFormat="1" applyFont="1" applyBorder="1" applyAlignment="1">
      <alignment horizontal="right"/>
    </xf>
    <xf numFmtId="170" fontId="0" fillId="0" borderId="6" xfId="1" applyNumberFormat="1" applyFont="1" applyBorder="1" applyAlignment="1">
      <alignment horizontal="right"/>
    </xf>
    <xf numFmtId="167" fontId="0" fillId="0" borderId="6" xfId="2" applyNumberFormat="1" applyFont="1" applyBorder="1" applyAlignment="1">
      <alignment horizontal="right"/>
    </xf>
    <xf numFmtId="168" fontId="0" fillId="0" borderId="6" xfId="1" applyNumberFormat="1" applyFont="1" applyBorder="1"/>
    <xf numFmtId="166" fontId="3" fillId="3" borderId="0" xfId="1" applyFont="1" applyFill="1" applyAlignment="1">
      <alignment horizontal="right" vertical="center"/>
    </xf>
    <xf numFmtId="166" fontId="3" fillId="3" borderId="0" xfId="1" applyFont="1" applyFill="1" applyAlignment="1">
      <alignment horizontal="right"/>
    </xf>
    <xf numFmtId="9" fontId="3" fillId="3" borderId="0" xfId="2" applyNumberFormat="1" applyFont="1" applyFill="1" applyAlignment="1">
      <alignment horizontal="right"/>
    </xf>
    <xf numFmtId="170" fontId="3" fillId="3" borderId="0" xfId="1" applyNumberFormat="1" applyFont="1" applyFill="1" applyAlignment="1">
      <alignment horizontal="right"/>
    </xf>
    <xf numFmtId="167" fontId="3" fillId="3" borderId="0" xfId="2" applyNumberFormat="1" applyFont="1" applyFill="1" applyAlignment="1">
      <alignment horizontal="right"/>
    </xf>
    <xf numFmtId="168" fontId="0" fillId="0" borderId="0" xfId="1" applyNumberFormat="1" applyFont="1" applyAlignment="1">
      <alignment horizontal="right"/>
    </xf>
    <xf numFmtId="172" fontId="0" fillId="0" borderId="6" xfId="0" applyNumberFormat="1" applyBorder="1" applyAlignment="1">
      <alignment horizontal="right"/>
    </xf>
    <xf numFmtId="172" fontId="3" fillId="3" borderId="0" xfId="0" applyNumberFormat="1" applyFont="1" applyFill="1" applyAlignment="1">
      <alignment horizontal="right"/>
    </xf>
    <xf numFmtId="166" fontId="0" fillId="0" borderId="0" xfId="1" applyFont="1" applyBorder="1" applyAlignment="1">
      <alignment vertical="center"/>
    </xf>
    <xf numFmtId="166" fontId="10" fillId="5" borderId="14" xfId="1" applyFont="1" applyFill="1" applyBorder="1" applyAlignment="1">
      <alignment horizontal="center" vertical="center"/>
    </xf>
    <xf numFmtId="166" fontId="10" fillId="5" borderId="15" xfId="1" applyFont="1" applyFill="1" applyBorder="1" applyAlignment="1">
      <alignment horizontal="center" vertical="center"/>
    </xf>
    <xf numFmtId="0" fontId="10" fillId="5" borderId="18" xfId="3" applyFont="1" applyFill="1" applyBorder="1" applyAlignment="1">
      <alignment horizontal="center" vertical="center"/>
    </xf>
    <xf numFmtId="0" fontId="10" fillId="5" borderId="23" xfId="3" applyFont="1" applyFill="1" applyBorder="1" applyAlignment="1">
      <alignment horizontal="center" vertical="center"/>
    </xf>
    <xf numFmtId="0" fontId="21" fillId="5" borderId="14" xfId="3" applyFont="1" applyFill="1" applyBorder="1" applyAlignment="1">
      <alignment horizontal="center" vertical="center" wrapText="1"/>
    </xf>
    <xf numFmtId="168" fontId="0" fillId="0" borderId="6" xfId="1" applyNumberFormat="1" applyFont="1" applyBorder="1" applyAlignment="1">
      <alignment horizontal="right"/>
    </xf>
    <xf numFmtId="168" fontId="1" fillId="0" borderId="0" xfId="1" applyNumberFormat="1" applyFont="1" applyAlignment="1">
      <alignment horizontal="right"/>
    </xf>
    <xf numFmtId="168" fontId="3" fillId="3" borderId="0" xfId="1" applyNumberFormat="1" applyFont="1" applyFill="1" applyAlignment="1">
      <alignment horizontal="right"/>
    </xf>
    <xf numFmtId="9" fontId="0" fillId="0" borderId="6" xfId="2" applyFont="1" applyBorder="1" applyAlignment="1">
      <alignment horizontal="right"/>
    </xf>
    <xf numFmtId="172" fontId="0" fillId="0" borderId="0" xfId="0" applyNumberFormat="1" applyFill="1" applyAlignment="1">
      <alignment horizontal="right"/>
    </xf>
    <xf numFmtId="166" fontId="10" fillId="5" borderId="14" xfId="1" applyFont="1" applyFill="1" applyBorder="1" applyAlignment="1">
      <alignment horizontal="center" vertical="center" wrapText="1"/>
    </xf>
    <xf numFmtId="166" fontId="0" fillId="0" borderId="22" xfId="1" applyFont="1" applyBorder="1" applyAlignment="1">
      <alignment horizontal="right" vertical="center"/>
    </xf>
    <xf numFmtId="166" fontId="0" fillId="0" borderId="22" xfId="1" applyFont="1" applyBorder="1" applyAlignment="1">
      <alignment horizontal="right"/>
    </xf>
    <xf numFmtId="9" fontId="0" fillId="0" borderId="22" xfId="2" applyNumberFormat="1" applyFont="1" applyBorder="1" applyAlignment="1">
      <alignment horizontal="right"/>
    </xf>
    <xf numFmtId="170" fontId="0" fillId="0" borderId="22" xfId="1" applyNumberFormat="1" applyFont="1" applyBorder="1" applyAlignment="1">
      <alignment horizontal="right"/>
    </xf>
    <xf numFmtId="167" fontId="0" fillId="0" borderId="22" xfId="2" applyNumberFormat="1" applyFont="1" applyBorder="1" applyAlignment="1">
      <alignment horizontal="right"/>
    </xf>
    <xf numFmtId="168" fontId="0" fillId="0" borderId="22" xfId="1" applyNumberFormat="1" applyFont="1" applyBorder="1" applyAlignment="1">
      <alignment horizontal="right"/>
    </xf>
    <xf numFmtId="166" fontId="0" fillId="0" borderId="0" xfId="1" applyFont="1" applyAlignment="1">
      <alignment vertical="center"/>
    </xf>
    <xf numFmtId="0" fontId="22" fillId="0" borderId="0" xfId="0" applyFont="1"/>
    <xf numFmtId="0" fontId="23" fillId="0" borderId="0" xfId="0" applyFont="1"/>
    <xf numFmtId="0" fontId="24" fillId="0" borderId="0" xfId="0" applyFont="1"/>
    <xf numFmtId="0" fontId="24" fillId="0" borderId="0" xfId="0" applyFont="1" applyFill="1"/>
    <xf numFmtId="0" fontId="2" fillId="0" borderId="0" xfId="0" applyFont="1" applyFill="1"/>
    <xf numFmtId="0" fontId="2" fillId="0" borderId="0" xfId="0" applyFont="1" applyAlignment="1">
      <alignment horizontal="right"/>
    </xf>
    <xf numFmtId="0" fontId="10" fillId="6" borderId="12" xfId="3" applyFont="1" applyFill="1" applyBorder="1" applyAlignment="1">
      <alignment horizontal="center" vertical="center"/>
    </xf>
    <xf numFmtId="0" fontId="10" fillId="6" borderId="13" xfId="3" applyFont="1" applyFill="1" applyBorder="1" applyAlignment="1">
      <alignment horizontal="center" vertical="center"/>
    </xf>
    <xf numFmtId="0" fontId="10" fillId="0" borderId="0" xfId="3" applyFont="1" applyFill="1" applyBorder="1" applyAlignment="1">
      <alignment horizontal="center" vertical="center"/>
    </xf>
    <xf numFmtId="0" fontId="10" fillId="6" borderId="17" xfId="3" applyFont="1" applyFill="1" applyBorder="1" applyAlignment="1">
      <alignment horizontal="center" vertical="center"/>
    </xf>
    <xf numFmtId="0" fontId="10" fillId="6" borderId="19" xfId="3" applyFont="1" applyFill="1" applyBorder="1" applyAlignment="1">
      <alignment horizontal="center" vertical="center"/>
    </xf>
    <xf numFmtId="0" fontId="10" fillId="6" borderId="17" xfId="3" applyFont="1" applyFill="1" applyBorder="1" applyAlignment="1">
      <alignment horizontal="center" vertical="center" wrapText="1"/>
    </xf>
    <xf numFmtId="0" fontId="10" fillId="0" borderId="0" xfId="3" applyFont="1" applyFill="1" applyBorder="1" applyAlignment="1">
      <alignment vertical="center" wrapText="1"/>
    </xf>
    <xf numFmtId="0" fontId="10" fillId="0" borderId="0" xfId="3" applyFont="1" applyFill="1" applyBorder="1" applyAlignment="1">
      <alignment horizontal="center" vertical="center" wrapText="1"/>
    </xf>
    <xf numFmtId="0" fontId="10" fillId="6" borderId="20" xfId="3" applyFont="1" applyFill="1" applyBorder="1" applyAlignment="1">
      <alignment horizontal="center" vertical="center"/>
    </xf>
    <xf numFmtId="0" fontId="14" fillId="3" borderId="24" xfId="0" applyFont="1" applyFill="1" applyBorder="1" applyAlignment="1">
      <alignment horizontal="left"/>
    </xf>
    <xf numFmtId="0" fontId="14" fillId="3" borderId="0" xfId="0" applyFont="1" applyFill="1" applyBorder="1" applyAlignment="1">
      <alignment horizontal="left"/>
    </xf>
    <xf numFmtId="0" fontId="14" fillId="3" borderId="15" xfId="0" applyFont="1" applyFill="1" applyBorder="1" applyAlignment="1"/>
    <xf numFmtId="0" fontId="14" fillId="3" borderId="16" xfId="0" applyFont="1" applyFill="1" applyBorder="1" applyAlignment="1"/>
    <xf numFmtId="0" fontId="0" fillId="0" borderId="15" xfId="0" applyFill="1" applyBorder="1"/>
    <xf numFmtId="0" fontId="0" fillId="3" borderId="14" xfId="0" applyFill="1" applyBorder="1"/>
    <xf numFmtId="0" fontId="0" fillId="3" borderId="15" xfId="0" applyFill="1" applyBorder="1"/>
    <xf numFmtId="0" fontId="0" fillId="3" borderId="16" xfId="0" applyFill="1" applyBorder="1"/>
    <xf numFmtId="0" fontId="0" fillId="3" borderId="13" xfId="0" applyFill="1" applyBorder="1" applyAlignment="1">
      <alignment horizontal="right"/>
    </xf>
    <xf numFmtId="170" fontId="25" fillId="0" borderId="0" xfId="1" applyNumberFormat="1" applyFont="1" applyAlignment="1">
      <alignment horizontal="right"/>
    </xf>
    <xf numFmtId="170" fontId="25" fillId="0" borderId="0" xfId="1" applyNumberFormat="1" applyFont="1"/>
    <xf numFmtId="170" fontId="0" fillId="0" borderId="0" xfId="0" applyNumberFormat="1"/>
    <xf numFmtId="170" fontId="25" fillId="0" borderId="0" xfId="1" applyNumberFormat="1" applyFont="1" applyFill="1"/>
    <xf numFmtId="170" fontId="25" fillId="0" borderId="0" xfId="1" applyNumberFormat="1" applyFont="1" applyAlignment="1">
      <alignment vertical="center"/>
    </xf>
    <xf numFmtId="170" fontId="25" fillId="0" borderId="0" xfId="1" applyNumberFormat="1" applyFont="1" applyFill="1" applyAlignment="1">
      <alignment vertical="center"/>
    </xf>
    <xf numFmtId="170" fontId="25" fillId="0" borderId="6" xfId="1" applyNumberFormat="1" applyFont="1" applyBorder="1" applyAlignment="1">
      <alignment vertical="center"/>
    </xf>
    <xf numFmtId="170" fontId="25" fillId="0" borderId="6" xfId="1" applyNumberFormat="1" applyFont="1" applyBorder="1"/>
    <xf numFmtId="0" fontId="0" fillId="0" borderId="6" xfId="0" applyFill="1" applyBorder="1"/>
    <xf numFmtId="170" fontId="14" fillId="3" borderId="0" xfId="0" applyNumberFormat="1" applyFont="1" applyFill="1"/>
    <xf numFmtId="170" fontId="27" fillId="3" borderId="0" xfId="1" applyNumberFormat="1" applyFont="1" applyFill="1"/>
    <xf numFmtId="170" fontId="27" fillId="0" borderId="0" xfId="1" applyNumberFormat="1" applyFont="1" applyFill="1"/>
    <xf numFmtId="0" fontId="3" fillId="0" borderId="0" xfId="0" applyFont="1" applyFill="1"/>
    <xf numFmtId="170" fontId="25" fillId="0" borderId="6" xfId="1" applyNumberFormat="1" applyFont="1" applyBorder="1" applyAlignment="1">
      <alignment horizontal="right" vertical="center"/>
    </xf>
    <xf numFmtId="170" fontId="25" fillId="0" borderId="0" xfId="1" applyNumberFormat="1" applyFont="1" applyAlignment="1">
      <alignment horizontal="right" vertical="center"/>
    </xf>
    <xf numFmtId="170" fontId="0" fillId="0" borderId="0" xfId="0" applyNumberFormat="1" applyAlignment="1">
      <alignment horizontal="right"/>
    </xf>
    <xf numFmtId="170" fontId="25" fillId="0" borderId="0" xfId="1" applyNumberFormat="1" applyFont="1" applyFill="1" applyAlignment="1">
      <alignment horizontal="right" vertical="center"/>
    </xf>
    <xf numFmtId="170" fontId="25" fillId="0" borderId="6" xfId="1" applyNumberFormat="1" applyFont="1" applyFill="1" applyBorder="1" applyAlignment="1">
      <alignment vertical="center"/>
    </xf>
    <xf numFmtId="170" fontId="25" fillId="0" borderId="6" xfId="1" applyNumberFormat="1" applyFont="1" applyFill="1" applyBorder="1"/>
    <xf numFmtId="170" fontId="10" fillId="6" borderId="17" xfId="3" applyNumberFormat="1" applyFont="1" applyFill="1" applyBorder="1" applyAlignment="1">
      <alignment horizontal="center" vertical="center" wrapText="1"/>
    </xf>
    <xf numFmtId="170" fontId="10" fillId="0" borderId="0" xfId="3" applyNumberFormat="1" applyFont="1" applyFill="1" applyBorder="1" applyAlignment="1">
      <alignment vertical="center" wrapText="1"/>
    </xf>
    <xf numFmtId="166" fontId="25" fillId="0" borderId="0" xfId="1" applyNumberFormat="1" applyFont="1"/>
    <xf numFmtId="170" fontId="15" fillId="0" borderId="0" xfId="0" applyNumberFormat="1" applyFont="1" applyBorder="1"/>
    <xf numFmtId="170" fontId="25" fillId="0" borderId="0" xfId="1" applyNumberFormat="1" applyFont="1" applyBorder="1"/>
    <xf numFmtId="170" fontId="25" fillId="0" borderId="0" xfId="1" applyNumberFormat="1" applyFont="1" applyBorder="1" applyAlignment="1">
      <alignment vertical="center"/>
    </xf>
    <xf numFmtId="170" fontId="25" fillId="0" borderId="0" xfId="1" applyNumberFormat="1" applyFont="1" applyFill="1" applyBorder="1" applyAlignment="1">
      <alignment vertical="center"/>
    </xf>
    <xf numFmtId="170" fontId="25" fillId="0" borderId="0" xfId="1" applyNumberFormat="1" applyFont="1" applyFill="1" applyBorder="1"/>
    <xf numFmtId="0" fontId="0" fillId="0" borderId="0" xfId="0" applyFill="1" applyBorder="1"/>
    <xf numFmtId="170" fontId="25" fillId="0" borderId="0" xfId="1" applyNumberFormat="1" applyFont="1" applyFill="1" applyAlignment="1">
      <alignment horizontal="right"/>
    </xf>
    <xf numFmtId="170" fontId="25" fillId="0" borderId="22" xfId="1" applyNumberFormat="1" applyFont="1" applyBorder="1" applyAlignment="1">
      <alignment horizontal="right" vertical="center"/>
    </xf>
    <xf numFmtId="170" fontId="25" fillId="0" borderId="22" xfId="1" applyNumberFormat="1" applyFont="1" applyBorder="1" applyAlignment="1">
      <alignment vertical="center"/>
    </xf>
    <xf numFmtId="170" fontId="25" fillId="0" borderId="22" xfId="1" applyNumberFormat="1" applyFont="1" applyBorder="1"/>
    <xf numFmtId="0" fontId="0" fillId="0" borderId="22" xfId="0" applyFill="1" applyBorder="1"/>
    <xf numFmtId="166" fontId="25" fillId="0" borderId="0" xfId="1" applyFont="1" applyAlignment="1">
      <alignment vertical="center"/>
    </xf>
    <xf numFmtId="166" fontId="25" fillId="0" borderId="0" xfId="1" applyFont="1" applyFill="1" applyAlignment="1">
      <alignment vertical="center"/>
    </xf>
    <xf numFmtId="0" fontId="28" fillId="0" borderId="0" xfId="0" applyFont="1"/>
    <xf numFmtId="0" fontId="3" fillId="0" borderId="0" xfId="0" applyFont="1" applyAlignment="1">
      <alignment horizontal="right" vertical="top"/>
    </xf>
    <xf numFmtId="0" fontId="0" fillId="0" borderId="0" xfId="0" applyAlignment="1">
      <alignment vertical="top"/>
    </xf>
    <xf numFmtId="0" fontId="0" fillId="0" borderId="0" xfId="0" applyAlignment="1">
      <alignment horizontal="justify" vertical="top" wrapText="1"/>
    </xf>
    <xf numFmtId="166" fontId="0" fillId="0" borderId="0" xfId="1" applyFont="1" applyAlignment="1">
      <alignment horizontal="justify" vertical="center" wrapText="1"/>
    </xf>
    <xf numFmtId="0" fontId="0" fillId="0" borderId="0" xfId="0" applyAlignment="1">
      <alignment horizontal="left" vertical="top" wrapText="1"/>
    </xf>
    <xf numFmtId="166" fontId="0" fillId="0" borderId="0" xfId="1" applyFont="1" applyAlignment="1">
      <alignment horizontal="left" vertical="center" wrapText="1"/>
    </xf>
    <xf numFmtId="166" fontId="0" fillId="0" borderId="0" xfId="1" applyFont="1" applyAlignment="1">
      <alignment horizontal="justify" vertical="center"/>
    </xf>
    <xf numFmtId="0" fontId="0" fillId="0" borderId="0" xfId="0" applyAlignment="1">
      <alignment horizontal="justify" vertical="top"/>
    </xf>
    <xf numFmtId="0" fontId="29" fillId="0" borderId="0" xfId="3" applyFont="1" applyFill="1" applyBorder="1" applyAlignment="1">
      <alignment horizontal="right" vertical="top"/>
    </xf>
    <xf numFmtId="0" fontId="3" fillId="0" borderId="0" xfId="0" applyFont="1" applyAlignment="1">
      <alignment horizontal="right" vertical="top" wrapText="1"/>
    </xf>
    <xf numFmtId="0" fontId="12" fillId="0" borderId="0" xfId="3" applyFont="1" applyFill="1" applyBorder="1" applyAlignment="1">
      <alignment horizontal="justify" vertical="top" wrapText="1"/>
    </xf>
    <xf numFmtId="0" fontId="30" fillId="0" borderId="0" xfId="3" applyFont="1" applyFill="1" applyBorder="1" applyAlignment="1">
      <alignment vertical="center"/>
    </xf>
    <xf numFmtId="0" fontId="30" fillId="0" borderId="0" xfId="3" applyFont="1" applyAlignment="1">
      <alignment vertical="center"/>
    </xf>
    <xf numFmtId="49" fontId="31" fillId="0" borderId="0" xfId="3" applyNumberFormat="1" applyFont="1" applyFill="1" applyBorder="1" applyAlignment="1">
      <alignment vertical="center" wrapText="1"/>
    </xf>
    <xf numFmtId="0" fontId="0" fillId="0" borderId="0" xfId="0" applyFont="1" applyAlignment="1">
      <alignment horizontal="justify" vertical="top" wrapText="1"/>
    </xf>
    <xf numFmtId="0" fontId="31" fillId="0" borderId="0" xfId="0" applyFont="1" applyAlignment="1">
      <alignment horizontal="left" vertical="center"/>
    </xf>
    <xf numFmtId="0" fontId="31" fillId="0" borderId="0" xfId="0" applyFont="1" applyBorder="1" applyAlignment="1">
      <alignment horizontal="left" vertical="center"/>
    </xf>
    <xf numFmtId="0" fontId="32" fillId="0" borderId="0" xfId="0" applyFont="1" applyAlignment="1">
      <alignment horizontal="left" vertical="center"/>
    </xf>
    <xf numFmtId="0" fontId="32" fillId="0" borderId="0" xfId="0" applyFont="1" applyBorder="1" applyAlignment="1">
      <alignment horizontal="left" vertical="center"/>
    </xf>
    <xf numFmtId="0" fontId="31" fillId="0" borderId="0" xfId="0" quotePrefix="1" applyFont="1" applyAlignment="1">
      <alignment horizontal="left" vertical="center"/>
    </xf>
    <xf numFmtId="0" fontId="31" fillId="0" borderId="0" xfId="0" applyFont="1" applyAlignment="1">
      <alignment vertical="center" wrapText="1"/>
    </xf>
    <xf numFmtId="0" fontId="31" fillId="0" borderId="0" xfId="0" applyFont="1" applyBorder="1" applyAlignment="1">
      <alignment vertical="center" wrapText="1"/>
    </xf>
    <xf numFmtId="0" fontId="0" fillId="0" borderId="0" xfId="0" applyFont="1" applyAlignment="1">
      <alignment horizontal="left" vertical="top" wrapText="1"/>
    </xf>
    <xf numFmtId="0" fontId="31" fillId="0" borderId="0" xfId="0" applyFont="1" applyAlignment="1">
      <alignment vertical="center"/>
    </xf>
    <xf numFmtId="0" fontId="31" fillId="0" borderId="0" xfId="0" applyFont="1" applyBorder="1" applyAlignment="1">
      <alignment vertical="center"/>
    </xf>
    <xf numFmtId="0" fontId="0" fillId="0" borderId="0" xfId="0" applyFont="1" applyAlignment="1">
      <alignment horizontal="justify" vertical="top"/>
    </xf>
    <xf numFmtId="0" fontId="3" fillId="0" borderId="0" xfId="0" applyFont="1" applyAlignment="1">
      <alignment horizontal="right" vertical="top"/>
    </xf>
    <xf numFmtId="0" fontId="0" fillId="0" borderId="0" xfId="0" applyFont="1" applyAlignment="1">
      <alignment horizontal="justify" vertical="top"/>
    </xf>
    <xf numFmtId="0" fontId="33" fillId="0" borderId="0" xfId="3" applyFont="1" applyFill="1" applyBorder="1" applyAlignment="1">
      <alignment vertical="center"/>
    </xf>
    <xf numFmtId="0" fontId="34" fillId="0" borderId="0" xfId="3" applyFont="1" applyFill="1" applyBorder="1" applyAlignment="1">
      <alignment vertical="center"/>
    </xf>
    <xf numFmtId="0" fontId="35" fillId="0" borderId="0" xfId="3" applyFont="1" applyFill="1" applyBorder="1" applyAlignment="1">
      <alignment vertical="center"/>
    </xf>
    <xf numFmtId="166" fontId="35" fillId="0" borderId="0" xfId="1" applyFont="1" applyFill="1" applyBorder="1" applyAlignment="1">
      <alignment vertical="center"/>
    </xf>
    <xf numFmtId="49" fontId="26" fillId="0" borderId="0" xfId="3" applyNumberFormat="1" applyFont="1" applyFill="1" applyBorder="1" applyAlignment="1">
      <alignment vertical="top" wrapText="1"/>
    </xf>
    <xf numFmtId="0" fontId="36" fillId="0" borderId="0" xfId="3" applyFont="1"/>
    <xf numFmtId="14" fontId="36" fillId="0" borderId="0" xfId="3" applyNumberFormat="1" applyFont="1"/>
    <xf numFmtId="0" fontId="29" fillId="0" borderId="9" xfId="3" applyFont="1" applyFill="1" applyBorder="1" applyAlignment="1">
      <alignment vertical="center"/>
    </xf>
    <xf numFmtId="0" fontId="29" fillId="0" borderId="11" xfId="3" applyFont="1" applyFill="1" applyBorder="1" applyAlignment="1">
      <alignment vertical="center"/>
    </xf>
    <xf numFmtId="166" fontId="0" fillId="0" borderId="9" xfId="1" applyFont="1" applyBorder="1" applyAlignment="1">
      <alignment vertical="center"/>
    </xf>
    <xf numFmtId="166" fontId="37" fillId="0" borderId="0" xfId="1" applyFont="1" applyFill="1" applyBorder="1" applyAlignment="1">
      <alignment vertical="center"/>
    </xf>
    <xf numFmtId="0" fontId="37" fillId="0" borderId="9" xfId="3" applyFont="1" applyFill="1" applyBorder="1" applyAlignment="1">
      <alignment vertical="center"/>
    </xf>
    <xf numFmtId="0" fontId="37" fillId="0" borderId="0" xfId="3" applyFont="1" applyFill="1" applyBorder="1" applyAlignment="1">
      <alignment vertical="center"/>
    </xf>
    <xf numFmtId="0" fontId="37" fillId="0" borderId="0" xfId="3" applyFont="1" applyFill="1" applyBorder="1" applyAlignment="1">
      <alignment horizontal="justify" vertical="center"/>
    </xf>
    <xf numFmtId="0" fontId="38" fillId="0" borderId="0" xfId="3" applyFont="1" applyBorder="1"/>
    <xf numFmtId="0" fontId="36" fillId="0" borderId="0" xfId="3" applyFont="1" applyBorder="1"/>
    <xf numFmtId="14" fontId="36" fillId="0" borderId="0" xfId="3" applyNumberFormat="1" applyFont="1" applyBorder="1"/>
    <xf numFmtId="0" fontId="31" fillId="0" borderId="0" xfId="0" applyFont="1" applyFill="1" applyBorder="1" applyAlignment="1"/>
    <xf numFmtId="0" fontId="31" fillId="0" borderId="8" xfId="0" applyFont="1" applyFill="1" applyBorder="1"/>
    <xf numFmtId="166" fontId="39" fillId="0" borderId="0" xfId="1" applyFont="1" applyFill="1" applyBorder="1" applyAlignment="1">
      <alignment vertical="center"/>
    </xf>
    <xf numFmtId="0" fontId="31" fillId="0" borderId="0" xfId="0" applyFont="1"/>
    <xf numFmtId="0" fontId="31" fillId="0" borderId="5" xfId="0" applyFont="1" applyFill="1" applyBorder="1"/>
    <xf numFmtId="0" fontId="39" fillId="0" borderId="0" xfId="3" applyFont="1" applyFill="1" applyBorder="1" applyAlignment="1">
      <alignment vertical="center"/>
    </xf>
    <xf numFmtId="0" fontId="9" fillId="0" borderId="0" xfId="3" applyFont="1" applyBorder="1"/>
    <xf numFmtId="0" fontId="9" fillId="0" borderId="0" xfId="3" applyFont="1"/>
    <xf numFmtId="49" fontId="40" fillId="0" borderId="0" xfId="3" applyNumberFormat="1" applyFont="1" applyFill="1" applyBorder="1" applyAlignment="1">
      <alignment vertical="top" wrapText="1"/>
    </xf>
    <xf numFmtId="0" fontId="38" fillId="0" borderId="0" xfId="3" applyFont="1"/>
    <xf numFmtId="0" fontId="31" fillId="0" borderId="8" xfId="0" applyFont="1" applyBorder="1"/>
    <xf numFmtId="0" fontId="40" fillId="0" borderId="0" xfId="0" applyFont="1" applyFill="1" applyBorder="1" applyAlignment="1"/>
    <xf numFmtId="0" fontId="30" fillId="0" borderId="0" xfId="0" applyFont="1" applyFill="1" applyBorder="1" applyAlignment="1"/>
    <xf numFmtId="0" fontId="39" fillId="0" borderId="0" xfId="0" applyFont="1" applyFill="1" applyBorder="1" applyAlignment="1"/>
    <xf numFmtId="0" fontId="41" fillId="0" borderId="0" xfId="3" applyFont="1" applyFill="1" applyBorder="1" applyAlignment="1">
      <alignment vertical="center"/>
    </xf>
    <xf numFmtId="0" fontId="9" fillId="0" borderId="0" xfId="3" applyFont="1" applyFill="1" applyBorder="1"/>
    <xf numFmtId="0" fontId="42" fillId="0" borderId="0" xfId="3" applyFont="1"/>
    <xf numFmtId="0" fontId="9" fillId="0" borderId="0" xfId="3" applyFont="1" applyFill="1"/>
    <xf numFmtId="166" fontId="9" fillId="0" borderId="0" xfId="1" applyFont="1" applyAlignment="1">
      <alignment vertical="center"/>
    </xf>
    <xf numFmtId="0" fontId="31" fillId="0" borderId="0" xfId="0" applyFont="1" applyFill="1" applyBorder="1"/>
    <xf numFmtId="0" fontId="40" fillId="0" borderId="0" xfId="0" applyFont="1" applyFill="1" applyAlignment="1">
      <alignment horizontal="center"/>
    </xf>
    <xf numFmtId="0" fontId="40" fillId="0" borderId="0" xfId="0" applyFont="1" applyFill="1"/>
    <xf numFmtId="0" fontId="40" fillId="0" borderId="0" xfId="0" applyFont="1" applyFill="1" applyBorder="1" applyAlignment="1">
      <alignment horizontal="center"/>
    </xf>
    <xf numFmtId="0" fontId="3" fillId="0" borderId="9" xfId="0" applyFont="1" applyFill="1" applyBorder="1" applyAlignment="1">
      <alignment horizontal="center"/>
    </xf>
    <xf numFmtId="0" fontId="0" fillId="0" borderId="0" xfId="0" applyFill="1" applyBorder="1" applyAlignment="1"/>
    <xf numFmtId="0" fontId="0" fillId="7" borderId="0" xfId="0" applyFill="1" applyBorder="1" applyAlignment="1"/>
    <xf numFmtId="0" fontId="12" fillId="0" borderId="0" xfId="3" applyFont="1" applyFill="1" applyBorder="1" applyAlignment="1">
      <alignment vertical="center"/>
    </xf>
    <xf numFmtId="0" fontId="3" fillId="0" borderId="22" xfId="0" applyFont="1" applyBorder="1" applyAlignment="1">
      <alignment horizontal="center"/>
    </xf>
    <xf numFmtId="0" fontId="3" fillId="0" borderId="22" xfId="0" applyFont="1" applyBorder="1" applyAlignment="1">
      <alignment horizontal="center" wrapText="1"/>
    </xf>
    <xf numFmtId="0" fontId="0" fillId="0" borderId="0" xfId="0" applyBorder="1" applyAlignment="1"/>
    <xf numFmtId="0" fontId="0" fillId="0" borderId="6" xfId="0" applyFill="1" applyBorder="1" applyAlignment="1">
      <alignment horizontal="center"/>
    </xf>
    <xf numFmtId="0" fontId="0" fillId="0" borderId="6" xfId="1" applyNumberFormat="1" applyFont="1" applyFill="1" applyBorder="1" applyAlignment="1">
      <alignment horizontal="center" vertical="center"/>
    </xf>
    <xf numFmtId="0" fontId="9" fillId="8" borderId="0" xfId="3" applyFont="1" applyFill="1" applyBorder="1"/>
    <xf numFmtId="10" fontId="0" fillId="8" borderId="0" xfId="0" applyNumberFormat="1" applyFill="1" applyBorder="1" applyAlignment="1"/>
    <xf numFmtId="0" fontId="0" fillId="0" borderId="0" xfId="0" applyFill="1" applyAlignment="1">
      <alignment horizontal="center"/>
    </xf>
    <xf numFmtId="166" fontId="40" fillId="0" borderId="0" xfId="1" applyFont="1" applyFill="1" applyAlignment="1">
      <alignment vertical="center"/>
    </xf>
    <xf numFmtId="0" fontId="0" fillId="0" borderId="0" xfId="1" applyNumberFormat="1" applyFont="1" applyFill="1" applyAlignment="1">
      <alignment horizontal="center" vertical="center"/>
    </xf>
    <xf numFmtId="10" fontId="0" fillId="0" borderId="0" xfId="0" applyNumberFormat="1" applyAlignment="1"/>
    <xf numFmtId="0" fontId="9" fillId="8" borderId="0" xfId="3" applyFont="1" applyFill="1"/>
    <xf numFmtId="10" fontId="0" fillId="8" borderId="0" xfId="0" applyNumberFormat="1" applyFill="1" applyAlignment="1"/>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0" borderId="0" xfId="0" applyFill="1" applyBorder="1" applyAlignment="1">
      <alignment horizontal="center"/>
    </xf>
    <xf numFmtId="10" fontId="0" fillId="0" borderId="0" xfId="0" applyNumberFormat="1" applyBorder="1" applyAlignment="1"/>
    <xf numFmtId="0" fontId="0" fillId="0" borderId="9" xfId="0" applyNumberFormat="1" applyFill="1" applyBorder="1" applyAlignment="1">
      <alignment horizontal="center"/>
    </xf>
    <xf numFmtId="0" fontId="0" fillId="0" borderId="9" xfId="0" applyFill="1" applyBorder="1" applyAlignment="1">
      <alignment horizontal="center"/>
    </xf>
    <xf numFmtId="0" fontId="40" fillId="0" borderId="0" xfId="0" applyFont="1" applyFill="1" applyAlignment="1"/>
    <xf numFmtId="0" fontId="0" fillId="0" borderId="8" xfId="0" applyBorder="1"/>
    <xf numFmtId="0" fontId="0" fillId="0" borderId="8" xfId="0" applyFont="1" applyBorder="1"/>
    <xf numFmtId="0" fontId="28" fillId="0" borderId="0" xfId="0" applyFont="1" applyBorder="1"/>
    <xf numFmtId="10" fontId="0" fillId="0" borderId="0" xfId="2" applyNumberFormat="1" applyFont="1"/>
    <xf numFmtId="0" fontId="35" fillId="0" borderId="8" xfId="0" applyFont="1" applyBorder="1"/>
    <xf numFmtId="0" fontId="43" fillId="0" borderId="0" xfId="0" applyFont="1" applyBorder="1" applyAlignment="1">
      <alignment horizontal="justify" wrapText="1"/>
    </xf>
    <xf numFmtId="0" fontId="12" fillId="0" borderId="0" xfId="0" applyFont="1" applyBorder="1"/>
    <xf numFmtId="0" fontId="12" fillId="0" borderId="0" xfId="0" applyFont="1"/>
    <xf numFmtId="0" fontId="44" fillId="0" borderId="0" xfId="0" applyFont="1" applyBorder="1" applyAlignment="1">
      <alignment horizontal="justify" vertical="center" wrapText="1"/>
    </xf>
    <xf numFmtId="0" fontId="44" fillId="0" borderId="8" xfId="0" applyFont="1" applyBorder="1" applyAlignment="1">
      <alignment wrapText="1"/>
    </xf>
    <xf numFmtId="0" fontId="30" fillId="0" borderId="0" xfId="0" quotePrefix="1" applyFont="1" applyBorder="1"/>
    <xf numFmtId="0" fontId="30" fillId="0" borderId="0" xfId="0" applyFont="1" applyBorder="1"/>
    <xf numFmtId="0" fontId="44" fillId="0" borderId="0" xfId="0" applyFont="1" applyBorder="1" applyAlignment="1">
      <alignment vertical="center"/>
    </xf>
    <xf numFmtId="166" fontId="44" fillId="0" borderId="0" xfId="1" applyFont="1" applyBorder="1" applyAlignment="1">
      <alignment vertical="center"/>
    </xf>
    <xf numFmtId="14" fontId="26" fillId="0" borderId="0" xfId="0" applyNumberFormat="1" applyFont="1"/>
    <xf numFmtId="17" fontId="10" fillId="2" borderId="5" xfId="3" applyNumberFormat="1" applyFont="1" applyFill="1" applyBorder="1" applyAlignment="1">
      <alignment horizontal="center" vertical="center" wrapText="1"/>
    </xf>
    <xf numFmtId="17" fontId="10" fillId="2" borderId="4" xfId="3" applyNumberFormat="1" applyFont="1" applyFill="1" applyBorder="1" applyAlignment="1">
      <alignment horizontal="center" vertical="center" wrapText="1"/>
    </xf>
  </cellXfs>
  <cellStyles count="4">
    <cellStyle name="Millares" xfId="1" builtinId="3"/>
    <cellStyle name="Normal" xfId="0" builtinId="0"/>
    <cellStyle name="Normal 2" xfId="3"/>
    <cellStyle name="Porcentaje" xfId="2" builtinId="5"/>
  </cellStyles>
  <dxfs count="18">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30</xdr:col>
      <xdr:colOff>465666</xdr:colOff>
      <xdr:row>25</xdr:row>
      <xdr:rowOff>148168</xdr:rowOff>
    </xdr:from>
    <xdr:to>
      <xdr:col>38</xdr:col>
      <xdr:colOff>275488</xdr:colOff>
      <xdr:row>32</xdr:row>
      <xdr:rowOff>0</xdr:rowOff>
    </xdr:to>
    <xdr:grpSp>
      <xdr:nvGrpSpPr>
        <xdr:cNvPr id="2" name="Grupo 1"/>
        <xdr:cNvGrpSpPr/>
      </xdr:nvGrpSpPr>
      <xdr:grpSpPr>
        <a:xfrm>
          <a:off x="18544116" y="5215468"/>
          <a:ext cx="5905822" cy="1109132"/>
          <a:chOff x="17377833" y="5238751"/>
          <a:chExt cx="5905822" cy="1360879"/>
        </a:xfrm>
      </xdr:grpSpPr>
      <xdr:pic>
        <xdr:nvPicPr>
          <xdr:cNvPr id="3" name="Imagen 2"/>
          <xdr:cNvPicPr>
            <a:picLocks noChangeAspect="1"/>
          </xdr:cNvPicPr>
        </xdr:nvPicPr>
        <xdr:blipFill>
          <a:blip xmlns:r="http://schemas.openxmlformats.org/officeDocument/2006/relationships" r:embed="rId1"/>
          <a:stretch>
            <a:fillRect/>
          </a:stretch>
        </xdr:blipFill>
        <xdr:spPr>
          <a:xfrm>
            <a:off x="17388417" y="5513916"/>
            <a:ext cx="5895238" cy="1085714"/>
          </a:xfrm>
          <a:prstGeom prst="rect">
            <a:avLst/>
          </a:prstGeom>
        </xdr:spPr>
      </xdr:pic>
      <xdr:sp macro="" textlink="">
        <xdr:nvSpPr>
          <xdr:cNvPr id="4" name="CuadroTexto 3"/>
          <xdr:cNvSpPr txBox="1"/>
        </xdr:nvSpPr>
        <xdr:spPr>
          <a:xfrm>
            <a:off x="17377833" y="5238751"/>
            <a:ext cx="423334"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1"/>
              <a:t>YPF</a:t>
            </a:r>
          </a:p>
        </xdr:txBody>
      </xdr:sp>
    </xdr:grpSp>
    <xdr:clientData/>
  </xdr:twoCellAnchor>
  <xdr:twoCellAnchor>
    <xdr:from>
      <xdr:col>30</xdr:col>
      <xdr:colOff>529166</xdr:colOff>
      <xdr:row>35</xdr:row>
      <xdr:rowOff>127000</xdr:rowOff>
    </xdr:from>
    <xdr:to>
      <xdr:col>38</xdr:col>
      <xdr:colOff>90310</xdr:colOff>
      <xdr:row>48</xdr:row>
      <xdr:rowOff>48608</xdr:rowOff>
    </xdr:to>
    <xdr:grpSp>
      <xdr:nvGrpSpPr>
        <xdr:cNvPr id="5" name="Grupo 4"/>
        <xdr:cNvGrpSpPr/>
      </xdr:nvGrpSpPr>
      <xdr:grpSpPr>
        <a:xfrm>
          <a:off x="18607616" y="6642100"/>
          <a:ext cx="5657144" cy="2683858"/>
          <a:chOff x="17441333" y="7048500"/>
          <a:chExt cx="5657144" cy="2694441"/>
        </a:xfrm>
      </xdr:grpSpPr>
      <xdr:grpSp>
        <xdr:nvGrpSpPr>
          <xdr:cNvPr id="6" name="Grupo 5"/>
          <xdr:cNvGrpSpPr/>
        </xdr:nvGrpSpPr>
        <xdr:grpSpPr>
          <a:xfrm>
            <a:off x="17441333" y="7048500"/>
            <a:ext cx="5657144" cy="2084691"/>
            <a:chOff x="17134416" y="7164917"/>
            <a:chExt cx="5657144" cy="2084691"/>
          </a:xfrm>
        </xdr:grpSpPr>
        <xdr:pic>
          <xdr:nvPicPr>
            <xdr:cNvPr id="8" name="Imagen 7"/>
            <xdr:cNvPicPr>
              <a:picLocks noChangeAspect="1"/>
            </xdr:cNvPicPr>
          </xdr:nvPicPr>
          <xdr:blipFill>
            <a:blip xmlns:r="http://schemas.openxmlformats.org/officeDocument/2006/relationships" r:embed="rId2"/>
            <a:stretch>
              <a:fillRect/>
            </a:stretch>
          </xdr:blipFill>
          <xdr:spPr>
            <a:xfrm>
              <a:off x="17134417" y="7440084"/>
              <a:ext cx="5657143" cy="1809524"/>
            </a:xfrm>
            <a:prstGeom prst="rect">
              <a:avLst/>
            </a:prstGeom>
          </xdr:spPr>
        </xdr:pic>
        <xdr:sp macro="" textlink="">
          <xdr:nvSpPr>
            <xdr:cNvPr id="9" name="CuadroTexto 8"/>
            <xdr:cNvSpPr txBox="1"/>
          </xdr:nvSpPr>
          <xdr:spPr>
            <a:xfrm>
              <a:off x="17134416" y="7164917"/>
              <a:ext cx="613833"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1"/>
                <a:t>COME</a:t>
              </a:r>
            </a:p>
          </xdr:txBody>
        </xdr:sp>
      </xdr:grpSp>
      <xdr:pic>
        <xdr:nvPicPr>
          <xdr:cNvPr id="7" name="Imagen 6"/>
          <xdr:cNvPicPr>
            <a:picLocks noChangeAspect="1"/>
          </xdr:cNvPicPr>
        </xdr:nvPicPr>
        <xdr:blipFill>
          <a:blip xmlns:r="http://schemas.openxmlformats.org/officeDocument/2006/relationships" r:embed="rId3"/>
          <a:stretch>
            <a:fillRect/>
          </a:stretch>
        </xdr:blipFill>
        <xdr:spPr>
          <a:xfrm>
            <a:off x="17441333" y="9133417"/>
            <a:ext cx="3533333" cy="609524"/>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47</xdr:col>
      <xdr:colOff>392905</xdr:colOff>
      <xdr:row>45</xdr:row>
      <xdr:rowOff>0</xdr:rowOff>
    </xdr:from>
    <xdr:to>
      <xdr:col>54</xdr:col>
      <xdr:colOff>537881</xdr:colOff>
      <xdr:row>47</xdr:row>
      <xdr:rowOff>0</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8892955" y="17811750"/>
          <a:ext cx="5478976"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601327</xdr:colOff>
      <xdr:row>8</xdr:row>
      <xdr:rowOff>24946</xdr:rowOff>
    </xdr:from>
    <xdr:to>
      <xdr:col>5</xdr:col>
      <xdr:colOff>52687</xdr:colOff>
      <xdr:row>8</xdr:row>
      <xdr:rowOff>187158</xdr:rowOff>
    </xdr:to>
    <xdr:pic>
      <xdr:nvPicPr>
        <xdr:cNvPr id="3" name="3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20577" y="2101396"/>
          <a:ext cx="1737360" cy="1622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600074</xdr:colOff>
      <xdr:row>9</xdr:row>
      <xdr:rowOff>31430</xdr:rowOff>
    </xdr:from>
    <xdr:to>
      <xdr:col>5</xdr:col>
      <xdr:colOff>114300</xdr:colOff>
      <xdr:row>9</xdr:row>
      <xdr:rowOff>431476</xdr:rowOff>
    </xdr:to>
    <xdr:pic>
      <xdr:nvPicPr>
        <xdr:cNvPr id="4" name="4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19324" y="2717480"/>
          <a:ext cx="1800226" cy="4000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11</xdr:col>
      <xdr:colOff>38100</xdr:colOff>
      <xdr:row>26</xdr:row>
      <xdr:rowOff>104775</xdr:rowOff>
    </xdr:from>
    <xdr:to>
      <xdr:col>12</xdr:col>
      <xdr:colOff>131445</xdr:colOff>
      <xdr:row>27</xdr:row>
      <xdr:rowOff>188595</xdr:rowOff>
    </xdr:to>
    <xdr:sp macro="" textlink="">
      <xdr:nvSpPr>
        <xdr:cNvPr id="2" name="Freeform 286">
          <a:extLst>
            <a:ext uri="{FF2B5EF4-FFF2-40B4-BE49-F238E27FC236}">
              <a16:creationId xmlns:a16="http://schemas.microsoft.com/office/drawing/2014/main" xmlns="" id="{00000000-0008-0000-2400-00000B000000}"/>
            </a:ext>
          </a:extLst>
        </xdr:cNvPr>
        <xdr:cNvSpPr/>
      </xdr:nvSpPr>
      <xdr:spPr>
        <a:xfrm>
          <a:off x="8534400" y="5057775"/>
          <a:ext cx="274320" cy="274320"/>
        </a:xfrm>
        <a:custGeom>
          <a:avLst/>
          <a:gdLst/>
          <a:ahLst/>
          <a:cxnLst/>
          <a:rect l="l" t="t" r="r" b="b"/>
          <a:pathLst>
            <a:path w="432708" h="432707">
              <a:moveTo>
                <a:pt x="81133" y="0"/>
              </a:moveTo>
              <a:lnTo>
                <a:pt x="351575" y="0"/>
              </a:lnTo>
              <a:cubicBezTo>
                <a:pt x="373924" y="0"/>
                <a:pt x="393034" y="7935"/>
                <a:pt x="408903" y="23805"/>
              </a:cubicBezTo>
              <a:cubicBezTo>
                <a:pt x="424773" y="39674"/>
                <a:pt x="432708" y="58784"/>
                <a:pt x="432708" y="81133"/>
              </a:cubicBezTo>
              <a:lnTo>
                <a:pt x="432708" y="351575"/>
              </a:lnTo>
              <a:cubicBezTo>
                <a:pt x="432708" y="373923"/>
                <a:pt x="424773" y="393033"/>
                <a:pt x="408903" y="408903"/>
              </a:cubicBezTo>
              <a:cubicBezTo>
                <a:pt x="393034" y="424772"/>
                <a:pt x="373924" y="432707"/>
                <a:pt x="351575" y="432707"/>
              </a:cubicBezTo>
              <a:lnTo>
                <a:pt x="81133" y="432707"/>
              </a:lnTo>
              <a:cubicBezTo>
                <a:pt x="58784" y="432707"/>
                <a:pt x="39675" y="424772"/>
                <a:pt x="23805" y="408903"/>
              </a:cubicBezTo>
              <a:cubicBezTo>
                <a:pt x="7935" y="393033"/>
                <a:pt x="0" y="373923"/>
                <a:pt x="0" y="351575"/>
              </a:cubicBezTo>
              <a:lnTo>
                <a:pt x="0" y="81133"/>
              </a:lnTo>
              <a:cubicBezTo>
                <a:pt x="0" y="58784"/>
                <a:pt x="7935" y="39674"/>
                <a:pt x="23805" y="23805"/>
              </a:cubicBezTo>
              <a:cubicBezTo>
                <a:pt x="39675" y="7935"/>
                <a:pt x="58784" y="0"/>
                <a:pt x="81133" y="0"/>
              </a:cubicBezTo>
              <a:close/>
              <a:moveTo>
                <a:pt x="271851" y="108177"/>
              </a:moveTo>
              <a:cubicBezTo>
                <a:pt x="255511" y="108177"/>
                <a:pt x="241567" y="113952"/>
                <a:pt x="230017" y="125502"/>
              </a:cubicBezTo>
              <a:cubicBezTo>
                <a:pt x="218467" y="137052"/>
                <a:pt x="212691" y="150997"/>
                <a:pt x="212691" y="167336"/>
              </a:cubicBezTo>
              <a:cubicBezTo>
                <a:pt x="212691" y="172782"/>
                <a:pt x="213161" y="177290"/>
                <a:pt x="214100" y="180858"/>
              </a:cubicBezTo>
              <a:cubicBezTo>
                <a:pt x="189873" y="179544"/>
                <a:pt x="167149" y="173440"/>
                <a:pt x="145926" y="162547"/>
              </a:cubicBezTo>
              <a:cubicBezTo>
                <a:pt x="124704" y="151654"/>
                <a:pt x="106675" y="137099"/>
                <a:pt x="91838" y="118882"/>
              </a:cubicBezTo>
              <a:cubicBezTo>
                <a:pt x="86391" y="128272"/>
                <a:pt x="83668" y="138226"/>
                <a:pt x="83668" y="148743"/>
              </a:cubicBezTo>
              <a:cubicBezTo>
                <a:pt x="83668" y="170153"/>
                <a:pt x="92213" y="186586"/>
                <a:pt x="109304" y="198043"/>
              </a:cubicBezTo>
              <a:cubicBezTo>
                <a:pt x="100477" y="197855"/>
                <a:pt x="91087" y="195413"/>
                <a:pt x="81133" y="190718"/>
              </a:cubicBezTo>
              <a:lnTo>
                <a:pt x="81133" y="191281"/>
              </a:lnTo>
              <a:cubicBezTo>
                <a:pt x="81133" y="205367"/>
                <a:pt x="85828" y="217903"/>
                <a:pt x="95218" y="228890"/>
              </a:cubicBezTo>
              <a:cubicBezTo>
                <a:pt x="104609" y="239876"/>
                <a:pt x="116159" y="246684"/>
                <a:pt x="129868" y="249314"/>
              </a:cubicBezTo>
              <a:cubicBezTo>
                <a:pt x="124422" y="250816"/>
                <a:pt x="119634" y="251568"/>
                <a:pt x="115502" y="251568"/>
              </a:cubicBezTo>
              <a:cubicBezTo>
                <a:pt x="113060" y="251568"/>
                <a:pt x="109398" y="251192"/>
                <a:pt x="104515" y="250441"/>
              </a:cubicBezTo>
              <a:cubicBezTo>
                <a:pt x="108459" y="262272"/>
                <a:pt x="115454" y="272038"/>
                <a:pt x="125502" y="279739"/>
              </a:cubicBezTo>
              <a:cubicBezTo>
                <a:pt x="135550" y="287438"/>
                <a:pt x="146959" y="291383"/>
                <a:pt x="159730" y="291570"/>
              </a:cubicBezTo>
              <a:cubicBezTo>
                <a:pt x="137944" y="308473"/>
                <a:pt x="113435" y="316924"/>
                <a:pt x="86204" y="316924"/>
              </a:cubicBezTo>
              <a:cubicBezTo>
                <a:pt x="81321" y="316924"/>
                <a:pt x="76625" y="316642"/>
                <a:pt x="72118" y="316079"/>
              </a:cubicBezTo>
              <a:cubicBezTo>
                <a:pt x="99914" y="333733"/>
                <a:pt x="130150" y="342560"/>
                <a:pt x="162829" y="342560"/>
              </a:cubicBezTo>
              <a:cubicBezTo>
                <a:pt x="183864" y="342560"/>
                <a:pt x="203583" y="339226"/>
                <a:pt x="221988" y="332559"/>
              </a:cubicBezTo>
              <a:cubicBezTo>
                <a:pt x="240393" y="325892"/>
                <a:pt x="256169" y="316971"/>
                <a:pt x="269315" y="305796"/>
              </a:cubicBezTo>
              <a:cubicBezTo>
                <a:pt x="282462" y="294622"/>
                <a:pt x="293777" y="281757"/>
                <a:pt x="303262" y="267202"/>
              </a:cubicBezTo>
              <a:cubicBezTo>
                <a:pt x="312746" y="252647"/>
                <a:pt x="319789" y="237435"/>
                <a:pt x="324390" y="221565"/>
              </a:cubicBezTo>
              <a:cubicBezTo>
                <a:pt x="328991" y="205696"/>
                <a:pt x="331292" y="189873"/>
                <a:pt x="331292" y="174097"/>
              </a:cubicBezTo>
              <a:cubicBezTo>
                <a:pt x="331292" y="170716"/>
                <a:pt x="331198" y="168181"/>
                <a:pt x="331010" y="166491"/>
              </a:cubicBezTo>
              <a:cubicBezTo>
                <a:pt x="342842" y="158040"/>
                <a:pt x="352701" y="147804"/>
                <a:pt x="360590" y="135785"/>
              </a:cubicBezTo>
              <a:cubicBezTo>
                <a:pt x="350073" y="140479"/>
                <a:pt x="338710" y="143672"/>
                <a:pt x="326503" y="145363"/>
              </a:cubicBezTo>
              <a:cubicBezTo>
                <a:pt x="339274" y="137851"/>
                <a:pt x="348007" y="126864"/>
                <a:pt x="352701" y="112402"/>
              </a:cubicBezTo>
              <a:cubicBezTo>
                <a:pt x="340495" y="119539"/>
                <a:pt x="327911" y="124328"/>
                <a:pt x="314953" y="126770"/>
              </a:cubicBezTo>
              <a:cubicBezTo>
                <a:pt x="303496" y="114374"/>
                <a:pt x="289129" y="108177"/>
                <a:pt x="271851" y="108177"/>
              </a:cubicBezTo>
              <a:close/>
            </a:path>
          </a:pathLst>
        </a:cu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clientData/>
  </xdr:twoCellAnchor>
  <xdr:twoCellAnchor>
    <xdr:from>
      <xdr:col>11</xdr:col>
      <xdr:colOff>38100</xdr:colOff>
      <xdr:row>28</xdr:row>
      <xdr:rowOff>104775</xdr:rowOff>
    </xdr:from>
    <xdr:to>
      <xdr:col>12</xdr:col>
      <xdr:colOff>131445</xdr:colOff>
      <xdr:row>29</xdr:row>
      <xdr:rowOff>188595</xdr:rowOff>
    </xdr:to>
    <xdr:sp macro="" textlink="">
      <xdr:nvSpPr>
        <xdr:cNvPr id="3" name="Freeform 126">
          <a:extLst>
            <a:ext uri="{FF2B5EF4-FFF2-40B4-BE49-F238E27FC236}">
              <a16:creationId xmlns:a16="http://schemas.microsoft.com/office/drawing/2014/main" xmlns="" id="{00000000-0008-0000-2400-00000C000000}"/>
            </a:ext>
          </a:extLst>
        </xdr:cNvPr>
        <xdr:cNvSpPr/>
      </xdr:nvSpPr>
      <xdr:spPr>
        <a:xfrm>
          <a:off x="8534400" y="5438775"/>
          <a:ext cx="274320" cy="274320"/>
        </a:xfrm>
        <a:custGeom>
          <a:avLst/>
          <a:gdLst/>
          <a:ahLst/>
          <a:cxnLst/>
          <a:rect l="l" t="t" r="r" b="b"/>
          <a:pathLst>
            <a:path w="432707" h="432707">
              <a:moveTo>
                <a:pt x="23945" y="0"/>
              </a:moveTo>
              <a:lnTo>
                <a:pt x="408761" y="0"/>
              </a:lnTo>
              <a:cubicBezTo>
                <a:pt x="415334" y="0"/>
                <a:pt x="420969" y="2348"/>
                <a:pt x="425664" y="7043"/>
              </a:cubicBezTo>
              <a:cubicBezTo>
                <a:pt x="430359" y="11738"/>
                <a:pt x="432707" y="17372"/>
                <a:pt x="432707" y="23945"/>
              </a:cubicBezTo>
              <a:lnTo>
                <a:pt x="432707" y="408762"/>
              </a:lnTo>
              <a:cubicBezTo>
                <a:pt x="432707" y="415335"/>
                <a:pt x="430359" y="420969"/>
                <a:pt x="425664" y="425664"/>
              </a:cubicBezTo>
              <a:cubicBezTo>
                <a:pt x="420969" y="430359"/>
                <a:pt x="415334" y="432707"/>
                <a:pt x="408761" y="432707"/>
              </a:cubicBezTo>
              <a:lnTo>
                <a:pt x="298612" y="432707"/>
              </a:lnTo>
              <a:lnTo>
                <a:pt x="298612" y="265089"/>
              </a:lnTo>
              <a:lnTo>
                <a:pt x="354673" y="265089"/>
              </a:lnTo>
              <a:lnTo>
                <a:pt x="363124" y="199733"/>
              </a:lnTo>
              <a:lnTo>
                <a:pt x="298612" y="199733"/>
              </a:lnTo>
              <a:lnTo>
                <a:pt x="298612" y="158039"/>
              </a:lnTo>
              <a:cubicBezTo>
                <a:pt x="298612" y="147522"/>
                <a:pt x="300819" y="139634"/>
                <a:pt x="305232" y="134376"/>
              </a:cubicBezTo>
              <a:cubicBezTo>
                <a:pt x="309646" y="129117"/>
                <a:pt x="318238" y="126488"/>
                <a:pt x="331009" y="126488"/>
              </a:cubicBezTo>
              <a:lnTo>
                <a:pt x="365378" y="126206"/>
              </a:lnTo>
              <a:lnTo>
                <a:pt x="365378" y="67892"/>
              </a:lnTo>
              <a:cubicBezTo>
                <a:pt x="353546" y="66202"/>
                <a:pt x="336831" y="65357"/>
                <a:pt x="315233" y="65357"/>
              </a:cubicBezTo>
              <a:cubicBezTo>
                <a:pt x="289692" y="65357"/>
                <a:pt x="269268" y="72869"/>
                <a:pt x="253961" y="87894"/>
              </a:cubicBezTo>
              <a:cubicBezTo>
                <a:pt x="238655" y="102918"/>
                <a:pt x="231002" y="124140"/>
                <a:pt x="231002" y="151560"/>
              </a:cubicBezTo>
              <a:lnTo>
                <a:pt x="231002" y="199733"/>
              </a:lnTo>
              <a:lnTo>
                <a:pt x="174660" y="199733"/>
              </a:lnTo>
              <a:lnTo>
                <a:pt x="174660" y="265089"/>
              </a:lnTo>
              <a:lnTo>
                <a:pt x="231002" y="265089"/>
              </a:lnTo>
              <a:lnTo>
                <a:pt x="231002" y="432707"/>
              </a:lnTo>
              <a:lnTo>
                <a:pt x="23945" y="432707"/>
              </a:lnTo>
              <a:cubicBezTo>
                <a:pt x="17372" y="432707"/>
                <a:pt x="11737" y="430359"/>
                <a:pt x="7042" y="425664"/>
              </a:cubicBezTo>
              <a:cubicBezTo>
                <a:pt x="2347" y="420969"/>
                <a:pt x="0" y="415335"/>
                <a:pt x="0" y="408762"/>
              </a:cubicBezTo>
              <a:lnTo>
                <a:pt x="0" y="23945"/>
              </a:lnTo>
              <a:cubicBezTo>
                <a:pt x="0" y="17372"/>
                <a:pt x="2347" y="11738"/>
                <a:pt x="7042" y="7043"/>
              </a:cubicBezTo>
              <a:cubicBezTo>
                <a:pt x="11737" y="2348"/>
                <a:pt x="17372" y="0"/>
                <a:pt x="23945" y="0"/>
              </a:cubicBezTo>
              <a:close/>
            </a:path>
          </a:pathLst>
        </a:custGeom>
        <a:solidFill>
          <a:srgbClr val="3858F6"/>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11</xdr:col>
      <xdr:colOff>38100</xdr:colOff>
      <xdr:row>30</xdr:row>
      <xdr:rowOff>104775</xdr:rowOff>
    </xdr:from>
    <xdr:to>
      <xdr:col>12</xdr:col>
      <xdr:colOff>131445</xdr:colOff>
      <xdr:row>31</xdr:row>
      <xdr:rowOff>188595</xdr:rowOff>
    </xdr:to>
    <xdr:sp macro="" textlink="">
      <xdr:nvSpPr>
        <xdr:cNvPr id="4" name="Freeform 490">
          <a:extLst>
            <a:ext uri="{FF2B5EF4-FFF2-40B4-BE49-F238E27FC236}">
              <a16:creationId xmlns:a16="http://schemas.microsoft.com/office/drawing/2014/main" xmlns="" id="{00000000-0008-0000-2400-00000D000000}"/>
            </a:ext>
          </a:extLst>
        </xdr:cNvPr>
        <xdr:cNvSpPr/>
      </xdr:nvSpPr>
      <xdr:spPr>
        <a:xfrm>
          <a:off x="8534400" y="5819775"/>
          <a:ext cx="274320" cy="274320"/>
        </a:xfrm>
        <a:custGeom>
          <a:avLst/>
          <a:gdLst>
            <a:gd name="connsiteX0" fmla="*/ 320022 w 432707"/>
            <a:gd name="connsiteY0" fmla="*/ 272696 h 432707"/>
            <a:gd name="connsiteX1" fmla="*/ 310726 w 432707"/>
            <a:gd name="connsiteY1" fmla="*/ 287063 h 432707"/>
            <a:gd name="connsiteX2" fmla="*/ 310726 w 432707"/>
            <a:gd name="connsiteY2" fmla="*/ 296641 h 432707"/>
            <a:gd name="connsiteX3" fmla="*/ 329319 w 432707"/>
            <a:gd name="connsiteY3" fmla="*/ 296641 h 432707"/>
            <a:gd name="connsiteX4" fmla="*/ 329319 w 432707"/>
            <a:gd name="connsiteY4" fmla="*/ 287063 h 432707"/>
            <a:gd name="connsiteX5" fmla="*/ 320022 w 432707"/>
            <a:gd name="connsiteY5" fmla="*/ 272696 h 432707"/>
            <a:gd name="connsiteX6" fmla="*/ 250722 w 432707"/>
            <a:gd name="connsiteY6" fmla="*/ 272696 h 432707"/>
            <a:gd name="connsiteX7" fmla="*/ 241426 w 432707"/>
            <a:gd name="connsiteY7" fmla="*/ 277203 h 432707"/>
            <a:gd name="connsiteX8" fmla="*/ 241426 w 432707"/>
            <a:gd name="connsiteY8" fmla="*/ 340306 h 432707"/>
            <a:gd name="connsiteX9" fmla="*/ 250722 w 432707"/>
            <a:gd name="connsiteY9" fmla="*/ 344813 h 432707"/>
            <a:gd name="connsiteX10" fmla="*/ 258891 w 432707"/>
            <a:gd name="connsiteY10" fmla="*/ 331010 h 432707"/>
            <a:gd name="connsiteX11" fmla="*/ 258891 w 432707"/>
            <a:gd name="connsiteY11" fmla="*/ 286781 h 432707"/>
            <a:gd name="connsiteX12" fmla="*/ 250722 w 432707"/>
            <a:gd name="connsiteY12" fmla="*/ 272696 h 432707"/>
            <a:gd name="connsiteX13" fmla="*/ 152687 w 432707"/>
            <a:gd name="connsiteY13" fmla="*/ 257202 h 432707"/>
            <a:gd name="connsiteX14" fmla="*/ 171280 w 432707"/>
            <a:gd name="connsiteY14" fmla="*/ 257202 h 432707"/>
            <a:gd name="connsiteX15" fmla="*/ 171280 w 432707"/>
            <a:gd name="connsiteY15" fmla="*/ 333263 h 432707"/>
            <a:gd name="connsiteX16" fmla="*/ 171561 w 432707"/>
            <a:gd name="connsiteY16" fmla="*/ 340588 h 432707"/>
            <a:gd name="connsiteX17" fmla="*/ 175787 w 432707"/>
            <a:gd name="connsiteY17" fmla="*/ 344813 h 432707"/>
            <a:gd name="connsiteX18" fmla="*/ 187619 w 432707"/>
            <a:gd name="connsiteY18" fmla="*/ 336080 h 432707"/>
            <a:gd name="connsiteX19" fmla="*/ 187619 w 432707"/>
            <a:gd name="connsiteY19" fmla="*/ 257202 h 432707"/>
            <a:gd name="connsiteX20" fmla="*/ 206494 w 432707"/>
            <a:gd name="connsiteY20" fmla="*/ 257202 h 432707"/>
            <a:gd name="connsiteX21" fmla="*/ 206494 w 432707"/>
            <a:gd name="connsiteY21" fmla="*/ 360589 h 432707"/>
            <a:gd name="connsiteX22" fmla="*/ 187619 w 432707"/>
            <a:gd name="connsiteY22" fmla="*/ 360589 h 432707"/>
            <a:gd name="connsiteX23" fmla="*/ 187619 w 432707"/>
            <a:gd name="connsiteY23" fmla="*/ 349321 h 432707"/>
            <a:gd name="connsiteX24" fmla="*/ 166209 w 432707"/>
            <a:gd name="connsiteY24" fmla="*/ 361998 h 432707"/>
            <a:gd name="connsiteX25" fmla="*/ 154377 w 432707"/>
            <a:gd name="connsiteY25" fmla="*/ 354110 h 432707"/>
            <a:gd name="connsiteX26" fmla="*/ 152687 w 432707"/>
            <a:gd name="connsiteY26" fmla="*/ 338897 h 432707"/>
            <a:gd name="connsiteX27" fmla="*/ 320305 w 432707"/>
            <a:gd name="connsiteY27" fmla="*/ 255793 h 432707"/>
            <a:gd name="connsiteX28" fmla="*/ 342278 w 432707"/>
            <a:gd name="connsiteY28" fmla="*/ 266498 h 432707"/>
            <a:gd name="connsiteX29" fmla="*/ 348194 w 432707"/>
            <a:gd name="connsiteY29" fmla="*/ 290725 h 432707"/>
            <a:gd name="connsiteX30" fmla="*/ 348194 w 432707"/>
            <a:gd name="connsiteY30" fmla="*/ 312135 h 432707"/>
            <a:gd name="connsiteX31" fmla="*/ 310726 w 432707"/>
            <a:gd name="connsiteY31" fmla="*/ 312135 h 432707"/>
            <a:gd name="connsiteX32" fmla="*/ 310726 w 432707"/>
            <a:gd name="connsiteY32" fmla="*/ 330446 h 432707"/>
            <a:gd name="connsiteX33" fmla="*/ 320305 w 432707"/>
            <a:gd name="connsiteY33" fmla="*/ 344813 h 432707"/>
            <a:gd name="connsiteX34" fmla="*/ 328756 w 432707"/>
            <a:gd name="connsiteY34" fmla="*/ 337489 h 432707"/>
            <a:gd name="connsiteX35" fmla="*/ 328897 w 432707"/>
            <a:gd name="connsiteY35" fmla="*/ 335517 h 432707"/>
            <a:gd name="connsiteX36" fmla="*/ 329038 w 432707"/>
            <a:gd name="connsiteY36" fmla="*/ 330869 h 432707"/>
            <a:gd name="connsiteX37" fmla="*/ 329038 w 432707"/>
            <a:gd name="connsiteY37" fmla="*/ 324812 h 432707"/>
            <a:gd name="connsiteX38" fmla="*/ 348194 w 432707"/>
            <a:gd name="connsiteY38" fmla="*/ 324812 h 432707"/>
            <a:gd name="connsiteX39" fmla="*/ 348194 w 432707"/>
            <a:gd name="connsiteY39" fmla="*/ 327347 h 432707"/>
            <a:gd name="connsiteX40" fmla="*/ 347630 w 432707"/>
            <a:gd name="connsiteY40" fmla="*/ 339461 h 432707"/>
            <a:gd name="connsiteX41" fmla="*/ 343405 w 432707"/>
            <a:gd name="connsiteY41" fmla="*/ 350729 h 432707"/>
            <a:gd name="connsiteX42" fmla="*/ 320868 w 432707"/>
            <a:gd name="connsiteY42" fmla="*/ 361998 h 432707"/>
            <a:gd name="connsiteX43" fmla="*/ 298049 w 432707"/>
            <a:gd name="connsiteY43" fmla="*/ 351293 h 432707"/>
            <a:gd name="connsiteX44" fmla="*/ 292134 w 432707"/>
            <a:gd name="connsiteY44" fmla="*/ 327066 h 432707"/>
            <a:gd name="connsiteX45" fmla="*/ 292134 w 432707"/>
            <a:gd name="connsiteY45" fmla="*/ 290725 h 432707"/>
            <a:gd name="connsiteX46" fmla="*/ 297767 w 432707"/>
            <a:gd name="connsiteY46" fmla="*/ 266498 h 432707"/>
            <a:gd name="connsiteX47" fmla="*/ 320305 w 432707"/>
            <a:gd name="connsiteY47" fmla="*/ 255793 h 432707"/>
            <a:gd name="connsiteX48" fmla="*/ 222551 w 432707"/>
            <a:gd name="connsiteY48" fmla="*/ 221706 h 432707"/>
            <a:gd name="connsiteX49" fmla="*/ 241426 w 432707"/>
            <a:gd name="connsiteY49" fmla="*/ 221706 h 432707"/>
            <a:gd name="connsiteX50" fmla="*/ 241426 w 432707"/>
            <a:gd name="connsiteY50" fmla="*/ 267061 h 432707"/>
            <a:gd name="connsiteX51" fmla="*/ 260582 w 432707"/>
            <a:gd name="connsiteY51" fmla="*/ 255793 h 432707"/>
            <a:gd name="connsiteX52" fmla="*/ 275512 w 432707"/>
            <a:gd name="connsiteY52" fmla="*/ 267625 h 432707"/>
            <a:gd name="connsiteX53" fmla="*/ 277484 w 432707"/>
            <a:gd name="connsiteY53" fmla="*/ 288471 h 432707"/>
            <a:gd name="connsiteX54" fmla="*/ 277484 w 432707"/>
            <a:gd name="connsiteY54" fmla="*/ 329601 h 432707"/>
            <a:gd name="connsiteX55" fmla="*/ 275512 w 432707"/>
            <a:gd name="connsiteY55" fmla="*/ 350166 h 432707"/>
            <a:gd name="connsiteX56" fmla="*/ 260582 w 432707"/>
            <a:gd name="connsiteY56" fmla="*/ 361998 h 432707"/>
            <a:gd name="connsiteX57" fmla="*/ 241426 w 432707"/>
            <a:gd name="connsiteY57" fmla="*/ 350448 h 432707"/>
            <a:gd name="connsiteX58" fmla="*/ 241426 w 432707"/>
            <a:gd name="connsiteY58" fmla="*/ 360589 h 432707"/>
            <a:gd name="connsiteX59" fmla="*/ 222551 w 432707"/>
            <a:gd name="connsiteY59" fmla="*/ 360589 h 432707"/>
            <a:gd name="connsiteX60" fmla="*/ 84513 w 432707"/>
            <a:gd name="connsiteY60" fmla="*/ 221706 h 432707"/>
            <a:gd name="connsiteX61" fmla="*/ 149869 w 432707"/>
            <a:gd name="connsiteY61" fmla="*/ 221706 h 432707"/>
            <a:gd name="connsiteX62" fmla="*/ 149869 w 432707"/>
            <a:gd name="connsiteY62" fmla="*/ 241426 h 432707"/>
            <a:gd name="connsiteX63" fmla="*/ 127333 w 432707"/>
            <a:gd name="connsiteY63" fmla="*/ 241426 h 432707"/>
            <a:gd name="connsiteX64" fmla="*/ 127333 w 432707"/>
            <a:gd name="connsiteY64" fmla="*/ 360589 h 432707"/>
            <a:gd name="connsiteX65" fmla="*/ 106486 w 432707"/>
            <a:gd name="connsiteY65" fmla="*/ 360589 h 432707"/>
            <a:gd name="connsiteX66" fmla="*/ 106486 w 432707"/>
            <a:gd name="connsiteY66" fmla="*/ 241426 h 432707"/>
            <a:gd name="connsiteX67" fmla="*/ 84513 w 432707"/>
            <a:gd name="connsiteY67" fmla="*/ 241426 h 432707"/>
            <a:gd name="connsiteX68" fmla="*/ 216353 w 432707"/>
            <a:gd name="connsiteY68" fmla="*/ 185647 h 432707"/>
            <a:gd name="connsiteX69" fmla="*/ 100570 w 432707"/>
            <a:gd name="connsiteY69" fmla="*/ 189873 h 432707"/>
            <a:gd name="connsiteX70" fmla="*/ 79019 w 432707"/>
            <a:gd name="connsiteY70" fmla="*/ 199592 h 432707"/>
            <a:gd name="connsiteX71" fmla="*/ 67047 w 432707"/>
            <a:gd name="connsiteY71" fmla="*/ 220297 h 432707"/>
            <a:gd name="connsiteX72" fmla="*/ 61412 w 432707"/>
            <a:gd name="connsiteY72" fmla="*/ 293542 h 432707"/>
            <a:gd name="connsiteX73" fmla="*/ 67047 w 432707"/>
            <a:gd name="connsiteY73" fmla="*/ 366787 h 432707"/>
            <a:gd name="connsiteX74" fmla="*/ 79019 w 432707"/>
            <a:gd name="connsiteY74" fmla="*/ 387352 h 432707"/>
            <a:gd name="connsiteX75" fmla="*/ 100289 w 432707"/>
            <a:gd name="connsiteY75" fmla="*/ 397212 h 432707"/>
            <a:gd name="connsiteX76" fmla="*/ 216353 w 432707"/>
            <a:gd name="connsiteY76" fmla="*/ 401437 h 432707"/>
            <a:gd name="connsiteX77" fmla="*/ 332418 w 432707"/>
            <a:gd name="connsiteY77" fmla="*/ 397212 h 432707"/>
            <a:gd name="connsiteX78" fmla="*/ 353687 w 432707"/>
            <a:gd name="connsiteY78" fmla="*/ 387352 h 432707"/>
            <a:gd name="connsiteX79" fmla="*/ 365660 w 432707"/>
            <a:gd name="connsiteY79" fmla="*/ 366787 h 432707"/>
            <a:gd name="connsiteX80" fmla="*/ 371294 w 432707"/>
            <a:gd name="connsiteY80" fmla="*/ 293542 h 432707"/>
            <a:gd name="connsiteX81" fmla="*/ 365941 w 432707"/>
            <a:gd name="connsiteY81" fmla="*/ 220297 h 432707"/>
            <a:gd name="connsiteX82" fmla="*/ 353828 w 432707"/>
            <a:gd name="connsiteY82" fmla="*/ 199592 h 432707"/>
            <a:gd name="connsiteX83" fmla="*/ 332418 w 432707"/>
            <a:gd name="connsiteY83" fmla="*/ 189873 h 432707"/>
            <a:gd name="connsiteX84" fmla="*/ 216353 w 432707"/>
            <a:gd name="connsiteY84" fmla="*/ 185647 h 432707"/>
            <a:gd name="connsiteX85" fmla="*/ 212127 w 432707"/>
            <a:gd name="connsiteY85" fmla="*/ 78034 h 432707"/>
            <a:gd name="connsiteX86" fmla="*/ 221142 w 432707"/>
            <a:gd name="connsiteY86" fmla="*/ 92683 h 432707"/>
            <a:gd name="connsiteX87" fmla="*/ 221142 w 432707"/>
            <a:gd name="connsiteY87" fmla="*/ 136630 h 432707"/>
            <a:gd name="connsiteX88" fmla="*/ 212127 w 432707"/>
            <a:gd name="connsiteY88" fmla="*/ 150997 h 432707"/>
            <a:gd name="connsiteX89" fmla="*/ 203113 w 432707"/>
            <a:gd name="connsiteY89" fmla="*/ 136630 h 432707"/>
            <a:gd name="connsiteX90" fmla="*/ 203113 w 432707"/>
            <a:gd name="connsiteY90" fmla="*/ 92683 h 432707"/>
            <a:gd name="connsiteX91" fmla="*/ 212127 w 432707"/>
            <a:gd name="connsiteY91" fmla="*/ 78034 h 432707"/>
            <a:gd name="connsiteX92" fmla="*/ 255511 w 432707"/>
            <a:gd name="connsiteY92" fmla="*/ 62540 h 432707"/>
            <a:gd name="connsiteX93" fmla="*/ 255511 w 432707"/>
            <a:gd name="connsiteY93" fmla="*/ 145081 h 432707"/>
            <a:gd name="connsiteX94" fmla="*/ 257201 w 432707"/>
            <a:gd name="connsiteY94" fmla="*/ 160575 h 432707"/>
            <a:gd name="connsiteX95" fmla="*/ 269315 w 432707"/>
            <a:gd name="connsiteY95" fmla="*/ 168181 h 432707"/>
            <a:gd name="connsiteX96" fmla="*/ 291006 w 432707"/>
            <a:gd name="connsiteY96" fmla="*/ 155504 h 432707"/>
            <a:gd name="connsiteX97" fmla="*/ 291006 w 432707"/>
            <a:gd name="connsiteY97" fmla="*/ 166773 h 432707"/>
            <a:gd name="connsiteX98" fmla="*/ 309881 w 432707"/>
            <a:gd name="connsiteY98" fmla="*/ 166773 h 432707"/>
            <a:gd name="connsiteX99" fmla="*/ 309881 w 432707"/>
            <a:gd name="connsiteY99" fmla="*/ 62540 h 432707"/>
            <a:gd name="connsiteX100" fmla="*/ 291006 w 432707"/>
            <a:gd name="connsiteY100" fmla="*/ 62540 h 432707"/>
            <a:gd name="connsiteX101" fmla="*/ 291006 w 432707"/>
            <a:gd name="connsiteY101" fmla="*/ 142264 h 432707"/>
            <a:gd name="connsiteX102" fmla="*/ 279175 w 432707"/>
            <a:gd name="connsiteY102" fmla="*/ 150997 h 432707"/>
            <a:gd name="connsiteX103" fmla="*/ 274668 w 432707"/>
            <a:gd name="connsiteY103" fmla="*/ 146489 h 432707"/>
            <a:gd name="connsiteX104" fmla="*/ 274386 w 432707"/>
            <a:gd name="connsiteY104" fmla="*/ 139165 h 432707"/>
            <a:gd name="connsiteX105" fmla="*/ 274386 w 432707"/>
            <a:gd name="connsiteY105" fmla="*/ 62540 h 432707"/>
            <a:gd name="connsiteX106" fmla="*/ 212127 w 432707"/>
            <a:gd name="connsiteY106" fmla="*/ 61131 h 432707"/>
            <a:gd name="connsiteX107" fmla="*/ 190154 w 432707"/>
            <a:gd name="connsiteY107" fmla="*/ 71836 h 432707"/>
            <a:gd name="connsiteX108" fmla="*/ 184238 w 432707"/>
            <a:gd name="connsiteY108" fmla="*/ 96345 h 432707"/>
            <a:gd name="connsiteX109" fmla="*/ 184238 w 432707"/>
            <a:gd name="connsiteY109" fmla="*/ 132967 h 432707"/>
            <a:gd name="connsiteX110" fmla="*/ 190154 w 432707"/>
            <a:gd name="connsiteY110" fmla="*/ 157476 h 432707"/>
            <a:gd name="connsiteX111" fmla="*/ 212127 w 432707"/>
            <a:gd name="connsiteY111" fmla="*/ 168181 h 432707"/>
            <a:gd name="connsiteX112" fmla="*/ 234101 w 432707"/>
            <a:gd name="connsiteY112" fmla="*/ 157476 h 432707"/>
            <a:gd name="connsiteX113" fmla="*/ 240017 w 432707"/>
            <a:gd name="connsiteY113" fmla="*/ 132967 h 432707"/>
            <a:gd name="connsiteX114" fmla="*/ 240017 w 432707"/>
            <a:gd name="connsiteY114" fmla="*/ 96345 h 432707"/>
            <a:gd name="connsiteX115" fmla="*/ 234101 w 432707"/>
            <a:gd name="connsiteY115" fmla="*/ 71836 h 432707"/>
            <a:gd name="connsiteX116" fmla="*/ 212127 w 432707"/>
            <a:gd name="connsiteY116" fmla="*/ 61131 h 432707"/>
            <a:gd name="connsiteX117" fmla="*/ 111557 w 432707"/>
            <a:gd name="connsiteY117" fmla="*/ 26762 h 432707"/>
            <a:gd name="connsiteX118" fmla="*/ 118318 w 432707"/>
            <a:gd name="connsiteY118" fmla="*/ 46201 h 432707"/>
            <a:gd name="connsiteX119" fmla="*/ 124798 w 432707"/>
            <a:gd name="connsiteY119" fmla="*/ 65639 h 432707"/>
            <a:gd name="connsiteX120" fmla="*/ 137756 w 432707"/>
            <a:gd name="connsiteY120" fmla="*/ 110149 h 432707"/>
            <a:gd name="connsiteX121" fmla="*/ 137756 w 432707"/>
            <a:gd name="connsiteY121" fmla="*/ 166773 h 432707"/>
            <a:gd name="connsiteX122" fmla="*/ 158603 w 432707"/>
            <a:gd name="connsiteY122" fmla="*/ 166773 h 432707"/>
            <a:gd name="connsiteX123" fmla="*/ 158603 w 432707"/>
            <a:gd name="connsiteY123" fmla="*/ 110149 h 432707"/>
            <a:gd name="connsiteX124" fmla="*/ 183956 w 432707"/>
            <a:gd name="connsiteY124" fmla="*/ 26762 h 432707"/>
            <a:gd name="connsiteX125" fmla="*/ 162828 w 432707"/>
            <a:gd name="connsiteY125" fmla="*/ 26762 h 432707"/>
            <a:gd name="connsiteX126" fmla="*/ 148461 w 432707"/>
            <a:gd name="connsiteY126" fmla="*/ 81696 h 432707"/>
            <a:gd name="connsiteX127" fmla="*/ 133530 w 432707"/>
            <a:gd name="connsiteY127" fmla="*/ 26762 h 432707"/>
            <a:gd name="connsiteX128" fmla="*/ 81133 w 432707"/>
            <a:gd name="connsiteY128" fmla="*/ 0 h 432707"/>
            <a:gd name="connsiteX129" fmla="*/ 351574 w 432707"/>
            <a:gd name="connsiteY129" fmla="*/ 0 h 432707"/>
            <a:gd name="connsiteX130" fmla="*/ 408902 w 432707"/>
            <a:gd name="connsiteY130" fmla="*/ 23804 h 432707"/>
            <a:gd name="connsiteX131" fmla="*/ 432707 w 432707"/>
            <a:gd name="connsiteY131" fmla="*/ 81132 h 432707"/>
            <a:gd name="connsiteX132" fmla="*/ 432707 w 432707"/>
            <a:gd name="connsiteY132" fmla="*/ 351575 h 432707"/>
            <a:gd name="connsiteX133" fmla="*/ 408902 w 432707"/>
            <a:gd name="connsiteY133" fmla="*/ 408902 h 432707"/>
            <a:gd name="connsiteX134" fmla="*/ 351574 w 432707"/>
            <a:gd name="connsiteY134" fmla="*/ 432707 h 432707"/>
            <a:gd name="connsiteX135" fmla="*/ 81133 w 432707"/>
            <a:gd name="connsiteY135" fmla="*/ 432707 h 432707"/>
            <a:gd name="connsiteX136" fmla="*/ 23805 w 432707"/>
            <a:gd name="connsiteY136" fmla="*/ 408902 h 432707"/>
            <a:gd name="connsiteX137" fmla="*/ 0 w 432707"/>
            <a:gd name="connsiteY137" fmla="*/ 351575 h 432707"/>
            <a:gd name="connsiteX138" fmla="*/ 0 w 432707"/>
            <a:gd name="connsiteY138" fmla="*/ 81132 h 432707"/>
            <a:gd name="connsiteX139" fmla="*/ 23805 w 432707"/>
            <a:gd name="connsiteY139" fmla="*/ 23804 h 432707"/>
            <a:gd name="connsiteX140" fmla="*/ 81133 w 432707"/>
            <a:gd name="connsiteY140" fmla="*/ 0 h 4327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Lst>
          <a:rect l="l" t="t" r="r" b="b"/>
          <a:pathLst>
            <a:path w="432707" h="432707">
              <a:moveTo>
                <a:pt x="320022" y="272696"/>
              </a:moveTo>
              <a:cubicBezTo>
                <a:pt x="313825" y="272696"/>
                <a:pt x="310726" y="277485"/>
                <a:pt x="310726" y="287063"/>
              </a:cubicBezTo>
              <a:lnTo>
                <a:pt x="310726" y="296641"/>
              </a:lnTo>
              <a:lnTo>
                <a:pt x="329319" y="296641"/>
              </a:lnTo>
              <a:lnTo>
                <a:pt x="329319" y="287063"/>
              </a:lnTo>
              <a:cubicBezTo>
                <a:pt x="329319" y="277485"/>
                <a:pt x="326220" y="272696"/>
                <a:pt x="320022" y="272696"/>
              </a:cubicBezTo>
              <a:close/>
              <a:moveTo>
                <a:pt x="250722" y="272696"/>
              </a:moveTo>
              <a:cubicBezTo>
                <a:pt x="247529" y="272696"/>
                <a:pt x="244431" y="274198"/>
                <a:pt x="241426" y="277203"/>
              </a:cubicBezTo>
              <a:lnTo>
                <a:pt x="241426" y="340306"/>
              </a:lnTo>
              <a:cubicBezTo>
                <a:pt x="244431" y="343311"/>
                <a:pt x="247529" y="344813"/>
                <a:pt x="250722" y="344813"/>
              </a:cubicBezTo>
              <a:cubicBezTo>
                <a:pt x="256168" y="344813"/>
                <a:pt x="258891" y="340212"/>
                <a:pt x="258891" y="331010"/>
              </a:cubicBezTo>
              <a:lnTo>
                <a:pt x="258891" y="286781"/>
              </a:lnTo>
              <a:cubicBezTo>
                <a:pt x="258891" y="277391"/>
                <a:pt x="256168" y="272696"/>
                <a:pt x="250722" y="272696"/>
              </a:cubicBezTo>
              <a:close/>
              <a:moveTo>
                <a:pt x="152687" y="257202"/>
              </a:moveTo>
              <a:lnTo>
                <a:pt x="171280" y="257202"/>
              </a:lnTo>
              <a:lnTo>
                <a:pt x="171280" y="333263"/>
              </a:lnTo>
              <a:cubicBezTo>
                <a:pt x="171280" y="337771"/>
                <a:pt x="171374" y="340212"/>
                <a:pt x="171561" y="340588"/>
              </a:cubicBezTo>
              <a:cubicBezTo>
                <a:pt x="171749" y="343405"/>
                <a:pt x="173158" y="344813"/>
                <a:pt x="175787" y="344813"/>
              </a:cubicBezTo>
              <a:cubicBezTo>
                <a:pt x="179543" y="344813"/>
                <a:pt x="183487" y="341903"/>
                <a:pt x="187619" y="336080"/>
              </a:cubicBezTo>
              <a:lnTo>
                <a:pt x="187619" y="257202"/>
              </a:lnTo>
              <a:lnTo>
                <a:pt x="206494" y="257202"/>
              </a:lnTo>
              <a:lnTo>
                <a:pt x="206494" y="360589"/>
              </a:lnTo>
              <a:lnTo>
                <a:pt x="187619" y="360589"/>
              </a:lnTo>
              <a:lnTo>
                <a:pt x="187619" y="349321"/>
              </a:lnTo>
              <a:cubicBezTo>
                <a:pt x="180294" y="357772"/>
                <a:pt x="173158" y="361998"/>
                <a:pt x="166209" y="361998"/>
              </a:cubicBezTo>
              <a:cubicBezTo>
                <a:pt x="160011" y="361998"/>
                <a:pt x="156067" y="359368"/>
                <a:pt x="154377" y="354110"/>
              </a:cubicBezTo>
              <a:cubicBezTo>
                <a:pt x="153250" y="351105"/>
                <a:pt x="152687" y="346034"/>
                <a:pt x="152687" y="338897"/>
              </a:cubicBezTo>
              <a:close/>
              <a:moveTo>
                <a:pt x="320305" y="255793"/>
              </a:moveTo>
              <a:cubicBezTo>
                <a:pt x="329882" y="255793"/>
                <a:pt x="337207" y="259361"/>
                <a:pt x="342278" y="266498"/>
              </a:cubicBezTo>
              <a:cubicBezTo>
                <a:pt x="346221" y="271757"/>
                <a:pt x="348194" y="279832"/>
                <a:pt x="348194" y="290725"/>
              </a:cubicBezTo>
              <a:lnTo>
                <a:pt x="348194" y="312135"/>
              </a:lnTo>
              <a:lnTo>
                <a:pt x="310726" y="312135"/>
              </a:lnTo>
              <a:lnTo>
                <a:pt x="310726" y="330446"/>
              </a:lnTo>
              <a:cubicBezTo>
                <a:pt x="310726" y="340024"/>
                <a:pt x="313919" y="344813"/>
                <a:pt x="320305" y="344813"/>
              </a:cubicBezTo>
              <a:cubicBezTo>
                <a:pt x="324812" y="344813"/>
                <a:pt x="327629" y="342372"/>
                <a:pt x="328756" y="337489"/>
              </a:cubicBezTo>
              <a:cubicBezTo>
                <a:pt x="328756" y="337301"/>
                <a:pt x="328803" y="336644"/>
                <a:pt x="328897" y="335517"/>
              </a:cubicBezTo>
              <a:cubicBezTo>
                <a:pt x="328991" y="334390"/>
                <a:pt x="329038" y="332841"/>
                <a:pt x="329038" y="330869"/>
              </a:cubicBezTo>
              <a:cubicBezTo>
                <a:pt x="329038" y="328897"/>
                <a:pt x="329038" y="326878"/>
                <a:pt x="329038" y="324812"/>
              </a:cubicBezTo>
              <a:lnTo>
                <a:pt x="348194" y="324812"/>
              </a:lnTo>
              <a:lnTo>
                <a:pt x="348194" y="327347"/>
              </a:lnTo>
              <a:cubicBezTo>
                <a:pt x="348194" y="332794"/>
                <a:pt x="348006" y="336832"/>
                <a:pt x="347630" y="339461"/>
              </a:cubicBezTo>
              <a:cubicBezTo>
                <a:pt x="347067" y="343593"/>
                <a:pt x="345658" y="347349"/>
                <a:pt x="343405" y="350729"/>
              </a:cubicBezTo>
              <a:cubicBezTo>
                <a:pt x="338334" y="358242"/>
                <a:pt x="330821" y="361998"/>
                <a:pt x="320868" y="361998"/>
              </a:cubicBezTo>
              <a:cubicBezTo>
                <a:pt x="311102" y="361998"/>
                <a:pt x="303496" y="358429"/>
                <a:pt x="298049" y="351293"/>
              </a:cubicBezTo>
              <a:cubicBezTo>
                <a:pt x="294106" y="346222"/>
                <a:pt x="292134" y="338146"/>
                <a:pt x="292134" y="327066"/>
              </a:cubicBezTo>
              <a:lnTo>
                <a:pt x="292134" y="290725"/>
              </a:lnTo>
              <a:cubicBezTo>
                <a:pt x="292134" y="279644"/>
                <a:pt x="294011" y="271569"/>
                <a:pt x="297767" y="266498"/>
              </a:cubicBezTo>
              <a:cubicBezTo>
                <a:pt x="303214" y="259361"/>
                <a:pt x="310726" y="255793"/>
                <a:pt x="320305" y="255793"/>
              </a:cubicBezTo>
              <a:close/>
              <a:moveTo>
                <a:pt x="222551" y="221706"/>
              </a:moveTo>
              <a:lnTo>
                <a:pt x="241426" y="221706"/>
              </a:lnTo>
              <a:lnTo>
                <a:pt x="241426" y="267061"/>
              </a:lnTo>
              <a:cubicBezTo>
                <a:pt x="247435" y="259549"/>
                <a:pt x="253820" y="255793"/>
                <a:pt x="260582" y="255793"/>
              </a:cubicBezTo>
              <a:cubicBezTo>
                <a:pt x="268282" y="255793"/>
                <a:pt x="273259" y="259737"/>
                <a:pt x="275512" y="267625"/>
              </a:cubicBezTo>
              <a:cubicBezTo>
                <a:pt x="276827" y="271569"/>
                <a:pt x="277484" y="278517"/>
                <a:pt x="277484" y="288471"/>
              </a:cubicBezTo>
              <a:lnTo>
                <a:pt x="277484" y="329601"/>
              </a:lnTo>
              <a:cubicBezTo>
                <a:pt x="277484" y="339367"/>
                <a:pt x="276827" y="346222"/>
                <a:pt x="275512" y="350166"/>
              </a:cubicBezTo>
              <a:cubicBezTo>
                <a:pt x="273259" y="358054"/>
                <a:pt x="268282" y="361998"/>
                <a:pt x="260582" y="361998"/>
              </a:cubicBezTo>
              <a:cubicBezTo>
                <a:pt x="254009" y="361998"/>
                <a:pt x="247623" y="358148"/>
                <a:pt x="241426" y="350448"/>
              </a:cubicBezTo>
              <a:lnTo>
                <a:pt x="241426" y="360589"/>
              </a:lnTo>
              <a:lnTo>
                <a:pt x="222551" y="360589"/>
              </a:lnTo>
              <a:close/>
              <a:moveTo>
                <a:pt x="84513" y="221706"/>
              </a:moveTo>
              <a:lnTo>
                <a:pt x="149869" y="221706"/>
              </a:lnTo>
              <a:lnTo>
                <a:pt x="149869" y="241426"/>
              </a:lnTo>
              <a:lnTo>
                <a:pt x="127333" y="241426"/>
              </a:lnTo>
              <a:lnTo>
                <a:pt x="127333" y="360589"/>
              </a:lnTo>
              <a:lnTo>
                <a:pt x="106486" y="360589"/>
              </a:lnTo>
              <a:lnTo>
                <a:pt x="106486" y="241426"/>
              </a:lnTo>
              <a:lnTo>
                <a:pt x="84513" y="241426"/>
              </a:lnTo>
              <a:close/>
              <a:moveTo>
                <a:pt x="216353" y="185647"/>
              </a:moveTo>
              <a:cubicBezTo>
                <a:pt x="164706" y="185647"/>
                <a:pt x="126112" y="187056"/>
                <a:pt x="100570" y="189873"/>
              </a:cubicBezTo>
              <a:cubicBezTo>
                <a:pt x="92307" y="190812"/>
                <a:pt x="85123" y="194051"/>
                <a:pt x="79019" y="199592"/>
              </a:cubicBezTo>
              <a:cubicBezTo>
                <a:pt x="72916" y="205132"/>
                <a:pt x="68925" y="212034"/>
                <a:pt x="67047" y="220297"/>
              </a:cubicBezTo>
              <a:cubicBezTo>
                <a:pt x="63290" y="236637"/>
                <a:pt x="61412" y="261052"/>
                <a:pt x="61412" y="293542"/>
              </a:cubicBezTo>
              <a:cubicBezTo>
                <a:pt x="61412" y="326596"/>
                <a:pt x="63290" y="351011"/>
                <a:pt x="67047" y="366787"/>
              </a:cubicBezTo>
              <a:cubicBezTo>
                <a:pt x="68925" y="374862"/>
                <a:pt x="72916" y="381718"/>
                <a:pt x="79019" y="387352"/>
              </a:cubicBezTo>
              <a:cubicBezTo>
                <a:pt x="85123" y="392986"/>
                <a:pt x="92213" y="396272"/>
                <a:pt x="100289" y="397212"/>
              </a:cubicBezTo>
              <a:cubicBezTo>
                <a:pt x="126018" y="400029"/>
                <a:pt x="164706" y="401437"/>
                <a:pt x="216353" y="401437"/>
              </a:cubicBezTo>
              <a:cubicBezTo>
                <a:pt x="268000" y="401437"/>
                <a:pt x="306689" y="400029"/>
                <a:pt x="332418" y="397212"/>
              </a:cubicBezTo>
              <a:cubicBezTo>
                <a:pt x="340494" y="396272"/>
                <a:pt x="347583" y="392986"/>
                <a:pt x="353687" y="387352"/>
              </a:cubicBezTo>
              <a:cubicBezTo>
                <a:pt x="359791" y="381718"/>
                <a:pt x="363782" y="374862"/>
                <a:pt x="365660" y="366787"/>
              </a:cubicBezTo>
              <a:cubicBezTo>
                <a:pt x="369416" y="351011"/>
                <a:pt x="371294" y="326596"/>
                <a:pt x="371294" y="293542"/>
              </a:cubicBezTo>
              <a:cubicBezTo>
                <a:pt x="371294" y="260300"/>
                <a:pt x="369510" y="235885"/>
                <a:pt x="365941" y="220297"/>
              </a:cubicBezTo>
              <a:cubicBezTo>
                <a:pt x="364063" y="212034"/>
                <a:pt x="360025" y="205132"/>
                <a:pt x="353828" y="199592"/>
              </a:cubicBezTo>
              <a:cubicBezTo>
                <a:pt x="347630" y="194051"/>
                <a:pt x="340494" y="190812"/>
                <a:pt x="332418" y="189873"/>
              </a:cubicBezTo>
              <a:cubicBezTo>
                <a:pt x="306876" y="187056"/>
                <a:pt x="268188" y="185647"/>
                <a:pt x="216353" y="185647"/>
              </a:cubicBezTo>
              <a:close/>
              <a:moveTo>
                <a:pt x="212127" y="78034"/>
              </a:moveTo>
              <a:cubicBezTo>
                <a:pt x="218137" y="78034"/>
                <a:pt x="221142" y="82917"/>
                <a:pt x="221142" y="92683"/>
              </a:cubicBezTo>
              <a:lnTo>
                <a:pt x="221142" y="136630"/>
              </a:lnTo>
              <a:cubicBezTo>
                <a:pt x="221142" y="146207"/>
                <a:pt x="218137" y="150997"/>
                <a:pt x="212127" y="150997"/>
              </a:cubicBezTo>
              <a:cubicBezTo>
                <a:pt x="206118" y="150997"/>
                <a:pt x="203113" y="146207"/>
                <a:pt x="203113" y="136630"/>
              </a:cubicBezTo>
              <a:lnTo>
                <a:pt x="203113" y="92683"/>
              </a:lnTo>
              <a:cubicBezTo>
                <a:pt x="203113" y="82917"/>
                <a:pt x="206118" y="78034"/>
                <a:pt x="212127" y="78034"/>
              </a:cubicBezTo>
              <a:close/>
              <a:moveTo>
                <a:pt x="255511" y="62540"/>
              </a:moveTo>
              <a:lnTo>
                <a:pt x="255511" y="145081"/>
              </a:lnTo>
              <a:cubicBezTo>
                <a:pt x="255511" y="152030"/>
                <a:pt x="256074" y="157194"/>
                <a:pt x="257201" y="160575"/>
              </a:cubicBezTo>
              <a:cubicBezTo>
                <a:pt x="259267" y="165646"/>
                <a:pt x="263305" y="168181"/>
                <a:pt x="269315" y="168181"/>
              </a:cubicBezTo>
              <a:cubicBezTo>
                <a:pt x="276076" y="168181"/>
                <a:pt x="283306" y="163955"/>
                <a:pt x="291006" y="155504"/>
              </a:cubicBezTo>
              <a:lnTo>
                <a:pt x="291006" y="166773"/>
              </a:lnTo>
              <a:lnTo>
                <a:pt x="309881" y="166773"/>
              </a:lnTo>
              <a:lnTo>
                <a:pt x="309881" y="62540"/>
              </a:lnTo>
              <a:lnTo>
                <a:pt x="291006" y="62540"/>
              </a:lnTo>
              <a:lnTo>
                <a:pt x="291006" y="142264"/>
              </a:lnTo>
              <a:cubicBezTo>
                <a:pt x="286875" y="148086"/>
                <a:pt x="282931" y="150997"/>
                <a:pt x="279175" y="150997"/>
              </a:cubicBezTo>
              <a:cubicBezTo>
                <a:pt x="276358" y="150997"/>
                <a:pt x="274855" y="149494"/>
                <a:pt x="274668" y="146489"/>
              </a:cubicBezTo>
              <a:cubicBezTo>
                <a:pt x="274479" y="146114"/>
                <a:pt x="274386" y="143672"/>
                <a:pt x="274386" y="139165"/>
              </a:cubicBezTo>
              <a:lnTo>
                <a:pt x="274386" y="62540"/>
              </a:lnTo>
              <a:close/>
              <a:moveTo>
                <a:pt x="212127" y="61131"/>
              </a:moveTo>
              <a:cubicBezTo>
                <a:pt x="202550" y="61131"/>
                <a:pt x="195225" y="64699"/>
                <a:pt x="190154" y="71836"/>
              </a:cubicBezTo>
              <a:cubicBezTo>
                <a:pt x="186210" y="77283"/>
                <a:pt x="184238" y="85452"/>
                <a:pt x="184238" y="96345"/>
              </a:cubicBezTo>
              <a:lnTo>
                <a:pt x="184238" y="132967"/>
              </a:lnTo>
              <a:cubicBezTo>
                <a:pt x="184238" y="143860"/>
                <a:pt x="186210" y="152030"/>
                <a:pt x="190154" y="157476"/>
              </a:cubicBezTo>
              <a:cubicBezTo>
                <a:pt x="195225" y="164613"/>
                <a:pt x="202550" y="168181"/>
                <a:pt x="212127" y="168181"/>
              </a:cubicBezTo>
              <a:cubicBezTo>
                <a:pt x="221330" y="168181"/>
                <a:pt x="228655" y="164613"/>
                <a:pt x="234101" y="157476"/>
              </a:cubicBezTo>
              <a:cubicBezTo>
                <a:pt x="238045" y="152405"/>
                <a:pt x="240017" y="144236"/>
                <a:pt x="240017" y="132967"/>
              </a:cubicBezTo>
              <a:lnTo>
                <a:pt x="240017" y="96345"/>
              </a:lnTo>
              <a:cubicBezTo>
                <a:pt x="240017" y="85452"/>
                <a:pt x="238045" y="77283"/>
                <a:pt x="234101" y="71836"/>
              </a:cubicBezTo>
              <a:cubicBezTo>
                <a:pt x="228655" y="64699"/>
                <a:pt x="221330" y="61131"/>
                <a:pt x="212127" y="61131"/>
              </a:cubicBezTo>
              <a:close/>
              <a:moveTo>
                <a:pt x="111557" y="26762"/>
              </a:moveTo>
              <a:cubicBezTo>
                <a:pt x="113059" y="31082"/>
                <a:pt x="115313" y="37561"/>
                <a:pt x="118318" y="46201"/>
              </a:cubicBezTo>
              <a:cubicBezTo>
                <a:pt x="121323" y="54840"/>
                <a:pt x="123483" y="61319"/>
                <a:pt x="124798" y="65639"/>
              </a:cubicBezTo>
              <a:cubicBezTo>
                <a:pt x="131370" y="84982"/>
                <a:pt x="135690" y="99819"/>
                <a:pt x="137756" y="110149"/>
              </a:cubicBezTo>
              <a:lnTo>
                <a:pt x="137756" y="166773"/>
              </a:lnTo>
              <a:lnTo>
                <a:pt x="158603" y="166773"/>
              </a:lnTo>
              <a:lnTo>
                <a:pt x="158603" y="110149"/>
              </a:lnTo>
              <a:lnTo>
                <a:pt x="183956" y="26762"/>
              </a:lnTo>
              <a:lnTo>
                <a:pt x="162828" y="26762"/>
              </a:lnTo>
              <a:lnTo>
                <a:pt x="148461" y="81696"/>
              </a:lnTo>
              <a:lnTo>
                <a:pt x="133530" y="26762"/>
              </a:lnTo>
              <a:close/>
              <a:moveTo>
                <a:pt x="81133" y="0"/>
              </a:moveTo>
              <a:lnTo>
                <a:pt x="351574" y="0"/>
              </a:lnTo>
              <a:cubicBezTo>
                <a:pt x="373923" y="0"/>
                <a:pt x="393032" y="7935"/>
                <a:pt x="408902" y="23804"/>
              </a:cubicBezTo>
              <a:cubicBezTo>
                <a:pt x="424772" y="39674"/>
                <a:pt x="432707" y="58783"/>
                <a:pt x="432707" y="81132"/>
              </a:cubicBezTo>
              <a:lnTo>
                <a:pt x="432707" y="351575"/>
              </a:lnTo>
              <a:cubicBezTo>
                <a:pt x="432707" y="373924"/>
                <a:pt x="424772" y="393033"/>
                <a:pt x="408902" y="408902"/>
              </a:cubicBezTo>
              <a:cubicBezTo>
                <a:pt x="393032" y="424772"/>
                <a:pt x="373923" y="432707"/>
                <a:pt x="351574" y="432707"/>
              </a:cubicBezTo>
              <a:lnTo>
                <a:pt x="81133" y="432707"/>
              </a:lnTo>
              <a:cubicBezTo>
                <a:pt x="58783" y="432707"/>
                <a:pt x="39674" y="424772"/>
                <a:pt x="23805" y="408902"/>
              </a:cubicBezTo>
              <a:cubicBezTo>
                <a:pt x="7935" y="393033"/>
                <a:pt x="0" y="373924"/>
                <a:pt x="0" y="351575"/>
              </a:cubicBezTo>
              <a:lnTo>
                <a:pt x="0" y="81132"/>
              </a:lnTo>
              <a:cubicBezTo>
                <a:pt x="0" y="58783"/>
                <a:pt x="7935" y="39674"/>
                <a:pt x="23805" y="23804"/>
              </a:cubicBezTo>
              <a:cubicBezTo>
                <a:pt x="39674" y="7935"/>
                <a:pt x="58783" y="0"/>
                <a:pt x="81133" y="0"/>
              </a:cubicBezTo>
              <a:close/>
            </a:path>
          </a:pathLst>
        </a:cu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clientData/>
  </xdr:twoCellAnchor>
  <xdr:twoCellAnchor>
    <xdr:from>
      <xdr:col>11</xdr:col>
      <xdr:colOff>38100</xdr:colOff>
      <xdr:row>32</xdr:row>
      <xdr:rowOff>104775</xdr:rowOff>
    </xdr:from>
    <xdr:to>
      <xdr:col>12</xdr:col>
      <xdr:colOff>131445</xdr:colOff>
      <xdr:row>33</xdr:row>
      <xdr:rowOff>188595</xdr:rowOff>
    </xdr:to>
    <xdr:sp macro="" textlink="">
      <xdr:nvSpPr>
        <xdr:cNvPr id="5" name="Freeform 335">
          <a:extLst>
            <a:ext uri="{FF2B5EF4-FFF2-40B4-BE49-F238E27FC236}">
              <a16:creationId xmlns:a16="http://schemas.microsoft.com/office/drawing/2014/main" xmlns="" id="{00000000-0008-0000-2400-00000E000000}"/>
            </a:ext>
          </a:extLst>
        </xdr:cNvPr>
        <xdr:cNvSpPr/>
      </xdr:nvSpPr>
      <xdr:spPr>
        <a:xfrm>
          <a:off x="8534400" y="6200775"/>
          <a:ext cx="274320" cy="274320"/>
        </a:xfrm>
        <a:custGeom>
          <a:avLst/>
          <a:gdLst>
            <a:gd name="connsiteX0" fmla="*/ 232693 w 432707"/>
            <a:gd name="connsiteY0" fmla="*/ 194512 h 432707"/>
            <a:gd name="connsiteX1" fmla="*/ 232693 w 432707"/>
            <a:gd name="connsiteY1" fmla="*/ 195225 h 432707"/>
            <a:gd name="connsiteX2" fmla="*/ 232130 w 432707"/>
            <a:gd name="connsiteY2" fmla="*/ 195225 h 432707"/>
            <a:gd name="connsiteX3" fmla="*/ 66766 w 432707"/>
            <a:gd name="connsiteY3" fmla="*/ 166772 h 432707"/>
            <a:gd name="connsiteX4" fmla="*/ 66766 w 432707"/>
            <a:gd name="connsiteY4" fmla="*/ 362280 h 432707"/>
            <a:gd name="connsiteX5" fmla="*/ 131841 w 432707"/>
            <a:gd name="connsiteY5" fmla="*/ 362280 h 432707"/>
            <a:gd name="connsiteX6" fmla="*/ 131841 w 432707"/>
            <a:gd name="connsiteY6" fmla="*/ 166772 h 432707"/>
            <a:gd name="connsiteX7" fmla="*/ 291007 w 432707"/>
            <a:gd name="connsiteY7" fmla="*/ 162265 h 432707"/>
            <a:gd name="connsiteX8" fmla="*/ 243521 w 432707"/>
            <a:gd name="connsiteY8" fmla="*/ 180805 h 432707"/>
            <a:gd name="connsiteX9" fmla="*/ 232693 w 432707"/>
            <a:gd name="connsiteY9" fmla="*/ 194512 h 432707"/>
            <a:gd name="connsiteX10" fmla="*/ 232693 w 432707"/>
            <a:gd name="connsiteY10" fmla="*/ 166772 h 432707"/>
            <a:gd name="connsiteX11" fmla="*/ 167618 w 432707"/>
            <a:gd name="connsiteY11" fmla="*/ 166772 h 432707"/>
            <a:gd name="connsiteX12" fmla="*/ 167618 w 432707"/>
            <a:gd name="connsiteY12" fmla="*/ 362280 h 432707"/>
            <a:gd name="connsiteX13" fmla="*/ 232693 w 432707"/>
            <a:gd name="connsiteY13" fmla="*/ 362280 h 432707"/>
            <a:gd name="connsiteX14" fmla="*/ 232693 w 432707"/>
            <a:gd name="connsiteY14" fmla="*/ 252976 h 432707"/>
            <a:gd name="connsiteX15" fmla="*/ 234665 w 432707"/>
            <a:gd name="connsiteY15" fmla="*/ 237200 h 432707"/>
            <a:gd name="connsiteX16" fmla="*/ 247342 w 432707"/>
            <a:gd name="connsiteY16" fmla="*/ 220438 h 432707"/>
            <a:gd name="connsiteX17" fmla="*/ 268189 w 432707"/>
            <a:gd name="connsiteY17" fmla="*/ 213536 h 432707"/>
            <a:gd name="connsiteX18" fmla="*/ 300867 w 432707"/>
            <a:gd name="connsiteY18" fmla="*/ 257765 h 432707"/>
            <a:gd name="connsiteX19" fmla="*/ 300867 w 432707"/>
            <a:gd name="connsiteY19" fmla="*/ 362280 h 432707"/>
            <a:gd name="connsiteX20" fmla="*/ 365942 w 432707"/>
            <a:gd name="connsiteY20" fmla="*/ 362280 h 432707"/>
            <a:gd name="connsiteX21" fmla="*/ 365942 w 432707"/>
            <a:gd name="connsiteY21" fmla="*/ 250159 h 432707"/>
            <a:gd name="connsiteX22" fmla="*/ 345377 w 432707"/>
            <a:gd name="connsiteY22" fmla="*/ 184520 h 432707"/>
            <a:gd name="connsiteX23" fmla="*/ 291007 w 432707"/>
            <a:gd name="connsiteY23" fmla="*/ 162265 h 432707"/>
            <a:gd name="connsiteX24" fmla="*/ 99726 w 432707"/>
            <a:gd name="connsiteY24" fmla="*/ 72681 h 432707"/>
            <a:gd name="connsiteX25" fmla="*/ 73104 w 432707"/>
            <a:gd name="connsiteY25" fmla="*/ 82259 h 432707"/>
            <a:gd name="connsiteX26" fmla="*/ 62822 w 432707"/>
            <a:gd name="connsiteY26" fmla="*/ 106486 h 432707"/>
            <a:gd name="connsiteX27" fmla="*/ 72822 w 432707"/>
            <a:gd name="connsiteY27" fmla="*/ 130573 h 432707"/>
            <a:gd name="connsiteX28" fmla="*/ 98881 w 432707"/>
            <a:gd name="connsiteY28" fmla="*/ 140292 h 432707"/>
            <a:gd name="connsiteX29" fmla="*/ 99162 w 432707"/>
            <a:gd name="connsiteY29" fmla="*/ 140292 h 432707"/>
            <a:gd name="connsiteX30" fmla="*/ 125925 w 432707"/>
            <a:gd name="connsiteY30" fmla="*/ 130573 h 432707"/>
            <a:gd name="connsiteX31" fmla="*/ 136066 w 432707"/>
            <a:gd name="connsiteY31" fmla="*/ 106486 h 432707"/>
            <a:gd name="connsiteX32" fmla="*/ 125925 w 432707"/>
            <a:gd name="connsiteY32" fmla="*/ 82259 h 432707"/>
            <a:gd name="connsiteX33" fmla="*/ 99726 w 432707"/>
            <a:gd name="connsiteY33" fmla="*/ 72681 h 432707"/>
            <a:gd name="connsiteX34" fmla="*/ 81133 w 432707"/>
            <a:gd name="connsiteY34" fmla="*/ 0 h 432707"/>
            <a:gd name="connsiteX35" fmla="*/ 351575 w 432707"/>
            <a:gd name="connsiteY35" fmla="*/ 0 h 432707"/>
            <a:gd name="connsiteX36" fmla="*/ 408903 w 432707"/>
            <a:gd name="connsiteY36" fmla="*/ 23804 h 432707"/>
            <a:gd name="connsiteX37" fmla="*/ 432707 w 432707"/>
            <a:gd name="connsiteY37" fmla="*/ 81133 h 432707"/>
            <a:gd name="connsiteX38" fmla="*/ 432707 w 432707"/>
            <a:gd name="connsiteY38" fmla="*/ 351575 h 432707"/>
            <a:gd name="connsiteX39" fmla="*/ 408903 w 432707"/>
            <a:gd name="connsiteY39" fmla="*/ 408903 h 432707"/>
            <a:gd name="connsiteX40" fmla="*/ 351575 w 432707"/>
            <a:gd name="connsiteY40" fmla="*/ 432707 h 432707"/>
            <a:gd name="connsiteX41" fmla="*/ 81133 w 432707"/>
            <a:gd name="connsiteY41" fmla="*/ 432707 h 432707"/>
            <a:gd name="connsiteX42" fmla="*/ 23805 w 432707"/>
            <a:gd name="connsiteY42" fmla="*/ 408903 h 432707"/>
            <a:gd name="connsiteX43" fmla="*/ 0 w 432707"/>
            <a:gd name="connsiteY43" fmla="*/ 351575 h 432707"/>
            <a:gd name="connsiteX44" fmla="*/ 0 w 432707"/>
            <a:gd name="connsiteY44" fmla="*/ 81133 h 432707"/>
            <a:gd name="connsiteX45" fmla="*/ 23805 w 432707"/>
            <a:gd name="connsiteY45" fmla="*/ 23804 h 432707"/>
            <a:gd name="connsiteX46" fmla="*/ 81133 w 432707"/>
            <a:gd name="connsiteY46" fmla="*/ 0 h 4327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432707" h="432707">
              <a:moveTo>
                <a:pt x="232693" y="194512"/>
              </a:moveTo>
              <a:lnTo>
                <a:pt x="232693" y="195225"/>
              </a:lnTo>
              <a:lnTo>
                <a:pt x="232130" y="195225"/>
              </a:lnTo>
              <a:close/>
              <a:moveTo>
                <a:pt x="66766" y="166772"/>
              </a:moveTo>
              <a:lnTo>
                <a:pt x="66766" y="362280"/>
              </a:lnTo>
              <a:lnTo>
                <a:pt x="131841" y="362280"/>
              </a:lnTo>
              <a:lnTo>
                <a:pt x="131841" y="166772"/>
              </a:lnTo>
              <a:close/>
              <a:moveTo>
                <a:pt x="291007" y="162265"/>
              </a:moveTo>
              <a:cubicBezTo>
                <a:pt x="271851" y="162265"/>
                <a:pt x="256022" y="168445"/>
                <a:pt x="243521" y="180805"/>
              </a:cubicBezTo>
              <a:lnTo>
                <a:pt x="232693" y="194512"/>
              </a:lnTo>
              <a:lnTo>
                <a:pt x="232693" y="166772"/>
              </a:lnTo>
              <a:lnTo>
                <a:pt x="167618" y="166772"/>
              </a:lnTo>
              <a:cubicBezTo>
                <a:pt x="168181" y="179168"/>
                <a:pt x="168181" y="244337"/>
                <a:pt x="167618" y="362280"/>
              </a:cubicBezTo>
              <a:lnTo>
                <a:pt x="232693" y="362280"/>
              </a:lnTo>
              <a:lnTo>
                <a:pt x="232693" y="252976"/>
              </a:lnTo>
              <a:cubicBezTo>
                <a:pt x="232693" y="245839"/>
                <a:pt x="233350" y="240581"/>
                <a:pt x="234665" y="237200"/>
              </a:cubicBezTo>
              <a:cubicBezTo>
                <a:pt x="237482" y="230627"/>
                <a:pt x="241708" y="225040"/>
                <a:pt x="247342" y="220438"/>
              </a:cubicBezTo>
              <a:cubicBezTo>
                <a:pt x="252976" y="215837"/>
                <a:pt x="259925" y="213536"/>
                <a:pt x="268189" y="213536"/>
              </a:cubicBezTo>
              <a:cubicBezTo>
                <a:pt x="289974" y="213536"/>
                <a:pt x="300867" y="228279"/>
                <a:pt x="300867" y="257765"/>
              </a:cubicBezTo>
              <a:lnTo>
                <a:pt x="300867" y="362280"/>
              </a:lnTo>
              <a:lnTo>
                <a:pt x="365942" y="362280"/>
              </a:lnTo>
              <a:lnTo>
                <a:pt x="365942" y="250159"/>
              </a:lnTo>
              <a:cubicBezTo>
                <a:pt x="365942" y="221237"/>
                <a:pt x="359087" y="199357"/>
                <a:pt x="345377" y="184520"/>
              </a:cubicBezTo>
              <a:cubicBezTo>
                <a:pt x="331667" y="169683"/>
                <a:pt x="313544" y="162265"/>
                <a:pt x="291007" y="162265"/>
              </a:cubicBezTo>
              <a:close/>
              <a:moveTo>
                <a:pt x="99726" y="72681"/>
              </a:moveTo>
              <a:cubicBezTo>
                <a:pt x="88833" y="72681"/>
                <a:pt x="79959" y="75874"/>
                <a:pt x="73104" y="82259"/>
              </a:cubicBezTo>
              <a:cubicBezTo>
                <a:pt x="66249" y="88645"/>
                <a:pt x="62822" y="96720"/>
                <a:pt x="62822" y="106486"/>
              </a:cubicBezTo>
              <a:cubicBezTo>
                <a:pt x="62822" y="116065"/>
                <a:pt x="66155" y="124093"/>
                <a:pt x="72822" y="130573"/>
              </a:cubicBezTo>
              <a:cubicBezTo>
                <a:pt x="79490" y="137052"/>
                <a:pt x="88176" y="140292"/>
                <a:pt x="98881" y="140292"/>
              </a:cubicBezTo>
              <a:lnTo>
                <a:pt x="99162" y="140292"/>
              </a:lnTo>
              <a:cubicBezTo>
                <a:pt x="110243" y="140292"/>
                <a:pt x="119164" y="137052"/>
                <a:pt x="125925" y="130573"/>
              </a:cubicBezTo>
              <a:cubicBezTo>
                <a:pt x="132686" y="124093"/>
                <a:pt x="136066" y="116065"/>
                <a:pt x="136066" y="106486"/>
              </a:cubicBezTo>
              <a:cubicBezTo>
                <a:pt x="135879" y="96720"/>
                <a:pt x="132498" y="88645"/>
                <a:pt x="125925" y="82259"/>
              </a:cubicBezTo>
              <a:cubicBezTo>
                <a:pt x="119352" y="75874"/>
                <a:pt x="110619" y="72681"/>
                <a:pt x="99726" y="72681"/>
              </a:cubicBezTo>
              <a:close/>
              <a:moveTo>
                <a:pt x="81133" y="0"/>
              </a:moveTo>
              <a:lnTo>
                <a:pt x="351575" y="0"/>
              </a:lnTo>
              <a:cubicBezTo>
                <a:pt x="373924" y="0"/>
                <a:pt x="393033" y="7935"/>
                <a:pt x="408903" y="23804"/>
              </a:cubicBezTo>
              <a:cubicBezTo>
                <a:pt x="424773" y="39674"/>
                <a:pt x="432707" y="58783"/>
                <a:pt x="432707" y="81133"/>
              </a:cubicBezTo>
              <a:lnTo>
                <a:pt x="432707" y="351575"/>
              </a:lnTo>
              <a:cubicBezTo>
                <a:pt x="432707" y="373924"/>
                <a:pt x="424773" y="393033"/>
                <a:pt x="408903" y="408903"/>
              </a:cubicBezTo>
              <a:cubicBezTo>
                <a:pt x="393033" y="424772"/>
                <a:pt x="373924" y="432707"/>
                <a:pt x="351575" y="432707"/>
              </a:cubicBezTo>
              <a:lnTo>
                <a:pt x="81133" y="432707"/>
              </a:lnTo>
              <a:cubicBezTo>
                <a:pt x="58784" y="432707"/>
                <a:pt x="39674" y="424772"/>
                <a:pt x="23805" y="408903"/>
              </a:cubicBezTo>
              <a:cubicBezTo>
                <a:pt x="7935" y="393033"/>
                <a:pt x="0" y="373924"/>
                <a:pt x="0" y="351575"/>
              </a:cubicBezTo>
              <a:lnTo>
                <a:pt x="0" y="81133"/>
              </a:lnTo>
              <a:cubicBezTo>
                <a:pt x="0" y="58783"/>
                <a:pt x="7935" y="39674"/>
                <a:pt x="23805" y="23804"/>
              </a:cubicBezTo>
              <a:cubicBezTo>
                <a:pt x="39674" y="7935"/>
                <a:pt x="58784" y="0"/>
                <a:pt x="81133" y="0"/>
              </a:cubicBezTo>
              <a:close/>
            </a:path>
          </a:pathLst>
        </a:custGeom>
        <a:solidFill>
          <a:srgbClr val="007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clientData/>
  </xdr:twoCellAnchor>
  <xdr:twoCellAnchor>
    <xdr:from>
      <xdr:col>0</xdr:col>
      <xdr:colOff>0</xdr:colOff>
      <xdr:row>35</xdr:row>
      <xdr:rowOff>0</xdr:rowOff>
    </xdr:from>
    <xdr:to>
      <xdr:col>18</xdr:col>
      <xdr:colOff>190499</xdr:colOff>
      <xdr:row>36</xdr:row>
      <xdr:rowOff>180974</xdr:rowOff>
    </xdr:to>
    <xdr:sp macro="" textlink="">
      <xdr:nvSpPr>
        <xdr:cNvPr id="6" name="5 Rectángulo">
          <a:extLst>
            <a:ext uri="{FF2B5EF4-FFF2-40B4-BE49-F238E27FC236}">
              <a16:creationId xmlns:a16="http://schemas.microsoft.com/office/drawing/2014/main" xmlns="" id="{00000000-0008-0000-2400-000006000000}"/>
            </a:ext>
          </a:extLst>
        </xdr:cNvPr>
        <xdr:cNvSpPr/>
      </xdr:nvSpPr>
      <xdr:spPr>
        <a:xfrm>
          <a:off x="0" y="6667500"/>
          <a:ext cx="9953624" cy="371474"/>
        </a:xfrm>
        <a:prstGeom prst="rect">
          <a:avLst/>
        </a:prstGeom>
        <a:gradFill>
          <a:gsLst>
            <a:gs pos="0">
              <a:srgbClr val="742F9D"/>
            </a:gs>
            <a:gs pos="100000">
              <a:srgbClr val="375EB0"/>
            </a:gs>
          </a:gsLst>
          <a:lin ang="72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A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x-none"/>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K:\Research\RR_Reporte%20de%20Ratios\Sinergia%20SUPV\IOL-SUPV_v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tmap"/>
      <sheetName val="Mercado"/>
      <sheetName val="Fundamentals"/>
      <sheetName val="Earnings"/>
      <sheetName val="Glosario"/>
      <sheetName val="Disclaimer"/>
      <sheetName val="Heatmap CA"/>
      <sheetName val="Macro"/>
      <sheetName val="NI"/>
      <sheetName val="Datos"/>
      <sheetName val="Mkt cap"/>
      <sheetName val="Mkt SUPV"/>
      <sheetName val="Fund SUPV"/>
      <sheetName val="Earn SUPV"/>
      <sheetName val="Heatmap (2)"/>
      <sheetName val="Glos SUPV"/>
      <sheetName val="Hoja1"/>
      <sheetName val="Hoja2"/>
    </sheetNames>
    <definedNames>
      <definedName name="Ordenar"/>
    </definedNames>
    <sheetDataSet>
      <sheetData sheetId="0"/>
      <sheetData sheetId="1"/>
      <sheetData sheetId="2"/>
      <sheetData sheetId="3"/>
      <sheetData sheetId="4"/>
      <sheetData sheetId="5"/>
      <sheetData sheetId="6">
        <row r="2">
          <cell r="P2">
            <v>43585</v>
          </cell>
          <cell r="Q2">
            <v>43616</v>
          </cell>
          <cell r="R2">
            <v>43646</v>
          </cell>
          <cell r="S2">
            <v>43677</v>
          </cell>
          <cell r="T2">
            <v>43708</v>
          </cell>
          <cell r="U2">
            <v>43738</v>
          </cell>
          <cell r="V2">
            <v>43769</v>
          </cell>
          <cell r="W2">
            <v>43799</v>
          </cell>
          <cell r="X2">
            <v>43830</v>
          </cell>
          <cell r="Y2">
            <v>43861</v>
          </cell>
          <cell r="Z2">
            <v>43890</v>
          </cell>
          <cell r="AA2">
            <v>43910</v>
          </cell>
        </row>
        <row r="4">
          <cell r="A4" t="str">
            <v>TEF.BA</v>
          </cell>
          <cell r="B4">
            <v>370</v>
          </cell>
          <cell r="C4">
            <v>365</v>
          </cell>
          <cell r="D4">
            <v>348</v>
          </cell>
          <cell r="E4">
            <v>350</v>
          </cell>
          <cell r="F4">
            <v>340.1</v>
          </cell>
          <cell r="G4">
            <v>340.1</v>
          </cell>
          <cell r="H4">
            <v>340.1</v>
          </cell>
          <cell r="I4">
            <v>340.1</v>
          </cell>
          <cell r="J4">
            <v>340.1</v>
          </cell>
          <cell r="K4">
            <v>340.1</v>
          </cell>
          <cell r="L4">
            <v>340.1</v>
          </cell>
          <cell r="M4">
            <v>340.1</v>
          </cell>
          <cell r="N4" t="str">
            <v>The record could not be found</v>
          </cell>
          <cell r="P4">
            <v>-1.3513513513513487E-2</v>
          </cell>
          <cell r="Q4">
            <v>-4.6575342465753455E-2</v>
          </cell>
          <cell r="R4">
            <v>5.7471264367816577E-3</v>
          </cell>
          <cell r="S4">
            <v>-2.8285714285714247E-2</v>
          </cell>
          <cell r="T4">
            <v>0</v>
          </cell>
          <cell r="U4">
            <v>0</v>
          </cell>
          <cell r="V4">
            <v>0</v>
          </cell>
          <cell r="W4">
            <v>0</v>
          </cell>
          <cell r="X4">
            <v>0</v>
          </cell>
          <cell r="Y4">
            <v>0</v>
          </cell>
          <cell r="Z4">
            <v>0</v>
          </cell>
          <cell r="AA4" t="e">
            <v>#VALUE!</v>
          </cell>
        </row>
        <row r="5">
          <cell r="A5" t="str">
            <v>TECO2.BA</v>
          </cell>
          <cell r="B5">
            <v>114.018281659</v>
          </cell>
          <cell r="C5">
            <v>106.64485965900001</v>
          </cell>
          <cell r="D5">
            <v>122.18751202999999</v>
          </cell>
          <cell r="E5">
            <v>140.06411635399999</v>
          </cell>
          <cell r="F5">
            <v>139.28086307199999</v>
          </cell>
          <cell r="G5">
            <v>104.57452619999999</v>
          </cell>
          <cell r="H5">
            <v>119.972582</v>
          </cell>
          <cell r="I5">
            <v>144.75</v>
          </cell>
          <cell r="J5">
            <v>153.5</v>
          </cell>
          <cell r="K5">
            <v>170.8</v>
          </cell>
          <cell r="L5">
            <v>190.5</v>
          </cell>
          <cell r="M5">
            <v>193.75</v>
          </cell>
          <cell r="N5">
            <v>142</v>
          </cell>
          <cell r="P5">
            <v>-6.4668769715825358E-2</v>
          </cell>
          <cell r="Q5">
            <v>0.14574216160720788</v>
          </cell>
          <cell r="R5">
            <v>0.14630467571523065</v>
          </cell>
          <cell r="S5">
            <v>-5.5921052614247291E-3</v>
          </cell>
          <cell r="T5">
            <v>-0.2491823794490623</v>
          </cell>
          <cell r="U5">
            <v>0.14724480578139132</v>
          </cell>
          <cell r="V5">
            <v>0.20652567100706398</v>
          </cell>
          <cell r="W5">
            <v>6.0449050086355705E-2</v>
          </cell>
          <cell r="X5">
            <v>0.11270358306188943</v>
          </cell>
          <cell r="Y5">
            <v>0.11533957845433251</v>
          </cell>
          <cell r="Z5">
            <v>1.7060367454068137E-2</v>
          </cell>
          <cell r="AA5">
            <v>-0.26709677419354838</v>
          </cell>
        </row>
        <row r="6">
          <cell r="A6" t="str">
            <v>CVH.BA</v>
          </cell>
          <cell r="B6">
            <v>223.75</v>
          </cell>
          <cell r="C6">
            <v>187.75</v>
          </cell>
          <cell r="D6">
            <v>219</v>
          </cell>
          <cell r="E6">
            <v>262</v>
          </cell>
          <cell r="F6">
            <v>242.5</v>
          </cell>
          <cell r="G6">
            <v>147.25</v>
          </cell>
          <cell r="H6">
            <v>174</v>
          </cell>
          <cell r="I6">
            <v>226.75</v>
          </cell>
          <cell r="J6">
            <v>236</v>
          </cell>
          <cell r="K6">
            <v>305</v>
          </cell>
          <cell r="L6">
            <v>362</v>
          </cell>
          <cell r="M6">
            <v>317.5</v>
          </cell>
          <cell r="N6">
            <v>230</v>
          </cell>
          <cell r="P6">
            <v>-0.1608938547486034</v>
          </cell>
          <cell r="Q6">
            <v>0.16644474034620504</v>
          </cell>
          <cell r="R6">
            <v>0.19634703196347036</v>
          </cell>
          <cell r="S6">
            <v>-7.4427480916030575E-2</v>
          </cell>
          <cell r="T6">
            <v>-0.39278350515463922</v>
          </cell>
          <cell r="U6">
            <v>0.1816638370118846</v>
          </cell>
          <cell r="V6">
            <v>0.30316091954022983</v>
          </cell>
          <cell r="W6">
            <v>4.0793825799338546E-2</v>
          </cell>
          <cell r="X6">
            <v>0.29237288135593231</v>
          </cell>
          <cell r="Y6">
            <v>0.18688524590163924</v>
          </cell>
          <cell r="Z6">
            <v>-0.1229281767955801</v>
          </cell>
          <cell r="AA6">
            <v>-0.27559055118110232</v>
          </cell>
        </row>
        <row r="7">
          <cell r="A7" t="str">
            <v>GCLA.BA</v>
          </cell>
          <cell r="B7">
            <v>39.4</v>
          </cell>
          <cell r="C7">
            <v>32.5</v>
          </cell>
          <cell r="D7">
            <v>37</v>
          </cell>
          <cell r="E7">
            <v>39</v>
          </cell>
          <cell r="F7">
            <v>40.950000000000003</v>
          </cell>
          <cell r="G7">
            <v>23</v>
          </cell>
          <cell r="H7">
            <v>30.6</v>
          </cell>
          <cell r="I7">
            <v>29.5</v>
          </cell>
          <cell r="J7">
            <v>29.95</v>
          </cell>
          <cell r="K7">
            <v>33.1</v>
          </cell>
          <cell r="L7">
            <v>40</v>
          </cell>
          <cell r="M7">
            <v>34</v>
          </cell>
          <cell r="N7">
            <v>30.95</v>
          </cell>
          <cell r="P7">
            <v>-0.17512690355329952</v>
          </cell>
          <cell r="Q7">
            <v>0.13846153846153841</v>
          </cell>
          <cell r="R7">
            <v>5.4054054054053946E-2</v>
          </cell>
          <cell r="S7">
            <v>5.0000000000000044E-2</v>
          </cell>
          <cell r="T7">
            <v>-0.43833943833943834</v>
          </cell>
          <cell r="U7">
            <v>0.33043478260869574</v>
          </cell>
          <cell r="V7">
            <v>-3.5947712418300748E-2</v>
          </cell>
          <cell r="W7">
            <v>1.5254237288135464E-2</v>
          </cell>
          <cell r="X7">
            <v>0.10517529215358934</v>
          </cell>
          <cell r="Y7">
            <v>0.2084592145015105</v>
          </cell>
          <cell r="Z7">
            <v>-0.15000000000000002</v>
          </cell>
          <cell r="AA7">
            <v>-8.9705882352941191E-2</v>
          </cell>
        </row>
        <row r="8">
          <cell r="A8" t="str">
            <v>MIRG.BA</v>
          </cell>
          <cell r="B8">
            <v>310.57039556900003</v>
          </cell>
          <cell r="C8">
            <v>300.10173055000001</v>
          </cell>
          <cell r="D8">
            <v>306.23939445899998</v>
          </cell>
          <cell r="E8">
            <v>342.31451389599999</v>
          </cell>
          <cell r="F8">
            <v>342.47376419699998</v>
          </cell>
          <cell r="G8">
            <v>278.70963652799998</v>
          </cell>
          <cell r="H8">
            <v>272.35421250000002</v>
          </cell>
          <cell r="I8">
            <v>411</v>
          </cell>
          <cell r="J8">
            <v>521.5</v>
          </cell>
          <cell r="K8">
            <v>730</v>
          </cell>
          <cell r="L8">
            <v>825</v>
          </cell>
          <cell r="M8">
            <v>714</v>
          </cell>
          <cell r="N8">
            <v>413</v>
          </cell>
          <cell r="P8">
            <v>-3.3707865167960538E-2</v>
          </cell>
          <cell r="Q8">
            <v>2.0451944404823674E-2</v>
          </cell>
          <cell r="R8">
            <v>0.11780038783295677</v>
          </cell>
          <cell r="S8">
            <v>4.6521632748630637E-4</v>
          </cell>
          <cell r="T8">
            <v>-0.18618689761099827</v>
          </cell>
          <cell r="U8">
            <v>-2.2803029371973205E-2</v>
          </cell>
          <cell r="V8">
            <v>0.50906423009704671</v>
          </cell>
          <cell r="W8">
            <v>0.26885644768856443</v>
          </cell>
          <cell r="X8">
            <v>0.39980824544582938</v>
          </cell>
          <cell r="Y8">
            <v>0.13013698630136994</v>
          </cell>
          <cell r="Z8">
            <v>-0.13454545454545452</v>
          </cell>
          <cell r="AA8">
            <v>-0.42156862745098034</v>
          </cell>
        </row>
        <row r="9">
          <cell r="A9" t="str">
            <v>HAVA.BA</v>
          </cell>
          <cell r="B9">
            <v>87.394590860999998</v>
          </cell>
          <cell r="C9">
            <v>76.815245652000002</v>
          </cell>
          <cell r="D9">
            <v>80.5</v>
          </cell>
          <cell r="E9">
            <v>81</v>
          </cell>
          <cell r="F9">
            <v>80</v>
          </cell>
          <cell r="G9">
            <v>70</v>
          </cell>
          <cell r="H9">
            <v>80.3</v>
          </cell>
          <cell r="I9">
            <v>95</v>
          </cell>
          <cell r="J9">
            <v>100</v>
          </cell>
          <cell r="K9">
            <v>147.5</v>
          </cell>
          <cell r="L9">
            <v>140.5</v>
          </cell>
          <cell r="M9">
            <v>130</v>
          </cell>
          <cell r="N9">
            <v>80</v>
          </cell>
          <cell r="P9">
            <v>-0.12105263157334656</v>
          </cell>
          <cell r="Q9">
            <v>4.7969049851031231E-2</v>
          </cell>
          <cell r="R9">
            <v>6.2111801242235032E-3</v>
          </cell>
          <cell r="S9">
            <v>-1.2345679012345734E-2</v>
          </cell>
          <cell r="T9">
            <v>-0.125</v>
          </cell>
          <cell r="U9">
            <v>0.14714285714285702</v>
          </cell>
          <cell r="V9">
            <v>0.18306351183063518</v>
          </cell>
          <cell r="W9">
            <v>5.2631578947368363E-2</v>
          </cell>
          <cell r="X9">
            <v>0.47500000000000009</v>
          </cell>
          <cell r="Y9">
            <v>-4.7457627118644097E-2</v>
          </cell>
          <cell r="Z9">
            <v>-7.4733096085409234E-2</v>
          </cell>
          <cell r="AA9">
            <v>-0.38461538461538458</v>
          </cell>
        </row>
        <row r="10">
          <cell r="A10" t="str">
            <v>GRIM.BA</v>
          </cell>
          <cell r="B10">
            <v>25</v>
          </cell>
          <cell r="C10">
            <v>21</v>
          </cell>
          <cell r="D10">
            <v>27</v>
          </cell>
          <cell r="E10">
            <v>20</v>
          </cell>
          <cell r="F10">
            <v>21.2</v>
          </cell>
          <cell r="G10">
            <v>19.95</v>
          </cell>
          <cell r="H10">
            <v>19.600000000000001</v>
          </cell>
          <cell r="I10">
            <v>25.8</v>
          </cell>
          <cell r="J10">
            <v>25</v>
          </cell>
          <cell r="K10">
            <v>32</v>
          </cell>
          <cell r="L10">
            <v>29.35</v>
          </cell>
          <cell r="M10">
            <v>28.8</v>
          </cell>
          <cell r="N10">
            <v>23</v>
          </cell>
          <cell r="P10">
            <v>-0.16000000000000003</v>
          </cell>
          <cell r="Q10">
            <v>0.28571428571428581</v>
          </cell>
          <cell r="R10">
            <v>-0.2592592592592593</v>
          </cell>
          <cell r="S10">
            <v>6.0000000000000053E-2</v>
          </cell>
          <cell r="T10">
            <v>-5.8962264150943411E-2</v>
          </cell>
          <cell r="U10">
            <v>-1.7543859649122751E-2</v>
          </cell>
          <cell r="V10">
            <v>0.31632653061224492</v>
          </cell>
          <cell r="W10">
            <v>-3.1007751937984551E-2</v>
          </cell>
          <cell r="X10">
            <v>0.28000000000000003</v>
          </cell>
          <cell r="Y10">
            <v>-8.2812499999999956E-2</v>
          </cell>
          <cell r="Z10">
            <v>-1.8739352640545159E-2</v>
          </cell>
          <cell r="AA10">
            <v>-0.20138888888888895</v>
          </cell>
        </row>
        <row r="11">
          <cell r="A11" t="str">
            <v>TGLT.BA</v>
          </cell>
          <cell r="B11">
            <v>4.55</v>
          </cell>
          <cell r="C11">
            <v>3.9</v>
          </cell>
          <cell r="D11">
            <v>4.8600000000000003</v>
          </cell>
          <cell r="E11">
            <v>4.63</v>
          </cell>
          <cell r="F11">
            <v>4.68</v>
          </cell>
          <cell r="G11">
            <v>3</v>
          </cell>
          <cell r="H11">
            <v>3.75</v>
          </cell>
          <cell r="I11">
            <v>3.77</v>
          </cell>
          <cell r="J11">
            <v>4.3499999999999996</v>
          </cell>
          <cell r="K11">
            <v>4.7</v>
          </cell>
          <cell r="L11">
            <v>6.04</v>
          </cell>
          <cell r="M11">
            <v>5.05</v>
          </cell>
          <cell r="N11">
            <v>2.87</v>
          </cell>
          <cell r="P11">
            <v>-0.14285714285714279</v>
          </cell>
          <cell r="Q11">
            <v>0.24615384615384617</v>
          </cell>
          <cell r="R11">
            <v>-4.7325102880658498E-2</v>
          </cell>
          <cell r="S11">
            <v>1.0799136069114423E-2</v>
          </cell>
          <cell r="T11">
            <v>-0.35897435897435892</v>
          </cell>
          <cell r="U11">
            <v>0.25</v>
          </cell>
          <cell r="V11">
            <v>5.3333333333334121E-3</v>
          </cell>
          <cell r="W11">
            <v>0.15384615384615374</v>
          </cell>
          <cell r="X11">
            <v>8.0459770114942764E-2</v>
          </cell>
          <cell r="Y11">
            <v>0.28510638297872326</v>
          </cell>
          <cell r="Z11">
            <v>-0.16390728476821192</v>
          </cell>
          <cell r="AA11">
            <v>-0.43168316831683162</v>
          </cell>
        </row>
        <row r="12">
          <cell r="A12" t="str">
            <v>LONG.BA</v>
          </cell>
          <cell r="B12">
            <v>2.21</v>
          </cell>
          <cell r="C12">
            <v>2.35</v>
          </cell>
          <cell r="D12">
            <v>2.4900000000000002</v>
          </cell>
          <cell r="E12">
            <v>2.38</v>
          </cell>
          <cell r="F12">
            <v>2.4</v>
          </cell>
          <cell r="G12">
            <v>2.29</v>
          </cell>
          <cell r="H12">
            <v>2.35</v>
          </cell>
          <cell r="I12">
            <v>3.3</v>
          </cell>
          <cell r="J12">
            <v>5.29</v>
          </cell>
          <cell r="K12">
            <v>6.15</v>
          </cell>
          <cell r="L12">
            <v>5.2</v>
          </cell>
          <cell r="M12">
            <v>4.55</v>
          </cell>
          <cell r="N12">
            <v>2.6</v>
          </cell>
          <cell r="P12">
            <v>6.3348416289592757E-2</v>
          </cell>
          <cell r="Q12">
            <v>5.9574468085106469E-2</v>
          </cell>
          <cell r="R12">
            <v>-4.4176706827309342E-2</v>
          </cell>
          <cell r="S12">
            <v>8.4033613445377853E-3</v>
          </cell>
          <cell r="T12">
            <v>-4.5833333333333282E-2</v>
          </cell>
          <cell r="U12">
            <v>2.6200873362445476E-2</v>
          </cell>
          <cell r="V12">
            <v>0.40425531914893598</v>
          </cell>
          <cell r="W12">
            <v>0.60303030303030303</v>
          </cell>
          <cell r="X12">
            <v>0.16257088846880907</v>
          </cell>
          <cell r="Y12">
            <v>-0.15447154471544722</v>
          </cell>
          <cell r="Z12">
            <v>-0.12500000000000011</v>
          </cell>
          <cell r="AA12">
            <v>-0.42857142857142849</v>
          </cell>
        </row>
        <row r="13">
          <cell r="A13" t="str">
            <v>PSUR.BA</v>
          </cell>
          <cell r="B13">
            <v>3.65</v>
          </cell>
          <cell r="C13">
            <v>3.65</v>
          </cell>
          <cell r="D13">
            <v>3.65</v>
          </cell>
          <cell r="E13">
            <v>3.65</v>
          </cell>
          <cell r="F13">
            <v>3.65</v>
          </cell>
          <cell r="G13">
            <v>3.65</v>
          </cell>
          <cell r="H13">
            <v>3.65</v>
          </cell>
          <cell r="I13">
            <v>3.65</v>
          </cell>
          <cell r="J13">
            <v>3.65</v>
          </cell>
          <cell r="K13">
            <v>3.65</v>
          </cell>
          <cell r="L13">
            <v>3.65</v>
          </cell>
          <cell r="M13">
            <v>3.65</v>
          </cell>
          <cell r="N13">
            <v>3.65</v>
          </cell>
          <cell r="P13">
            <v>0</v>
          </cell>
          <cell r="Q13">
            <v>0</v>
          </cell>
          <cell r="R13">
            <v>0</v>
          </cell>
          <cell r="S13">
            <v>0</v>
          </cell>
          <cell r="T13">
            <v>0</v>
          </cell>
          <cell r="U13">
            <v>0</v>
          </cell>
          <cell r="V13">
            <v>0</v>
          </cell>
          <cell r="W13">
            <v>0</v>
          </cell>
          <cell r="X13">
            <v>0</v>
          </cell>
          <cell r="Y13">
            <v>0</v>
          </cell>
          <cell r="Z13">
            <v>0</v>
          </cell>
          <cell r="AA13">
            <v>0</v>
          </cell>
        </row>
        <row r="14">
          <cell r="A14" t="str">
            <v>DOME.BA</v>
          </cell>
          <cell r="B14">
            <v>2.4591280000000002</v>
          </cell>
          <cell r="C14">
            <v>2.1517369999999998</v>
          </cell>
          <cell r="D14">
            <v>2.1517369999999998</v>
          </cell>
          <cell r="E14">
            <v>2000</v>
          </cell>
          <cell r="F14">
            <v>1.79</v>
          </cell>
          <cell r="G14">
            <v>1.86</v>
          </cell>
          <cell r="H14">
            <v>1.65</v>
          </cell>
          <cell r="I14">
            <v>2</v>
          </cell>
          <cell r="J14">
            <v>2.2999999999999998</v>
          </cell>
          <cell r="K14">
            <v>3.1</v>
          </cell>
          <cell r="L14">
            <v>3.72</v>
          </cell>
          <cell r="M14">
            <v>3.4</v>
          </cell>
          <cell r="N14">
            <v>3.89</v>
          </cell>
          <cell r="P14">
            <v>-0.12500000000000011</v>
          </cell>
          <cell r="Q14">
            <v>0</v>
          </cell>
          <cell r="R14">
            <v>928.48162345119329</v>
          </cell>
          <cell r="S14">
            <v>-0.99910500000000002</v>
          </cell>
          <cell r="T14">
            <v>3.9106145251396773E-2</v>
          </cell>
          <cell r="U14">
            <v>-0.11290322580645173</v>
          </cell>
          <cell r="V14">
            <v>0.21212121212121215</v>
          </cell>
          <cell r="W14">
            <v>0.14999999999999991</v>
          </cell>
          <cell r="X14">
            <v>0.34782608695652195</v>
          </cell>
          <cell r="Y14">
            <v>0.19999999999999996</v>
          </cell>
          <cell r="Z14">
            <v>-8.6021505376344121E-2</v>
          </cell>
          <cell r="AA14">
            <v>0.14411764705882368</v>
          </cell>
        </row>
        <row r="15">
          <cell r="A15" t="str">
            <v>PATA.BA</v>
          </cell>
          <cell r="B15">
            <v>23.5</v>
          </cell>
          <cell r="C15">
            <v>22</v>
          </cell>
          <cell r="D15">
            <v>21</v>
          </cell>
          <cell r="E15">
            <v>22.8</v>
          </cell>
          <cell r="F15">
            <v>24.9</v>
          </cell>
          <cell r="G15">
            <v>17</v>
          </cell>
          <cell r="H15">
            <v>17.05</v>
          </cell>
          <cell r="I15">
            <v>15</v>
          </cell>
          <cell r="J15">
            <v>20.5</v>
          </cell>
          <cell r="K15">
            <v>25</v>
          </cell>
          <cell r="L15">
            <v>38.5</v>
          </cell>
          <cell r="M15">
            <v>33</v>
          </cell>
          <cell r="N15">
            <v>19.7</v>
          </cell>
          <cell r="P15">
            <v>-6.3829787234042534E-2</v>
          </cell>
          <cell r="Q15">
            <v>-4.5454545454545414E-2</v>
          </cell>
          <cell r="R15">
            <v>8.5714285714285854E-2</v>
          </cell>
          <cell r="S15">
            <v>9.210526315789469E-2</v>
          </cell>
          <cell r="T15">
            <v>-0.31726907630522083</v>
          </cell>
          <cell r="U15">
            <v>2.9411764705882248E-3</v>
          </cell>
          <cell r="V15">
            <v>-0.12023460410557185</v>
          </cell>
          <cell r="W15">
            <v>0.3666666666666667</v>
          </cell>
          <cell r="X15">
            <v>0.21951219512195119</v>
          </cell>
          <cell r="Y15">
            <v>0.54</v>
          </cell>
          <cell r="Z15">
            <v>-0.1428571428571429</v>
          </cell>
          <cell r="AA15">
            <v>-0.40303030303030307</v>
          </cell>
        </row>
        <row r="16">
          <cell r="A16" t="str">
            <v>MOLA.BA</v>
          </cell>
          <cell r="B16">
            <v>198.30474674999999</v>
          </cell>
          <cell r="C16">
            <v>173.60011499999999</v>
          </cell>
          <cell r="D16">
            <v>227.015535</v>
          </cell>
          <cell r="E16">
            <v>322.273034</v>
          </cell>
          <cell r="F16">
            <v>404</v>
          </cell>
          <cell r="G16">
            <v>250</v>
          </cell>
          <cell r="H16">
            <v>329</v>
          </cell>
          <cell r="I16">
            <v>342.5</v>
          </cell>
          <cell r="J16">
            <v>320</v>
          </cell>
          <cell r="K16">
            <v>355</v>
          </cell>
          <cell r="L16">
            <v>372</v>
          </cell>
          <cell r="M16">
            <v>320</v>
          </cell>
          <cell r="N16">
            <v>192</v>
          </cell>
          <cell r="P16">
            <v>-0.12457912457912457</v>
          </cell>
          <cell r="Q16">
            <v>0.30769230769230771</v>
          </cell>
          <cell r="R16">
            <v>0.41960784313725497</v>
          </cell>
          <cell r="S16">
            <v>0.25359542182483685</v>
          </cell>
          <cell r="T16">
            <v>-0.38118811881188119</v>
          </cell>
          <cell r="U16">
            <v>0.31600000000000006</v>
          </cell>
          <cell r="V16">
            <v>4.1033434650455947E-2</v>
          </cell>
          <cell r="W16">
            <v>-6.5693430656934337E-2</v>
          </cell>
          <cell r="X16">
            <v>0.109375</v>
          </cell>
          <cell r="Y16">
            <v>4.7887323943661908E-2</v>
          </cell>
          <cell r="Z16">
            <v>-0.13978494623655913</v>
          </cell>
          <cell r="AA16">
            <v>-0.4</v>
          </cell>
        </row>
        <row r="17">
          <cell r="A17" t="str">
            <v>MOLI.BA</v>
          </cell>
          <cell r="B17">
            <v>39</v>
          </cell>
          <cell r="C17">
            <v>36.35</v>
          </cell>
          <cell r="D17">
            <v>46.3</v>
          </cell>
          <cell r="E17">
            <v>44.15</v>
          </cell>
          <cell r="F17">
            <v>43.4</v>
          </cell>
          <cell r="G17">
            <v>36</v>
          </cell>
          <cell r="H17">
            <v>43.5</v>
          </cell>
          <cell r="I17">
            <v>45.9</v>
          </cell>
          <cell r="J17">
            <v>50</v>
          </cell>
          <cell r="K17">
            <v>57.6</v>
          </cell>
          <cell r="L17">
            <v>68.2</v>
          </cell>
          <cell r="M17">
            <v>61</v>
          </cell>
          <cell r="N17">
            <v>46</v>
          </cell>
          <cell r="P17">
            <v>-6.7948717948717929E-2</v>
          </cell>
          <cell r="Q17">
            <v>0.27372764786795045</v>
          </cell>
          <cell r="R17">
            <v>-4.643628509719222E-2</v>
          </cell>
          <cell r="S17">
            <v>-1.6987542468856143E-2</v>
          </cell>
          <cell r="T17">
            <v>-0.17050691244239624</v>
          </cell>
          <cell r="U17">
            <v>0.20833333333333326</v>
          </cell>
          <cell r="V17">
            <v>5.5172413793103336E-2</v>
          </cell>
          <cell r="W17">
            <v>8.9324618736383421E-2</v>
          </cell>
          <cell r="X17">
            <v>0.15200000000000014</v>
          </cell>
          <cell r="Y17">
            <v>0.1840277777777779</v>
          </cell>
          <cell r="Z17">
            <v>-0.1055718475073314</v>
          </cell>
          <cell r="AA17">
            <v>-0.24590163934426235</v>
          </cell>
        </row>
        <row r="18">
          <cell r="A18" t="str">
            <v>ESME.BA</v>
          </cell>
          <cell r="B18">
            <v>110.37062215</v>
          </cell>
          <cell r="C18">
            <v>113.90248205899999</v>
          </cell>
          <cell r="D18">
            <v>120.966201877</v>
          </cell>
          <cell r="E18">
            <v>121.849166854</v>
          </cell>
          <cell r="F18">
            <v>116.551376991</v>
          </cell>
          <cell r="G18">
            <v>121.49328800000001</v>
          </cell>
          <cell r="H18">
            <v>124.173287</v>
          </cell>
          <cell r="I18">
            <v>160</v>
          </cell>
          <cell r="J18">
            <v>210</v>
          </cell>
          <cell r="K18">
            <v>435</v>
          </cell>
          <cell r="L18">
            <v>345</v>
          </cell>
          <cell r="M18">
            <v>400</v>
          </cell>
          <cell r="N18">
            <v>280</v>
          </cell>
          <cell r="P18">
            <v>3.2000000001811912E-2</v>
          </cell>
          <cell r="Q18">
            <v>6.2015503879371936E-2</v>
          </cell>
          <cell r="R18">
            <v>7.2992700713030434E-3</v>
          </cell>
          <cell r="S18">
            <v>-4.3478260867781171E-2</v>
          </cell>
          <cell r="T18">
            <v>4.2401137906604269E-2</v>
          </cell>
          <cell r="U18">
            <v>2.2058823529411686E-2</v>
          </cell>
          <cell r="V18">
            <v>0.28852190246038978</v>
          </cell>
          <cell r="W18">
            <v>0.3125</v>
          </cell>
          <cell r="X18">
            <v>1.0714285714285716</v>
          </cell>
          <cell r="Y18">
            <v>-0.2068965517241379</v>
          </cell>
          <cell r="Z18">
            <v>0.15942028985507251</v>
          </cell>
          <cell r="AA18">
            <v>-0.30000000000000004</v>
          </cell>
        </row>
        <row r="19">
          <cell r="A19" t="str">
            <v>SAMI.BA</v>
          </cell>
          <cell r="B19">
            <v>84.600245000000001</v>
          </cell>
          <cell r="C19">
            <v>72.656681000000006</v>
          </cell>
          <cell r="D19">
            <v>77.099999999999994</v>
          </cell>
          <cell r="E19">
            <v>80.900000000000006</v>
          </cell>
          <cell r="F19">
            <v>80.5</v>
          </cell>
          <cell r="G19">
            <v>64</v>
          </cell>
          <cell r="H19">
            <v>78</v>
          </cell>
          <cell r="I19">
            <v>92</v>
          </cell>
          <cell r="J19">
            <v>98</v>
          </cell>
          <cell r="K19">
            <v>115.5</v>
          </cell>
          <cell r="L19">
            <v>125</v>
          </cell>
          <cell r="M19">
            <v>108</v>
          </cell>
          <cell r="N19">
            <v>62</v>
          </cell>
          <cell r="P19">
            <v>-0.14117647058823524</v>
          </cell>
          <cell r="Q19">
            <v>6.115499550550596E-2</v>
          </cell>
          <cell r="R19">
            <v>4.9286640726329489E-2</v>
          </cell>
          <cell r="S19">
            <v>-4.9443757725587956E-3</v>
          </cell>
          <cell r="T19">
            <v>-0.20496894409937894</v>
          </cell>
          <cell r="U19">
            <v>0.21875</v>
          </cell>
          <cell r="V19">
            <v>0.17948717948717952</v>
          </cell>
          <cell r="W19">
            <v>6.5217391304347894E-2</v>
          </cell>
          <cell r="X19">
            <v>0.1785714285714286</v>
          </cell>
          <cell r="Y19">
            <v>8.2251082251082241E-2</v>
          </cell>
          <cell r="Z19">
            <v>-0.13600000000000001</v>
          </cell>
          <cell r="AA19">
            <v>-0.42592592592592593</v>
          </cell>
        </row>
        <row r="20">
          <cell r="A20" t="str">
            <v>LEDE.BA</v>
          </cell>
          <cell r="B20">
            <v>12.2</v>
          </cell>
          <cell r="C20">
            <v>11.65</v>
          </cell>
          <cell r="D20">
            <v>11.6</v>
          </cell>
          <cell r="E20">
            <v>12.1</v>
          </cell>
          <cell r="F20">
            <v>12.7</v>
          </cell>
          <cell r="G20">
            <v>10</v>
          </cell>
          <cell r="H20">
            <v>11.25</v>
          </cell>
          <cell r="I20">
            <v>12.7</v>
          </cell>
          <cell r="J20">
            <v>13.7</v>
          </cell>
          <cell r="K20">
            <v>17.3</v>
          </cell>
          <cell r="L20">
            <v>19</v>
          </cell>
          <cell r="M20">
            <v>17.3</v>
          </cell>
          <cell r="N20">
            <v>11.450000000000001</v>
          </cell>
          <cell r="P20">
            <v>-4.5081967213114638E-2</v>
          </cell>
          <cell r="Q20">
            <v>-4.2918454935623185E-3</v>
          </cell>
          <cell r="R20">
            <v>4.31034482758621E-2</v>
          </cell>
          <cell r="S20">
            <v>4.9586776859504189E-2</v>
          </cell>
          <cell r="T20">
            <v>-0.21259842519685035</v>
          </cell>
          <cell r="U20">
            <v>0.125</v>
          </cell>
          <cell r="V20">
            <v>0.12888888888888883</v>
          </cell>
          <cell r="W20">
            <v>7.8740157480315043E-2</v>
          </cell>
          <cell r="X20">
            <v>0.26277372262773735</v>
          </cell>
          <cell r="Y20">
            <v>9.8265895953757232E-2</v>
          </cell>
          <cell r="Z20">
            <v>-8.9473684210526261E-2</v>
          </cell>
          <cell r="AA20">
            <v>-0.33815028901734101</v>
          </cell>
        </row>
        <row r="21">
          <cell r="A21" t="str">
            <v>INVJ.BA</v>
          </cell>
          <cell r="B21">
            <v>8.4</v>
          </cell>
          <cell r="C21">
            <v>8.5</v>
          </cell>
          <cell r="D21">
            <v>8.6</v>
          </cell>
          <cell r="E21">
            <v>10.7</v>
          </cell>
          <cell r="F21">
            <v>10.35</v>
          </cell>
          <cell r="G21">
            <v>7.4</v>
          </cell>
          <cell r="H21">
            <v>8.9</v>
          </cell>
          <cell r="I21">
            <v>9.1</v>
          </cell>
          <cell r="J21">
            <v>9.3000000000000007</v>
          </cell>
          <cell r="K21">
            <v>10.7</v>
          </cell>
          <cell r="L21">
            <v>10.7</v>
          </cell>
          <cell r="M21">
            <v>9.15</v>
          </cell>
          <cell r="N21">
            <v>8.9</v>
          </cell>
          <cell r="P21">
            <v>1.1904761904761862E-2</v>
          </cell>
          <cell r="Q21">
            <v>1.1764705882352899E-2</v>
          </cell>
          <cell r="R21">
            <v>0.2441860465116279</v>
          </cell>
          <cell r="S21">
            <v>-3.2710280373831724E-2</v>
          </cell>
          <cell r="T21">
            <v>-0.28502415458937191</v>
          </cell>
          <cell r="U21">
            <v>0.20270270270270263</v>
          </cell>
          <cell r="V21">
            <v>2.2471910112359383E-2</v>
          </cell>
          <cell r="W21">
            <v>2.1978021978022122E-2</v>
          </cell>
          <cell r="X21">
            <v>0.15053763440860202</v>
          </cell>
          <cell r="Y21">
            <v>0</v>
          </cell>
          <cell r="Z21">
            <v>-0.14485981308411211</v>
          </cell>
          <cell r="AA21">
            <v>-2.732240437158473E-2</v>
          </cell>
        </row>
        <row r="22">
          <cell r="A22" t="str">
            <v>PATY.BA</v>
          </cell>
          <cell r="B22">
            <v>4.4000000000000004</v>
          </cell>
          <cell r="C22">
            <v>4.67</v>
          </cell>
          <cell r="D22">
            <v>4.32</v>
          </cell>
          <cell r="E22">
            <v>4.45</v>
          </cell>
          <cell r="F22">
            <v>4.7</v>
          </cell>
          <cell r="G22">
            <v>3.1</v>
          </cell>
          <cell r="H22">
            <v>4.1500000000000004</v>
          </cell>
          <cell r="I22">
            <v>4.8899999999999997</v>
          </cell>
          <cell r="J22">
            <v>6</v>
          </cell>
          <cell r="K22">
            <v>6.4</v>
          </cell>
          <cell r="L22">
            <v>6.3</v>
          </cell>
          <cell r="M22">
            <v>6.3</v>
          </cell>
          <cell r="N22">
            <v>6.3</v>
          </cell>
          <cell r="P22">
            <v>6.1363636363636287E-2</v>
          </cell>
          <cell r="Q22">
            <v>-7.4946466809421741E-2</v>
          </cell>
          <cell r="R22">
            <v>3.009259259259256E-2</v>
          </cell>
          <cell r="S22">
            <v>5.6179775280898792E-2</v>
          </cell>
          <cell r="T22">
            <v>-0.34042553191489366</v>
          </cell>
          <cell r="U22">
            <v>0.33870967741935498</v>
          </cell>
          <cell r="V22">
            <v>0.17831325301204792</v>
          </cell>
          <cell r="W22">
            <v>0.22699386503067487</v>
          </cell>
          <cell r="X22">
            <v>6.6666666666666652E-2</v>
          </cell>
          <cell r="Y22">
            <v>-1.5625000000000111E-2</v>
          </cell>
          <cell r="Z22">
            <v>0</v>
          </cell>
          <cell r="AA22">
            <v>0</v>
          </cell>
        </row>
        <row r="23">
          <cell r="A23" t="str">
            <v>INTR.BA</v>
          </cell>
          <cell r="B23">
            <v>6.3577152000000003</v>
          </cell>
          <cell r="C23">
            <v>5.4636614999999997</v>
          </cell>
          <cell r="D23">
            <v>5.6623400999999998</v>
          </cell>
          <cell r="E23">
            <v>5.7616794000000002</v>
          </cell>
          <cell r="F23">
            <v>5.4636614999999997</v>
          </cell>
          <cell r="G23">
            <v>3.9735719999999999</v>
          </cell>
          <cell r="H23">
            <v>5.4139918500000004</v>
          </cell>
          <cell r="I23">
            <v>6.2583758999999999</v>
          </cell>
          <cell r="J23">
            <v>7.3</v>
          </cell>
          <cell r="K23">
            <v>8.1</v>
          </cell>
          <cell r="L23">
            <v>9</v>
          </cell>
          <cell r="M23">
            <v>8.9499999999999993</v>
          </cell>
          <cell r="N23">
            <v>7.3100000000000005</v>
          </cell>
          <cell r="P23">
            <v>-0.14062500000000011</v>
          </cell>
          <cell r="Q23">
            <v>3.6363636363636376E-2</v>
          </cell>
          <cell r="R23">
            <v>1.7543859649122862E-2</v>
          </cell>
          <cell r="S23">
            <v>-5.1724137931034586E-2</v>
          </cell>
          <cell r="T23">
            <v>-0.27272727272727271</v>
          </cell>
          <cell r="U23">
            <v>0.36250000000000004</v>
          </cell>
          <cell r="V23">
            <v>0.15596330275229353</v>
          </cell>
          <cell r="W23">
            <v>0.16643680671210559</v>
          </cell>
          <cell r="X23">
            <v>0.1095890410958904</v>
          </cell>
          <cell r="Y23">
            <v>0.11111111111111116</v>
          </cell>
          <cell r="Z23">
            <v>-5.5555555555556468E-3</v>
          </cell>
          <cell r="AA23">
            <v>-0.18324022346368707</v>
          </cell>
        </row>
        <row r="24">
          <cell r="A24" t="str">
            <v>SEMI.BA</v>
          </cell>
          <cell r="B24">
            <v>2.59</v>
          </cell>
          <cell r="C24">
            <v>2.2200000000000002</v>
          </cell>
          <cell r="D24">
            <v>2.76</v>
          </cell>
          <cell r="E24">
            <v>3.1</v>
          </cell>
          <cell r="F24">
            <v>2.89</v>
          </cell>
          <cell r="G24">
            <v>2.25</v>
          </cell>
          <cell r="H24">
            <v>2.63</v>
          </cell>
          <cell r="I24">
            <v>2.8</v>
          </cell>
          <cell r="J24">
            <v>2.75</v>
          </cell>
          <cell r="K24">
            <v>3.23</v>
          </cell>
          <cell r="L24">
            <v>3.7</v>
          </cell>
          <cell r="M24">
            <v>3.06</v>
          </cell>
          <cell r="N24">
            <v>2.3000000000000003</v>
          </cell>
          <cell r="P24">
            <v>-0.14285714285714268</v>
          </cell>
          <cell r="Q24">
            <v>0.24324324324324298</v>
          </cell>
          <cell r="R24">
            <v>0.12318840579710155</v>
          </cell>
          <cell r="S24">
            <v>-6.7741935483870974E-2</v>
          </cell>
          <cell r="T24">
            <v>-0.2214532871972319</v>
          </cell>
          <cell r="U24">
            <v>0.16888888888888887</v>
          </cell>
          <cell r="V24">
            <v>6.4638783269961975E-2</v>
          </cell>
          <cell r="W24">
            <v>-1.7857142857142794E-2</v>
          </cell>
          <cell r="X24">
            <v>0.17454545454545456</v>
          </cell>
          <cell r="Y24">
            <v>0.14551083591331282</v>
          </cell>
          <cell r="Z24">
            <v>-0.17297297297297298</v>
          </cell>
          <cell r="AA24">
            <v>-0.24836601307189532</v>
          </cell>
        </row>
        <row r="25">
          <cell r="A25" t="str">
            <v>MORI.BA</v>
          </cell>
          <cell r="B25">
            <v>1.72265625</v>
          </cell>
          <cell r="C25">
            <v>1.6832812500000001</v>
          </cell>
          <cell r="D25">
            <v>2.5396874999999999</v>
          </cell>
          <cell r="E25">
            <v>3.0318749999999999</v>
          </cell>
          <cell r="F25">
            <v>3.2878124999999998</v>
          </cell>
          <cell r="G25">
            <v>2.21484375</v>
          </cell>
          <cell r="H25">
            <v>2.7857812499999999</v>
          </cell>
          <cell r="I25">
            <v>3.23</v>
          </cell>
          <cell r="J25">
            <v>3.03</v>
          </cell>
          <cell r="K25">
            <v>4.5</v>
          </cell>
          <cell r="L25">
            <v>7.39</v>
          </cell>
          <cell r="M25">
            <v>6.25</v>
          </cell>
          <cell r="N25">
            <v>4.3500000000000005</v>
          </cell>
          <cell r="P25">
            <v>-2.2857142857142798E-2</v>
          </cell>
          <cell r="Q25">
            <v>0.50877192982456121</v>
          </cell>
          <cell r="R25">
            <v>0.193798449612403</v>
          </cell>
          <cell r="S25">
            <v>8.4415584415584499E-2</v>
          </cell>
          <cell r="T25">
            <v>-0.32634730538922152</v>
          </cell>
          <cell r="U25">
            <v>0.25777777777777766</v>
          </cell>
          <cell r="V25">
            <v>0.15945930786920193</v>
          </cell>
          <cell r="W25">
            <v>-6.1919504643962897E-2</v>
          </cell>
          <cell r="X25">
            <v>0.48514851485148514</v>
          </cell>
          <cell r="Y25">
            <v>0.64222222222222225</v>
          </cell>
          <cell r="Z25">
            <v>-0.15426251691474957</v>
          </cell>
          <cell r="AA25">
            <v>-0.30399999999999994</v>
          </cell>
        </row>
        <row r="26">
          <cell r="A26" t="str">
            <v>APBR.BA</v>
          </cell>
          <cell r="B26">
            <v>342.71843739399998</v>
          </cell>
          <cell r="C26">
            <v>334.20983877600003</v>
          </cell>
          <cell r="D26">
            <v>321.42515125</v>
          </cell>
          <cell r="E26">
            <v>328.37488424999998</v>
          </cell>
          <cell r="F26">
            <v>328.02739759999997</v>
          </cell>
          <cell r="G26">
            <v>428.05</v>
          </cell>
          <cell r="H26">
            <v>457.4</v>
          </cell>
          <cell r="I26">
            <v>622</v>
          </cell>
          <cell r="J26">
            <v>602.9</v>
          </cell>
          <cell r="K26">
            <v>602.9</v>
          </cell>
          <cell r="L26">
            <v>602.9</v>
          </cell>
          <cell r="M26">
            <v>602.9</v>
          </cell>
          <cell r="N26" t="str">
            <v>The record could not be found</v>
          </cell>
          <cell r="P26">
            <v>-2.4826789835698859E-2</v>
          </cell>
          <cell r="Q26">
            <v>-3.8253474442351165E-2</v>
          </cell>
          <cell r="R26">
            <v>2.1621621621621623E-2</v>
          </cell>
          <cell r="S26">
            <v>-1.0582010582010914E-3</v>
          </cell>
          <cell r="T26">
            <v>0.30492148866775048</v>
          </cell>
          <cell r="U26">
            <v>6.8566756220067582E-2</v>
          </cell>
          <cell r="V26">
            <v>0.359860078705728</v>
          </cell>
          <cell r="W26">
            <v>-3.0707395498392298E-2</v>
          </cell>
          <cell r="X26">
            <v>0</v>
          </cell>
          <cell r="Y26">
            <v>0</v>
          </cell>
          <cell r="Z26">
            <v>0</v>
          </cell>
          <cell r="AA26" t="e">
            <v>#VALUE!</v>
          </cell>
        </row>
        <row r="27">
          <cell r="A27" t="str">
            <v>TS.BA</v>
          </cell>
          <cell r="B27">
            <v>615.1</v>
          </cell>
          <cell r="C27">
            <v>615</v>
          </cell>
          <cell r="D27">
            <v>525.5</v>
          </cell>
          <cell r="E27">
            <v>558.04999999999995</v>
          </cell>
          <cell r="F27">
            <v>547.70000000000005</v>
          </cell>
          <cell r="G27">
            <v>687.15</v>
          </cell>
          <cell r="H27">
            <v>667.4</v>
          </cell>
          <cell r="I27">
            <v>696.6</v>
          </cell>
          <cell r="J27">
            <v>696.6</v>
          </cell>
          <cell r="K27">
            <v>696.6</v>
          </cell>
          <cell r="L27">
            <v>696.6</v>
          </cell>
          <cell r="M27">
            <v>696.6</v>
          </cell>
          <cell r="N27" t="str">
            <v>The record could not be found</v>
          </cell>
          <cell r="P27">
            <v>-1.6257519102591544E-4</v>
          </cell>
          <cell r="Q27">
            <v>-0.14552845528455283</v>
          </cell>
          <cell r="R27">
            <v>6.1941008563273003E-2</v>
          </cell>
          <cell r="S27">
            <v>-1.8546725203834602E-2</v>
          </cell>
          <cell r="T27">
            <v>0.25461018805915625</v>
          </cell>
          <cell r="U27">
            <v>-2.8741904969802778E-2</v>
          </cell>
          <cell r="V27">
            <v>4.3751872939766345E-2</v>
          </cell>
          <cell r="W27">
            <v>0</v>
          </cell>
          <cell r="X27">
            <v>0</v>
          </cell>
          <cell r="Y27">
            <v>0</v>
          </cell>
          <cell r="Z27">
            <v>0</v>
          </cell>
          <cell r="AA27" t="e">
            <v>#VALUE!</v>
          </cell>
        </row>
        <row r="28">
          <cell r="A28" t="str">
            <v>YPFD.BA</v>
          </cell>
          <cell r="B28">
            <v>605.37680999999998</v>
          </cell>
          <cell r="C28">
            <v>595.45259999999996</v>
          </cell>
          <cell r="D28">
            <v>658.12398614999995</v>
          </cell>
          <cell r="E28">
            <v>774.03875894999999</v>
          </cell>
          <cell r="F28">
            <v>731.45</v>
          </cell>
          <cell r="G28">
            <v>553.65</v>
          </cell>
          <cell r="H28">
            <v>592.45000000000005</v>
          </cell>
          <cell r="I28">
            <v>754.05</v>
          </cell>
          <cell r="J28">
            <v>721.75</v>
          </cell>
          <cell r="K28">
            <v>857.2</v>
          </cell>
          <cell r="L28">
            <v>787.2</v>
          </cell>
          <cell r="M28">
            <v>659.25</v>
          </cell>
          <cell r="N28">
            <v>277</v>
          </cell>
          <cell r="P28">
            <v>-1.6393442622950838E-2</v>
          </cell>
          <cell r="Q28">
            <v>0.10525000000000007</v>
          </cell>
          <cell r="R28">
            <v>0.17612908090175683</v>
          </cell>
          <cell r="S28">
            <v>-5.5021481104864156E-2</v>
          </cell>
          <cell r="T28">
            <v>-0.24307881605031112</v>
          </cell>
          <cell r="U28">
            <v>7.008037568861214E-2</v>
          </cell>
          <cell r="V28">
            <v>0.27276563423073652</v>
          </cell>
          <cell r="W28">
            <v>-4.2835355745640125E-2</v>
          </cell>
          <cell r="X28">
            <v>0.18766886040872888</v>
          </cell>
          <cell r="Y28">
            <v>-8.1661222585160953E-2</v>
          </cell>
          <cell r="Z28">
            <v>-0.16253810975609762</v>
          </cell>
          <cell r="AA28">
            <v>-0.57982555934774371</v>
          </cell>
        </row>
        <row r="29">
          <cell r="A29" t="str">
            <v>TGSU2.BA</v>
          </cell>
          <cell r="B29">
            <v>100.091603655</v>
          </cell>
          <cell r="C29">
            <v>86.797502660999996</v>
          </cell>
          <cell r="D29">
            <v>111.713378701</v>
          </cell>
          <cell r="E29">
            <v>118.578446666</v>
          </cell>
          <cell r="F29">
            <v>131.732492976</v>
          </cell>
          <cell r="G29">
            <v>90.686107591999999</v>
          </cell>
          <cell r="H29">
            <v>102.83199706800001</v>
          </cell>
          <cell r="I29">
            <v>116.178073252</v>
          </cell>
          <cell r="J29">
            <v>91.7</v>
          </cell>
          <cell r="K29">
            <v>108.65</v>
          </cell>
          <cell r="L29">
            <v>104.3</v>
          </cell>
          <cell r="M29">
            <v>93.15</v>
          </cell>
          <cell r="N29">
            <v>70.100000000000009</v>
          </cell>
          <cell r="P29">
            <v>-0.13281934256766115</v>
          </cell>
          <cell r="Q29">
            <v>0.28705752211918467</v>
          </cell>
          <cell r="R29">
            <v>6.14525139676807E-2</v>
          </cell>
          <cell r="S29">
            <v>0.11093117408639208</v>
          </cell>
          <cell r="T29">
            <v>-0.31158892128062998</v>
          </cell>
          <cell r="U29">
            <v>0.13393329803771925</v>
          </cell>
          <cell r="V29">
            <v>0.12978524743786313</v>
          </cell>
          <cell r="W29">
            <v>-0.21069443283764056</v>
          </cell>
          <cell r="X29">
            <v>0.1848418756815704</v>
          </cell>
          <cell r="Y29">
            <v>-4.003681546249438E-2</v>
          </cell>
          <cell r="Z29">
            <v>-0.10690316395014376</v>
          </cell>
          <cell r="AA29">
            <v>-0.24745034889962425</v>
          </cell>
        </row>
        <row r="30">
          <cell r="A30" t="str">
            <v>TGNO4.BA</v>
          </cell>
          <cell r="B30">
            <v>62.890279200000002</v>
          </cell>
          <cell r="C30">
            <v>51.729195699999998</v>
          </cell>
          <cell r="D30">
            <v>66.966500999999994</v>
          </cell>
          <cell r="E30">
            <v>66.481236499999994</v>
          </cell>
          <cell r="F30">
            <v>74.148415600000007</v>
          </cell>
          <cell r="G30">
            <v>23.5838547</v>
          </cell>
          <cell r="H30">
            <v>44.013490150000003</v>
          </cell>
          <cell r="I30">
            <v>46.25</v>
          </cell>
          <cell r="J30">
            <v>35.950000000000003</v>
          </cell>
          <cell r="K30">
            <v>40.200000000000003</v>
          </cell>
          <cell r="L30">
            <v>39.5</v>
          </cell>
          <cell r="M30">
            <v>32.5</v>
          </cell>
          <cell r="N30">
            <v>21.2</v>
          </cell>
          <cell r="P30">
            <v>-0.17746913580246915</v>
          </cell>
          <cell r="Q30">
            <v>0.29455909943714809</v>
          </cell>
          <cell r="R30">
            <v>-7.2463768115942351E-3</v>
          </cell>
          <cell r="S30">
            <v>0.11532846715328482</v>
          </cell>
          <cell r="T30">
            <v>-0.68193717277486909</v>
          </cell>
          <cell r="U30">
            <v>0.86625514403292203</v>
          </cell>
          <cell r="V30">
            <v>5.0814189976251978E-2</v>
          </cell>
          <cell r="W30">
            <v>-0.22270270270270265</v>
          </cell>
          <cell r="X30">
            <v>0.11821974965229476</v>
          </cell>
          <cell r="Y30">
            <v>-1.7412935323383172E-2</v>
          </cell>
          <cell r="Z30">
            <v>-0.17721518987341767</v>
          </cell>
          <cell r="AA30">
            <v>-0.34769230769230774</v>
          </cell>
        </row>
        <row r="31">
          <cell r="A31" t="str">
            <v>PGR.BA</v>
          </cell>
          <cell r="B31">
            <v>10.7</v>
          </cell>
          <cell r="C31">
            <v>9.1300000000000008</v>
          </cell>
          <cell r="D31">
            <v>12.1</v>
          </cell>
          <cell r="E31">
            <v>12.1</v>
          </cell>
          <cell r="F31">
            <v>11.2</v>
          </cell>
          <cell r="G31">
            <v>8.9</v>
          </cell>
          <cell r="H31">
            <v>11.7</v>
          </cell>
          <cell r="I31">
            <v>16.8</v>
          </cell>
          <cell r="J31">
            <v>17.2</v>
          </cell>
          <cell r="K31">
            <v>18.25</v>
          </cell>
          <cell r="L31">
            <v>17.350000000000001</v>
          </cell>
          <cell r="M31">
            <v>12.65</v>
          </cell>
          <cell r="N31">
            <v>7</v>
          </cell>
          <cell r="P31">
            <v>-0.14672897196261669</v>
          </cell>
          <cell r="Q31">
            <v>0.32530120481927693</v>
          </cell>
          <cell r="R31">
            <v>0</v>
          </cell>
          <cell r="S31">
            <v>-7.4380165289256284E-2</v>
          </cell>
          <cell r="T31">
            <v>-0.20535714285714279</v>
          </cell>
          <cell r="U31">
            <v>0.31460674157303359</v>
          </cell>
          <cell r="V31">
            <v>0.43589743589743613</v>
          </cell>
          <cell r="W31">
            <v>2.3809523809523725E-2</v>
          </cell>
          <cell r="X31">
            <v>6.1046511627907085E-2</v>
          </cell>
          <cell r="Y31">
            <v>-4.9315068493150593E-2</v>
          </cell>
          <cell r="Z31">
            <v>-0.27089337175792516</v>
          </cell>
          <cell r="AA31">
            <v>-0.44664031620553357</v>
          </cell>
        </row>
        <row r="32">
          <cell r="A32" t="str">
            <v>COME.BA</v>
          </cell>
          <cell r="B32">
            <v>1.8889091499999999</v>
          </cell>
          <cell r="C32">
            <v>1.6044348799999999</v>
          </cell>
          <cell r="D32">
            <v>1.7176461999999999</v>
          </cell>
          <cell r="E32">
            <v>1.84117555</v>
          </cell>
          <cell r="F32">
            <v>1.7999991</v>
          </cell>
          <cell r="G32">
            <v>1.1299999999999999</v>
          </cell>
          <cell r="H32">
            <v>1.61</v>
          </cell>
          <cell r="I32">
            <v>1.77</v>
          </cell>
          <cell r="J32">
            <v>1.73</v>
          </cell>
          <cell r="K32">
            <v>2.2000000000000002</v>
          </cell>
          <cell r="L32">
            <v>2.38</v>
          </cell>
          <cell r="M32">
            <v>2.08</v>
          </cell>
          <cell r="N32">
            <v>1.25</v>
          </cell>
          <cell r="P32">
            <v>-0.15060240986179774</v>
          </cell>
          <cell r="Q32">
            <v>7.056149265465983E-2</v>
          </cell>
          <cell r="R32">
            <v>7.1917808219178037E-2</v>
          </cell>
          <cell r="S32">
            <v>-2.2364217252396235E-2</v>
          </cell>
          <cell r="T32">
            <v>-0.37222190833317648</v>
          </cell>
          <cell r="U32">
            <v>0.42477876106194712</v>
          </cell>
          <cell r="V32">
            <v>9.9378881987577605E-2</v>
          </cell>
          <cell r="W32">
            <v>-2.2598870056497189E-2</v>
          </cell>
          <cell r="X32">
            <v>0.27167630057803471</v>
          </cell>
          <cell r="Y32">
            <v>8.181818181818179E-2</v>
          </cell>
          <cell r="Z32">
            <v>-0.12605042016806711</v>
          </cell>
          <cell r="AA32">
            <v>-0.39903846153846156</v>
          </cell>
        </row>
        <row r="33">
          <cell r="A33" t="str">
            <v>CARC.BA</v>
          </cell>
          <cell r="B33">
            <v>1.27352186</v>
          </cell>
          <cell r="C33">
            <v>1.29211342</v>
          </cell>
          <cell r="D33">
            <v>1.3943669999999999</v>
          </cell>
          <cell r="E33">
            <v>1.6639446200000001</v>
          </cell>
          <cell r="F33">
            <v>1.70112774</v>
          </cell>
          <cell r="G33">
            <v>1.0690147000000001</v>
          </cell>
          <cell r="H33">
            <v>1.1247893799999999</v>
          </cell>
          <cell r="I33">
            <v>1.19</v>
          </cell>
          <cell r="J33">
            <v>1.1100000000000001</v>
          </cell>
          <cell r="K33">
            <v>1.4</v>
          </cell>
          <cell r="L33">
            <v>1.43</v>
          </cell>
          <cell r="M33">
            <v>1.25</v>
          </cell>
          <cell r="N33">
            <v>0.77</v>
          </cell>
          <cell r="P33">
            <v>1.4598540145985384E-2</v>
          </cell>
          <cell r="Q33">
            <v>7.9136690647481966E-2</v>
          </cell>
          <cell r="R33">
            <v>0.19333333333333358</v>
          </cell>
          <cell r="S33">
            <v>2.2346368715083775E-2</v>
          </cell>
          <cell r="T33">
            <v>-0.37158469945355188</v>
          </cell>
          <cell r="U33">
            <v>5.2173913043478182E-2</v>
          </cell>
          <cell r="V33">
            <v>5.7975849665294676E-2</v>
          </cell>
          <cell r="W33">
            <v>-6.7226890756302393E-2</v>
          </cell>
          <cell r="X33">
            <v>0.26126126126126104</v>
          </cell>
          <cell r="Y33">
            <v>2.1428571428571352E-2</v>
          </cell>
          <cell r="Z33">
            <v>-0.12587412587412583</v>
          </cell>
          <cell r="AA33">
            <v>-0.38400000000000001</v>
          </cell>
        </row>
        <row r="34">
          <cell r="A34" t="str">
            <v>GGAL.BA</v>
          </cell>
          <cell r="B34">
            <v>109.27960830000001</v>
          </cell>
          <cell r="C34">
            <v>95.706034549999998</v>
          </cell>
          <cell r="D34">
            <v>114.7</v>
          </cell>
          <cell r="E34">
            <v>151.6</v>
          </cell>
          <cell r="F34">
            <v>162.05000000000001</v>
          </cell>
          <cell r="G34">
            <v>69.150000000000006</v>
          </cell>
          <cell r="H34">
            <v>81.55</v>
          </cell>
          <cell r="I34">
            <v>92.1</v>
          </cell>
          <cell r="J34">
            <v>99.75</v>
          </cell>
          <cell r="K34">
            <v>121.6</v>
          </cell>
          <cell r="L34">
            <v>122.2</v>
          </cell>
          <cell r="M34">
            <v>102.7</v>
          </cell>
          <cell r="N34">
            <v>56</v>
          </cell>
          <cell r="P34">
            <v>-0.12420957542908773</v>
          </cell>
          <cell r="Q34">
            <v>0.19846152376187876</v>
          </cell>
          <cell r="R34">
            <v>0.32170880557977322</v>
          </cell>
          <cell r="S34">
            <v>6.8931398416886669E-2</v>
          </cell>
          <cell r="T34">
            <v>-0.57327985189756248</v>
          </cell>
          <cell r="U34">
            <v>0.17932031814895133</v>
          </cell>
          <cell r="V34">
            <v>0.12936848559166148</v>
          </cell>
          <cell r="W34">
            <v>8.3061889250814369E-2</v>
          </cell>
          <cell r="X34">
            <v>0.21904761904761894</v>
          </cell>
          <cell r="Y34">
            <v>4.9342105263159297E-3</v>
          </cell>
          <cell r="Z34">
            <v>-0.15957446808510634</v>
          </cell>
          <cell r="AA34">
            <v>-0.45472249269717624</v>
          </cell>
        </row>
        <row r="35">
          <cell r="A35" t="str">
            <v>BMA.BA</v>
          </cell>
          <cell r="B35">
            <v>189.56556375</v>
          </cell>
          <cell r="C35">
            <v>172.15891450000001</v>
          </cell>
          <cell r="D35">
            <v>223.85</v>
          </cell>
          <cell r="E35">
            <v>312.60000000000002</v>
          </cell>
          <cell r="F35">
            <v>305.55</v>
          </cell>
          <cell r="G35">
            <v>147.05000000000001</v>
          </cell>
          <cell r="H35">
            <v>165.95</v>
          </cell>
          <cell r="I35">
            <v>183.6</v>
          </cell>
          <cell r="J35">
            <v>193.55</v>
          </cell>
          <cell r="K35">
            <v>273.60000000000002</v>
          </cell>
          <cell r="L35">
            <v>263.39999999999998</v>
          </cell>
          <cell r="M35">
            <v>234.9</v>
          </cell>
          <cell r="N35">
            <v>139</v>
          </cell>
          <cell r="P35">
            <v>-9.1823899371069162E-2</v>
          </cell>
          <cell r="Q35">
            <v>0.30025215743329969</v>
          </cell>
          <cell r="R35">
            <v>0.39647085101630575</v>
          </cell>
          <cell r="S35">
            <v>-2.2552783109405006E-2</v>
          </cell>
          <cell r="T35">
            <v>-0.51873670430371455</v>
          </cell>
          <cell r="U35">
            <v>0.1285277116626995</v>
          </cell>
          <cell r="V35">
            <v>0.10635733654715285</v>
          </cell>
          <cell r="W35">
            <v>5.419389978213518E-2</v>
          </cell>
          <cell r="X35">
            <v>0.41358822009816598</v>
          </cell>
          <cell r="Y35">
            <v>-3.7280701754386136E-2</v>
          </cell>
          <cell r="Z35">
            <v>-0.10820045558086555</v>
          </cell>
          <cell r="AA35">
            <v>-0.40825883354618986</v>
          </cell>
        </row>
        <row r="36">
          <cell r="A36" t="str">
            <v>BBAR.BA</v>
          </cell>
          <cell r="B36">
            <v>133.61933565000001</v>
          </cell>
          <cell r="C36">
            <v>115.7485365</v>
          </cell>
          <cell r="D36">
            <v>134.30000000000001</v>
          </cell>
          <cell r="E36">
            <v>161.85</v>
          </cell>
          <cell r="F36">
            <v>170</v>
          </cell>
          <cell r="G36">
            <v>86.85</v>
          </cell>
          <cell r="H36">
            <v>93.15</v>
          </cell>
          <cell r="I36">
            <v>94.65</v>
          </cell>
          <cell r="J36">
            <v>96.7</v>
          </cell>
          <cell r="K36">
            <v>140.5</v>
          </cell>
          <cell r="L36">
            <v>132.19999999999999</v>
          </cell>
          <cell r="M36">
            <v>111.55</v>
          </cell>
          <cell r="N36">
            <v>72</v>
          </cell>
          <cell r="P36">
            <v>-0.13374411018484966</v>
          </cell>
          <cell r="Q36">
            <v>0.16027384933717936</v>
          </cell>
          <cell r="R36">
            <v>0.20513775130305278</v>
          </cell>
          <cell r="S36">
            <v>5.0355267222737199E-2</v>
          </cell>
          <cell r="T36">
            <v>-0.48911764705882355</v>
          </cell>
          <cell r="U36">
            <v>7.2538860103626979E-2</v>
          </cell>
          <cell r="V36">
            <v>1.6103059581320522E-2</v>
          </cell>
          <cell r="W36">
            <v>2.165874273639723E-2</v>
          </cell>
          <cell r="X36">
            <v>0.45294725956566695</v>
          </cell>
          <cell r="Y36">
            <v>-5.9074733096085463E-2</v>
          </cell>
          <cell r="Z36">
            <v>-0.15620272314674732</v>
          </cell>
          <cell r="AA36">
            <v>-0.35454952935903183</v>
          </cell>
        </row>
        <row r="37">
          <cell r="A37" t="str">
            <v>BRIO.BA</v>
          </cell>
          <cell r="B37">
            <v>17.862608399999999</v>
          </cell>
          <cell r="C37">
            <v>13.396956299999999</v>
          </cell>
          <cell r="D37">
            <v>14.6</v>
          </cell>
          <cell r="E37">
            <v>19</v>
          </cell>
          <cell r="F37">
            <v>22.9</v>
          </cell>
          <cell r="G37">
            <v>10.3</v>
          </cell>
          <cell r="H37">
            <v>13.8</v>
          </cell>
          <cell r="I37">
            <v>12.3</v>
          </cell>
          <cell r="J37">
            <v>13.3</v>
          </cell>
          <cell r="K37">
            <v>16.5</v>
          </cell>
          <cell r="L37">
            <v>19.399999999999999</v>
          </cell>
          <cell r="M37">
            <v>16.8</v>
          </cell>
          <cell r="N37">
            <v>11.4</v>
          </cell>
          <cell r="P37">
            <v>-0.25</v>
          </cell>
          <cell r="Q37">
            <v>8.9799777879397968E-2</v>
          </cell>
          <cell r="R37">
            <v>0.30136986301369872</v>
          </cell>
          <cell r="S37">
            <v>0.20526315789473681</v>
          </cell>
          <cell r="T37">
            <v>-0.55021834061135366</v>
          </cell>
          <cell r="U37">
            <v>0.33980582524271852</v>
          </cell>
          <cell r="V37">
            <v>-0.10869565217391308</v>
          </cell>
          <cell r="W37">
            <v>8.1300813008130079E-2</v>
          </cell>
          <cell r="X37">
            <v>0.24060150375939848</v>
          </cell>
          <cell r="Y37">
            <v>0.17575757575757578</v>
          </cell>
          <cell r="Z37">
            <v>-0.13402061855670089</v>
          </cell>
          <cell r="AA37">
            <v>-0.3214285714285714</v>
          </cell>
        </row>
        <row r="38">
          <cell r="A38" t="str">
            <v>BYMA.BA</v>
          </cell>
          <cell r="B38">
            <v>316.61551600000001</v>
          </cell>
          <cell r="C38">
            <v>288.5</v>
          </cell>
          <cell r="D38">
            <v>265</v>
          </cell>
          <cell r="E38">
            <v>371</v>
          </cell>
          <cell r="F38">
            <v>371</v>
          </cell>
          <cell r="G38">
            <v>200.5</v>
          </cell>
          <cell r="H38">
            <v>223</v>
          </cell>
          <cell r="I38">
            <v>276</v>
          </cell>
          <cell r="J38">
            <v>254.5</v>
          </cell>
          <cell r="K38">
            <v>321.5</v>
          </cell>
          <cell r="L38">
            <v>264.5</v>
          </cell>
          <cell r="M38">
            <v>285.5</v>
          </cell>
          <cell r="N38">
            <v>250</v>
          </cell>
          <cell r="P38">
            <v>-8.8800183753470874E-2</v>
          </cell>
          <cell r="Q38">
            <v>-8.1455805892547639E-2</v>
          </cell>
          <cell r="R38">
            <v>0.39999999999999991</v>
          </cell>
          <cell r="S38">
            <v>0</v>
          </cell>
          <cell r="T38">
            <v>-0.45956873315363878</v>
          </cell>
          <cell r="U38">
            <v>0.11221945137157108</v>
          </cell>
          <cell r="V38">
            <v>0.2376681614349776</v>
          </cell>
          <cell r="W38">
            <v>-7.7898550724637694E-2</v>
          </cell>
          <cell r="X38">
            <v>0.26326129666011777</v>
          </cell>
          <cell r="Y38">
            <v>-0.17729393468118193</v>
          </cell>
          <cell r="Z38">
            <v>7.9395085066162663E-2</v>
          </cell>
          <cell r="AA38">
            <v>-0.12434325744308228</v>
          </cell>
        </row>
        <row r="39">
          <cell r="A39" t="str">
            <v>BPAT.BA</v>
          </cell>
          <cell r="B39">
            <v>35.007523417999998</v>
          </cell>
          <cell r="C39">
            <v>29.418838325999999</v>
          </cell>
          <cell r="D39">
            <v>37.423293800000003</v>
          </cell>
          <cell r="E39">
            <v>41.471724000000002</v>
          </cell>
          <cell r="F39">
            <v>49.8</v>
          </cell>
          <cell r="G39">
            <v>30</v>
          </cell>
          <cell r="H39">
            <v>29.7</v>
          </cell>
          <cell r="I39">
            <v>31.5</v>
          </cell>
          <cell r="J39">
            <v>35.65</v>
          </cell>
          <cell r="K39">
            <v>43.7</v>
          </cell>
          <cell r="L39">
            <v>48</v>
          </cell>
          <cell r="M39">
            <v>45</v>
          </cell>
          <cell r="N39">
            <v>33</v>
          </cell>
          <cell r="P39">
            <v>-0.15964240101390426</v>
          </cell>
          <cell r="Q39">
            <v>0.27208604858220276</v>
          </cell>
          <cell r="R39">
            <v>0.10817941952506582</v>
          </cell>
          <cell r="S39">
            <v>0.20081817674133817</v>
          </cell>
          <cell r="T39">
            <v>-0.39759036144578308</v>
          </cell>
          <cell r="U39">
            <v>-1.0000000000000009E-2</v>
          </cell>
          <cell r="V39">
            <v>6.0606060606060552E-2</v>
          </cell>
          <cell r="W39">
            <v>0.13174603174603172</v>
          </cell>
          <cell r="X39">
            <v>0.22580645161290325</v>
          </cell>
          <cell r="Y39">
            <v>9.8398169336384456E-2</v>
          </cell>
          <cell r="Z39">
            <v>-6.25E-2</v>
          </cell>
          <cell r="AA39">
            <v>-0.26666666666666672</v>
          </cell>
        </row>
        <row r="40">
          <cell r="A40" t="str">
            <v>BHIP.BA</v>
          </cell>
          <cell r="B40">
            <v>12.6661679</v>
          </cell>
          <cell r="C40">
            <v>12</v>
          </cell>
          <cell r="D40">
            <v>14</v>
          </cell>
          <cell r="E40">
            <v>17.149999999999999</v>
          </cell>
          <cell r="F40">
            <v>18.7</v>
          </cell>
          <cell r="G40">
            <v>10.9</v>
          </cell>
          <cell r="H40">
            <v>9.6999999999999993</v>
          </cell>
          <cell r="I40">
            <v>9.4600000000000009</v>
          </cell>
          <cell r="J40">
            <v>9.0500000000000007</v>
          </cell>
          <cell r="K40">
            <v>14.1</v>
          </cell>
          <cell r="L40">
            <v>12.3</v>
          </cell>
          <cell r="M40">
            <v>9.9499999999999993</v>
          </cell>
          <cell r="N40">
            <v>6.4</v>
          </cell>
          <cell r="P40">
            <v>-5.2594273600304886E-2</v>
          </cell>
          <cell r="Q40">
            <v>0.16666666666666674</v>
          </cell>
          <cell r="R40">
            <v>0.22499999999999987</v>
          </cell>
          <cell r="S40">
            <v>9.0379008746355627E-2</v>
          </cell>
          <cell r="T40">
            <v>-0.41711229946524064</v>
          </cell>
          <cell r="U40">
            <v>-0.11009174311926617</v>
          </cell>
          <cell r="V40">
            <v>-2.4742268041236914E-2</v>
          </cell>
          <cell r="W40">
            <v>-4.3340380549682922E-2</v>
          </cell>
          <cell r="X40">
            <v>0.5580110497237567</v>
          </cell>
          <cell r="Y40">
            <v>-0.12765957446808507</v>
          </cell>
          <cell r="Z40">
            <v>-0.19105691056910579</v>
          </cell>
          <cell r="AA40">
            <v>-0.35678391959798983</v>
          </cell>
        </row>
        <row r="41">
          <cell r="A41" t="str">
            <v>VALO.BA</v>
          </cell>
          <cell r="B41">
            <v>5.5951478999999997</v>
          </cell>
          <cell r="C41">
            <v>5.62</v>
          </cell>
          <cell r="D41">
            <v>6.03</v>
          </cell>
          <cell r="E41">
            <v>8.18</v>
          </cell>
          <cell r="F41">
            <v>8.0500000000000007</v>
          </cell>
          <cell r="G41">
            <v>5.1100000000000003</v>
          </cell>
          <cell r="H41">
            <v>6.38</v>
          </cell>
          <cell r="I41">
            <v>10.6</v>
          </cell>
          <cell r="J41">
            <v>10.5</v>
          </cell>
          <cell r="K41">
            <v>13.4</v>
          </cell>
          <cell r="L41">
            <v>14.65</v>
          </cell>
          <cell r="M41">
            <v>13.55</v>
          </cell>
          <cell r="N41">
            <v>9.5</v>
          </cell>
          <cell r="P41">
            <v>4.4417235154767809E-3</v>
          </cell>
          <cell r="Q41">
            <v>7.2953736654804313E-2</v>
          </cell>
          <cell r="R41">
            <v>0.35655058043117727</v>
          </cell>
          <cell r="S41">
            <v>-1.5892420537897189E-2</v>
          </cell>
          <cell r="T41">
            <v>-0.36521739130434783</v>
          </cell>
          <cell r="U41">
            <v>0.24853228962817986</v>
          </cell>
          <cell r="V41">
            <v>0.66144200626959249</v>
          </cell>
          <cell r="W41">
            <v>-9.4339622641509413E-3</v>
          </cell>
          <cell r="X41">
            <v>0.27619047619047632</v>
          </cell>
          <cell r="Y41">
            <v>9.3283582089552342E-2</v>
          </cell>
          <cell r="Z41">
            <v>-7.5085324232081918E-2</v>
          </cell>
          <cell r="AA41">
            <v>-0.29889298892988936</v>
          </cell>
        </row>
        <row r="42">
          <cell r="A42" t="str">
            <v>RICH.BA</v>
          </cell>
          <cell r="B42">
            <v>39</v>
          </cell>
          <cell r="C42">
            <v>40.4</v>
          </cell>
          <cell r="D42">
            <v>43</v>
          </cell>
          <cell r="E42">
            <v>44.5</v>
          </cell>
          <cell r="F42">
            <v>46</v>
          </cell>
          <cell r="G42">
            <v>40</v>
          </cell>
          <cell r="H42">
            <v>59.5</v>
          </cell>
          <cell r="I42">
            <v>85</v>
          </cell>
          <cell r="J42">
            <v>100</v>
          </cell>
          <cell r="K42">
            <v>116</v>
          </cell>
          <cell r="L42">
            <v>102</v>
          </cell>
          <cell r="M42">
            <v>104.5</v>
          </cell>
          <cell r="N42">
            <v>97.5</v>
          </cell>
          <cell r="P42">
            <v>3.589743589743577E-2</v>
          </cell>
          <cell r="Q42">
            <v>6.4356435643564414E-2</v>
          </cell>
          <cell r="R42">
            <v>3.488372093023262E-2</v>
          </cell>
          <cell r="S42">
            <v>3.3707865168539408E-2</v>
          </cell>
          <cell r="T42">
            <v>-0.13043478260869568</v>
          </cell>
          <cell r="U42">
            <v>0.48750000000000004</v>
          </cell>
          <cell r="V42">
            <v>0.4285714285714286</v>
          </cell>
          <cell r="W42">
            <v>0.17647058823529416</v>
          </cell>
          <cell r="X42">
            <v>0.15999999999999992</v>
          </cell>
          <cell r="Y42">
            <v>-0.12068965517241381</v>
          </cell>
          <cell r="Z42">
            <v>2.450980392156854E-2</v>
          </cell>
          <cell r="AA42">
            <v>-6.6985645933014371E-2</v>
          </cell>
        </row>
        <row r="43">
          <cell r="A43" t="str">
            <v>ROSE.BA</v>
          </cell>
          <cell r="B43">
            <v>5.6</v>
          </cell>
          <cell r="C43">
            <v>4.9000000000000004</v>
          </cell>
          <cell r="D43">
            <v>5.95</v>
          </cell>
          <cell r="E43">
            <v>6</v>
          </cell>
          <cell r="F43">
            <v>5.85</v>
          </cell>
          <cell r="G43">
            <v>6</v>
          </cell>
          <cell r="H43">
            <v>4.88</v>
          </cell>
          <cell r="I43">
            <v>5.35</v>
          </cell>
          <cell r="J43">
            <v>5.95</v>
          </cell>
          <cell r="K43">
            <v>5.6</v>
          </cell>
          <cell r="L43">
            <v>6.95</v>
          </cell>
          <cell r="M43">
            <v>5.35</v>
          </cell>
          <cell r="N43">
            <v>4.3500000000000005</v>
          </cell>
          <cell r="P43">
            <v>-0.12499999999999989</v>
          </cell>
          <cell r="Q43">
            <v>0.21428571428571419</v>
          </cell>
          <cell r="R43">
            <v>8.4033613445377853E-3</v>
          </cell>
          <cell r="S43">
            <v>-2.5000000000000022E-2</v>
          </cell>
          <cell r="T43">
            <v>2.5641025641025772E-2</v>
          </cell>
          <cell r="U43">
            <v>-0.18666666666666665</v>
          </cell>
          <cell r="V43">
            <v>9.6311475409835978E-2</v>
          </cell>
          <cell r="W43">
            <v>0.11214953271028039</v>
          </cell>
          <cell r="X43">
            <v>-5.882352941176483E-2</v>
          </cell>
          <cell r="Y43">
            <v>0.2410714285714286</v>
          </cell>
          <cell r="Z43">
            <v>-0.23021582733812962</v>
          </cell>
          <cell r="AA43">
            <v>-0.18691588785046709</v>
          </cell>
        </row>
        <row r="44">
          <cell r="A44" t="str">
            <v>AUSO.BA</v>
          </cell>
          <cell r="B44">
            <v>76.622868178999994</v>
          </cell>
          <cell r="C44">
            <v>71.855223047999999</v>
          </cell>
          <cell r="D44">
            <v>72.451673154999995</v>
          </cell>
          <cell r="E44">
            <v>80.338070944999998</v>
          </cell>
          <cell r="F44">
            <v>75.731530179999993</v>
          </cell>
          <cell r="G44">
            <v>50.889807347999998</v>
          </cell>
          <cell r="H44">
            <v>64.343434578</v>
          </cell>
          <cell r="I44">
            <v>69.408984000000004</v>
          </cell>
          <cell r="J44">
            <v>58.759934399999999</v>
          </cell>
          <cell r="K44">
            <v>73.212215999999998</v>
          </cell>
          <cell r="L44">
            <v>68.268014399999998</v>
          </cell>
          <cell r="M44">
            <v>65.510671200000004</v>
          </cell>
          <cell r="N44">
            <v>49.800000000000004</v>
          </cell>
          <cell r="P44">
            <v>-6.2222222220424062E-2</v>
          </cell>
          <cell r="Q44">
            <v>8.3007202775162714E-3</v>
          </cell>
          <cell r="R44">
            <v>0.10885045778208857</v>
          </cell>
          <cell r="S44">
            <v>-5.7339449538857834E-2</v>
          </cell>
          <cell r="T44">
            <v>-0.32802351640004845</v>
          </cell>
          <cell r="U44">
            <v>0.26436781609330917</v>
          </cell>
          <cell r="V44">
            <v>7.8726748971712279E-2</v>
          </cell>
          <cell r="W44">
            <v>-0.15342465753424661</v>
          </cell>
          <cell r="X44">
            <v>0.24595469255663427</v>
          </cell>
          <cell r="Y44">
            <v>-6.7532467532467555E-2</v>
          </cell>
          <cell r="Z44">
            <v>-4.0389972144846742E-2</v>
          </cell>
          <cell r="AA44">
            <v>-0.23981850456143694</v>
          </cell>
        </row>
        <row r="45">
          <cell r="A45" t="str">
            <v>OEST.BA</v>
          </cell>
          <cell r="B45">
            <v>25.41979482</v>
          </cell>
          <cell r="C45">
            <v>24.903656854000001</v>
          </cell>
          <cell r="D45">
            <v>26.793300014</v>
          </cell>
          <cell r="E45">
            <v>28.579520015</v>
          </cell>
          <cell r="F45">
            <v>27.522369401999999</v>
          </cell>
          <cell r="G45">
            <v>17.286281647999999</v>
          </cell>
          <cell r="H45">
            <v>21.468369167999999</v>
          </cell>
          <cell r="I45">
            <v>24.369565999999999</v>
          </cell>
          <cell r="J45">
            <v>24.182107800000001</v>
          </cell>
          <cell r="K45">
            <v>27.368897199999999</v>
          </cell>
          <cell r="L45">
            <v>29.149750099999999</v>
          </cell>
          <cell r="M45">
            <v>26.244147999999999</v>
          </cell>
          <cell r="N45">
            <v>21.55</v>
          </cell>
          <cell r="P45">
            <v>-2.0304568532311995E-2</v>
          </cell>
          <cell r="Q45">
            <v>7.5878139948611034E-2</v>
          </cell>
          <cell r="R45">
            <v>6.6666666669154884E-2</v>
          </cell>
          <cell r="S45">
            <v>-3.6989795925374325E-2</v>
          </cell>
          <cell r="T45">
            <v>-0.37191884188779778</v>
          </cell>
          <cell r="U45">
            <v>0.24193100663055911</v>
          </cell>
          <cell r="V45">
            <v>0.13513820306036206</v>
          </cell>
          <cell r="W45">
            <v>-7.692307692307665E-3</v>
          </cell>
          <cell r="X45">
            <v>0.13178294573643412</v>
          </cell>
          <cell r="Y45">
            <v>6.5068493150684859E-2</v>
          </cell>
          <cell r="Z45">
            <v>-9.9678456591639875E-2</v>
          </cell>
          <cell r="AA45">
            <v>-0.17886456058699252</v>
          </cell>
        </row>
        <row r="46">
          <cell r="A46" t="str">
            <v>CAPU.BA</v>
          </cell>
          <cell r="B46">
            <v>8.0399999999999991</v>
          </cell>
          <cell r="C46">
            <v>6.7</v>
          </cell>
          <cell r="D46">
            <v>8.5</v>
          </cell>
          <cell r="E46">
            <v>7.65</v>
          </cell>
          <cell r="F46">
            <v>7.65</v>
          </cell>
          <cell r="G46">
            <v>7.65</v>
          </cell>
          <cell r="H46">
            <v>7.65</v>
          </cell>
          <cell r="I46">
            <v>7.65</v>
          </cell>
          <cell r="J46">
            <v>7.65</v>
          </cell>
          <cell r="K46">
            <v>7.65</v>
          </cell>
          <cell r="L46">
            <v>7.65</v>
          </cell>
          <cell r="M46">
            <v>7.65</v>
          </cell>
          <cell r="N46">
            <v>7.65</v>
          </cell>
          <cell r="P46">
            <v>-0.16666666666666652</v>
          </cell>
          <cell r="Q46">
            <v>0.26865671641791034</v>
          </cell>
          <cell r="R46">
            <v>-9.9999999999999978E-2</v>
          </cell>
          <cell r="S46">
            <v>0</v>
          </cell>
          <cell r="T46">
            <v>0</v>
          </cell>
          <cell r="U46">
            <v>0</v>
          </cell>
          <cell r="V46">
            <v>0</v>
          </cell>
          <cell r="W46">
            <v>0</v>
          </cell>
          <cell r="X46">
            <v>0</v>
          </cell>
          <cell r="Y46">
            <v>0</v>
          </cell>
          <cell r="Z46">
            <v>0</v>
          </cell>
          <cell r="AA46">
            <v>0</v>
          </cell>
        </row>
        <row r="47">
          <cell r="A47" t="str">
            <v>CADO.BA</v>
          </cell>
          <cell r="B47">
            <v>12.156352399999999</v>
          </cell>
          <cell r="C47">
            <v>11.71519445</v>
          </cell>
          <cell r="D47">
            <v>11.71519445</v>
          </cell>
          <cell r="E47">
            <v>12</v>
          </cell>
          <cell r="F47">
            <v>11.8</v>
          </cell>
          <cell r="G47">
            <v>11.35</v>
          </cell>
          <cell r="H47">
            <v>12.15</v>
          </cell>
          <cell r="I47">
            <v>13.7</v>
          </cell>
          <cell r="J47">
            <v>16.100000000000001</v>
          </cell>
          <cell r="K47">
            <v>20</v>
          </cell>
          <cell r="L47">
            <v>23.65</v>
          </cell>
          <cell r="M47">
            <v>21.25</v>
          </cell>
          <cell r="N47">
            <v>18.150000000000002</v>
          </cell>
          <cell r="P47">
            <v>-3.6290322580645129E-2</v>
          </cell>
          <cell r="Q47">
            <v>0</v>
          </cell>
          <cell r="R47">
            <v>2.4310782993448354E-2</v>
          </cell>
          <cell r="S47">
            <v>-1.6666666666666607E-2</v>
          </cell>
          <cell r="T47">
            <v>-3.8135593220339103E-2</v>
          </cell>
          <cell r="U47">
            <v>7.0484581497797461E-2</v>
          </cell>
          <cell r="V47">
            <v>0.12757201646090532</v>
          </cell>
          <cell r="W47">
            <v>0.17518248175182505</v>
          </cell>
          <cell r="X47">
            <v>0.2422360248447204</v>
          </cell>
          <cell r="Y47">
            <v>0.18249999999999988</v>
          </cell>
          <cell r="Z47">
            <v>-0.10147991543340373</v>
          </cell>
          <cell r="AA47">
            <v>-0.14588235294117635</v>
          </cell>
        </row>
        <row r="48">
          <cell r="A48" t="str">
            <v>FERR.BA</v>
          </cell>
          <cell r="B48">
            <v>3.25</v>
          </cell>
          <cell r="C48">
            <v>3.05</v>
          </cell>
          <cell r="D48">
            <v>3.49</v>
          </cell>
          <cell r="E48">
            <v>3.44</v>
          </cell>
          <cell r="F48">
            <v>3.39</v>
          </cell>
          <cell r="G48">
            <v>2.7</v>
          </cell>
          <cell r="H48">
            <v>3.2</v>
          </cell>
          <cell r="I48">
            <v>4.5</v>
          </cell>
          <cell r="J48">
            <v>5.3</v>
          </cell>
          <cell r="K48">
            <v>7.7</v>
          </cell>
          <cell r="L48">
            <v>6.35</v>
          </cell>
          <cell r="M48">
            <v>5.75</v>
          </cell>
          <cell r="N48">
            <v>4.25</v>
          </cell>
          <cell r="P48">
            <v>-6.1538461538461542E-2</v>
          </cell>
          <cell r="Q48">
            <v>0.14426229508196742</v>
          </cell>
          <cell r="R48">
            <v>-1.4326647564469996E-2</v>
          </cell>
          <cell r="S48">
            <v>-1.4534883720930147E-2</v>
          </cell>
          <cell r="T48">
            <v>-0.20353982300884954</v>
          </cell>
          <cell r="U48">
            <v>0.18518518518518512</v>
          </cell>
          <cell r="V48">
            <v>0.40625</v>
          </cell>
          <cell r="W48">
            <v>0.17777777777777781</v>
          </cell>
          <cell r="X48">
            <v>0.4528301886792454</v>
          </cell>
          <cell r="Y48">
            <v>-0.17532467532467544</v>
          </cell>
          <cell r="Z48">
            <v>-9.4488188976377896E-2</v>
          </cell>
          <cell r="AA48">
            <v>-0.26086956521739135</v>
          </cell>
        </row>
        <row r="49">
          <cell r="A49" t="str">
            <v>DYCA.BA</v>
          </cell>
          <cell r="B49">
            <v>36.9</v>
          </cell>
          <cell r="C49">
            <v>34.700000000000003</v>
          </cell>
          <cell r="D49">
            <v>36.5</v>
          </cell>
          <cell r="E49">
            <v>42</v>
          </cell>
          <cell r="F49">
            <v>40</v>
          </cell>
          <cell r="G49">
            <v>37.049999999999997</v>
          </cell>
          <cell r="H49">
            <v>37.799999999999997</v>
          </cell>
          <cell r="I49">
            <v>50</v>
          </cell>
          <cell r="J49">
            <v>57.1</v>
          </cell>
          <cell r="K49">
            <v>59.5</v>
          </cell>
          <cell r="L49">
            <v>61.2</v>
          </cell>
          <cell r="M49">
            <v>63</v>
          </cell>
          <cell r="N49">
            <v>45</v>
          </cell>
          <cell r="P49">
            <v>-5.962059620596194E-2</v>
          </cell>
          <cell r="Q49">
            <v>5.187319884726227E-2</v>
          </cell>
          <cell r="R49">
            <v>0.15068493150684925</v>
          </cell>
          <cell r="S49">
            <v>-4.7619047619047672E-2</v>
          </cell>
          <cell r="T49">
            <v>-7.3750000000000093E-2</v>
          </cell>
          <cell r="U49">
            <v>2.0242914979757165E-2</v>
          </cell>
          <cell r="V49">
            <v>0.32275132275132279</v>
          </cell>
          <cell r="W49">
            <v>0.14200000000000013</v>
          </cell>
          <cell r="X49">
            <v>4.2031523642731994E-2</v>
          </cell>
          <cell r="Y49">
            <v>2.8571428571428692E-2</v>
          </cell>
          <cell r="Z49">
            <v>2.9411764705882248E-2</v>
          </cell>
          <cell r="AA49">
            <v>-0.2857142857142857</v>
          </cell>
        </row>
        <row r="50">
          <cell r="A50" t="str">
            <v>AGRO.BA</v>
          </cell>
          <cell r="B50">
            <v>9.1875</v>
          </cell>
          <cell r="C50">
            <v>9.9</v>
          </cell>
          <cell r="D50">
            <v>10.7</v>
          </cell>
          <cell r="E50">
            <v>11.5</v>
          </cell>
          <cell r="F50">
            <v>11.3</v>
          </cell>
          <cell r="G50">
            <v>6.51</v>
          </cell>
          <cell r="H50">
            <v>7.77</v>
          </cell>
          <cell r="I50">
            <v>8.91</v>
          </cell>
          <cell r="J50">
            <v>8.1999999999999993</v>
          </cell>
          <cell r="K50">
            <v>9.3699999999999992</v>
          </cell>
          <cell r="L50">
            <v>11.8</v>
          </cell>
          <cell r="M50">
            <v>8.9499999999999993</v>
          </cell>
          <cell r="N50">
            <v>6.08</v>
          </cell>
          <cell r="P50">
            <v>7.7551020408163307E-2</v>
          </cell>
          <cell r="Q50">
            <v>8.0808080808080662E-2</v>
          </cell>
          <cell r="R50">
            <v>7.4766355140186924E-2</v>
          </cell>
          <cell r="S50">
            <v>-1.7391304347825987E-2</v>
          </cell>
          <cell r="T50">
            <v>-0.42389380530973453</v>
          </cell>
          <cell r="U50">
            <v>0.19354838709677424</v>
          </cell>
          <cell r="V50">
            <v>0.14671814671814687</v>
          </cell>
          <cell r="W50">
            <v>-7.96857463524131E-2</v>
          </cell>
          <cell r="X50">
            <v>0.1426829268292682</v>
          </cell>
          <cell r="Y50">
            <v>0.25933831376734284</v>
          </cell>
          <cell r="Z50">
            <v>-0.24152542372881369</v>
          </cell>
          <cell r="AA50">
            <v>-0.32067039106145245</v>
          </cell>
        </row>
        <row r="51">
          <cell r="A51" t="str">
            <v>GARO.BA</v>
          </cell>
          <cell r="B51">
            <v>4.32</v>
          </cell>
          <cell r="C51">
            <v>4.3499999999999996</v>
          </cell>
          <cell r="D51">
            <v>4.26</v>
          </cell>
          <cell r="E51">
            <v>4.3499999999999996</v>
          </cell>
          <cell r="F51">
            <v>4.7</v>
          </cell>
          <cell r="G51">
            <v>4.08</v>
          </cell>
          <cell r="H51">
            <v>4.72</v>
          </cell>
          <cell r="I51">
            <v>6.82</v>
          </cell>
          <cell r="J51">
            <v>8.91</v>
          </cell>
          <cell r="K51">
            <v>8.4700000000000006</v>
          </cell>
          <cell r="L51">
            <v>9.39</v>
          </cell>
          <cell r="M51">
            <v>10</v>
          </cell>
          <cell r="N51">
            <v>8.1999999999999993</v>
          </cell>
          <cell r="P51">
            <v>6.9444444444441977E-3</v>
          </cell>
          <cell r="Q51">
            <v>-2.0689655172413723E-2</v>
          </cell>
          <cell r="R51">
            <v>2.1126760563380254E-2</v>
          </cell>
          <cell r="S51">
            <v>8.0459770114942764E-2</v>
          </cell>
          <cell r="T51">
            <v>-0.13191489361702124</v>
          </cell>
          <cell r="U51">
            <v>0.1568627450980391</v>
          </cell>
          <cell r="V51">
            <v>0.44491525423728828</v>
          </cell>
          <cell r="W51">
            <v>0.30645161290322576</v>
          </cell>
          <cell r="X51">
            <v>-4.9382716049382713E-2</v>
          </cell>
          <cell r="Y51">
            <v>0.10861865407319948</v>
          </cell>
          <cell r="Z51">
            <v>6.4962726304579332E-2</v>
          </cell>
          <cell r="AA51">
            <v>-0.18000000000000005</v>
          </cell>
        </row>
        <row r="52">
          <cell r="A52" t="str">
            <v>INAG.BA</v>
          </cell>
          <cell r="B52">
            <v>53.777628</v>
          </cell>
          <cell r="C52">
            <v>64.732330000000005</v>
          </cell>
          <cell r="D52">
            <v>59.852508200000003</v>
          </cell>
          <cell r="E52">
            <v>75.687032000000002</v>
          </cell>
          <cell r="F52">
            <v>79.670559999999995</v>
          </cell>
          <cell r="G52">
            <v>93</v>
          </cell>
          <cell r="H52">
            <v>110</v>
          </cell>
          <cell r="I52">
            <v>90</v>
          </cell>
          <cell r="J52">
            <v>101.5</v>
          </cell>
          <cell r="K52">
            <v>150</v>
          </cell>
          <cell r="L52">
            <v>137</v>
          </cell>
          <cell r="M52">
            <v>140</v>
          </cell>
          <cell r="N52">
            <v>130</v>
          </cell>
          <cell r="P52">
            <v>0.20370370370370372</v>
          </cell>
          <cell r="Q52">
            <v>-7.5384615384615383E-2</v>
          </cell>
          <cell r="R52">
            <v>0.26455906821963393</v>
          </cell>
          <cell r="S52">
            <v>5.2631578947368363E-2</v>
          </cell>
          <cell r="T52">
            <v>0.16730697010288376</v>
          </cell>
          <cell r="U52">
            <v>0.18279569892473124</v>
          </cell>
          <cell r="V52">
            <v>-0.18181818181818177</v>
          </cell>
          <cell r="W52">
            <v>0.12777777777777777</v>
          </cell>
          <cell r="X52">
            <v>0.47783251231527091</v>
          </cell>
          <cell r="Y52">
            <v>-8.666666666666667E-2</v>
          </cell>
          <cell r="Z52">
            <v>2.1897810218978186E-2</v>
          </cell>
          <cell r="AA52">
            <v>-7.1428571428571397E-2</v>
          </cell>
        </row>
        <row r="53">
          <cell r="A53" t="str">
            <v>POLL.BA</v>
          </cell>
          <cell r="B53">
            <v>7.15</v>
          </cell>
          <cell r="C53">
            <v>10.3</v>
          </cell>
          <cell r="D53">
            <v>7.95</v>
          </cell>
          <cell r="E53">
            <v>7</v>
          </cell>
          <cell r="F53">
            <v>7.4</v>
          </cell>
          <cell r="G53">
            <v>6.5</v>
          </cell>
          <cell r="H53">
            <v>6.9</v>
          </cell>
          <cell r="I53">
            <v>7.3</v>
          </cell>
          <cell r="J53">
            <v>8.49</v>
          </cell>
          <cell r="K53">
            <v>9.6999999999999993</v>
          </cell>
          <cell r="L53">
            <v>8.5</v>
          </cell>
          <cell r="M53">
            <v>9</v>
          </cell>
          <cell r="N53">
            <v>6.7</v>
          </cell>
          <cell r="P53">
            <v>0.44055944055944063</v>
          </cell>
          <cell r="Q53">
            <v>-0.22815533980582525</v>
          </cell>
          <cell r="R53">
            <v>-0.11949685534591192</v>
          </cell>
          <cell r="S53">
            <v>5.7142857142857162E-2</v>
          </cell>
          <cell r="T53">
            <v>-0.12162162162162171</v>
          </cell>
          <cell r="U53">
            <v>6.1538461538461542E-2</v>
          </cell>
          <cell r="V53">
            <v>5.7971014492753437E-2</v>
          </cell>
          <cell r="W53">
            <v>0.16301369863013715</v>
          </cell>
          <cell r="X53">
            <v>0.1425206124852767</v>
          </cell>
          <cell r="Y53">
            <v>-0.12371134020618546</v>
          </cell>
          <cell r="Z53">
            <v>5.8823529411764719E-2</v>
          </cell>
          <cell r="AA53">
            <v>-0.25555555555555554</v>
          </cell>
        </row>
        <row r="54">
          <cell r="A54" t="str">
            <v>BOLT.BA</v>
          </cell>
          <cell r="B54">
            <v>3.1102936200000002</v>
          </cell>
          <cell r="C54">
            <v>2.6</v>
          </cell>
          <cell r="D54">
            <v>2.86</v>
          </cell>
          <cell r="E54">
            <v>4.04</v>
          </cell>
          <cell r="F54">
            <v>4.68</v>
          </cell>
          <cell r="G54">
            <v>2.4</v>
          </cell>
          <cell r="H54">
            <v>3</v>
          </cell>
          <cell r="I54">
            <v>3.21</v>
          </cell>
          <cell r="J54">
            <v>3.35</v>
          </cell>
          <cell r="K54">
            <v>3.95</v>
          </cell>
          <cell r="L54">
            <v>4.76</v>
          </cell>
          <cell r="M54">
            <v>4.2300000000000004</v>
          </cell>
          <cell r="N54">
            <v>2.3000000000000003</v>
          </cell>
          <cell r="P54">
            <v>-0.16406606010399749</v>
          </cell>
          <cell r="Q54">
            <v>9.9999999999999867E-2</v>
          </cell>
          <cell r="R54">
            <v>0.41258741258741272</v>
          </cell>
          <cell r="S54">
            <v>0.15841584158415833</v>
          </cell>
          <cell r="T54">
            <v>-0.48717948717948711</v>
          </cell>
          <cell r="U54">
            <v>0.25</v>
          </cell>
          <cell r="V54">
            <v>7.0000000000000062E-2</v>
          </cell>
          <cell r="W54">
            <v>4.3613707165109039E-2</v>
          </cell>
          <cell r="X54">
            <v>0.17910447761194037</v>
          </cell>
          <cell r="Y54">
            <v>0.20506329113924049</v>
          </cell>
          <cell r="Z54">
            <v>-0.11134453781512588</v>
          </cell>
          <cell r="AA54">
            <v>-0.45626477541371158</v>
          </cell>
        </row>
        <row r="55">
          <cell r="A55" t="str">
            <v>TXAR.BA</v>
          </cell>
          <cell r="B55">
            <v>14.8859724</v>
          </cell>
          <cell r="C55">
            <v>11.55</v>
          </cell>
          <cell r="D55">
            <v>12.35</v>
          </cell>
          <cell r="E55">
            <v>13.8</v>
          </cell>
          <cell r="F55">
            <v>13.95</v>
          </cell>
          <cell r="G55">
            <v>11</v>
          </cell>
          <cell r="H55">
            <v>15.7</v>
          </cell>
          <cell r="I55">
            <v>23.5</v>
          </cell>
          <cell r="J55">
            <v>23.8</v>
          </cell>
          <cell r="K55">
            <v>25.65</v>
          </cell>
          <cell r="L55">
            <v>23.7</v>
          </cell>
          <cell r="M55">
            <v>20.45</v>
          </cell>
          <cell r="N55">
            <v>15.5</v>
          </cell>
          <cell r="P55">
            <v>-0.2241017456138773</v>
          </cell>
          <cell r="Q55">
            <v>6.9264069264069139E-2</v>
          </cell>
          <cell r="R55">
            <v>0.1174089068825912</v>
          </cell>
          <cell r="S55">
            <v>1.0869565217391131E-2</v>
          </cell>
          <cell r="T55">
            <v>-0.21146953405017921</v>
          </cell>
          <cell r="U55">
            <v>0.42727272727272725</v>
          </cell>
          <cell r="V55">
            <v>0.49681528662420393</v>
          </cell>
          <cell r="W55">
            <v>1.276595744680864E-2</v>
          </cell>
          <cell r="X55">
            <v>7.7731092436974736E-2</v>
          </cell>
          <cell r="Y55">
            <v>-7.6023391812865437E-2</v>
          </cell>
          <cell r="Z55">
            <v>-0.1371308016877637</v>
          </cell>
          <cell r="AA55">
            <v>-0.24205378973105129</v>
          </cell>
        </row>
        <row r="56">
          <cell r="A56" t="str">
            <v>LOMA.BA</v>
          </cell>
          <cell r="B56">
            <v>97</v>
          </cell>
          <cell r="C56">
            <v>88</v>
          </cell>
          <cell r="D56">
            <v>89.45</v>
          </cell>
          <cell r="E56">
            <v>99.2</v>
          </cell>
          <cell r="F56">
            <v>109.5</v>
          </cell>
          <cell r="G56">
            <v>61.05</v>
          </cell>
          <cell r="H56">
            <v>72.45</v>
          </cell>
          <cell r="I56">
            <v>95.9</v>
          </cell>
          <cell r="J56">
            <v>98.95</v>
          </cell>
          <cell r="K56">
            <v>120.3</v>
          </cell>
          <cell r="L56">
            <v>116.85</v>
          </cell>
          <cell r="M56">
            <v>95.5</v>
          </cell>
          <cell r="N56">
            <v>60</v>
          </cell>
          <cell r="P56">
            <v>-9.2783505154639179E-2</v>
          </cell>
          <cell r="Q56">
            <v>1.647727272727284E-2</v>
          </cell>
          <cell r="R56">
            <v>0.10899944102850756</v>
          </cell>
          <cell r="S56">
            <v>0.10383064516129026</v>
          </cell>
          <cell r="T56">
            <v>-0.44246575342465755</v>
          </cell>
          <cell r="U56">
            <v>0.18673218673218694</v>
          </cell>
          <cell r="V56">
            <v>0.32367149758454117</v>
          </cell>
          <cell r="W56">
            <v>3.1803962460896784E-2</v>
          </cell>
          <cell r="X56">
            <v>0.21576553815058097</v>
          </cell>
          <cell r="Y56">
            <v>-2.8678304239401542E-2</v>
          </cell>
          <cell r="Z56">
            <v>-0.18271287976037653</v>
          </cell>
          <cell r="AA56">
            <v>-0.37172774869109948</v>
          </cell>
        </row>
        <row r="57">
          <cell r="A57" t="str">
            <v>ALUA.BA</v>
          </cell>
          <cell r="B57">
            <v>16.309151571000001</v>
          </cell>
          <cell r="C57">
            <v>14.560054156</v>
          </cell>
          <cell r="D57">
            <v>14.040052222</v>
          </cell>
          <cell r="E57">
            <v>17.018245116999999</v>
          </cell>
          <cell r="F57">
            <v>17.422464000000002</v>
          </cell>
          <cell r="G57">
            <v>20.670719999999999</v>
          </cell>
          <cell r="H57">
            <v>21.064447999999999</v>
          </cell>
          <cell r="I57">
            <v>33.270015999999998</v>
          </cell>
          <cell r="J57">
            <v>35.200000000000003</v>
          </cell>
          <cell r="K57">
            <v>32.4</v>
          </cell>
          <cell r="L57">
            <v>32.6</v>
          </cell>
          <cell r="M57">
            <v>26.4</v>
          </cell>
          <cell r="N57">
            <v>15.8</v>
          </cell>
          <cell r="P57">
            <v>-0.10724637682012506</v>
          </cell>
          <cell r="Q57">
            <v>-3.5714285704474102E-2</v>
          </cell>
          <cell r="R57">
            <v>0.21212121208020385</v>
          </cell>
          <cell r="S57">
            <v>2.3752089608594096E-2</v>
          </cell>
          <cell r="T57">
            <v>0.18644067796610164</v>
          </cell>
          <cell r="U57">
            <v>1.904761904761898E-2</v>
          </cell>
          <cell r="V57">
            <v>0.57943925233644866</v>
          </cell>
          <cell r="W57">
            <v>5.800971060548954E-2</v>
          </cell>
          <cell r="X57">
            <v>-7.9545454545454697E-2</v>
          </cell>
          <cell r="Y57">
            <v>6.1728395061728669E-3</v>
          </cell>
          <cell r="Z57">
            <v>-0.19018404907975472</v>
          </cell>
          <cell r="AA57">
            <v>-0.40151515151515149</v>
          </cell>
        </row>
        <row r="58">
          <cell r="A58" t="str">
            <v>HARG.BA</v>
          </cell>
          <cell r="B58">
            <v>72</v>
          </cell>
          <cell r="C58">
            <v>82</v>
          </cell>
          <cell r="D58">
            <v>89</v>
          </cell>
          <cell r="E58">
            <v>99</v>
          </cell>
          <cell r="F58">
            <v>93</v>
          </cell>
          <cell r="G58">
            <v>49</v>
          </cell>
          <cell r="H58">
            <v>67.8</v>
          </cell>
          <cell r="I58">
            <v>83.5</v>
          </cell>
          <cell r="J58">
            <v>89.9</v>
          </cell>
          <cell r="K58">
            <v>95.1</v>
          </cell>
          <cell r="L58">
            <v>94.5</v>
          </cell>
          <cell r="M58">
            <v>74.2</v>
          </cell>
          <cell r="N58">
            <v>48</v>
          </cell>
          <cell r="P58">
            <v>0.13888888888888884</v>
          </cell>
          <cell r="Q58">
            <v>8.5365853658536661E-2</v>
          </cell>
          <cell r="R58">
            <v>0.11235955056179781</v>
          </cell>
          <cell r="S58">
            <v>-6.0606060606060552E-2</v>
          </cell>
          <cell r="T58">
            <v>-0.4731182795698925</v>
          </cell>
          <cell r="U58">
            <v>0.38367346938775504</v>
          </cell>
          <cell r="V58">
            <v>0.23156342182890866</v>
          </cell>
          <cell r="W58">
            <v>7.6646706586826374E-2</v>
          </cell>
          <cell r="X58">
            <v>5.7842046718576068E-2</v>
          </cell>
          <cell r="Y58">
            <v>-6.3091482649841879E-3</v>
          </cell>
          <cell r="Z58">
            <v>-0.21481481481481479</v>
          </cell>
          <cell r="AA58">
            <v>-0.35309973045822107</v>
          </cell>
        </row>
        <row r="59">
          <cell r="A59" t="str">
            <v>INDU.BA</v>
          </cell>
          <cell r="B59">
            <v>18.5</v>
          </cell>
          <cell r="C59">
            <v>21.5</v>
          </cell>
          <cell r="D59">
            <v>16.899999999999999</v>
          </cell>
          <cell r="E59">
            <v>16.100000000000001</v>
          </cell>
          <cell r="F59">
            <v>15</v>
          </cell>
          <cell r="G59">
            <v>16.5</v>
          </cell>
          <cell r="H59">
            <v>19</v>
          </cell>
          <cell r="I59">
            <v>25.75</v>
          </cell>
          <cell r="J59">
            <v>22.75</v>
          </cell>
          <cell r="K59">
            <v>22.75</v>
          </cell>
          <cell r="L59">
            <v>22.75</v>
          </cell>
          <cell r="M59">
            <v>22.75</v>
          </cell>
          <cell r="N59">
            <v>22.75</v>
          </cell>
          <cell r="P59">
            <v>0.16216216216216206</v>
          </cell>
          <cell r="Q59">
            <v>-0.21395348837209305</v>
          </cell>
          <cell r="R59">
            <v>-4.7337278106508673E-2</v>
          </cell>
          <cell r="S59">
            <v>-6.8322981366459756E-2</v>
          </cell>
          <cell r="T59">
            <v>0.10000000000000009</v>
          </cell>
          <cell r="U59">
            <v>0.1515151515151516</v>
          </cell>
          <cell r="V59">
            <v>0.35526315789473695</v>
          </cell>
          <cell r="W59">
            <v>-0.11650485436893199</v>
          </cell>
          <cell r="X59">
            <v>0</v>
          </cell>
          <cell r="Y59">
            <v>0</v>
          </cell>
          <cell r="Z59">
            <v>0</v>
          </cell>
          <cell r="AA59">
            <v>0</v>
          </cell>
        </row>
        <row r="60">
          <cell r="A60" t="str">
            <v>RIGO.BA</v>
          </cell>
          <cell r="B60">
            <v>40</v>
          </cell>
          <cell r="C60">
            <v>37.25</v>
          </cell>
          <cell r="D60">
            <v>35</v>
          </cell>
          <cell r="E60">
            <v>37.5</v>
          </cell>
          <cell r="F60">
            <v>33.5</v>
          </cell>
          <cell r="G60">
            <v>25</v>
          </cell>
          <cell r="H60">
            <v>30</v>
          </cell>
          <cell r="I60">
            <v>34</v>
          </cell>
          <cell r="J60">
            <v>39.85</v>
          </cell>
          <cell r="K60">
            <v>55</v>
          </cell>
          <cell r="L60">
            <v>60</v>
          </cell>
          <cell r="M60">
            <v>50</v>
          </cell>
          <cell r="N60">
            <v>43</v>
          </cell>
          <cell r="P60">
            <v>-6.8749999999999978E-2</v>
          </cell>
          <cell r="Q60">
            <v>-6.0402684563758413E-2</v>
          </cell>
          <cell r="R60">
            <v>7.1428571428571397E-2</v>
          </cell>
          <cell r="S60">
            <v>-0.10666666666666669</v>
          </cell>
          <cell r="T60">
            <v>-0.25373134328358204</v>
          </cell>
          <cell r="U60">
            <v>0.19999999999999996</v>
          </cell>
          <cell r="V60">
            <v>0.1333333333333333</v>
          </cell>
          <cell r="W60">
            <v>0.17205882352941182</v>
          </cell>
          <cell r="X60">
            <v>0.38017565872020076</v>
          </cell>
          <cell r="Y60">
            <v>9.0909090909090828E-2</v>
          </cell>
          <cell r="Z60">
            <v>-0.16666666666666663</v>
          </cell>
          <cell r="AA60">
            <v>-0.14000000000000001</v>
          </cell>
        </row>
        <row r="61">
          <cell r="A61" t="str">
            <v>CELU.BA</v>
          </cell>
          <cell r="B61">
            <v>18.8</v>
          </cell>
          <cell r="C61">
            <v>21</v>
          </cell>
          <cell r="D61">
            <v>26</v>
          </cell>
          <cell r="E61">
            <v>28.95</v>
          </cell>
          <cell r="F61">
            <v>29.8</v>
          </cell>
          <cell r="G61">
            <v>17</v>
          </cell>
          <cell r="H61">
            <v>19.649999999999999</v>
          </cell>
          <cell r="I61">
            <v>22.9</v>
          </cell>
          <cell r="J61">
            <v>22.95</v>
          </cell>
          <cell r="K61">
            <v>24.5</v>
          </cell>
          <cell r="L61">
            <v>28</v>
          </cell>
          <cell r="M61">
            <v>23.5</v>
          </cell>
          <cell r="N61">
            <v>19</v>
          </cell>
          <cell r="P61">
            <v>0.11702127659574457</v>
          </cell>
          <cell r="Q61">
            <v>0.23809523809523814</v>
          </cell>
          <cell r="R61">
            <v>0.1134615384615385</v>
          </cell>
          <cell r="S61">
            <v>2.9360967184801412E-2</v>
          </cell>
          <cell r="T61">
            <v>-0.42953020134228193</v>
          </cell>
          <cell r="U61">
            <v>0.15588235294117636</v>
          </cell>
          <cell r="V61">
            <v>0.1653944020356235</v>
          </cell>
          <cell r="W61">
            <v>2.1834061135370675E-3</v>
          </cell>
          <cell r="X61">
            <v>6.7538126361655904E-2</v>
          </cell>
          <cell r="Y61">
            <v>0.14285714285714279</v>
          </cell>
          <cell r="Z61">
            <v>-0.1607142857142857</v>
          </cell>
          <cell r="AA61">
            <v>-0.19148936170212771</v>
          </cell>
        </row>
        <row r="62">
          <cell r="A62" t="str">
            <v>MERA.BA</v>
          </cell>
          <cell r="B62">
            <v>47</v>
          </cell>
          <cell r="C62">
            <v>47</v>
          </cell>
          <cell r="D62">
            <v>47</v>
          </cell>
          <cell r="E62">
            <v>47</v>
          </cell>
          <cell r="F62">
            <v>48</v>
          </cell>
          <cell r="G62">
            <v>48</v>
          </cell>
          <cell r="H62">
            <v>48</v>
          </cell>
          <cell r="I62">
            <v>48</v>
          </cell>
          <cell r="J62">
            <v>48</v>
          </cell>
          <cell r="K62">
            <v>48</v>
          </cell>
          <cell r="L62">
            <v>48</v>
          </cell>
          <cell r="M62">
            <v>48</v>
          </cell>
          <cell r="N62">
            <v>48</v>
          </cell>
          <cell r="P62">
            <v>0</v>
          </cell>
          <cell r="Q62">
            <v>0</v>
          </cell>
          <cell r="R62">
            <v>0</v>
          </cell>
          <cell r="S62">
            <v>2.1276595744680771E-2</v>
          </cell>
          <cell r="T62">
            <v>0</v>
          </cell>
          <cell r="U62">
            <v>0</v>
          </cell>
          <cell r="V62">
            <v>0</v>
          </cell>
          <cell r="W62">
            <v>0</v>
          </cell>
          <cell r="X62">
            <v>0</v>
          </cell>
          <cell r="Y62">
            <v>0</v>
          </cell>
          <cell r="Z62">
            <v>0</v>
          </cell>
          <cell r="AA62">
            <v>0</v>
          </cell>
        </row>
        <row r="63">
          <cell r="A63" t="str">
            <v>COLO.BA</v>
          </cell>
          <cell r="B63">
            <v>10.1</v>
          </cell>
          <cell r="C63">
            <v>10</v>
          </cell>
          <cell r="D63">
            <v>12.6</v>
          </cell>
          <cell r="E63">
            <v>12.65</v>
          </cell>
          <cell r="F63">
            <v>12.55</v>
          </cell>
          <cell r="G63">
            <v>12.55</v>
          </cell>
          <cell r="H63">
            <v>12.55</v>
          </cell>
          <cell r="I63">
            <v>12.55</v>
          </cell>
          <cell r="J63">
            <v>12.55</v>
          </cell>
          <cell r="K63">
            <v>12.55</v>
          </cell>
          <cell r="L63">
            <v>12.55</v>
          </cell>
          <cell r="M63">
            <v>12.55</v>
          </cell>
          <cell r="N63">
            <v>12.55</v>
          </cell>
          <cell r="P63">
            <v>-9.9009900990099098E-3</v>
          </cell>
          <cell r="Q63">
            <v>0.26</v>
          </cell>
          <cell r="R63">
            <v>3.9682539682539542E-3</v>
          </cell>
          <cell r="S63">
            <v>-7.905138339920903E-3</v>
          </cell>
          <cell r="T63">
            <v>0</v>
          </cell>
          <cell r="U63">
            <v>0</v>
          </cell>
          <cell r="V63">
            <v>0</v>
          </cell>
          <cell r="W63">
            <v>0</v>
          </cell>
          <cell r="X63">
            <v>0</v>
          </cell>
          <cell r="Y63">
            <v>0</v>
          </cell>
          <cell r="Z63">
            <v>0</v>
          </cell>
          <cell r="AA63">
            <v>0</v>
          </cell>
        </row>
        <row r="64">
          <cell r="A64" t="str">
            <v>FIPL.BA</v>
          </cell>
          <cell r="B64">
            <v>3.4</v>
          </cell>
          <cell r="C64">
            <v>3.4</v>
          </cell>
          <cell r="D64">
            <v>3.4</v>
          </cell>
          <cell r="E64">
            <v>3.55</v>
          </cell>
          <cell r="F64">
            <v>3.3</v>
          </cell>
          <cell r="G64">
            <v>3.5</v>
          </cell>
          <cell r="H64">
            <v>3.4</v>
          </cell>
          <cell r="I64">
            <v>3.9</v>
          </cell>
          <cell r="J64">
            <v>4.22</v>
          </cell>
          <cell r="K64">
            <v>5.0999999999999996</v>
          </cell>
          <cell r="L64">
            <v>4.8</v>
          </cell>
          <cell r="M64">
            <v>4</v>
          </cell>
          <cell r="N64">
            <v>3.7</v>
          </cell>
          <cell r="P64">
            <v>0</v>
          </cell>
          <cell r="Q64">
            <v>0</v>
          </cell>
          <cell r="R64">
            <v>4.4117647058823595E-2</v>
          </cell>
          <cell r="S64">
            <v>-7.0422535211267623E-2</v>
          </cell>
          <cell r="T64">
            <v>6.0606060606060552E-2</v>
          </cell>
          <cell r="U64">
            <v>-2.8571428571428581E-2</v>
          </cell>
          <cell r="V64">
            <v>0.14705882352941169</v>
          </cell>
          <cell r="W64">
            <v>8.2051282051281982E-2</v>
          </cell>
          <cell r="X64">
            <v>0.20853080568720372</v>
          </cell>
          <cell r="Y64">
            <v>-5.8823529411764719E-2</v>
          </cell>
          <cell r="Z64">
            <v>-0.16666666666666663</v>
          </cell>
          <cell r="AA64">
            <v>-7.4999999999999956E-2</v>
          </cell>
        </row>
        <row r="65">
          <cell r="A65" t="str">
            <v>IRSA.BA</v>
          </cell>
          <cell r="B65">
            <v>47.941305999999997</v>
          </cell>
          <cell r="C65">
            <v>40.505511599999998</v>
          </cell>
          <cell r="D65">
            <v>41.190387399999999</v>
          </cell>
          <cell r="E65">
            <v>40.554431299999997</v>
          </cell>
          <cell r="F65">
            <v>44.468007299999996</v>
          </cell>
          <cell r="G65">
            <v>30.623732199999999</v>
          </cell>
          <cell r="H65">
            <v>33.265396000000003</v>
          </cell>
          <cell r="I65">
            <v>40.652270700000003</v>
          </cell>
          <cell r="J65">
            <v>42</v>
          </cell>
          <cell r="K65">
            <v>50.8</v>
          </cell>
          <cell r="L65">
            <v>45.95</v>
          </cell>
          <cell r="M65">
            <v>43.9</v>
          </cell>
          <cell r="N65">
            <v>32</v>
          </cell>
          <cell r="P65">
            <v>-0.1551020408163265</v>
          </cell>
          <cell r="Q65">
            <v>1.6908212560386549E-2</v>
          </cell>
          <cell r="R65">
            <v>-1.5439429928741144E-2</v>
          </cell>
          <cell r="S65">
            <v>9.6501809408926498E-2</v>
          </cell>
          <cell r="T65">
            <v>-0.31133113311331129</v>
          </cell>
          <cell r="U65">
            <v>8.6261980830671048E-2</v>
          </cell>
          <cell r="V65">
            <v>0.22205882352941164</v>
          </cell>
          <cell r="W65">
            <v>3.3152620426686319E-2</v>
          </cell>
          <cell r="X65">
            <v>0.20952380952380945</v>
          </cell>
          <cell r="Y65">
            <v>-9.5472440944881831E-2</v>
          </cell>
          <cell r="Z65">
            <v>-4.4613710554951114E-2</v>
          </cell>
          <cell r="AA65">
            <v>-0.27107061503416852</v>
          </cell>
        </row>
        <row r="66">
          <cell r="A66" t="str">
            <v>IRCP.BA</v>
          </cell>
          <cell r="B66">
            <v>205.62234000000001</v>
          </cell>
          <cell r="C66">
            <v>194.36206899999999</v>
          </cell>
          <cell r="D66">
            <v>186.03926000000001</v>
          </cell>
          <cell r="E66">
            <v>191.91418400000001</v>
          </cell>
          <cell r="F66">
            <v>195.83080000000001</v>
          </cell>
          <cell r="G66">
            <v>146.82414230000001</v>
          </cell>
          <cell r="H66">
            <v>186.03926000000001</v>
          </cell>
          <cell r="I66">
            <v>215.41388000000001</v>
          </cell>
          <cell r="J66">
            <v>245</v>
          </cell>
          <cell r="K66">
            <v>287.5</v>
          </cell>
          <cell r="L66">
            <v>255</v>
          </cell>
          <cell r="M66">
            <v>267</v>
          </cell>
          <cell r="N66">
            <v>230</v>
          </cell>
          <cell r="P66">
            <v>-5.4761904761904789E-2</v>
          </cell>
          <cell r="Q66">
            <v>-4.282115869017622E-2</v>
          </cell>
          <cell r="R66">
            <v>3.1578947368420929E-2</v>
          </cell>
          <cell r="S66">
            <v>2.0408163265306145E-2</v>
          </cell>
          <cell r="T66">
            <v>-0.25024999999999997</v>
          </cell>
          <cell r="U66">
            <v>0.2670890296765589</v>
          </cell>
          <cell r="V66">
            <v>0.15789473684210531</v>
          </cell>
          <cell r="W66">
            <v>0.13734546724658592</v>
          </cell>
          <cell r="X66">
            <v>0.17346938775510212</v>
          </cell>
          <cell r="Y66">
            <v>-0.11304347826086958</v>
          </cell>
          <cell r="Z66">
            <v>4.705882352941182E-2</v>
          </cell>
          <cell r="AA66">
            <v>-0.13857677902621723</v>
          </cell>
        </row>
        <row r="67">
          <cell r="A67" t="str">
            <v>CRES.BA</v>
          </cell>
          <cell r="B67">
            <v>49.629376000000001</v>
          </cell>
          <cell r="C67">
            <v>43.346559999999997</v>
          </cell>
          <cell r="D67">
            <v>43.541376</v>
          </cell>
          <cell r="E67">
            <v>43.687488000000002</v>
          </cell>
          <cell r="F67">
            <v>43.931007999999999</v>
          </cell>
          <cell r="G67">
            <v>34.823360000000001</v>
          </cell>
          <cell r="H67">
            <v>36.138368</v>
          </cell>
          <cell r="I67">
            <v>39.839872</v>
          </cell>
          <cell r="J67">
            <v>42.25</v>
          </cell>
          <cell r="K67">
            <v>52.45</v>
          </cell>
          <cell r="L67">
            <v>48.35</v>
          </cell>
          <cell r="M67">
            <v>39.950000000000003</v>
          </cell>
          <cell r="N67">
            <v>25.75</v>
          </cell>
          <cell r="P67">
            <v>-0.12659470068694811</v>
          </cell>
          <cell r="Q67">
            <v>4.4943820224718767E-3</v>
          </cell>
          <cell r="R67">
            <v>3.3557046979866278E-3</v>
          </cell>
          <cell r="S67">
            <v>5.5741360089185399E-3</v>
          </cell>
          <cell r="T67">
            <v>-0.20731707317073167</v>
          </cell>
          <cell r="U67">
            <v>3.7762237762237749E-2</v>
          </cell>
          <cell r="V67">
            <v>0.10242587601078168</v>
          </cell>
          <cell r="W67">
            <v>6.0495375085542369E-2</v>
          </cell>
          <cell r="X67">
            <v>0.24142011834319543</v>
          </cell>
          <cell r="Y67">
            <v>-7.8169685414680723E-2</v>
          </cell>
          <cell r="Z67">
            <v>-0.17373319544984489</v>
          </cell>
          <cell r="AA67">
            <v>-0.35544430538172722</v>
          </cell>
        </row>
        <row r="68">
          <cell r="A68" t="str">
            <v>CTIO.BA</v>
          </cell>
          <cell r="B68">
            <v>43.404359083000003</v>
          </cell>
          <cell r="C68">
            <v>39.063923174000003</v>
          </cell>
          <cell r="D68">
            <v>44.658366000000001</v>
          </cell>
          <cell r="E68">
            <v>52.354807800000003</v>
          </cell>
          <cell r="F68">
            <v>48.6491136</v>
          </cell>
          <cell r="G68">
            <v>38.102137800000001</v>
          </cell>
          <cell r="H68">
            <v>40.572600600000001</v>
          </cell>
          <cell r="I68">
            <v>52.734878999999999</v>
          </cell>
          <cell r="J68">
            <v>57.960858000000002</v>
          </cell>
          <cell r="K68">
            <v>70</v>
          </cell>
          <cell r="L68">
            <v>71.099999999999994</v>
          </cell>
          <cell r="M68">
            <v>71.5</v>
          </cell>
          <cell r="N68">
            <v>47</v>
          </cell>
          <cell r="P68">
            <v>-0.10000000001612741</v>
          </cell>
          <cell r="Q68">
            <v>0.14321251864747486</v>
          </cell>
          <cell r="R68">
            <v>0.17234042553191498</v>
          </cell>
          <cell r="S68">
            <v>-7.0780399274047223E-2</v>
          </cell>
          <cell r="T68">
            <v>-0.216796875</v>
          </cell>
          <cell r="U68">
            <v>6.4837905236907689E-2</v>
          </cell>
          <cell r="V68">
            <v>0.29976580796252916</v>
          </cell>
          <cell r="W68">
            <v>9.9099099099099197E-2</v>
          </cell>
          <cell r="X68">
            <v>0.20771159046679388</v>
          </cell>
          <cell r="Y68">
            <v>1.571428571428557E-2</v>
          </cell>
          <cell r="Z68">
            <v>5.6258790436005679E-3</v>
          </cell>
          <cell r="AA68">
            <v>-0.34265734265734271</v>
          </cell>
        </row>
        <row r="69">
          <cell r="A69" t="str">
            <v>PAMP.BA</v>
          </cell>
          <cell r="B69">
            <v>48.1</v>
          </cell>
          <cell r="C69">
            <v>37.450000000000003</v>
          </cell>
          <cell r="D69">
            <v>45.45</v>
          </cell>
          <cell r="E69">
            <v>59.45</v>
          </cell>
          <cell r="F69">
            <v>57.95</v>
          </cell>
          <cell r="G69">
            <v>32.6</v>
          </cell>
          <cell r="H69">
            <v>44.05</v>
          </cell>
          <cell r="I69">
            <v>50</v>
          </cell>
          <cell r="J69">
            <v>41.25</v>
          </cell>
          <cell r="K69">
            <v>49.8</v>
          </cell>
          <cell r="L69">
            <v>45</v>
          </cell>
          <cell r="M69">
            <v>39.049999999999997</v>
          </cell>
          <cell r="N69">
            <v>33</v>
          </cell>
          <cell r="P69">
            <v>-0.2214137214137214</v>
          </cell>
          <cell r="Q69">
            <v>0.21361815754339109</v>
          </cell>
          <cell r="R69">
            <v>0.30803080308030806</v>
          </cell>
          <cell r="S69">
            <v>-2.5231286795626584E-2</v>
          </cell>
          <cell r="T69">
            <v>-0.43744607420189818</v>
          </cell>
          <cell r="U69">
            <v>0.35122699386503053</v>
          </cell>
          <cell r="V69">
            <v>0.13507377979568669</v>
          </cell>
          <cell r="W69">
            <v>-0.17500000000000004</v>
          </cell>
          <cell r="X69">
            <v>0.20727272727272728</v>
          </cell>
          <cell r="Y69">
            <v>-9.6385542168674676E-2</v>
          </cell>
          <cell r="Z69">
            <v>-0.13222222222222224</v>
          </cell>
          <cell r="AA69">
            <v>-0.15492957746478864</v>
          </cell>
        </row>
        <row r="70">
          <cell r="A70" t="str">
            <v>EDN.BA</v>
          </cell>
          <cell r="B70">
            <v>43.1</v>
          </cell>
          <cell r="C70">
            <v>38.799999999999997</v>
          </cell>
          <cell r="D70">
            <v>38.85</v>
          </cell>
          <cell r="E70">
            <v>39.1</v>
          </cell>
          <cell r="F70">
            <v>41.5</v>
          </cell>
          <cell r="G70">
            <v>17</v>
          </cell>
          <cell r="H70">
            <v>22.6</v>
          </cell>
          <cell r="I70">
            <v>22.2</v>
          </cell>
          <cell r="J70">
            <v>19.649999999999999</v>
          </cell>
          <cell r="K70">
            <v>24.05</v>
          </cell>
          <cell r="L70">
            <v>22</v>
          </cell>
          <cell r="M70">
            <v>18.899999999999999</v>
          </cell>
          <cell r="N70">
            <v>13.3</v>
          </cell>
          <cell r="P70">
            <v>-9.9767981438515174E-2</v>
          </cell>
          <cell r="Q70">
            <v>1.2886597938146505E-3</v>
          </cell>
          <cell r="R70">
            <v>6.4350064350064962E-3</v>
          </cell>
          <cell r="S70">
            <v>6.13810741687979E-2</v>
          </cell>
          <cell r="T70">
            <v>-0.59036144578313254</v>
          </cell>
          <cell r="U70">
            <v>0.32941176470588251</v>
          </cell>
          <cell r="V70">
            <v>-1.7699115044247926E-2</v>
          </cell>
          <cell r="W70">
            <v>-0.11486486486486491</v>
          </cell>
          <cell r="X70">
            <v>0.22391857506361346</v>
          </cell>
          <cell r="Y70">
            <v>-8.5239085239085299E-2</v>
          </cell>
          <cell r="Z70">
            <v>-0.14090909090909098</v>
          </cell>
          <cell r="AA70">
            <v>-0.29629629629629617</v>
          </cell>
        </row>
        <row r="71">
          <cell r="A71" t="str">
            <v>TRAN.BA</v>
          </cell>
          <cell r="B71">
            <v>38.792582400000001</v>
          </cell>
          <cell r="C71">
            <v>32.992607999999997</v>
          </cell>
          <cell r="D71">
            <v>38.65</v>
          </cell>
          <cell r="E71">
            <v>43.4</v>
          </cell>
          <cell r="F71">
            <v>46.55</v>
          </cell>
          <cell r="G71">
            <v>17.149999999999999</v>
          </cell>
          <cell r="H71">
            <v>20.95</v>
          </cell>
          <cell r="I71">
            <v>21.9</v>
          </cell>
          <cell r="J71">
            <v>23.05</v>
          </cell>
          <cell r="K71">
            <v>26</v>
          </cell>
          <cell r="L71">
            <v>29.3</v>
          </cell>
          <cell r="M71">
            <v>22.75</v>
          </cell>
          <cell r="N71">
            <v>15.8</v>
          </cell>
          <cell r="P71">
            <v>-0.14951245937161439</v>
          </cell>
          <cell r="Q71">
            <v>0.17147453150717884</v>
          </cell>
          <cell r="R71">
            <v>0.12289780077619672</v>
          </cell>
          <cell r="S71">
            <v>7.2580645161290258E-2</v>
          </cell>
          <cell r="T71">
            <v>-0.63157894736842102</v>
          </cell>
          <cell r="U71">
            <v>0.22157434402332377</v>
          </cell>
          <cell r="V71">
            <v>4.5346062052505909E-2</v>
          </cell>
          <cell r="W71">
            <v>5.2511415525114291E-2</v>
          </cell>
          <cell r="X71">
            <v>0.12798264642082424</v>
          </cell>
          <cell r="Y71">
            <v>0.12692307692307692</v>
          </cell>
          <cell r="Z71">
            <v>-0.2235494880546075</v>
          </cell>
          <cell r="AA71">
            <v>-0.30549450549450541</v>
          </cell>
        </row>
        <row r="72">
          <cell r="A72" t="str">
            <v>METR.BA</v>
          </cell>
          <cell r="B72">
            <v>22.8</v>
          </cell>
          <cell r="C72">
            <v>16.399999999999999</v>
          </cell>
          <cell r="D72">
            <v>17.75</v>
          </cell>
          <cell r="E72">
            <v>20.7</v>
          </cell>
          <cell r="F72">
            <v>21.35</v>
          </cell>
          <cell r="G72">
            <v>11.4</v>
          </cell>
          <cell r="H72">
            <v>15.15</v>
          </cell>
          <cell r="I72">
            <v>14.05</v>
          </cell>
          <cell r="J72">
            <v>14</v>
          </cell>
          <cell r="K72">
            <v>16.2</v>
          </cell>
          <cell r="L72">
            <v>18.05</v>
          </cell>
          <cell r="M72">
            <v>15.4</v>
          </cell>
          <cell r="N72">
            <v>11.8</v>
          </cell>
          <cell r="P72">
            <v>-0.28070175438596501</v>
          </cell>
          <cell r="Q72">
            <v>8.2317073170731891E-2</v>
          </cell>
          <cell r="R72">
            <v>0.16619718309859155</v>
          </cell>
          <cell r="S72">
            <v>3.1400966183575019E-2</v>
          </cell>
          <cell r="T72">
            <v>-0.4660421545667448</v>
          </cell>
          <cell r="U72">
            <v>0.32894736842105265</v>
          </cell>
          <cell r="V72">
            <v>-7.2607260726072598E-2</v>
          </cell>
          <cell r="W72">
            <v>-3.558718861210064E-3</v>
          </cell>
          <cell r="X72">
            <v>0.15714285714285703</v>
          </cell>
          <cell r="Y72">
            <v>0.11419753086419759</v>
          </cell>
          <cell r="Z72">
            <v>-0.14681440443213301</v>
          </cell>
          <cell r="AA72">
            <v>-0.23376623376623373</v>
          </cell>
        </row>
        <row r="73">
          <cell r="A73" t="str">
            <v>GBAN.BA</v>
          </cell>
          <cell r="B73">
            <v>38</v>
          </cell>
          <cell r="C73">
            <v>33.799999999999997</v>
          </cell>
          <cell r="D73">
            <v>35</v>
          </cell>
          <cell r="E73">
            <v>37.9</v>
          </cell>
          <cell r="F73">
            <v>33.5</v>
          </cell>
          <cell r="G73">
            <v>31</v>
          </cell>
          <cell r="H73">
            <v>27.5</v>
          </cell>
          <cell r="I73">
            <v>25.55</v>
          </cell>
          <cell r="J73">
            <v>29.5</v>
          </cell>
          <cell r="K73">
            <v>32</v>
          </cell>
          <cell r="L73">
            <v>30</v>
          </cell>
          <cell r="M73">
            <v>30.6</v>
          </cell>
          <cell r="N73">
            <v>20</v>
          </cell>
          <cell r="P73">
            <v>-0.11052631578947381</v>
          </cell>
          <cell r="Q73">
            <v>3.5502958579881838E-2</v>
          </cell>
          <cell r="R73">
            <v>8.285714285714274E-2</v>
          </cell>
          <cell r="S73">
            <v>-0.11609498680738783</v>
          </cell>
          <cell r="T73">
            <v>-7.4626865671641784E-2</v>
          </cell>
          <cell r="U73">
            <v>-0.11290322580645162</v>
          </cell>
          <cell r="V73">
            <v>-7.0909090909090922E-2</v>
          </cell>
          <cell r="W73">
            <v>0.15459882583170259</v>
          </cell>
          <cell r="X73">
            <v>8.4745762711864403E-2</v>
          </cell>
          <cell r="Y73">
            <v>-6.25E-2</v>
          </cell>
          <cell r="Z73">
            <v>2.0000000000000018E-2</v>
          </cell>
          <cell r="AA73">
            <v>-0.34640522875816993</v>
          </cell>
        </row>
        <row r="74">
          <cell r="A74" t="str">
            <v>CAPX.BA</v>
          </cell>
          <cell r="B74">
            <v>53.6</v>
          </cell>
          <cell r="C74">
            <v>43</v>
          </cell>
          <cell r="D74">
            <v>52</v>
          </cell>
          <cell r="E74">
            <v>59.6</v>
          </cell>
          <cell r="F74">
            <v>67.3</v>
          </cell>
          <cell r="G74">
            <v>43</v>
          </cell>
          <cell r="H74">
            <v>51.5</v>
          </cell>
          <cell r="I74">
            <v>65</v>
          </cell>
          <cell r="J74">
            <v>60</v>
          </cell>
          <cell r="K74">
            <v>73.5</v>
          </cell>
          <cell r="L74">
            <v>70</v>
          </cell>
          <cell r="M74">
            <v>60</v>
          </cell>
          <cell r="N74">
            <v>45</v>
          </cell>
          <cell r="P74">
            <v>-0.19776119402985082</v>
          </cell>
          <cell r="Q74">
            <v>0.20930232558139528</v>
          </cell>
          <cell r="R74">
            <v>0.14615384615384608</v>
          </cell>
          <cell r="S74">
            <v>0.12919463087248317</v>
          </cell>
          <cell r="T74">
            <v>-0.36106983655274882</v>
          </cell>
          <cell r="U74">
            <v>0.19767441860465107</v>
          </cell>
          <cell r="V74">
            <v>0.26213592233009719</v>
          </cell>
          <cell r="W74">
            <v>-7.6923076923076872E-2</v>
          </cell>
          <cell r="X74">
            <v>0.22500000000000009</v>
          </cell>
          <cell r="Y74">
            <v>-4.7619047619047672E-2</v>
          </cell>
          <cell r="Z74">
            <v>-0.1428571428571429</v>
          </cell>
          <cell r="AA74">
            <v>-0.25</v>
          </cell>
        </row>
        <row r="75">
          <cell r="A75" t="str">
            <v>CGPA2.BA</v>
          </cell>
          <cell r="B75">
            <v>26.8</v>
          </cell>
          <cell r="C75">
            <v>20</v>
          </cell>
          <cell r="D75">
            <v>22.4</v>
          </cell>
          <cell r="E75">
            <v>29.1</v>
          </cell>
          <cell r="F75">
            <v>30.6</v>
          </cell>
          <cell r="G75">
            <v>15</v>
          </cell>
          <cell r="H75">
            <v>20</v>
          </cell>
          <cell r="I75">
            <v>18.600000000000001</v>
          </cell>
          <cell r="J75">
            <v>20</v>
          </cell>
          <cell r="K75">
            <v>23.9</v>
          </cell>
          <cell r="L75">
            <v>22</v>
          </cell>
          <cell r="M75">
            <v>20.25</v>
          </cell>
          <cell r="N75">
            <v>12.5</v>
          </cell>
          <cell r="P75">
            <v>-0.25373134328358216</v>
          </cell>
          <cell r="Q75">
            <v>0.11999999999999988</v>
          </cell>
          <cell r="R75">
            <v>0.29910714285714302</v>
          </cell>
          <cell r="S75">
            <v>5.1546391752577359E-2</v>
          </cell>
          <cell r="T75">
            <v>-0.50980392156862742</v>
          </cell>
          <cell r="U75">
            <v>0.33333333333333326</v>
          </cell>
          <cell r="V75">
            <v>-6.9999999999999951E-2</v>
          </cell>
          <cell r="W75">
            <v>7.5268817204301008E-2</v>
          </cell>
          <cell r="X75">
            <v>0.19499999999999984</v>
          </cell>
          <cell r="Y75">
            <v>-7.9497907949790725E-2</v>
          </cell>
          <cell r="Z75">
            <v>-7.9545454545454586E-2</v>
          </cell>
          <cell r="AA75">
            <v>-0.38271604938271608</v>
          </cell>
        </row>
        <row r="76">
          <cell r="A76" t="str">
            <v>DGCU2.BA</v>
          </cell>
          <cell r="B76">
            <v>34.4</v>
          </cell>
          <cell r="C76">
            <v>22.95</v>
          </cell>
          <cell r="D76">
            <v>25.6</v>
          </cell>
          <cell r="E76">
            <v>30.3</v>
          </cell>
          <cell r="F76">
            <v>29.3</v>
          </cell>
          <cell r="G76">
            <v>11.7</v>
          </cell>
          <cell r="H76">
            <v>16.649999999999999</v>
          </cell>
          <cell r="I76">
            <v>18.100000000000001</v>
          </cell>
          <cell r="J76">
            <v>20.85</v>
          </cell>
          <cell r="K76">
            <v>24.5</v>
          </cell>
          <cell r="L76">
            <v>22.1</v>
          </cell>
          <cell r="M76">
            <v>18.7</v>
          </cell>
          <cell r="N76">
            <v>12.8</v>
          </cell>
          <cell r="P76">
            <v>-0.33284883720930236</v>
          </cell>
          <cell r="Q76">
            <v>0.11546840958605675</v>
          </cell>
          <cell r="R76">
            <v>0.18359375</v>
          </cell>
          <cell r="S76">
            <v>-3.3003300330032959E-2</v>
          </cell>
          <cell r="T76">
            <v>-0.60068259385665534</v>
          </cell>
          <cell r="U76">
            <v>0.42307692307692313</v>
          </cell>
          <cell r="V76">
            <v>8.7087087087087234E-2</v>
          </cell>
          <cell r="W76">
            <v>0.15193370165745845</v>
          </cell>
          <cell r="X76">
            <v>0.17505995203836933</v>
          </cell>
          <cell r="Y76">
            <v>-9.7959183673469341E-2</v>
          </cell>
          <cell r="Z76">
            <v>-0.15384615384615397</v>
          </cell>
          <cell r="AA76">
            <v>-0.31550802139037426</v>
          </cell>
        </row>
        <row r="77">
          <cell r="A77" t="str">
            <v>CEPU.BA</v>
          </cell>
          <cell r="B77">
            <v>38.879373549999997</v>
          </cell>
          <cell r="C77">
            <v>34.537762200000003</v>
          </cell>
          <cell r="D77">
            <v>35.025583699999999</v>
          </cell>
          <cell r="E77">
            <v>38.245205599999998</v>
          </cell>
          <cell r="F77">
            <v>39.464759350000001</v>
          </cell>
          <cell r="G77">
            <v>16.585930999999999</v>
          </cell>
          <cell r="H77">
            <v>18.4396527</v>
          </cell>
          <cell r="I77">
            <v>24.73255005</v>
          </cell>
          <cell r="J77">
            <v>29.25</v>
          </cell>
          <cell r="K77">
            <v>35.700000000000003</v>
          </cell>
          <cell r="L77">
            <v>31.45</v>
          </cell>
          <cell r="M77">
            <v>26.2</v>
          </cell>
          <cell r="N77">
            <v>18.45</v>
          </cell>
          <cell r="P77">
            <v>-0.111668757841907</v>
          </cell>
          <cell r="Q77">
            <v>1.4124293785310549E-2</v>
          </cell>
          <cell r="R77">
            <v>9.1922005571030585E-2</v>
          </cell>
          <cell r="S77">
            <v>3.1887755102040893E-2</v>
          </cell>
          <cell r="T77">
            <v>-0.57972805933250937</v>
          </cell>
          <cell r="U77">
            <v>0.11176470588235299</v>
          </cell>
          <cell r="V77">
            <v>0.34126984126984139</v>
          </cell>
          <cell r="W77">
            <v>0.1826520088251069</v>
          </cell>
          <cell r="X77">
            <v>0.22051282051282062</v>
          </cell>
          <cell r="Y77">
            <v>-0.11904761904761918</v>
          </cell>
          <cell r="Z77">
            <v>-0.16693163751987283</v>
          </cell>
          <cell r="AA77">
            <v>-0.29580152671755722</v>
          </cell>
        </row>
        <row r="78">
          <cell r="A78" t="str">
            <v>CECO2.BA</v>
          </cell>
          <cell r="B78">
            <v>5.82323317</v>
          </cell>
          <cell r="C78">
            <v>7.3976907799999996</v>
          </cell>
          <cell r="D78">
            <v>8.92</v>
          </cell>
          <cell r="E78">
            <v>9.2799999999999994</v>
          </cell>
          <cell r="F78">
            <v>10.55</v>
          </cell>
          <cell r="G78">
            <v>7.49</v>
          </cell>
          <cell r="H78">
            <v>8.15</v>
          </cell>
          <cell r="I78">
            <v>13.3</v>
          </cell>
          <cell r="J78">
            <v>12.3</v>
          </cell>
          <cell r="K78">
            <v>13.9</v>
          </cell>
          <cell r="L78">
            <v>11.9</v>
          </cell>
          <cell r="M78">
            <v>9.58</v>
          </cell>
          <cell r="N78">
            <v>7.45</v>
          </cell>
          <cell r="P78">
            <v>0.27037516170763243</v>
          </cell>
          <cell r="Q78">
            <v>0.20578167772511313</v>
          </cell>
          <cell r="R78">
            <v>4.0358744394618729E-2</v>
          </cell>
          <cell r="S78">
            <v>0.13685344827586232</v>
          </cell>
          <cell r="T78">
            <v>-0.29004739336492891</v>
          </cell>
          <cell r="U78">
            <v>8.8117489986648811E-2</v>
          </cell>
          <cell r="V78">
            <v>0.63190184049079767</v>
          </cell>
          <cell r="W78">
            <v>-7.5187969924812026E-2</v>
          </cell>
          <cell r="X78">
            <v>0.13008130081300817</v>
          </cell>
          <cell r="Y78">
            <v>-0.14388489208633093</v>
          </cell>
          <cell r="Z78">
            <v>-0.19495798319327728</v>
          </cell>
          <cell r="AA78">
            <v>-0.22233820459290188</v>
          </cell>
        </row>
      </sheetData>
      <sheetData sheetId="7"/>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isolari@invertironline.com" TargetMode="External"/><Relationship Id="rId1" Type="http://schemas.openxmlformats.org/officeDocument/2006/relationships/hyperlink" Target="mailto:jbano@invertironline.com"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7" tint="-0.249977111117893"/>
    <pageSetUpPr fitToPage="1"/>
  </sheetPr>
  <dimension ref="B1:AK105"/>
  <sheetViews>
    <sheetView tabSelected="1" zoomScale="80" zoomScaleNormal="80" zoomScaleSheetLayoutView="80" workbookViewId="0">
      <selection activeCell="S1" sqref="S1"/>
    </sheetView>
  </sheetViews>
  <sheetFormatPr baseColWidth="10" defaultRowHeight="15" x14ac:dyDescent="0.25"/>
  <cols>
    <col min="2" max="2" width="7.7109375" customWidth="1"/>
    <col min="3" max="3" width="10.28515625" bestFit="1" customWidth="1"/>
    <col min="4" max="4" width="10.7109375" bestFit="1" customWidth="1"/>
    <col min="5" max="5" width="10.28515625" bestFit="1" customWidth="1"/>
    <col min="6" max="6" width="10.7109375" bestFit="1" customWidth="1"/>
    <col min="7" max="8" width="10.28515625" bestFit="1" customWidth="1"/>
    <col min="9" max="9" width="10.7109375" bestFit="1" customWidth="1"/>
    <col min="10" max="12" width="11.140625" bestFit="1" customWidth="1"/>
    <col min="13" max="13" width="10.140625" customWidth="1"/>
    <col min="14" max="14" width="2.85546875" customWidth="1"/>
    <col min="15" max="15" width="12.85546875" customWidth="1"/>
    <col min="16" max="16" width="9.42578125" bestFit="1" customWidth="1"/>
    <col min="17" max="17" width="24.140625" customWidth="1"/>
    <col min="18" max="18" width="13" customWidth="1"/>
    <col min="20" max="20" width="12.7109375" bestFit="1" customWidth="1"/>
  </cols>
  <sheetData>
    <row r="1" spans="2:31" x14ac:dyDescent="0.25">
      <c r="C1" s="337"/>
      <c r="D1" s="337"/>
      <c r="E1" s="337"/>
      <c r="F1" s="337"/>
      <c r="G1" s="337"/>
      <c r="H1" s="337"/>
      <c r="I1" s="337"/>
      <c r="J1" s="337"/>
      <c r="K1" s="337"/>
      <c r="L1" s="337"/>
      <c r="M1" s="1"/>
      <c r="N1" s="1"/>
      <c r="O1" s="1"/>
      <c r="T1" s="1">
        <v>43585</v>
      </c>
      <c r="U1" s="1">
        <v>43616</v>
      </c>
      <c r="V1" s="1">
        <v>43646</v>
      </c>
      <c r="W1" s="1">
        <v>43677</v>
      </c>
      <c r="X1" s="1">
        <v>43708</v>
      </c>
      <c r="Y1" s="1">
        <v>43738</v>
      </c>
      <c r="Z1" s="1">
        <v>43769</v>
      </c>
      <c r="AA1" s="1">
        <v>43799</v>
      </c>
      <c r="AB1" s="1">
        <v>43830</v>
      </c>
      <c r="AC1" s="1">
        <v>43861</v>
      </c>
      <c r="AD1" s="1">
        <v>43890</v>
      </c>
      <c r="AE1" s="1">
        <v>43910</v>
      </c>
    </row>
    <row r="3" spans="2:31" ht="35.25" customHeight="1" x14ac:dyDescent="0.6">
      <c r="B3" s="2" t="s">
        <v>0</v>
      </c>
    </row>
    <row r="4" spans="2:31" x14ac:dyDescent="0.25">
      <c r="B4" t="s">
        <v>405</v>
      </c>
    </row>
    <row r="6" spans="2:31" ht="28.5" x14ac:dyDescent="0.45">
      <c r="B6" s="3" t="s">
        <v>1</v>
      </c>
    </row>
    <row r="7" spans="2:31" ht="18.75" x14ac:dyDescent="0.25">
      <c r="B7" s="4" t="s">
        <v>2</v>
      </c>
    </row>
    <row r="8" spans="2:31" ht="15.75" thickBot="1" x14ac:dyDescent="0.3">
      <c r="B8" s="5"/>
    </row>
    <row r="9" spans="2:31" ht="27" thickBot="1" x14ac:dyDescent="0.45">
      <c r="B9" s="6"/>
      <c r="C9" s="7">
        <v>-0.2</v>
      </c>
      <c r="D9" s="8">
        <v>-0.15000000000000002</v>
      </c>
      <c r="E9" s="8">
        <v>-0.1</v>
      </c>
      <c r="F9" s="8">
        <v>-0.05</v>
      </c>
      <c r="G9" s="8">
        <v>0</v>
      </c>
      <c r="H9" s="8">
        <v>5.0000000000000017E-2</v>
      </c>
      <c r="I9" s="8">
        <v>0.10000000000000002</v>
      </c>
      <c r="J9" s="8">
        <v>0.15000000000000002</v>
      </c>
      <c r="K9" s="9">
        <v>0.2</v>
      </c>
    </row>
    <row r="10" spans="2:31" ht="11.25" customHeight="1" x14ac:dyDescent="0.25"/>
    <row r="11" spans="2:31" ht="12" customHeight="1" x14ac:dyDescent="0.25">
      <c r="B11" s="10" t="s">
        <v>3</v>
      </c>
      <c r="C11" s="11" t="s">
        <v>4</v>
      </c>
      <c r="D11" s="11"/>
      <c r="E11" s="11"/>
      <c r="F11" s="11"/>
      <c r="G11" s="11"/>
      <c r="H11" s="11"/>
      <c r="I11" s="11"/>
      <c r="J11" s="11"/>
      <c r="K11" s="11"/>
      <c r="L11" s="11"/>
      <c r="M11" s="11"/>
    </row>
    <row r="12" spans="2:31" x14ac:dyDescent="0.25">
      <c r="B12" s="10"/>
      <c r="C12" s="339">
        <v>43556</v>
      </c>
      <c r="D12" s="339">
        <v>43586</v>
      </c>
      <c r="E12" s="339">
        <v>43617</v>
      </c>
      <c r="F12" s="339">
        <v>43647</v>
      </c>
      <c r="G12" s="339">
        <v>43678</v>
      </c>
      <c r="H12" s="339">
        <v>43709</v>
      </c>
      <c r="I12" s="339">
        <v>43739</v>
      </c>
      <c r="J12" s="339">
        <v>43770</v>
      </c>
      <c r="K12" s="339">
        <v>43800</v>
      </c>
      <c r="L12" s="339">
        <v>43831</v>
      </c>
      <c r="M12" s="339">
        <v>43862</v>
      </c>
      <c r="O12" s="338">
        <v>43891</v>
      </c>
      <c r="P12" s="12" t="s">
        <v>3</v>
      </c>
      <c r="Q12" s="13" t="s">
        <v>5</v>
      </c>
      <c r="R12" s="14" t="s">
        <v>6</v>
      </c>
    </row>
    <row r="13" spans="2:31" x14ac:dyDescent="0.25">
      <c r="B13" s="10"/>
      <c r="C13" s="11"/>
      <c r="D13" s="11"/>
      <c r="E13" s="11"/>
      <c r="F13" s="11"/>
      <c r="G13" s="11"/>
      <c r="H13" s="11"/>
      <c r="I13" s="11"/>
      <c r="J13" s="11"/>
      <c r="K13" s="11"/>
      <c r="L13" s="11"/>
      <c r="M13" s="11"/>
      <c r="O13" s="15"/>
      <c r="P13" s="16"/>
      <c r="Q13" s="17"/>
      <c r="R13" s="18"/>
    </row>
    <row r="14" spans="2:31" hidden="1" x14ac:dyDescent="0.25">
      <c r="B14" s="19" t="s">
        <v>7</v>
      </c>
      <c r="C14" s="20">
        <v>-1.6257519102591544E-4</v>
      </c>
      <c r="D14" s="20">
        <v>-0.14552845528455283</v>
      </c>
      <c r="E14" s="20">
        <v>6.1941008563273003E-2</v>
      </c>
      <c r="F14" s="20">
        <v>-1.8546725203834602E-2</v>
      </c>
      <c r="G14" s="20">
        <v>0.25461018805915625</v>
      </c>
      <c r="H14" s="20">
        <v>-2.8741904969802778E-2</v>
      </c>
      <c r="I14" s="20">
        <v>4.3751872939766345E-2</v>
      </c>
      <c r="J14" s="20">
        <v>0</v>
      </c>
      <c r="K14" s="20">
        <v>0</v>
      </c>
      <c r="L14" s="20">
        <v>0</v>
      </c>
      <c r="M14" s="20">
        <v>0</v>
      </c>
      <c r="N14" s="21"/>
      <c r="O14" s="20" t="s">
        <v>200</v>
      </c>
      <c r="P14" s="22" t="s">
        <v>7</v>
      </c>
      <c r="Q14" s="23"/>
      <c r="R14" s="20" t="s">
        <v>200</v>
      </c>
      <c r="T14" s="24">
        <v>615.1</v>
      </c>
      <c r="U14" s="24">
        <v>615</v>
      </c>
      <c r="V14" s="24">
        <v>525.5</v>
      </c>
      <c r="W14" s="24">
        <v>558.04999999999995</v>
      </c>
      <c r="X14" s="24">
        <v>547.70000000000005</v>
      </c>
      <c r="Y14" s="24">
        <v>687.15</v>
      </c>
      <c r="Z14" s="24">
        <v>667.4</v>
      </c>
      <c r="AA14" s="24">
        <v>696.6</v>
      </c>
      <c r="AB14" s="24">
        <v>696.6</v>
      </c>
      <c r="AC14" s="24">
        <v>696.6</v>
      </c>
      <c r="AD14" s="24">
        <v>696.6</v>
      </c>
      <c r="AE14" s="24">
        <v>696.6</v>
      </c>
    </row>
    <row r="15" spans="2:31" hidden="1" x14ac:dyDescent="0.25">
      <c r="B15" s="19" t="s">
        <v>8</v>
      </c>
      <c r="C15" s="20">
        <v>-2.4826789835698859E-2</v>
      </c>
      <c r="D15" s="20">
        <v>-3.8253474442351165E-2</v>
      </c>
      <c r="E15" s="20">
        <v>2.1621621621621623E-2</v>
      </c>
      <c r="F15" s="20">
        <v>-1.0582010582010914E-3</v>
      </c>
      <c r="G15" s="20">
        <v>0.30492148866775048</v>
      </c>
      <c r="H15" s="20">
        <v>6.8566756220067582E-2</v>
      </c>
      <c r="I15" s="20">
        <v>0.359860078705728</v>
      </c>
      <c r="J15" s="20">
        <v>-3.0707395498392298E-2</v>
      </c>
      <c r="K15" s="20">
        <v>0</v>
      </c>
      <c r="L15" s="20">
        <v>0</v>
      </c>
      <c r="M15" s="20">
        <v>0</v>
      </c>
      <c r="N15" s="21"/>
      <c r="O15" s="20" t="s">
        <v>200</v>
      </c>
      <c r="P15" s="22" t="s">
        <v>8</v>
      </c>
      <c r="Q15" s="23"/>
      <c r="R15" s="20" t="s">
        <v>200</v>
      </c>
      <c r="T15" s="24">
        <v>342.71843739399998</v>
      </c>
      <c r="U15" s="24">
        <v>334.20983877600003</v>
      </c>
      <c r="V15" s="24">
        <v>321.42515125</v>
      </c>
      <c r="W15" s="24">
        <v>328.37488424999998</v>
      </c>
      <c r="X15" s="24">
        <v>328.02739759999997</v>
      </c>
      <c r="Y15" s="24">
        <v>428.05</v>
      </c>
      <c r="Z15" s="24">
        <v>457.4</v>
      </c>
      <c r="AA15" s="24">
        <v>622</v>
      </c>
      <c r="AB15" s="24">
        <v>602.9</v>
      </c>
      <c r="AC15" s="24">
        <v>602.9</v>
      </c>
      <c r="AD15" s="24">
        <v>602.9</v>
      </c>
      <c r="AE15" s="24">
        <v>602.9</v>
      </c>
    </row>
    <row r="16" spans="2:31" x14ac:dyDescent="0.25">
      <c r="B16" s="19" t="s">
        <v>9</v>
      </c>
      <c r="C16" s="20">
        <v>-9.9009900990099098E-3</v>
      </c>
      <c r="D16" s="20">
        <v>0.26</v>
      </c>
      <c r="E16" s="20">
        <v>3.9682539682539542E-3</v>
      </c>
      <c r="F16" s="20">
        <v>-7.905138339920903E-3</v>
      </c>
      <c r="G16" s="20">
        <v>0</v>
      </c>
      <c r="H16" s="20">
        <v>0</v>
      </c>
      <c r="I16" s="20">
        <v>0</v>
      </c>
      <c r="J16" s="20">
        <v>0</v>
      </c>
      <c r="K16" s="20">
        <v>0</v>
      </c>
      <c r="L16" s="20">
        <v>0</v>
      </c>
      <c r="M16" s="20">
        <v>0</v>
      </c>
      <c r="N16" s="21"/>
      <c r="O16" s="20">
        <v>0</v>
      </c>
      <c r="P16" s="22" t="s">
        <v>9</v>
      </c>
      <c r="Q16" s="23"/>
      <c r="R16" s="20">
        <v>0.24257425742574257</v>
      </c>
      <c r="T16" s="24">
        <v>10.1</v>
      </c>
      <c r="U16" s="24">
        <v>10</v>
      </c>
      <c r="V16" s="24">
        <v>12.6</v>
      </c>
      <c r="W16" s="24">
        <v>12.65</v>
      </c>
      <c r="X16" s="24">
        <v>12.55</v>
      </c>
      <c r="Y16" s="24">
        <v>12.55</v>
      </c>
      <c r="Z16" s="24">
        <v>12.55</v>
      </c>
      <c r="AA16" s="24">
        <v>12.55</v>
      </c>
      <c r="AB16" s="24">
        <v>12.55</v>
      </c>
      <c r="AC16" s="24">
        <v>12.55</v>
      </c>
      <c r="AD16" s="24">
        <v>12.55</v>
      </c>
      <c r="AE16" s="24">
        <v>12.55</v>
      </c>
    </row>
    <row r="17" spans="2:37" x14ac:dyDescent="0.25">
      <c r="B17" s="19" t="s">
        <v>10</v>
      </c>
      <c r="C17" s="20">
        <v>0</v>
      </c>
      <c r="D17" s="20">
        <v>0</v>
      </c>
      <c r="E17" s="20">
        <v>0</v>
      </c>
      <c r="F17" s="20">
        <v>2.1276595744680771E-2</v>
      </c>
      <c r="G17" s="20">
        <v>0</v>
      </c>
      <c r="H17" s="20">
        <v>0</v>
      </c>
      <c r="I17" s="20">
        <v>0</v>
      </c>
      <c r="J17" s="20">
        <v>0</v>
      </c>
      <c r="K17" s="20">
        <v>0</v>
      </c>
      <c r="L17" s="20">
        <v>0</v>
      </c>
      <c r="M17" s="20">
        <v>0</v>
      </c>
      <c r="N17" s="21"/>
      <c r="O17" s="20">
        <v>0</v>
      </c>
      <c r="P17" s="22" t="s">
        <v>10</v>
      </c>
      <c r="Q17" s="23"/>
      <c r="R17" s="20">
        <v>2.1276595744680771E-2</v>
      </c>
      <c r="T17" s="24">
        <v>47</v>
      </c>
      <c r="U17" s="24">
        <v>47</v>
      </c>
      <c r="V17" s="24">
        <v>47</v>
      </c>
      <c r="W17" s="24">
        <v>47</v>
      </c>
      <c r="X17" s="24">
        <v>48</v>
      </c>
      <c r="Y17" s="24">
        <v>48</v>
      </c>
      <c r="Z17" s="24">
        <v>48</v>
      </c>
      <c r="AA17" s="24">
        <v>48</v>
      </c>
      <c r="AB17" s="24">
        <v>48</v>
      </c>
      <c r="AC17" s="24">
        <v>48</v>
      </c>
      <c r="AD17" s="24">
        <v>48</v>
      </c>
      <c r="AE17" s="24">
        <v>48</v>
      </c>
    </row>
    <row r="18" spans="2:37" x14ac:dyDescent="0.25">
      <c r="B18" s="19" t="s">
        <v>11</v>
      </c>
      <c r="C18" s="20">
        <v>6.1363636363636287E-2</v>
      </c>
      <c r="D18" s="20">
        <v>-7.4946466809421741E-2</v>
      </c>
      <c r="E18" s="20">
        <v>3.009259259259256E-2</v>
      </c>
      <c r="F18" s="20">
        <v>5.6179775280898792E-2</v>
      </c>
      <c r="G18" s="20">
        <v>-0.34042553191489366</v>
      </c>
      <c r="H18" s="20">
        <v>0.33870967741935498</v>
      </c>
      <c r="I18" s="20">
        <v>0.17831325301204792</v>
      </c>
      <c r="J18" s="20">
        <v>0.22699386503067487</v>
      </c>
      <c r="K18" s="20">
        <v>6.6666666666666652E-2</v>
      </c>
      <c r="L18" s="20">
        <v>-1.5625000000000111E-2</v>
      </c>
      <c r="M18" s="20">
        <v>0</v>
      </c>
      <c r="N18" s="21"/>
      <c r="O18" s="20">
        <v>0</v>
      </c>
      <c r="P18" s="22" t="s">
        <v>11</v>
      </c>
      <c r="Q18" s="23"/>
      <c r="R18" s="20">
        <v>0.43181818181818099</v>
      </c>
      <c r="T18" s="24">
        <v>4.4000000000000004</v>
      </c>
      <c r="U18" s="24">
        <v>4.67</v>
      </c>
      <c r="V18" s="24">
        <v>4.32</v>
      </c>
      <c r="W18" s="24">
        <v>4.45</v>
      </c>
      <c r="X18" s="24">
        <v>4.7</v>
      </c>
      <c r="Y18" s="24">
        <v>3.1</v>
      </c>
      <c r="Z18" s="24">
        <v>4.1500000000000004</v>
      </c>
      <c r="AA18" s="24">
        <v>4.8899999999999997</v>
      </c>
      <c r="AB18" s="24">
        <v>6</v>
      </c>
      <c r="AC18" s="24">
        <v>6.4</v>
      </c>
      <c r="AD18" s="24">
        <v>6.3</v>
      </c>
      <c r="AE18" s="24">
        <v>6.3</v>
      </c>
    </row>
    <row r="19" spans="2:37" x14ac:dyDescent="0.25">
      <c r="B19" s="19" t="s">
        <v>12</v>
      </c>
      <c r="C19" s="20">
        <v>1.1904761904761862E-2</v>
      </c>
      <c r="D19" s="20">
        <v>1.1764705882352899E-2</v>
      </c>
      <c r="E19" s="20">
        <v>0.2441860465116279</v>
      </c>
      <c r="F19" s="20">
        <v>-3.2710280373831724E-2</v>
      </c>
      <c r="G19" s="20">
        <v>-0.28502415458937191</v>
      </c>
      <c r="H19" s="20">
        <v>0.20270270270270263</v>
      </c>
      <c r="I19" s="20">
        <v>2.2471910112359383E-2</v>
      </c>
      <c r="J19" s="20">
        <v>2.1978021978022122E-2</v>
      </c>
      <c r="K19" s="20">
        <v>0.15053763440860202</v>
      </c>
      <c r="L19" s="20">
        <v>0</v>
      </c>
      <c r="M19" s="20">
        <v>-0.14485981308411211</v>
      </c>
      <c r="N19" s="21"/>
      <c r="O19" s="20">
        <v>-2.732240437158473E-2</v>
      </c>
      <c r="P19" s="22" t="s">
        <v>12</v>
      </c>
      <c r="Q19" s="23"/>
      <c r="R19" s="20">
        <v>5.9523809523809312E-2</v>
      </c>
      <c r="T19" s="24">
        <v>8.4</v>
      </c>
      <c r="U19" s="24">
        <v>8.5</v>
      </c>
      <c r="V19" s="24">
        <v>8.6</v>
      </c>
      <c r="W19" s="24">
        <v>10.7</v>
      </c>
      <c r="X19" s="24">
        <v>10.35</v>
      </c>
      <c r="Y19" s="24">
        <v>7.4</v>
      </c>
      <c r="Z19" s="24">
        <v>8.9</v>
      </c>
      <c r="AA19" s="24">
        <v>9.1</v>
      </c>
      <c r="AB19" s="24">
        <v>9.3000000000000007</v>
      </c>
      <c r="AC19" s="24">
        <v>10.7</v>
      </c>
      <c r="AD19" s="24">
        <v>10.7</v>
      </c>
      <c r="AE19" s="24">
        <v>9.15</v>
      </c>
    </row>
    <row r="20" spans="2:37" x14ac:dyDescent="0.25">
      <c r="B20" s="19" t="s">
        <v>13</v>
      </c>
      <c r="C20" s="20">
        <v>3.589743589743577E-2</v>
      </c>
      <c r="D20" s="20">
        <v>6.4356435643564414E-2</v>
      </c>
      <c r="E20" s="20">
        <v>3.488372093023262E-2</v>
      </c>
      <c r="F20" s="20">
        <v>3.3707865168539408E-2</v>
      </c>
      <c r="G20" s="20">
        <v>-0.13043478260869568</v>
      </c>
      <c r="H20" s="20">
        <v>0.48750000000000004</v>
      </c>
      <c r="I20" s="20">
        <v>0.4285714285714286</v>
      </c>
      <c r="J20" s="20">
        <v>0.17647058823529416</v>
      </c>
      <c r="K20" s="20">
        <v>0.15999999999999992</v>
      </c>
      <c r="L20" s="20">
        <v>-0.12068965517241381</v>
      </c>
      <c r="M20" s="20">
        <v>2.450980392156854E-2</v>
      </c>
      <c r="N20" s="21"/>
      <c r="O20" s="20">
        <v>-6.6985645933014371E-2</v>
      </c>
      <c r="P20" s="22" t="s">
        <v>13</v>
      </c>
      <c r="Q20" s="23"/>
      <c r="R20" s="20">
        <v>1.4999999999999996</v>
      </c>
      <c r="T20" s="24">
        <v>39</v>
      </c>
      <c r="U20" s="24">
        <v>40.4</v>
      </c>
      <c r="V20" s="24">
        <v>43</v>
      </c>
      <c r="W20" s="24">
        <v>44.5</v>
      </c>
      <c r="X20" s="24">
        <v>46</v>
      </c>
      <c r="Y20" s="24">
        <v>40</v>
      </c>
      <c r="Z20" s="24">
        <v>59.5</v>
      </c>
      <c r="AA20" s="24">
        <v>85</v>
      </c>
      <c r="AB20" s="24">
        <v>100</v>
      </c>
      <c r="AC20" s="24">
        <v>116</v>
      </c>
      <c r="AD20" s="24">
        <v>102</v>
      </c>
      <c r="AE20" s="24">
        <v>104.5</v>
      </c>
    </row>
    <row r="21" spans="2:37" x14ac:dyDescent="0.25">
      <c r="B21" s="19" t="s">
        <v>14</v>
      </c>
      <c r="C21" s="20">
        <v>0.20370370370370372</v>
      </c>
      <c r="D21" s="20">
        <v>-7.5384615384615383E-2</v>
      </c>
      <c r="E21" s="20">
        <v>0.26455906821963393</v>
      </c>
      <c r="F21" s="20">
        <v>5.2631578947368363E-2</v>
      </c>
      <c r="G21" s="20">
        <v>0.16730697010288376</v>
      </c>
      <c r="H21" s="20">
        <v>0.18279569892473124</v>
      </c>
      <c r="I21" s="20">
        <v>-0.18181818181818177</v>
      </c>
      <c r="J21" s="20">
        <v>0.12777777777777777</v>
      </c>
      <c r="K21" s="20">
        <v>0.47783251231527091</v>
      </c>
      <c r="L21" s="20">
        <v>-8.666666666666667E-2</v>
      </c>
      <c r="M21" s="20">
        <v>2.1897810218978186E-2</v>
      </c>
      <c r="N21" s="21"/>
      <c r="O21" s="20">
        <v>-7.1428571428571397E-2</v>
      </c>
      <c r="P21" s="22" t="s">
        <v>14</v>
      </c>
      <c r="Q21" s="23"/>
      <c r="R21" s="20">
        <v>1.4173621045539608</v>
      </c>
      <c r="T21" s="24">
        <v>53.777628</v>
      </c>
      <c r="U21" s="24">
        <v>64.732330000000005</v>
      </c>
      <c r="V21" s="24">
        <v>59.852508200000003</v>
      </c>
      <c r="W21" s="24">
        <v>75.687032000000002</v>
      </c>
      <c r="X21" s="24">
        <v>79.670559999999995</v>
      </c>
      <c r="Y21" s="24">
        <v>93</v>
      </c>
      <c r="Z21" s="24">
        <v>110</v>
      </c>
      <c r="AA21" s="24">
        <v>90</v>
      </c>
      <c r="AB21" s="24">
        <v>101.5</v>
      </c>
      <c r="AC21" s="24">
        <v>150</v>
      </c>
      <c r="AD21" s="24">
        <v>137</v>
      </c>
      <c r="AE21" s="24">
        <v>140</v>
      </c>
    </row>
    <row r="22" spans="2:37" x14ac:dyDescent="0.25">
      <c r="B22" s="19" t="s">
        <v>15</v>
      </c>
      <c r="C22" s="20">
        <v>0</v>
      </c>
      <c r="D22" s="20">
        <v>0</v>
      </c>
      <c r="E22" s="20">
        <v>4.4117647058823595E-2</v>
      </c>
      <c r="F22" s="20">
        <v>-7.0422535211267623E-2</v>
      </c>
      <c r="G22" s="20">
        <v>6.0606060606060552E-2</v>
      </c>
      <c r="H22" s="20">
        <v>-2.8571428571428581E-2</v>
      </c>
      <c r="I22" s="20">
        <v>0.14705882352941169</v>
      </c>
      <c r="J22" s="20">
        <v>8.2051282051281982E-2</v>
      </c>
      <c r="K22" s="20">
        <v>0.20853080568720372</v>
      </c>
      <c r="L22" s="20">
        <v>-5.8823529411764719E-2</v>
      </c>
      <c r="M22" s="20">
        <v>-0.16666666666666663</v>
      </c>
      <c r="N22" s="21"/>
      <c r="O22" s="20">
        <v>-7.4999999999999956E-2</v>
      </c>
      <c r="P22" s="22" t="s">
        <v>15</v>
      </c>
      <c r="Q22" s="23"/>
      <c r="R22" s="20">
        <v>8.8235294117646745E-2</v>
      </c>
      <c r="T22" s="24">
        <v>3.4</v>
      </c>
      <c r="U22" s="24">
        <v>3.4</v>
      </c>
      <c r="V22" s="24">
        <v>3.4</v>
      </c>
      <c r="W22" s="24">
        <v>3.55</v>
      </c>
      <c r="X22" s="24">
        <v>3.3</v>
      </c>
      <c r="Y22" s="24">
        <v>3.5</v>
      </c>
      <c r="Z22" s="24">
        <v>3.4</v>
      </c>
      <c r="AA22" s="24">
        <v>3.9</v>
      </c>
      <c r="AB22" s="24">
        <v>4.22</v>
      </c>
      <c r="AC22" s="24">
        <v>5.0999999999999996</v>
      </c>
      <c r="AD22" s="24">
        <v>4.8</v>
      </c>
      <c r="AE22" s="24">
        <v>4</v>
      </c>
    </row>
    <row r="23" spans="2:37" x14ac:dyDescent="0.25">
      <c r="B23" s="19" t="s">
        <v>16</v>
      </c>
      <c r="C23" s="20">
        <v>-0.17512690355329952</v>
      </c>
      <c r="D23" s="20">
        <v>0.13846153846153841</v>
      </c>
      <c r="E23" s="20">
        <v>5.4054054054053946E-2</v>
      </c>
      <c r="F23" s="20">
        <v>5.0000000000000044E-2</v>
      </c>
      <c r="G23" s="20">
        <v>-0.43833943833943834</v>
      </c>
      <c r="H23" s="20">
        <v>0.33043478260869574</v>
      </c>
      <c r="I23" s="20">
        <v>-3.5947712418300748E-2</v>
      </c>
      <c r="J23" s="20">
        <v>1.5254237288135464E-2</v>
      </c>
      <c r="K23" s="20">
        <v>0.10517529215358934</v>
      </c>
      <c r="L23" s="20">
        <v>0.2084592145015105</v>
      </c>
      <c r="M23" s="20">
        <v>-0.15000000000000002</v>
      </c>
      <c r="N23" s="21"/>
      <c r="O23" s="20">
        <v>-8.9705882352941191E-2</v>
      </c>
      <c r="P23" s="22" t="s">
        <v>16</v>
      </c>
      <c r="Q23" s="23"/>
      <c r="R23" s="20">
        <v>-0.21446700507614225</v>
      </c>
      <c r="T23" s="24">
        <v>39.4</v>
      </c>
      <c r="U23" s="24">
        <v>32.5</v>
      </c>
      <c r="V23" s="24">
        <v>37</v>
      </c>
      <c r="W23" s="24">
        <v>39</v>
      </c>
      <c r="X23" s="24">
        <v>40.950000000000003</v>
      </c>
      <c r="Y23" s="24">
        <v>23</v>
      </c>
      <c r="Z23" s="24">
        <v>30.6</v>
      </c>
      <c r="AA23" s="24">
        <v>29.5</v>
      </c>
      <c r="AB23" s="24">
        <v>29.95</v>
      </c>
      <c r="AC23" s="24">
        <v>33.1</v>
      </c>
      <c r="AD23" s="24">
        <v>40</v>
      </c>
      <c r="AE23" s="24">
        <v>34</v>
      </c>
    </row>
    <row r="24" spans="2:37" x14ac:dyDescent="0.25">
      <c r="B24" s="19" t="s">
        <v>17</v>
      </c>
      <c r="C24" s="20">
        <v>-8.8800183753470874E-2</v>
      </c>
      <c r="D24" s="20">
        <v>-8.1455805892547639E-2</v>
      </c>
      <c r="E24" s="20">
        <v>0.39999999999999991</v>
      </c>
      <c r="F24" s="20">
        <v>0</v>
      </c>
      <c r="G24" s="20">
        <v>-0.45956873315363878</v>
      </c>
      <c r="H24" s="20">
        <v>0.11221945137157108</v>
      </c>
      <c r="I24" s="20">
        <v>0.2376681614349776</v>
      </c>
      <c r="J24" s="20">
        <v>-7.7898550724637694E-2</v>
      </c>
      <c r="K24" s="20">
        <v>0.26326129666011777</v>
      </c>
      <c r="L24" s="20">
        <v>-0.17729393468118193</v>
      </c>
      <c r="M24" s="20">
        <v>7.9395085066162663E-2</v>
      </c>
      <c r="N24" s="21"/>
      <c r="O24" s="20">
        <v>-0.12434325744308228</v>
      </c>
      <c r="P24" s="22" t="s">
        <v>17</v>
      </c>
      <c r="Q24" s="23"/>
      <c r="R24" s="20">
        <v>-0.21039877274997465</v>
      </c>
      <c r="T24" s="24">
        <v>316.61551600000001</v>
      </c>
      <c r="U24" s="24">
        <v>288.5</v>
      </c>
      <c r="V24" s="24">
        <v>265</v>
      </c>
      <c r="W24" s="24">
        <v>371</v>
      </c>
      <c r="X24" s="24">
        <v>371</v>
      </c>
      <c r="Y24" s="24">
        <v>200.5</v>
      </c>
      <c r="Z24" s="24">
        <v>223</v>
      </c>
      <c r="AA24" s="24">
        <v>276</v>
      </c>
      <c r="AB24" s="24">
        <v>254.5</v>
      </c>
      <c r="AC24" s="24">
        <v>321.5</v>
      </c>
      <c r="AD24" s="24">
        <v>264.5</v>
      </c>
      <c r="AE24" s="24">
        <v>285.5</v>
      </c>
    </row>
    <row r="25" spans="2:37" x14ac:dyDescent="0.25">
      <c r="B25" s="19" t="s">
        <v>18</v>
      </c>
      <c r="C25" s="20">
        <v>-5.4761904761904789E-2</v>
      </c>
      <c r="D25" s="20">
        <v>-4.282115869017622E-2</v>
      </c>
      <c r="E25" s="20">
        <v>3.1578947368420929E-2</v>
      </c>
      <c r="F25" s="20">
        <v>2.0408163265306145E-2</v>
      </c>
      <c r="G25" s="20">
        <v>-0.25024999999999997</v>
      </c>
      <c r="H25" s="20">
        <v>0.2670890296765589</v>
      </c>
      <c r="I25" s="20">
        <v>0.15789473684210531</v>
      </c>
      <c r="J25" s="20">
        <v>0.13734546724658592</v>
      </c>
      <c r="K25" s="20">
        <v>0.17346938775510212</v>
      </c>
      <c r="L25" s="20">
        <v>-0.11304347826086958</v>
      </c>
      <c r="M25" s="20">
        <v>4.705882352941182E-2</v>
      </c>
      <c r="N25" s="21"/>
      <c r="O25" s="20">
        <v>-0.13857677902621723</v>
      </c>
      <c r="P25" s="22" t="s">
        <v>18</v>
      </c>
      <c r="Q25" s="23"/>
      <c r="R25" s="20">
        <v>0.1185555032590333</v>
      </c>
      <c r="T25" s="24">
        <v>205.62234000000001</v>
      </c>
      <c r="U25" s="24">
        <v>194.36206899999999</v>
      </c>
      <c r="V25" s="24">
        <v>186.03926000000001</v>
      </c>
      <c r="W25" s="24">
        <v>191.91418400000001</v>
      </c>
      <c r="X25" s="24">
        <v>195.83080000000001</v>
      </c>
      <c r="Y25" s="24">
        <v>146.82414230000001</v>
      </c>
      <c r="Z25" s="24">
        <v>186.03926000000001</v>
      </c>
      <c r="AA25" s="24">
        <v>215.41388000000001</v>
      </c>
      <c r="AB25" s="24">
        <v>245</v>
      </c>
      <c r="AC25" s="24">
        <v>287.5</v>
      </c>
      <c r="AD25" s="24">
        <v>255</v>
      </c>
      <c r="AE25" s="24">
        <v>267</v>
      </c>
    </row>
    <row r="26" spans="2:37" x14ac:dyDescent="0.25">
      <c r="B26" s="19" t="s">
        <v>19</v>
      </c>
      <c r="C26" s="20">
        <v>-6.8749999999999978E-2</v>
      </c>
      <c r="D26" s="20">
        <v>-6.0402684563758413E-2</v>
      </c>
      <c r="E26" s="20">
        <v>7.1428571428571397E-2</v>
      </c>
      <c r="F26" s="20">
        <v>-0.10666666666666669</v>
      </c>
      <c r="G26" s="20">
        <v>-0.25373134328358204</v>
      </c>
      <c r="H26" s="20">
        <v>0.19999999999999996</v>
      </c>
      <c r="I26" s="20">
        <v>0.1333333333333333</v>
      </c>
      <c r="J26" s="20">
        <v>0.17205882352941182</v>
      </c>
      <c r="K26" s="20">
        <v>0.38017565872020076</v>
      </c>
      <c r="L26" s="20">
        <v>9.0909090909090828E-2</v>
      </c>
      <c r="M26" s="20">
        <v>-0.16666666666666663</v>
      </c>
      <c r="N26" s="21"/>
      <c r="O26" s="20">
        <v>-0.14000000000000001</v>
      </c>
      <c r="P26" s="22" t="s">
        <v>19</v>
      </c>
      <c r="Q26" s="23"/>
      <c r="R26" s="20">
        <v>7.4999999999999956E-2</v>
      </c>
      <c r="T26" s="24">
        <v>40</v>
      </c>
      <c r="U26" s="24">
        <v>37.25</v>
      </c>
      <c r="V26" s="24">
        <v>35</v>
      </c>
      <c r="W26" s="24">
        <v>37.5</v>
      </c>
      <c r="X26" s="24">
        <v>33.5</v>
      </c>
      <c r="Y26" s="24">
        <v>25</v>
      </c>
      <c r="Z26" s="24">
        <v>30</v>
      </c>
      <c r="AA26" s="24">
        <v>34</v>
      </c>
      <c r="AB26" s="24">
        <v>39.85</v>
      </c>
      <c r="AC26" s="24">
        <v>55</v>
      </c>
      <c r="AD26" s="24">
        <v>60</v>
      </c>
      <c r="AE26" s="24">
        <v>50</v>
      </c>
    </row>
    <row r="27" spans="2:37" x14ac:dyDescent="0.25">
      <c r="B27" s="19" t="s">
        <v>20</v>
      </c>
      <c r="C27" s="20">
        <v>-3.6290322580645129E-2</v>
      </c>
      <c r="D27" s="20">
        <v>0</v>
      </c>
      <c r="E27" s="20">
        <v>2.4310782993448354E-2</v>
      </c>
      <c r="F27" s="20">
        <v>-1.6666666666666607E-2</v>
      </c>
      <c r="G27" s="20">
        <v>-3.8135593220339103E-2</v>
      </c>
      <c r="H27" s="20">
        <v>7.0484581497797461E-2</v>
      </c>
      <c r="I27" s="20">
        <v>0.12757201646090532</v>
      </c>
      <c r="J27" s="20">
        <v>0.17518248175182505</v>
      </c>
      <c r="K27" s="20">
        <v>0.2422360248447204</v>
      </c>
      <c r="L27" s="20">
        <v>0.18249999999999988</v>
      </c>
      <c r="M27" s="20">
        <v>-0.10147991543340373</v>
      </c>
      <c r="N27" s="21"/>
      <c r="O27" s="20">
        <v>-0.14588235294117635</v>
      </c>
      <c r="P27" s="22" t="s">
        <v>20</v>
      </c>
      <c r="Q27" s="23"/>
      <c r="R27" s="20">
        <v>0.49304654906187206</v>
      </c>
      <c r="T27" s="24">
        <v>12.156352399999999</v>
      </c>
      <c r="U27" s="24">
        <v>11.71519445</v>
      </c>
      <c r="V27" s="24">
        <v>11.71519445</v>
      </c>
      <c r="W27" s="24">
        <v>12</v>
      </c>
      <c r="X27" s="24">
        <v>11.8</v>
      </c>
      <c r="Y27" s="24">
        <v>11.35</v>
      </c>
      <c r="Z27" s="24">
        <v>12.15</v>
      </c>
      <c r="AA27" s="24">
        <v>13.7</v>
      </c>
      <c r="AB27" s="24">
        <v>16.100000000000001</v>
      </c>
      <c r="AC27" s="24">
        <v>20</v>
      </c>
      <c r="AD27" s="24">
        <v>23.65</v>
      </c>
      <c r="AE27" s="24">
        <v>21.25</v>
      </c>
    </row>
    <row r="28" spans="2:37" x14ac:dyDescent="0.25">
      <c r="B28" s="19" t="s">
        <v>21</v>
      </c>
      <c r="C28" s="20">
        <v>-0.2214137214137214</v>
      </c>
      <c r="D28" s="20">
        <v>0.21361815754339109</v>
      </c>
      <c r="E28" s="20">
        <v>0.30803080308030806</v>
      </c>
      <c r="F28" s="20">
        <v>-2.5231286795626584E-2</v>
      </c>
      <c r="G28" s="20">
        <v>-0.43744607420189818</v>
      </c>
      <c r="H28" s="20">
        <v>0.35122699386503053</v>
      </c>
      <c r="I28" s="20">
        <v>0.13507377979568669</v>
      </c>
      <c r="J28" s="20">
        <v>-0.17500000000000004</v>
      </c>
      <c r="K28" s="20">
        <v>0.20727272727272728</v>
      </c>
      <c r="L28" s="20">
        <v>-9.6385542168674676E-2</v>
      </c>
      <c r="M28" s="20">
        <v>-0.13222222222222224</v>
      </c>
      <c r="N28" s="21"/>
      <c r="O28" s="20">
        <v>-0.15492957746478864</v>
      </c>
      <c r="P28" s="22" t="s">
        <v>21</v>
      </c>
      <c r="Q28" s="23"/>
      <c r="R28" s="20">
        <v>-0.313929313929314</v>
      </c>
      <c r="T28" s="24">
        <v>48.1</v>
      </c>
      <c r="U28" s="24">
        <v>37.450000000000003</v>
      </c>
      <c r="V28" s="24">
        <v>45.45</v>
      </c>
      <c r="W28" s="24">
        <v>59.45</v>
      </c>
      <c r="X28" s="24">
        <v>57.95</v>
      </c>
      <c r="Y28" s="24">
        <v>32.6</v>
      </c>
      <c r="Z28" s="24">
        <v>44.05</v>
      </c>
      <c r="AA28" s="24">
        <v>50</v>
      </c>
      <c r="AB28" s="24">
        <v>41.25</v>
      </c>
      <c r="AC28" s="24">
        <v>49.8</v>
      </c>
      <c r="AD28" s="24">
        <v>45</v>
      </c>
      <c r="AE28" s="24">
        <v>39.049999999999997</v>
      </c>
    </row>
    <row r="29" spans="2:37" x14ac:dyDescent="0.25">
      <c r="B29" s="19" t="s">
        <v>22</v>
      </c>
      <c r="C29" s="20">
        <v>-2.0304568532311995E-2</v>
      </c>
      <c r="D29" s="20">
        <v>7.5878139948611034E-2</v>
      </c>
      <c r="E29" s="20">
        <v>6.6666666669154884E-2</v>
      </c>
      <c r="F29" s="20">
        <v>-3.6989795925374325E-2</v>
      </c>
      <c r="G29" s="20">
        <v>-0.37191884188779778</v>
      </c>
      <c r="H29" s="20">
        <v>0.24193100663055911</v>
      </c>
      <c r="I29" s="20">
        <v>0.13513820306036206</v>
      </c>
      <c r="J29" s="20">
        <v>-7.692307692307665E-3</v>
      </c>
      <c r="K29" s="20">
        <v>0.13178294573643412</v>
      </c>
      <c r="L29" s="20">
        <v>6.5068493150684859E-2</v>
      </c>
      <c r="M29" s="20">
        <v>-9.9678456591639875E-2</v>
      </c>
      <c r="N29" s="21"/>
      <c r="O29" s="20">
        <v>-0.17886456058699252</v>
      </c>
      <c r="P29" s="22" t="s">
        <v>22</v>
      </c>
      <c r="Q29" s="23"/>
      <c r="R29" s="20">
        <v>-0.15223548606125237</v>
      </c>
      <c r="T29" s="24">
        <v>25.41979482</v>
      </c>
      <c r="U29" s="24">
        <v>24.903656854000001</v>
      </c>
      <c r="V29" s="24">
        <v>26.793300014</v>
      </c>
      <c r="W29" s="24">
        <v>28.579520015</v>
      </c>
      <c r="X29" s="24">
        <v>27.522369401999999</v>
      </c>
      <c r="Y29" s="24">
        <v>17.286281647999999</v>
      </c>
      <c r="Z29" s="24">
        <v>21.468369167999999</v>
      </c>
      <c r="AA29" s="24">
        <v>24.369565999999999</v>
      </c>
      <c r="AB29" s="24">
        <v>24.182107800000001</v>
      </c>
      <c r="AC29" s="24">
        <v>27.368897199999999</v>
      </c>
      <c r="AD29" s="24">
        <v>29.149750099999999</v>
      </c>
      <c r="AE29" s="24">
        <v>26.244147999999999</v>
      </c>
    </row>
    <row r="30" spans="2:37" x14ac:dyDescent="0.25">
      <c r="B30" s="19" t="s">
        <v>23</v>
      </c>
      <c r="C30" s="20">
        <v>6.9444444444441977E-3</v>
      </c>
      <c r="D30" s="20">
        <v>-2.0689655172413723E-2</v>
      </c>
      <c r="E30" s="20">
        <v>2.1126760563380254E-2</v>
      </c>
      <c r="F30" s="20">
        <v>8.0459770114942764E-2</v>
      </c>
      <c r="G30" s="20">
        <v>-0.13191489361702124</v>
      </c>
      <c r="H30" s="20">
        <v>0.1568627450980391</v>
      </c>
      <c r="I30" s="20">
        <v>0.44491525423728828</v>
      </c>
      <c r="J30" s="20">
        <v>0.30645161290322576</v>
      </c>
      <c r="K30" s="20">
        <v>-4.9382716049382713E-2</v>
      </c>
      <c r="L30" s="20">
        <v>0.10861865407319948</v>
      </c>
      <c r="M30" s="20">
        <v>6.4962726304579332E-2</v>
      </c>
      <c r="N30" s="21"/>
      <c r="O30" s="20">
        <v>-0.18000000000000005</v>
      </c>
      <c r="P30" s="22" t="s">
        <v>23</v>
      </c>
      <c r="Q30" s="23"/>
      <c r="R30" s="20">
        <v>0.89814814814814814</v>
      </c>
      <c r="T30" s="24">
        <v>4.32</v>
      </c>
      <c r="U30" s="24">
        <v>4.3499999999999996</v>
      </c>
      <c r="V30" s="24">
        <v>4.26</v>
      </c>
      <c r="W30" s="24">
        <v>4.3499999999999996</v>
      </c>
      <c r="X30" s="24">
        <v>4.7</v>
      </c>
      <c r="Y30" s="24">
        <v>4.08</v>
      </c>
      <c r="Z30" s="24">
        <v>4.72</v>
      </c>
      <c r="AA30" s="24">
        <v>6.82</v>
      </c>
      <c r="AB30" s="24">
        <v>8.91</v>
      </c>
      <c r="AC30" s="24">
        <v>8.4700000000000006</v>
      </c>
      <c r="AD30" s="24">
        <v>9.39</v>
      </c>
      <c r="AE30" s="24">
        <v>10</v>
      </c>
    </row>
    <row r="31" spans="2:37" x14ac:dyDescent="0.25">
      <c r="B31" s="19" t="s">
        <v>24</v>
      </c>
      <c r="C31" s="20">
        <v>-0.14062500000000011</v>
      </c>
      <c r="D31" s="20">
        <v>3.6363636363636376E-2</v>
      </c>
      <c r="E31" s="20">
        <v>1.7543859649122862E-2</v>
      </c>
      <c r="F31" s="20">
        <v>-5.1724137931034586E-2</v>
      </c>
      <c r="G31" s="20">
        <v>-0.27272727272727271</v>
      </c>
      <c r="H31" s="20">
        <v>0.36250000000000004</v>
      </c>
      <c r="I31" s="20">
        <v>0.15596330275229353</v>
      </c>
      <c r="J31" s="20">
        <v>0.16643680671210559</v>
      </c>
      <c r="K31" s="20">
        <v>0.1095890410958904</v>
      </c>
      <c r="L31" s="20">
        <v>0.11111111111111116</v>
      </c>
      <c r="M31" s="20">
        <v>-5.5555555555556468E-3</v>
      </c>
      <c r="N31" s="21"/>
      <c r="O31" s="20">
        <v>-0.18324022346368707</v>
      </c>
      <c r="P31" s="22" t="s">
        <v>24</v>
      </c>
      <c r="Q31" s="23"/>
      <c r="R31" s="20">
        <v>0.14978412370532079</v>
      </c>
      <c r="T31" s="24">
        <v>6.3577152000000003</v>
      </c>
      <c r="U31" s="24">
        <v>5.4636614999999997</v>
      </c>
      <c r="V31" s="24">
        <v>5.6623400999999998</v>
      </c>
      <c r="W31" s="24">
        <v>5.7616794000000002</v>
      </c>
      <c r="X31" s="24">
        <v>5.4636614999999997</v>
      </c>
      <c r="Y31" s="24">
        <v>3.9735719999999999</v>
      </c>
      <c r="Z31" s="24">
        <v>5.4139918500000004</v>
      </c>
      <c r="AA31" s="24">
        <v>6.2583758999999999</v>
      </c>
      <c r="AB31" s="24">
        <v>7.3</v>
      </c>
      <c r="AC31" s="24">
        <v>8.1</v>
      </c>
      <c r="AD31" s="24">
        <v>9</v>
      </c>
      <c r="AE31" s="24">
        <v>8.9499999999999993</v>
      </c>
    </row>
    <row r="32" spans="2:37" x14ac:dyDescent="0.25">
      <c r="B32" s="19" t="s">
        <v>25</v>
      </c>
      <c r="C32" s="20">
        <v>-0.12499999999999989</v>
      </c>
      <c r="D32" s="20">
        <v>0.21428571428571419</v>
      </c>
      <c r="E32" s="20">
        <v>8.4033613445377853E-3</v>
      </c>
      <c r="F32" s="20">
        <v>-2.5000000000000022E-2</v>
      </c>
      <c r="G32" s="20">
        <v>2.5641025641025772E-2</v>
      </c>
      <c r="H32" s="20">
        <v>-0.18666666666666665</v>
      </c>
      <c r="I32" s="20">
        <v>9.6311475409835978E-2</v>
      </c>
      <c r="J32" s="20">
        <v>0.11214953271028039</v>
      </c>
      <c r="K32" s="20">
        <v>-5.882352941176483E-2</v>
      </c>
      <c r="L32" s="20">
        <v>0.2410714285714286</v>
      </c>
      <c r="M32" s="20">
        <v>-0.23021582733812962</v>
      </c>
      <c r="N32" s="21"/>
      <c r="O32" s="20">
        <v>-0.18691588785046709</v>
      </c>
      <c r="P32" s="22" t="s">
        <v>25</v>
      </c>
      <c r="Q32" s="23"/>
      <c r="R32" s="20">
        <v>-0.22321428571428581</v>
      </c>
      <c r="T32" s="24">
        <v>5.6</v>
      </c>
      <c r="U32" s="24">
        <v>4.9000000000000004</v>
      </c>
      <c r="V32" s="24">
        <v>5.95</v>
      </c>
      <c r="W32" s="24">
        <v>6</v>
      </c>
      <c r="X32" s="24">
        <v>5.85</v>
      </c>
      <c r="Y32" s="24">
        <v>6</v>
      </c>
      <c r="Z32" s="24">
        <v>4.88</v>
      </c>
      <c r="AA32" s="24">
        <v>5.35</v>
      </c>
      <c r="AB32" s="24">
        <v>5.95</v>
      </c>
      <c r="AC32" s="24">
        <v>5.6</v>
      </c>
      <c r="AD32" s="24">
        <v>6.95</v>
      </c>
      <c r="AE32" s="24">
        <v>5.35</v>
      </c>
      <c r="AJ32" t="s">
        <v>26</v>
      </c>
      <c r="AK32" s="25" t="s">
        <v>27</v>
      </c>
    </row>
    <row r="33" spans="2:33" x14ac:dyDescent="0.25">
      <c r="B33" s="19" t="s">
        <v>28</v>
      </c>
      <c r="C33" s="20">
        <v>0.11702127659574457</v>
      </c>
      <c r="D33" s="20">
        <v>0.23809523809523814</v>
      </c>
      <c r="E33" s="20">
        <v>0.1134615384615385</v>
      </c>
      <c r="F33" s="20">
        <v>2.9360967184801412E-2</v>
      </c>
      <c r="G33" s="20">
        <v>-0.42953020134228193</v>
      </c>
      <c r="H33" s="20">
        <v>0.15588235294117636</v>
      </c>
      <c r="I33" s="20">
        <v>0.1653944020356235</v>
      </c>
      <c r="J33" s="20">
        <v>2.1834061135370675E-3</v>
      </c>
      <c r="K33" s="20">
        <v>6.7538126361655904E-2</v>
      </c>
      <c r="L33" s="20">
        <v>0.14285714285714279</v>
      </c>
      <c r="M33" s="20">
        <v>-0.1607142857142857</v>
      </c>
      <c r="N33" s="21"/>
      <c r="O33" s="20">
        <v>-0.19148936170212771</v>
      </c>
      <c r="P33" s="22" t="s">
        <v>28</v>
      </c>
      <c r="Q33" s="23"/>
      <c r="R33" s="20">
        <v>1.0638297872340274E-2</v>
      </c>
      <c r="T33" s="24">
        <v>18.8</v>
      </c>
      <c r="U33" s="24">
        <v>21</v>
      </c>
      <c r="V33" s="24">
        <v>26</v>
      </c>
      <c r="W33" s="24">
        <v>28.95</v>
      </c>
      <c r="X33" s="24">
        <v>29.8</v>
      </c>
      <c r="Y33" s="24">
        <v>17</v>
      </c>
      <c r="Z33" s="24">
        <v>19.649999999999999</v>
      </c>
      <c r="AA33" s="24">
        <v>22.9</v>
      </c>
      <c r="AB33" s="24">
        <v>22.95</v>
      </c>
      <c r="AC33" s="24">
        <v>24.5</v>
      </c>
      <c r="AD33" s="24">
        <v>28</v>
      </c>
      <c r="AE33" s="24">
        <v>23.5</v>
      </c>
    </row>
    <row r="34" spans="2:33" x14ac:dyDescent="0.25">
      <c r="B34" s="19" t="s">
        <v>29</v>
      </c>
      <c r="C34" s="20">
        <v>-0.16000000000000003</v>
      </c>
      <c r="D34" s="20">
        <v>0.28571428571428581</v>
      </c>
      <c r="E34" s="20">
        <v>-0.2592592592592593</v>
      </c>
      <c r="F34" s="20">
        <v>6.0000000000000053E-2</v>
      </c>
      <c r="G34" s="20">
        <v>-5.8962264150943411E-2</v>
      </c>
      <c r="H34" s="20">
        <v>-1.7543859649122751E-2</v>
      </c>
      <c r="I34" s="20">
        <v>0.31632653061224492</v>
      </c>
      <c r="J34" s="20">
        <v>-3.1007751937984551E-2</v>
      </c>
      <c r="K34" s="20">
        <v>0.28000000000000003</v>
      </c>
      <c r="L34" s="20">
        <v>-8.2812499999999956E-2</v>
      </c>
      <c r="M34" s="20">
        <v>-1.8739352640545159E-2</v>
      </c>
      <c r="N34" s="21"/>
      <c r="O34" s="20">
        <v>-0.20138888888888895</v>
      </c>
      <c r="P34" s="22" t="s">
        <v>29</v>
      </c>
      <c r="Q34" s="23"/>
      <c r="R34" s="20">
        <v>-7.9999999999999738E-2</v>
      </c>
      <c r="T34" s="24">
        <v>25</v>
      </c>
      <c r="U34" s="24">
        <v>21</v>
      </c>
      <c r="V34" s="24">
        <v>27</v>
      </c>
      <c r="W34" s="24">
        <v>20</v>
      </c>
      <c r="X34" s="24">
        <v>21.2</v>
      </c>
      <c r="Y34" s="24">
        <v>19.95</v>
      </c>
      <c r="Z34" s="24">
        <v>19.600000000000001</v>
      </c>
      <c r="AA34" s="24">
        <v>25.8</v>
      </c>
      <c r="AB34" s="24">
        <v>25</v>
      </c>
      <c r="AC34" s="24">
        <v>32</v>
      </c>
      <c r="AD34" s="24">
        <v>29.35</v>
      </c>
      <c r="AE34" s="24">
        <v>28.8</v>
      </c>
    </row>
    <row r="35" spans="2:33" x14ac:dyDescent="0.25">
      <c r="B35" s="19" t="s">
        <v>30</v>
      </c>
      <c r="C35" s="20">
        <v>0.27037516170763243</v>
      </c>
      <c r="D35" s="20">
        <v>0.20578167772511313</v>
      </c>
      <c r="E35" s="20">
        <v>4.0358744394618729E-2</v>
      </c>
      <c r="F35" s="20">
        <v>0.13685344827586232</v>
      </c>
      <c r="G35" s="20">
        <v>-0.29004739336492891</v>
      </c>
      <c r="H35" s="20">
        <v>8.8117489986648811E-2</v>
      </c>
      <c r="I35" s="20">
        <v>0.63190184049079767</v>
      </c>
      <c r="J35" s="20">
        <v>-7.5187969924812026E-2</v>
      </c>
      <c r="K35" s="20">
        <v>0.13008130081300817</v>
      </c>
      <c r="L35" s="20">
        <v>-0.14388489208633093</v>
      </c>
      <c r="M35" s="20">
        <v>-0.19495798319327728</v>
      </c>
      <c r="N35" s="21"/>
      <c r="O35" s="20">
        <v>-0.22233820459290188</v>
      </c>
      <c r="P35" s="22" t="s">
        <v>30</v>
      </c>
      <c r="Q35" s="23"/>
      <c r="R35" s="20">
        <v>0.27935800997644056</v>
      </c>
      <c r="T35" s="24">
        <v>5.82323317</v>
      </c>
      <c r="U35" s="24">
        <v>7.3976907799999996</v>
      </c>
      <c r="V35" s="24">
        <v>8.92</v>
      </c>
      <c r="W35" s="24">
        <v>9.2799999999999994</v>
      </c>
      <c r="X35" s="24">
        <v>10.55</v>
      </c>
      <c r="Y35" s="24">
        <v>7.49</v>
      </c>
      <c r="Z35" s="24">
        <v>8.15</v>
      </c>
      <c r="AA35" s="24">
        <v>13.3</v>
      </c>
      <c r="AB35" s="24">
        <v>12.3</v>
      </c>
      <c r="AC35" s="24">
        <v>13.9</v>
      </c>
      <c r="AD35" s="24">
        <v>11.9</v>
      </c>
      <c r="AE35" s="24">
        <v>9.58</v>
      </c>
    </row>
    <row r="36" spans="2:33" x14ac:dyDescent="0.25">
      <c r="B36" s="19" t="s">
        <v>31</v>
      </c>
      <c r="C36" s="20">
        <v>-0.28070175438596501</v>
      </c>
      <c r="D36" s="20">
        <v>8.2317073170731891E-2</v>
      </c>
      <c r="E36" s="20">
        <v>0.16619718309859155</v>
      </c>
      <c r="F36" s="20">
        <v>3.1400966183575019E-2</v>
      </c>
      <c r="G36" s="20">
        <v>-0.4660421545667448</v>
      </c>
      <c r="H36" s="20">
        <v>0.32894736842105265</v>
      </c>
      <c r="I36" s="20">
        <v>-7.2607260726072598E-2</v>
      </c>
      <c r="J36" s="20">
        <v>-3.558718861210064E-3</v>
      </c>
      <c r="K36" s="20">
        <v>0.15714285714285703</v>
      </c>
      <c r="L36" s="20">
        <v>0.11419753086419759</v>
      </c>
      <c r="M36" s="20">
        <v>-0.14681440443213301</v>
      </c>
      <c r="N36" s="21"/>
      <c r="O36" s="20">
        <v>-0.23376623376623373</v>
      </c>
      <c r="P36" s="22" t="s">
        <v>31</v>
      </c>
      <c r="Q36" s="23"/>
      <c r="R36" s="20">
        <v>-0.48245614035087714</v>
      </c>
      <c r="T36" s="24">
        <v>22.8</v>
      </c>
      <c r="U36" s="24">
        <v>16.399999999999999</v>
      </c>
      <c r="V36" s="24">
        <v>17.75</v>
      </c>
      <c r="W36" s="24">
        <v>20.7</v>
      </c>
      <c r="X36" s="24">
        <v>21.35</v>
      </c>
      <c r="Y36" s="24">
        <v>11.4</v>
      </c>
      <c r="Z36" s="24">
        <v>15.15</v>
      </c>
      <c r="AA36" s="24">
        <v>14.05</v>
      </c>
      <c r="AB36" s="24">
        <v>14</v>
      </c>
      <c r="AC36" s="24">
        <v>16.2</v>
      </c>
      <c r="AD36" s="24">
        <v>18.05</v>
      </c>
      <c r="AE36" s="24">
        <v>15.4</v>
      </c>
    </row>
    <row r="37" spans="2:33" x14ac:dyDescent="0.25">
      <c r="B37" s="19" t="s">
        <v>32</v>
      </c>
      <c r="C37" s="20">
        <v>-6.2222222220424062E-2</v>
      </c>
      <c r="D37" s="20">
        <v>8.3007202775162714E-3</v>
      </c>
      <c r="E37" s="20">
        <v>0.10885045778208857</v>
      </c>
      <c r="F37" s="20">
        <v>-5.7339449538857834E-2</v>
      </c>
      <c r="G37" s="20">
        <v>-0.32802351640004845</v>
      </c>
      <c r="H37" s="20">
        <v>0.26436781609330917</v>
      </c>
      <c r="I37" s="20">
        <v>7.8726748971712279E-2</v>
      </c>
      <c r="J37" s="20">
        <v>-0.15342465753424661</v>
      </c>
      <c r="K37" s="20">
        <v>0.24595469255663427</v>
      </c>
      <c r="L37" s="20">
        <v>-6.7532467532467555E-2</v>
      </c>
      <c r="M37" s="20">
        <v>-4.0389972144846742E-2</v>
      </c>
      <c r="N37" s="21"/>
      <c r="O37" s="20">
        <v>-0.23981850456143694</v>
      </c>
      <c r="P37" s="22" t="s">
        <v>32</v>
      </c>
      <c r="Q37" s="23"/>
      <c r="R37" s="20">
        <v>-0.3500634838719251</v>
      </c>
      <c r="T37" s="24">
        <v>76.622868178999994</v>
      </c>
      <c r="U37" s="24">
        <v>71.855223047999999</v>
      </c>
      <c r="V37" s="24">
        <v>72.451673154999995</v>
      </c>
      <c r="W37" s="24">
        <v>80.338070944999998</v>
      </c>
      <c r="X37" s="24">
        <v>75.731530179999993</v>
      </c>
      <c r="Y37" s="24">
        <v>50.889807347999998</v>
      </c>
      <c r="Z37" s="24">
        <v>64.343434578</v>
      </c>
      <c r="AA37" s="24">
        <v>69.408984000000004</v>
      </c>
      <c r="AB37" s="24">
        <v>58.759934399999999</v>
      </c>
      <c r="AC37" s="24">
        <v>73.212215999999998</v>
      </c>
      <c r="AD37" s="24">
        <v>68.268014399999998</v>
      </c>
      <c r="AE37" s="24">
        <v>65.510671200000004</v>
      </c>
    </row>
    <row r="38" spans="2:33" x14ac:dyDescent="0.25">
      <c r="B38" s="19" t="s">
        <v>33</v>
      </c>
      <c r="C38" s="20">
        <v>-0.2241017456138773</v>
      </c>
      <c r="D38" s="20">
        <v>6.9264069264069139E-2</v>
      </c>
      <c r="E38" s="20">
        <v>0.1174089068825912</v>
      </c>
      <c r="F38" s="20">
        <v>1.0869565217391131E-2</v>
      </c>
      <c r="G38" s="20">
        <v>-0.21146953405017921</v>
      </c>
      <c r="H38" s="20">
        <v>0.42727272727272725</v>
      </c>
      <c r="I38" s="20">
        <v>0.49681528662420393</v>
      </c>
      <c r="J38" s="20">
        <v>1.276595744680864E-2</v>
      </c>
      <c r="K38" s="20">
        <v>7.7731092436974736E-2</v>
      </c>
      <c r="L38" s="20">
        <v>-7.6023391812865437E-2</v>
      </c>
      <c r="M38" s="20">
        <v>-0.1371308016877637</v>
      </c>
      <c r="N38" s="21"/>
      <c r="O38" s="20">
        <v>-0.24205378973105129</v>
      </c>
      <c r="P38" s="22" t="s">
        <v>33</v>
      </c>
      <c r="Q38" s="23"/>
      <c r="R38" s="20">
        <v>4.1248739652372635E-2</v>
      </c>
      <c r="T38" s="24">
        <v>14.8859724</v>
      </c>
      <c r="U38" s="24">
        <v>11.55</v>
      </c>
      <c r="V38" s="24">
        <v>12.35</v>
      </c>
      <c r="W38" s="24">
        <v>13.8</v>
      </c>
      <c r="X38" s="24">
        <v>13.95</v>
      </c>
      <c r="Y38" s="24">
        <v>11</v>
      </c>
      <c r="Z38" s="24">
        <v>15.7</v>
      </c>
      <c r="AA38" s="24">
        <v>23.5</v>
      </c>
      <c r="AB38" s="24">
        <v>23.8</v>
      </c>
      <c r="AC38" s="24">
        <v>25.65</v>
      </c>
      <c r="AD38" s="24">
        <v>23.7</v>
      </c>
      <c r="AE38" s="24">
        <v>20.45</v>
      </c>
    </row>
    <row r="39" spans="2:33" x14ac:dyDescent="0.25">
      <c r="B39" s="19" t="s">
        <v>34</v>
      </c>
      <c r="C39" s="20">
        <v>-6.7948717948717929E-2</v>
      </c>
      <c r="D39" s="20">
        <v>0.27372764786795045</v>
      </c>
      <c r="E39" s="20">
        <v>-4.643628509719222E-2</v>
      </c>
      <c r="F39" s="20">
        <v>-1.6987542468856143E-2</v>
      </c>
      <c r="G39" s="20">
        <v>-0.17050691244239624</v>
      </c>
      <c r="H39" s="20">
        <v>0.20833333333333326</v>
      </c>
      <c r="I39" s="20">
        <v>5.5172413793103336E-2</v>
      </c>
      <c r="J39" s="20">
        <v>8.9324618736383421E-2</v>
      </c>
      <c r="K39" s="20">
        <v>0.15200000000000014</v>
      </c>
      <c r="L39" s="20">
        <v>0.1840277777777779</v>
      </c>
      <c r="M39" s="20">
        <v>-0.1055718475073314</v>
      </c>
      <c r="N39" s="21"/>
      <c r="O39" s="20">
        <v>-0.24590163934426235</v>
      </c>
      <c r="P39" s="22" t="s">
        <v>34</v>
      </c>
      <c r="Q39" s="23"/>
      <c r="R39" s="20">
        <v>0.17948717948717929</v>
      </c>
      <c r="T39" s="24">
        <v>39</v>
      </c>
      <c r="U39" s="24">
        <v>36.35</v>
      </c>
      <c r="V39" s="24">
        <v>46.3</v>
      </c>
      <c r="W39" s="24">
        <v>44.15</v>
      </c>
      <c r="X39" s="24">
        <v>43.4</v>
      </c>
      <c r="Y39" s="24">
        <v>36</v>
      </c>
      <c r="Z39" s="24">
        <v>43.5</v>
      </c>
      <c r="AA39" s="24">
        <v>45.9</v>
      </c>
      <c r="AB39" s="24">
        <v>50</v>
      </c>
      <c r="AC39" s="24">
        <v>57.6</v>
      </c>
      <c r="AD39" s="24">
        <v>68.2</v>
      </c>
      <c r="AE39" s="24">
        <v>61</v>
      </c>
    </row>
    <row r="40" spans="2:33" x14ac:dyDescent="0.25">
      <c r="B40" s="19" t="s">
        <v>35</v>
      </c>
      <c r="C40" s="20">
        <v>-0.13281934256766115</v>
      </c>
      <c r="D40" s="20">
        <v>0.28705752211918467</v>
      </c>
      <c r="E40" s="20">
        <v>6.14525139676807E-2</v>
      </c>
      <c r="F40" s="20">
        <v>0.11093117408639208</v>
      </c>
      <c r="G40" s="20">
        <v>-0.31158892128062998</v>
      </c>
      <c r="H40" s="20">
        <v>0.13393329803771925</v>
      </c>
      <c r="I40" s="20">
        <v>0.12978524743786313</v>
      </c>
      <c r="J40" s="20">
        <v>-0.21069443283764056</v>
      </c>
      <c r="K40" s="20">
        <v>0.1848418756815704</v>
      </c>
      <c r="L40" s="20">
        <v>-4.003681546249438E-2</v>
      </c>
      <c r="M40" s="20">
        <v>-0.10690316395014376</v>
      </c>
      <c r="N40" s="21"/>
      <c r="O40" s="20">
        <v>-0.24745034889962425</v>
      </c>
      <c r="P40" s="22" t="s">
        <v>35</v>
      </c>
      <c r="Q40" s="23"/>
      <c r="R40" s="20">
        <v>-0.29964155393469694</v>
      </c>
      <c r="T40" s="24">
        <v>100.091603655</v>
      </c>
      <c r="U40" s="24">
        <v>86.797502660999996</v>
      </c>
      <c r="V40" s="24">
        <v>111.713378701</v>
      </c>
      <c r="W40" s="24">
        <v>118.578446666</v>
      </c>
      <c r="X40" s="24">
        <v>131.732492976</v>
      </c>
      <c r="Y40" s="24">
        <v>90.686107591999999</v>
      </c>
      <c r="Z40" s="24">
        <v>102.83199706800001</v>
      </c>
      <c r="AA40" s="24">
        <v>116.178073252</v>
      </c>
      <c r="AB40" s="24">
        <v>91.7</v>
      </c>
      <c r="AC40" s="24">
        <v>108.65</v>
      </c>
      <c r="AD40" s="24">
        <v>104.3</v>
      </c>
      <c r="AE40" s="24">
        <v>93.15</v>
      </c>
    </row>
    <row r="41" spans="2:33" x14ac:dyDescent="0.25">
      <c r="B41" s="19" t="s">
        <v>36</v>
      </c>
      <c r="C41" s="20">
        <v>-0.14285714285714268</v>
      </c>
      <c r="D41" s="20">
        <v>0.24324324324324298</v>
      </c>
      <c r="E41" s="20">
        <v>0.12318840579710155</v>
      </c>
      <c r="F41" s="20">
        <v>-6.7741935483870974E-2</v>
      </c>
      <c r="G41" s="20">
        <v>-0.2214532871972319</v>
      </c>
      <c r="H41" s="20">
        <v>0.16888888888888887</v>
      </c>
      <c r="I41" s="20">
        <v>6.4638783269961975E-2</v>
      </c>
      <c r="J41" s="20">
        <v>-1.7857142857142794E-2</v>
      </c>
      <c r="K41" s="20">
        <v>0.17454545454545456</v>
      </c>
      <c r="L41" s="20">
        <v>0.14551083591331282</v>
      </c>
      <c r="M41" s="20">
        <v>-0.17297297297297298</v>
      </c>
      <c r="N41" s="21"/>
      <c r="O41" s="20">
        <v>-0.24836601307189532</v>
      </c>
      <c r="P41" s="22" t="s">
        <v>36</v>
      </c>
      <c r="Q41" s="23"/>
      <c r="R41" s="20">
        <v>-0.11196911196911141</v>
      </c>
      <c r="T41" s="24">
        <v>2.59</v>
      </c>
      <c r="U41" s="24">
        <v>2.2200000000000002</v>
      </c>
      <c r="V41" s="24">
        <v>2.76</v>
      </c>
      <c r="W41" s="24">
        <v>3.1</v>
      </c>
      <c r="X41" s="24">
        <v>2.89</v>
      </c>
      <c r="Y41" s="24">
        <v>2.25</v>
      </c>
      <c r="Z41" s="24">
        <v>2.63</v>
      </c>
      <c r="AA41" s="24">
        <v>2.8</v>
      </c>
      <c r="AB41" s="24">
        <v>2.75</v>
      </c>
      <c r="AC41" s="24">
        <v>3.23</v>
      </c>
      <c r="AD41" s="24">
        <v>3.7</v>
      </c>
      <c r="AE41" s="24">
        <v>3.06</v>
      </c>
    </row>
    <row r="42" spans="2:33" x14ac:dyDescent="0.25">
      <c r="B42" s="19" t="s">
        <v>37</v>
      </c>
      <c r="C42" s="20">
        <v>-0.19776119402985082</v>
      </c>
      <c r="D42" s="20">
        <v>0.20930232558139528</v>
      </c>
      <c r="E42" s="20">
        <v>0.14615384615384608</v>
      </c>
      <c r="F42" s="20">
        <v>0.12919463087248317</v>
      </c>
      <c r="G42" s="20">
        <v>-0.36106983655274882</v>
      </c>
      <c r="H42" s="20">
        <v>0.19767441860465107</v>
      </c>
      <c r="I42" s="20">
        <v>0.26213592233009719</v>
      </c>
      <c r="J42" s="20">
        <v>-7.6923076923076872E-2</v>
      </c>
      <c r="K42" s="20">
        <v>0.22500000000000009</v>
      </c>
      <c r="L42" s="20">
        <v>-4.7619047619047672E-2</v>
      </c>
      <c r="M42" s="20">
        <v>-0.1428571428571429</v>
      </c>
      <c r="N42" s="21"/>
      <c r="O42" s="20">
        <v>-0.25</v>
      </c>
      <c r="P42" s="22" t="s">
        <v>37</v>
      </c>
      <c r="Q42" s="23"/>
      <c r="R42" s="20">
        <v>-0.16044776119402993</v>
      </c>
      <c r="T42" s="24">
        <v>53.6</v>
      </c>
      <c r="U42" s="24">
        <v>43</v>
      </c>
      <c r="V42" s="24">
        <v>52</v>
      </c>
      <c r="W42" s="24">
        <v>59.6</v>
      </c>
      <c r="X42" s="24">
        <v>67.3</v>
      </c>
      <c r="Y42" s="24">
        <v>43</v>
      </c>
      <c r="Z42" s="24">
        <v>51.5</v>
      </c>
      <c r="AA42" s="24">
        <v>65</v>
      </c>
      <c r="AB42" s="24">
        <v>60</v>
      </c>
      <c r="AC42" s="24">
        <v>73.5</v>
      </c>
      <c r="AD42" s="24">
        <v>70</v>
      </c>
      <c r="AE42" s="24">
        <v>60</v>
      </c>
    </row>
    <row r="43" spans="2:33" x14ac:dyDescent="0.25">
      <c r="B43" s="19" t="s">
        <v>38</v>
      </c>
      <c r="C43" s="20">
        <v>0.44055944055944063</v>
      </c>
      <c r="D43" s="20">
        <v>-0.22815533980582525</v>
      </c>
      <c r="E43" s="20">
        <v>-0.11949685534591192</v>
      </c>
      <c r="F43" s="20">
        <v>5.7142857142857162E-2</v>
      </c>
      <c r="G43" s="20">
        <v>-0.12162162162162171</v>
      </c>
      <c r="H43" s="20">
        <v>6.1538461538461542E-2</v>
      </c>
      <c r="I43" s="20">
        <v>5.7971014492753437E-2</v>
      </c>
      <c r="J43" s="20">
        <v>0.16301369863013715</v>
      </c>
      <c r="K43" s="20">
        <v>0.1425206124852767</v>
      </c>
      <c r="L43" s="20">
        <v>-0.12371134020618546</v>
      </c>
      <c r="M43" s="20">
        <v>5.8823529411764719E-2</v>
      </c>
      <c r="N43" s="21"/>
      <c r="O43" s="20">
        <v>-0.25555555555555554</v>
      </c>
      <c r="P43" s="22" t="s">
        <v>38</v>
      </c>
      <c r="Q43" s="23"/>
      <c r="R43" s="20">
        <v>-6.2937062937062915E-2</v>
      </c>
      <c r="T43" s="24">
        <v>7.15</v>
      </c>
      <c r="U43" s="24">
        <v>10.3</v>
      </c>
      <c r="V43" s="24">
        <v>7.95</v>
      </c>
      <c r="W43" s="24">
        <v>7</v>
      </c>
      <c r="X43" s="24">
        <v>7.4</v>
      </c>
      <c r="Y43" s="24">
        <v>6.5</v>
      </c>
      <c r="Z43" s="24">
        <v>6.9</v>
      </c>
      <c r="AA43" s="24">
        <v>7.3</v>
      </c>
      <c r="AB43" s="24">
        <v>8.49</v>
      </c>
      <c r="AC43" s="24">
        <v>9.6999999999999993</v>
      </c>
      <c r="AD43" s="24">
        <v>8.5</v>
      </c>
      <c r="AE43" s="24">
        <v>9</v>
      </c>
    </row>
    <row r="44" spans="2:33" x14ac:dyDescent="0.25">
      <c r="B44" s="19" t="s">
        <v>39</v>
      </c>
      <c r="C44" s="20">
        <v>-6.1538461538461542E-2</v>
      </c>
      <c r="D44" s="20">
        <v>0.14426229508196742</v>
      </c>
      <c r="E44" s="20">
        <v>-1.4326647564469996E-2</v>
      </c>
      <c r="F44" s="20">
        <v>-1.4534883720930147E-2</v>
      </c>
      <c r="G44" s="20">
        <v>-0.20353982300884954</v>
      </c>
      <c r="H44" s="20">
        <v>0.18518518518518512</v>
      </c>
      <c r="I44" s="20">
        <v>0.40625</v>
      </c>
      <c r="J44" s="20">
        <v>0.17777777777777781</v>
      </c>
      <c r="K44" s="20">
        <v>0.4528301886792454</v>
      </c>
      <c r="L44" s="20">
        <v>-0.17532467532467544</v>
      </c>
      <c r="M44" s="20">
        <v>-9.4488188976377896E-2</v>
      </c>
      <c r="N44" s="21"/>
      <c r="O44" s="20">
        <v>-0.26086956521739135</v>
      </c>
      <c r="P44" s="22" t="s">
        <v>39</v>
      </c>
      <c r="Q44" s="23"/>
      <c r="R44" s="20">
        <v>0.30769230769230771</v>
      </c>
      <c r="T44" s="24">
        <v>3.25</v>
      </c>
      <c r="U44" s="24">
        <v>3.05</v>
      </c>
      <c r="V44" s="24">
        <v>3.49</v>
      </c>
      <c r="W44" s="24">
        <v>3.44</v>
      </c>
      <c r="X44" s="24">
        <v>3.39</v>
      </c>
      <c r="Y44" s="24">
        <v>2.7</v>
      </c>
      <c r="Z44" s="24">
        <v>3.2</v>
      </c>
      <c r="AA44" s="24">
        <v>4.5</v>
      </c>
      <c r="AB44" s="24">
        <v>5.3</v>
      </c>
      <c r="AC44" s="24">
        <v>7.7</v>
      </c>
      <c r="AD44" s="24">
        <v>6.35</v>
      </c>
      <c r="AE44" s="24">
        <v>5.75</v>
      </c>
      <c r="AG44" t="e">
        <v>#N/A</v>
      </c>
    </row>
    <row r="45" spans="2:33" x14ac:dyDescent="0.25">
      <c r="B45" s="19" t="s">
        <v>40</v>
      </c>
      <c r="C45" s="20">
        <v>-0.15964240101390426</v>
      </c>
      <c r="D45" s="20">
        <v>0.27208604858220276</v>
      </c>
      <c r="E45" s="20">
        <v>0.10817941952506582</v>
      </c>
      <c r="F45" s="20">
        <v>0.20081817674133817</v>
      </c>
      <c r="G45" s="20">
        <v>-0.39759036144578308</v>
      </c>
      <c r="H45" s="20">
        <v>-1.0000000000000009E-2</v>
      </c>
      <c r="I45" s="20">
        <v>6.0606060606060552E-2</v>
      </c>
      <c r="J45" s="20">
        <v>0.13174603174603172</v>
      </c>
      <c r="K45" s="20">
        <v>0.22580645161290325</v>
      </c>
      <c r="L45" s="20">
        <v>9.8398169336384456E-2</v>
      </c>
      <c r="M45" s="20">
        <v>-6.25E-2</v>
      </c>
      <c r="N45" s="21"/>
      <c r="O45" s="20">
        <v>-0.26666666666666672</v>
      </c>
      <c r="P45" s="22" t="s">
        <v>40</v>
      </c>
      <c r="Q45" s="23"/>
      <c r="R45" s="20">
        <v>-5.7345485255543172E-2</v>
      </c>
      <c r="T45" s="24">
        <v>35.007523417999998</v>
      </c>
      <c r="U45" s="24">
        <v>29.418838325999999</v>
      </c>
      <c r="V45" s="24">
        <v>37.423293800000003</v>
      </c>
      <c r="W45" s="24">
        <v>41.471724000000002</v>
      </c>
      <c r="X45" s="24">
        <v>49.8</v>
      </c>
      <c r="Y45" s="24">
        <v>30</v>
      </c>
      <c r="Z45" s="24">
        <v>29.7</v>
      </c>
      <c r="AA45" s="24">
        <v>31.5</v>
      </c>
      <c r="AB45" s="24">
        <v>35.65</v>
      </c>
      <c r="AC45" s="24">
        <v>43.7</v>
      </c>
      <c r="AD45" s="24">
        <v>48</v>
      </c>
      <c r="AE45" s="24">
        <v>45</v>
      </c>
    </row>
    <row r="46" spans="2:33" x14ac:dyDescent="0.25">
      <c r="B46" s="19" t="s">
        <v>41</v>
      </c>
      <c r="C46" s="20">
        <v>-6.4668769715825358E-2</v>
      </c>
      <c r="D46" s="20">
        <v>0.14574216160720788</v>
      </c>
      <c r="E46" s="20">
        <v>0.14630467571523065</v>
      </c>
      <c r="F46" s="20">
        <v>-5.5921052614247291E-3</v>
      </c>
      <c r="G46" s="20">
        <v>-0.2491823794490623</v>
      </c>
      <c r="H46" s="20">
        <v>0.14724480578139132</v>
      </c>
      <c r="I46" s="20">
        <v>0.20652567100706398</v>
      </c>
      <c r="J46" s="20">
        <v>6.0449050086355705E-2</v>
      </c>
      <c r="K46" s="20">
        <v>0.11270358306188943</v>
      </c>
      <c r="L46" s="20">
        <v>0.11533957845433251</v>
      </c>
      <c r="M46" s="20">
        <v>1.7060367454068137E-2</v>
      </c>
      <c r="N46" s="21"/>
      <c r="O46" s="20">
        <v>-0.26709677419354838</v>
      </c>
      <c r="P46" s="26" t="s">
        <v>41</v>
      </c>
      <c r="Q46" s="23"/>
      <c r="R46" s="20">
        <v>0.2454143136859952</v>
      </c>
      <c r="T46" s="24">
        <v>114.018281659</v>
      </c>
      <c r="U46" s="24">
        <v>106.64485965900001</v>
      </c>
      <c r="V46" s="24">
        <v>122.18751202999999</v>
      </c>
      <c r="W46" s="24">
        <v>140.06411635399999</v>
      </c>
      <c r="X46" s="24">
        <v>139.28086307199999</v>
      </c>
      <c r="Y46" s="24">
        <v>104.57452619999999</v>
      </c>
      <c r="Z46" s="24">
        <v>119.972582</v>
      </c>
      <c r="AA46" s="24">
        <v>144.75</v>
      </c>
      <c r="AB46" s="24">
        <v>153.5</v>
      </c>
      <c r="AC46" s="24">
        <v>170.8</v>
      </c>
      <c r="AD46" s="24">
        <v>190.5</v>
      </c>
      <c r="AE46" s="24">
        <v>193.75</v>
      </c>
    </row>
    <row r="47" spans="2:33" x14ac:dyDescent="0.25">
      <c r="B47" s="19" t="s">
        <v>42</v>
      </c>
      <c r="C47" s="20">
        <v>-0.1551020408163265</v>
      </c>
      <c r="D47" s="20">
        <v>1.6908212560386549E-2</v>
      </c>
      <c r="E47" s="20">
        <v>-1.5439429928741144E-2</v>
      </c>
      <c r="F47" s="20">
        <v>9.6501809408926498E-2</v>
      </c>
      <c r="G47" s="20">
        <v>-0.31133113311331129</v>
      </c>
      <c r="H47" s="20">
        <v>8.6261980830671048E-2</v>
      </c>
      <c r="I47" s="20">
        <v>0.22205882352941164</v>
      </c>
      <c r="J47" s="20">
        <v>3.3152620426686319E-2</v>
      </c>
      <c r="K47" s="20">
        <v>0.20952380952380945</v>
      </c>
      <c r="L47" s="20">
        <v>-9.5472440944881831E-2</v>
      </c>
      <c r="M47" s="20">
        <v>-4.4613710554951114E-2</v>
      </c>
      <c r="N47" s="21"/>
      <c r="O47" s="20">
        <v>-0.27107061503416852</v>
      </c>
      <c r="P47" s="22" t="s">
        <v>42</v>
      </c>
      <c r="Q47" s="23"/>
      <c r="R47" s="20">
        <v>-0.33251714085552853</v>
      </c>
      <c r="T47" s="24">
        <v>47.941305999999997</v>
      </c>
      <c r="U47" s="24">
        <v>40.505511599999998</v>
      </c>
      <c r="V47" s="24">
        <v>41.190387399999999</v>
      </c>
      <c r="W47" s="24">
        <v>40.554431299999997</v>
      </c>
      <c r="X47" s="24">
        <v>44.468007299999996</v>
      </c>
      <c r="Y47" s="24">
        <v>30.623732199999999</v>
      </c>
      <c r="Z47" s="24">
        <v>33.265396000000003</v>
      </c>
      <c r="AA47" s="24">
        <v>40.652270700000003</v>
      </c>
      <c r="AB47" s="24">
        <v>42</v>
      </c>
      <c r="AC47" s="24">
        <v>50.8</v>
      </c>
      <c r="AD47" s="24">
        <v>45.95</v>
      </c>
      <c r="AE47" s="24">
        <v>43.9</v>
      </c>
    </row>
    <row r="48" spans="2:33" x14ac:dyDescent="0.25">
      <c r="B48" s="19" t="s">
        <v>43</v>
      </c>
      <c r="C48" s="20">
        <v>-0.1608938547486034</v>
      </c>
      <c r="D48" s="20">
        <v>0.16644474034620504</v>
      </c>
      <c r="E48" s="20">
        <v>0.19634703196347036</v>
      </c>
      <c r="F48" s="20">
        <v>-7.4427480916030575E-2</v>
      </c>
      <c r="G48" s="20">
        <v>-0.39278350515463922</v>
      </c>
      <c r="H48" s="20">
        <v>0.1816638370118846</v>
      </c>
      <c r="I48" s="20">
        <v>0.30316091954022983</v>
      </c>
      <c r="J48" s="20">
        <v>4.0793825799338546E-2</v>
      </c>
      <c r="K48" s="20">
        <v>0.29237288135593231</v>
      </c>
      <c r="L48" s="20">
        <v>0.18688524590163924</v>
      </c>
      <c r="M48" s="20">
        <v>-0.1229281767955801</v>
      </c>
      <c r="N48" s="21"/>
      <c r="O48" s="20">
        <v>-0.27559055118110232</v>
      </c>
      <c r="P48" s="26" t="s">
        <v>43</v>
      </c>
      <c r="Q48" s="23"/>
      <c r="R48" s="20">
        <v>2.7932960893854997E-2</v>
      </c>
      <c r="T48" s="24">
        <v>223.75</v>
      </c>
      <c r="U48" s="24">
        <v>187.75</v>
      </c>
      <c r="V48" s="24">
        <v>219</v>
      </c>
      <c r="W48" s="24">
        <v>262</v>
      </c>
      <c r="X48" s="24">
        <v>242.5</v>
      </c>
      <c r="Y48" s="24">
        <v>147.25</v>
      </c>
      <c r="Z48" s="24">
        <v>174</v>
      </c>
      <c r="AA48" s="24">
        <v>226.75</v>
      </c>
      <c r="AB48" s="24">
        <v>236</v>
      </c>
      <c r="AC48" s="24">
        <v>305</v>
      </c>
      <c r="AD48" s="24">
        <v>362</v>
      </c>
      <c r="AE48" s="24">
        <v>317.5</v>
      </c>
    </row>
    <row r="49" spans="2:31" x14ac:dyDescent="0.25">
      <c r="B49" s="19" t="s">
        <v>44</v>
      </c>
      <c r="C49" s="20">
        <v>-5.962059620596194E-2</v>
      </c>
      <c r="D49" s="20">
        <v>5.187319884726227E-2</v>
      </c>
      <c r="E49" s="20">
        <v>0.15068493150684925</v>
      </c>
      <c r="F49" s="20">
        <v>-4.7619047619047672E-2</v>
      </c>
      <c r="G49" s="20">
        <v>-7.3750000000000093E-2</v>
      </c>
      <c r="H49" s="20">
        <v>2.0242914979757165E-2</v>
      </c>
      <c r="I49" s="20">
        <v>0.32275132275132279</v>
      </c>
      <c r="J49" s="20">
        <v>0.14200000000000013</v>
      </c>
      <c r="K49" s="20">
        <v>4.2031523642731994E-2</v>
      </c>
      <c r="L49" s="20">
        <v>2.8571428571428692E-2</v>
      </c>
      <c r="M49" s="20">
        <v>2.9411764705882248E-2</v>
      </c>
      <c r="N49" s="21"/>
      <c r="O49" s="20">
        <v>-0.2857142857142857</v>
      </c>
      <c r="P49" s="22" t="s">
        <v>44</v>
      </c>
      <c r="Q49" s="23"/>
      <c r="R49" s="20">
        <v>0.21951219512195164</v>
      </c>
      <c r="T49" s="24">
        <v>36.9</v>
      </c>
      <c r="U49" s="24">
        <v>34.700000000000003</v>
      </c>
      <c r="V49" s="24">
        <v>36.5</v>
      </c>
      <c r="W49" s="24">
        <v>42</v>
      </c>
      <c r="X49" s="24">
        <v>40</v>
      </c>
      <c r="Y49" s="24">
        <v>37.049999999999997</v>
      </c>
      <c r="Z49" s="24">
        <v>37.799999999999997</v>
      </c>
      <c r="AA49" s="24">
        <v>50</v>
      </c>
      <c r="AB49" s="24">
        <v>57.1</v>
      </c>
      <c r="AC49" s="24">
        <v>59.5</v>
      </c>
      <c r="AD49" s="24">
        <v>61.2</v>
      </c>
      <c r="AE49" s="24">
        <v>63</v>
      </c>
    </row>
    <row r="50" spans="2:31" x14ac:dyDescent="0.25">
      <c r="B50" s="19" t="s">
        <v>45</v>
      </c>
      <c r="C50" s="20">
        <v>-0.111668757841907</v>
      </c>
      <c r="D50" s="20">
        <v>1.4124293785310549E-2</v>
      </c>
      <c r="E50" s="20">
        <v>9.1922005571030585E-2</v>
      </c>
      <c r="F50" s="20">
        <v>3.1887755102040893E-2</v>
      </c>
      <c r="G50" s="20">
        <v>-0.57972805933250937</v>
      </c>
      <c r="H50" s="20">
        <v>0.11176470588235299</v>
      </c>
      <c r="I50" s="20">
        <v>0.34126984126984139</v>
      </c>
      <c r="J50" s="20">
        <v>0.1826520088251069</v>
      </c>
      <c r="K50" s="20">
        <v>0.22051282051282062</v>
      </c>
      <c r="L50" s="20">
        <v>-0.11904761904761918</v>
      </c>
      <c r="M50" s="20">
        <v>-0.16693163751987283</v>
      </c>
      <c r="N50" s="21"/>
      <c r="O50" s="20">
        <v>-0.29580152671755722</v>
      </c>
      <c r="P50" s="22" t="s">
        <v>45</v>
      </c>
      <c r="Q50" s="23"/>
      <c r="R50" s="20">
        <v>-0.52545531691057823</v>
      </c>
      <c r="T50" s="24">
        <v>38.879373549999997</v>
      </c>
      <c r="U50" s="24">
        <v>34.537762200000003</v>
      </c>
      <c r="V50" s="24">
        <v>35.025583699999999</v>
      </c>
      <c r="W50" s="24">
        <v>38.245205599999998</v>
      </c>
      <c r="X50" s="24">
        <v>39.464759350000001</v>
      </c>
      <c r="Y50" s="24">
        <v>16.585930999999999</v>
      </c>
      <c r="Z50" s="24">
        <v>18.4396527</v>
      </c>
      <c r="AA50" s="24">
        <v>24.73255005</v>
      </c>
      <c r="AB50" s="24">
        <v>29.25</v>
      </c>
      <c r="AC50" s="24">
        <v>35.700000000000003</v>
      </c>
      <c r="AD50" s="24">
        <v>31.45</v>
      </c>
      <c r="AE50" s="24">
        <v>26.2</v>
      </c>
    </row>
    <row r="51" spans="2:31" x14ac:dyDescent="0.25">
      <c r="B51" s="19" t="s">
        <v>46</v>
      </c>
      <c r="C51" s="20">
        <v>-9.9767981438515174E-2</v>
      </c>
      <c r="D51" s="20">
        <v>1.2886597938146505E-3</v>
      </c>
      <c r="E51" s="20">
        <v>6.4350064350064962E-3</v>
      </c>
      <c r="F51" s="20">
        <v>6.13810741687979E-2</v>
      </c>
      <c r="G51" s="20">
        <v>-0.59036144578313254</v>
      </c>
      <c r="H51" s="20">
        <v>0.32941176470588251</v>
      </c>
      <c r="I51" s="20">
        <v>-1.7699115044247926E-2</v>
      </c>
      <c r="J51" s="20">
        <v>-0.11486486486486491</v>
      </c>
      <c r="K51" s="20">
        <v>0.22391857506361346</v>
      </c>
      <c r="L51" s="20">
        <v>-8.5239085239085299E-2</v>
      </c>
      <c r="M51" s="20">
        <v>-0.14090909090909098</v>
      </c>
      <c r="N51" s="21"/>
      <c r="O51" s="20">
        <v>-0.29629629629629617</v>
      </c>
      <c r="P51" s="22" t="s">
        <v>46</v>
      </c>
      <c r="Q51" s="23"/>
      <c r="R51" s="20">
        <v>-0.691415313225058</v>
      </c>
      <c r="T51" s="24">
        <v>43.1</v>
      </c>
      <c r="U51" s="24">
        <v>38.799999999999997</v>
      </c>
      <c r="V51" s="24">
        <v>38.85</v>
      </c>
      <c r="W51" s="24">
        <v>39.1</v>
      </c>
      <c r="X51" s="24">
        <v>41.5</v>
      </c>
      <c r="Y51" s="24">
        <v>17</v>
      </c>
      <c r="Z51" s="24">
        <v>22.6</v>
      </c>
      <c r="AA51" s="24">
        <v>22.2</v>
      </c>
      <c r="AB51" s="24">
        <v>19.649999999999999</v>
      </c>
      <c r="AC51" s="24">
        <v>24.05</v>
      </c>
      <c r="AD51" s="24">
        <v>22</v>
      </c>
      <c r="AE51" s="24">
        <v>18.899999999999999</v>
      </c>
    </row>
    <row r="52" spans="2:31" x14ac:dyDescent="0.25">
      <c r="B52" s="19" t="s">
        <v>47</v>
      </c>
      <c r="C52" s="20">
        <v>4.4417235154767809E-3</v>
      </c>
      <c r="D52" s="20">
        <v>7.2953736654804313E-2</v>
      </c>
      <c r="E52" s="20">
        <v>0.35655058043117727</v>
      </c>
      <c r="F52" s="20">
        <v>-1.5892420537897189E-2</v>
      </c>
      <c r="G52" s="20">
        <v>-0.36521739130434783</v>
      </c>
      <c r="H52" s="20">
        <v>0.24853228962817986</v>
      </c>
      <c r="I52" s="20">
        <v>0.66144200626959249</v>
      </c>
      <c r="J52" s="20">
        <v>-9.4339622641509413E-3</v>
      </c>
      <c r="K52" s="20">
        <v>0.27619047619047632</v>
      </c>
      <c r="L52" s="20">
        <v>9.3283582089552342E-2</v>
      </c>
      <c r="M52" s="20">
        <v>-7.5085324232081918E-2</v>
      </c>
      <c r="N52" s="21"/>
      <c r="O52" s="20">
        <v>-0.29889298892988936</v>
      </c>
      <c r="P52" s="22" t="s">
        <v>47</v>
      </c>
      <c r="Q52" s="23"/>
      <c r="R52" s="20">
        <v>0.69789971056886602</v>
      </c>
      <c r="T52" s="24">
        <v>5.5951478999999997</v>
      </c>
      <c r="U52" s="24">
        <v>5.62</v>
      </c>
      <c r="V52" s="24">
        <v>6.03</v>
      </c>
      <c r="W52" s="24">
        <v>8.18</v>
      </c>
      <c r="X52" s="24">
        <v>8.0500000000000007</v>
      </c>
      <c r="Y52" s="24">
        <v>5.1100000000000003</v>
      </c>
      <c r="Z52" s="24">
        <v>6.38</v>
      </c>
      <c r="AA52" s="24">
        <v>10.6</v>
      </c>
      <c r="AB52" s="24">
        <v>10.5</v>
      </c>
      <c r="AC52" s="24">
        <v>13.4</v>
      </c>
      <c r="AD52" s="24">
        <v>14.65</v>
      </c>
      <c r="AE52" s="24">
        <v>13.55</v>
      </c>
    </row>
    <row r="53" spans="2:31" x14ac:dyDescent="0.25">
      <c r="B53" s="19" t="s">
        <v>48</v>
      </c>
      <c r="C53" s="20">
        <v>3.2000000001811912E-2</v>
      </c>
      <c r="D53" s="20">
        <v>6.2015503879371936E-2</v>
      </c>
      <c r="E53" s="20">
        <v>7.2992700713030434E-3</v>
      </c>
      <c r="F53" s="20">
        <v>-4.3478260867781171E-2</v>
      </c>
      <c r="G53" s="20">
        <v>4.2401137906604269E-2</v>
      </c>
      <c r="H53" s="20">
        <v>2.2058823529411686E-2</v>
      </c>
      <c r="I53" s="20">
        <v>0.28852190246038978</v>
      </c>
      <c r="J53" s="20">
        <v>0.3125</v>
      </c>
      <c r="K53" s="20">
        <v>1.0714285714285716</v>
      </c>
      <c r="L53" s="20">
        <v>-0.2068965517241379</v>
      </c>
      <c r="M53" s="20">
        <v>0.15942028985507251</v>
      </c>
      <c r="N53" s="21"/>
      <c r="O53" s="20">
        <v>-0.30000000000000004</v>
      </c>
      <c r="P53" s="22" t="s">
        <v>48</v>
      </c>
      <c r="Q53" s="23"/>
      <c r="R53" s="20">
        <v>1.536906964422688</v>
      </c>
      <c r="T53" s="24">
        <v>110.37062215</v>
      </c>
      <c r="U53" s="24">
        <v>113.90248205899999</v>
      </c>
      <c r="V53" s="24">
        <v>120.966201877</v>
      </c>
      <c r="W53" s="24">
        <v>121.849166854</v>
      </c>
      <c r="X53" s="24">
        <v>116.551376991</v>
      </c>
      <c r="Y53" s="24">
        <v>121.49328800000001</v>
      </c>
      <c r="Z53" s="24">
        <v>124.173287</v>
      </c>
      <c r="AA53" s="24">
        <v>160</v>
      </c>
      <c r="AB53" s="24">
        <v>210</v>
      </c>
      <c r="AC53" s="24">
        <v>435</v>
      </c>
      <c r="AD53" s="24">
        <v>345</v>
      </c>
      <c r="AE53" s="24">
        <v>400</v>
      </c>
    </row>
    <row r="54" spans="2:31" x14ac:dyDescent="0.25">
      <c r="B54" s="19" t="s">
        <v>49</v>
      </c>
      <c r="C54" s="20">
        <v>-2.2857142857142798E-2</v>
      </c>
      <c r="D54" s="20">
        <v>0.50877192982456121</v>
      </c>
      <c r="E54" s="20">
        <v>0.193798449612403</v>
      </c>
      <c r="F54" s="20">
        <v>8.4415584415584499E-2</v>
      </c>
      <c r="G54" s="20">
        <v>-0.32634730538922152</v>
      </c>
      <c r="H54" s="20">
        <v>0.25777777777777766</v>
      </c>
      <c r="I54" s="20">
        <v>0.15945930786920193</v>
      </c>
      <c r="J54" s="20">
        <v>-6.1919504643962897E-2</v>
      </c>
      <c r="K54" s="20">
        <v>0.48514851485148514</v>
      </c>
      <c r="L54" s="20">
        <v>0.64222222222222225</v>
      </c>
      <c r="M54" s="20">
        <v>-0.15426251691474957</v>
      </c>
      <c r="N54" s="21"/>
      <c r="O54" s="20">
        <v>-0.30399999999999994</v>
      </c>
      <c r="P54" s="22" t="s">
        <v>49</v>
      </c>
      <c r="Q54" s="23"/>
      <c r="R54" s="20">
        <v>1.5251700680272116</v>
      </c>
      <c r="T54" s="24">
        <v>1.72265625</v>
      </c>
      <c r="U54" s="24">
        <v>1.6832812500000001</v>
      </c>
      <c r="V54" s="24">
        <v>2.5396874999999999</v>
      </c>
      <c r="W54" s="24">
        <v>3.0318749999999999</v>
      </c>
      <c r="X54" s="24">
        <v>3.2878124999999998</v>
      </c>
      <c r="Y54" s="24">
        <v>2.21484375</v>
      </c>
      <c r="Z54" s="24">
        <v>2.7857812499999999</v>
      </c>
      <c r="AA54" s="24">
        <v>3.23</v>
      </c>
      <c r="AB54" s="24">
        <v>3.03</v>
      </c>
      <c r="AC54" s="24">
        <v>4.5</v>
      </c>
      <c r="AD54" s="24">
        <v>7.39</v>
      </c>
      <c r="AE54" s="24">
        <v>6.25</v>
      </c>
    </row>
    <row r="55" spans="2:31" x14ac:dyDescent="0.25">
      <c r="B55" s="19" t="s">
        <v>50</v>
      </c>
      <c r="C55" s="20">
        <v>-0.14951245937161439</v>
      </c>
      <c r="D55" s="20">
        <v>0.17147453150717884</v>
      </c>
      <c r="E55" s="20">
        <v>0.12289780077619672</v>
      </c>
      <c r="F55" s="20">
        <v>7.2580645161290258E-2</v>
      </c>
      <c r="G55" s="20">
        <v>-0.63157894736842102</v>
      </c>
      <c r="H55" s="20">
        <v>0.22157434402332377</v>
      </c>
      <c r="I55" s="20">
        <v>4.5346062052505909E-2</v>
      </c>
      <c r="J55" s="20">
        <v>5.2511415525114291E-2</v>
      </c>
      <c r="K55" s="20">
        <v>0.12798264642082424</v>
      </c>
      <c r="L55" s="20">
        <v>0.12692307692307692</v>
      </c>
      <c r="M55" s="20">
        <v>-0.2235494880546075</v>
      </c>
      <c r="N55" s="21"/>
      <c r="O55" s="20">
        <v>-0.30549450549450541</v>
      </c>
      <c r="P55" s="22" t="s">
        <v>50</v>
      </c>
      <c r="Q55" s="23"/>
      <c r="R55" s="20">
        <v>-0.59270564055049846</v>
      </c>
      <c r="T55" s="24">
        <v>38.792582400000001</v>
      </c>
      <c r="U55" s="24">
        <v>32.992607999999997</v>
      </c>
      <c r="V55" s="24">
        <v>38.65</v>
      </c>
      <c r="W55" s="24">
        <v>43.4</v>
      </c>
      <c r="X55" s="24">
        <v>46.55</v>
      </c>
      <c r="Y55" s="24">
        <v>17.149999999999999</v>
      </c>
      <c r="Z55" s="24">
        <v>20.95</v>
      </c>
      <c r="AA55" s="24">
        <v>21.9</v>
      </c>
      <c r="AB55" s="24">
        <v>23.05</v>
      </c>
      <c r="AC55" s="24">
        <v>26</v>
      </c>
      <c r="AD55" s="24">
        <v>29.3</v>
      </c>
      <c r="AE55" s="24">
        <v>22.75</v>
      </c>
    </row>
    <row r="56" spans="2:31" x14ac:dyDescent="0.25">
      <c r="B56" s="19" t="s">
        <v>51</v>
      </c>
      <c r="C56" s="20">
        <v>-0.33284883720930236</v>
      </c>
      <c r="D56" s="20">
        <v>0.11546840958605675</v>
      </c>
      <c r="E56" s="20">
        <v>0.18359375</v>
      </c>
      <c r="F56" s="20">
        <v>-3.3003300330032959E-2</v>
      </c>
      <c r="G56" s="20">
        <v>-0.60068259385665534</v>
      </c>
      <c r="H56" s="20">
        <v>0.42307692307692313</v>
      </c>
      <c r="I56" s="20">
        <v>8.7087087087087234E-2</v>
      </c>
      <c r="J56" s="20">
        <v>0.15193370165745845</v>
      </c>
      <c r="K56" s="20">
        <v>0.17505995203836933</v>
      </c>
      <c r="L56" s="20">
        <v>-9.7959183673469341E-2</v>
      </c>
      <c r="M56" s="20">
        <v>-0.15384615384615397</v>
      </c>
      <c r="N56" s="21"/>
      <c r="O56" s="20">
        <v>-0.31550802139037426</v>
      </c>
      <c r="P56" s="22" t="s">
        <v>51</v>
      </c>
      <c r="Q56" s="23"/>
      <c r="R56" s="20">
        <v>-0.62790697674418605</v>
      </c>
      <c r="T56" s="24">
        <v>34.4</v>
      </c>
      <c r="U56" s="24">
        <v>22.95</v>
      </c>
      <c r="V56" s="24">
        <v>25.6</v>
      </c>
      <c r="W56" s="24">
        <v>30.3</v>
      </c>
      <c r="X56" s="24">
        <v>29.3</v>
      </c>
      <c r="Y56" s="24">
        <v>11.7</v>
      </c>
      <c r="Z56" s="24">
        <v>16.649999999999999</v>
      </c>
      <c r="AA56" s="24">
        <v>18.100000000000001</v>
      </c>
      <c r="AB56" s="24">
        <v>20.85</v>
      </c>
      <c r="AC56" s="24">
        <v>24.5</v>
      </c>
      <c r="AD56" s="24">
        <v>22.1</v>
      </c>
      <c r="AE56" s="24">
        <v>18.7</v>
      </c>
    </row>
    <row r="57" spans="2:31" x14ac:dyDescent="0.25">
      <c r="B57" s="19" t="s">
        <v>52</v>
      </c>
      <c r="C57" s="20">
        <v>7.7551020408163307E-2</v>
      </c>
      <c r="D57" s="20">
        <v>8.0808080808080662E-2</v>
      </c>
      <c r="E57" s="20">
        <v>7.4766355140186924E-2</v>
      </c>
      <c r="F57" s="20">
        <v>-1.7391304347825987E-2</v>
      </c>
      <c r="G57" s="20">
        <v>-0.42389380530973453</v>
      </c>
      <c r="H57" s="20">
        <v>0.19354838709677424</v>
      </c>
      <c r="I57" s="20">
        <v>0.14671814671814687</v>
      </c>
      <c r="J57" s="20">
        <v>-7.96857463524131E-2</v>
      </c>
      <c r="K57" s="20">
        <v>0.1426829268292682</v>
      </c>
      <c r="L57" s="20">
        <v>0.25933831376734284</v>
      </c>
      <c r="M57" s="20">
        <v>-0.24152542372881369</v>
      </c>
      <c r="N57" s="21"/>
      <c r="O57" s="20">
        <v>-0.32067039106145245</v>
      </c>
      <c r="P57" s="22" t="s">
        <v>52</v>
      </c>
      <c r="Q57" s="23"/>
      <c r="R57" s="20">
        <v>-0.33823129251700679</v>
      </c>
      <c r="T57" s="24">
        <v>9.1875</v>
      </c>
      <c r="U57" s="24">
        <v>9.9</v>
      </c>
      <c r="V57" s="24">
        <v>10.7</v>
      </c>
      <c r="W57" s="24">
        <v>11.5</v>
      </c>
      <c r="X57" s="24">
        <v>11.3</v>
      </c>
      <c r="Y57" s="24">
        <v>6.51</v>
      </c>
      <c r="Z57" s="24">
        <v>7.77</v>
      </c>
      <c r="AA57" s="24">
        <v>8.91</v>
      </c>
      <c r="AB57" s="24">
        <v>8.1999999999999993</v>
      </c>
      <c r="AC57" s="24">
        <v>9.3699999999999992</v>
      </c>
      <c r="AD57" s="24">
        <v>11.8</v>
      </c>
      <c r="AE57" s="24">
        <v>8.9499999999999993</v>
      </c>
    </row>
    <row r="58" spans="2:31" x14ac:dyDescent="0.25">
      <c r="B58" s="19" t="s">
        <v>53</v>
      </c>
      <c r="C58" s="20">
        <v>-0.25</v>
      </c>
      <c r="D58" s="20">
        <v>8.9799777879397968E-2</v>
      </c>
      <c r="E58" s="20">
        <v>0.30136986301369872</v>
      </c>
      <c r="F58" s="20">
        <v>0.20526315789473681</v>
      </c>
      <c r="G58" s="20">
        <v>-0.55021834061135366</v>
      </c>
      <c r="H58" s="20">
        <v>0.33980582524271852</v>
      </c>
      <c r="I58" s="20">
        <v>-0.10869565217391308</v>
      </c>
      <c r="J58" s="20">
        <v>8.1300813008130079E-2</v>
      </c>
      <c r="K58" s="20">
        <v>0.24060150375939848</v>
      </c>
      <c r="L58" s="20">
        <v>0.17575757575757578</v>
      </c>
      <c r="M58" s="20">
        <v>-0.13402061855670089</v>
      </c>
      <c r="N58" s="21"/>
      <c r="O58" s="20">
        <v>-0.3214285714285714</v>
      </c>
      <c r="P58" s="22" t="s">
        <v>53</v>
      </c>
      <c r="Q58" s="23"/>
      <c r="R58" s="20">
        <v>-0.36179533555692756</v>
      </c>
      <c r="T58" s="24">
        <v>17.862608399999999</v>
      </c>
      <c r="U58" s="24">
        <v>13.396956299999999</v>
      </c>
      <c r="V58" s="24">
        <v>14.6</v>
      </c>
      <c r="W58" s="24">
        <v>19</v>
      </c>
      <c r="X58" s="24">
        <v>22.9</v>
      </c>
      <c r="Y58" s="24">
        <v>10.3</v>
      </c>
      <c r="Z58" s="24">
        <v>13.8</v>
      </c>
      <c r="AA58" s="24">
        <v>12.3</v>
      </c>
      <c r="AB58" s="24">
        <v>13.3</v>
      </c>
      <c r="AC58" s="24">
        <v>16.5</v>
      </c>
      <c r="AD58" s="24">
        <v>19.399999999999999</v>
      </c>
      <c r="AE58" s="24">
        <v>16.8</v>
      </c>
    </row>
    <row r="59" spans="2:31" x14ac:dyDescent="0.25">
      <c r="B59" s="19" t="s">
        <v>54</v>
      </c>
      <c r="C59" s="20">
        <v>-4.5081967213114638E-2</v>
      </c>
      <c r="D59" s="20">
        <v>-4.2918454935623185E-3</v>
      </c>
      <c r="E59" s="20">
        <v>4.31034482758621E-2</v>
      </c>
      <c r="F59" s="20">
        <v>4.9586776859504189E-2</v>
      </c>
      <c r="G59" s="20">
        <v>-0.21259842519685035</v>
      </c>
      <c r="H59" s="20">
        <v>0.125</v>
      </c>
      <c r="I59" s="20">
        <v>0.12888888888888883</v>
      </c>
      <c r="J59" s="20">
        <v>7.8740157480315043E-2</v>
      </c>
      <c r="K59" s="20">
        <v>0.26277372262773735</v>
      </c>
      <c r="L59" s="20">
        <v>9.8265895953757232E-2</v>
      </c>
      <c r="M59" s="20">
        <v>-8.9473684210526261E-2</v>
      </c>
      <c r="N59" s="21"/>
      <c r="O59" s="20">
        <v>-0.33815028901734101</v>
      </c>
      <c r="P59" s="22" t="s">
        <v>54</v>
      </c>
      <c r="Q59" s="23"/>
      <c r="R59" s="20">
        <v>-6.1475409836065253E-2</v>
      </c>
      <c r="T59" s="24">
        <v>12.2</v>
      </c>
      <c r="U59" s="24">
        <v>11.65</v>
      </c>
      <c r="V59" s="24">
        <v>11.6</v>
      </c>
      <c r="W59" s="24">
        <v>12.1</v>
      </c>
      <c r="X59" s="24">
        <v>12.7</v>
      </c>
      <c r="Y59" s="24">
        <v>10</v>
      </c>
      <c r="Z59" s="24">
        <v>11.25</v>
      </c>
      <c r="AA59" s="24">
        <v>12.7</v>
      </c>
      <c r="AB59" s="24">
        <v>13.7</v>
      </c>
      <c r="AC59" s="24">
        <v>17.3</v>
      </c>
      <c r="AD59" s="24">
        <v>19</v>
      </c>
      <c r="AE59" s="24">
        <v>17.3</v>
      </c>
    </row>
    <row r="60" spans="2:31" x14ac:dyDescent="0.25">
      <c r="B60" s="19" t="s">
        <v>55</v>
      </c>
      <c r="C60" s="20">
        <v>-0.10000000001612741</v>
      </c>
      <c r="D60" s="20">
        <v>0.14321251864747486</v>
      </c>
      <c r="E60" s="20">
        <v>0.17234042553191498</v>
      </c>
      <c r="F60" s="20">
        <v>-7.0780399274047223E-2</v>
      </c>
      <c r="G60" s="20">
        <v>-0.216796875</v>
      </c>
      <c r="H60" s="20">
        <v>6.4837905236907689E-2</v>
      </c>
      <c r="I60" s="20">
        <v>0.29976580796252916</v>
      </c>
      <c r="J60" s="20">
        <v>9.9099099099099197E-2</v>
      </c>
      <c r="K60" s="20">
        <v>0.20771159046679388</v>
      </c>
      <c r="L60" s="20">
        <v>1.571428571428557E-2</v>
      </c>
      <c r="M60" s="20">
        <v>5.6258790436005679E-3</v>
      </c>
      <c r="N60" s="21"/>
      <c r="O60" s="20">
        <v>-0.34265734265734271</v>
      </c>
      <c r="P60" s="22" t="s">
        <v>55</v>
      </c>
      <c r="Q60" s="23"/>
      <c r="R60" s="20">
        <v>8.284054857541423E-2</v>
      </c>
      <c r="T60" s="24">
        <v>43.404359083000003</v>
      </c>
      <c r="U60" s="24">
        <v>39.063923174000003</v>
      </c>
      <c r="V60" s="24">
        <v>44.658366000000001</v>
      </c>
      <c r="W60" s="24">
        <v>52.354807800000003</v>
      </c>
      <c r="X60" s="24">
        <v>48.6491136</v>
      </c>
      <c r="Y60" s="24">
        <v>38.102137800000001</v>
      </c>
      <c r="Z60" s="24">
        <v>40.572600600000001</v>
      </c>
      <c r="AA60" s="24">
        <v>52.734878999999999</v>
      </c>
      <c r="AB60" s="24">
        <v>57.960858000000002</v>
      </c>
      <c r="AC60" s="24">
        <v>70</v>
      </c>
      <c r="AD60" s="24">
        <v>71.099999999999994</v>
      </c>
      <c r="AE60" s="24">
        <v>71.5</v>
      </c>
    </row>
    <row r="61" spans="2:31" x14ac:dyDescent="0.25">
      <c r="B61" s="19" t="s">
        <v>56</v>
      </c>
      <c r="C61" s="20">
        <v>-0.11052631578947381</v>
      </c>
      <c r="D61" s="20">
        <v>3.5502958579881838E-2</v>
      </c>
      <c r="E61" s="20">
        <v>8.285714285714274E-2</v>
      </c>
      <c r="F61" s="20">
        <v>-0.11609498680738783</v>
      </c>
      <c r="G61" s="20">
        <v>-7.4626865671641784E-2</v>
      </c>
      <c r="H61" s="20">
        <v>-0.11290322580645162</v>
      </c>
      <c r="I61" s="20">
        <v>-7.0909090909090922E-2</v>
      </c>
      <c r="J61" s="20">
        <v>0.15459882583170259</v>
      </c>
      <c r="K61" s="20">
        <v>8.4745762711864403E-2</v>
      </c>
      <c r="L61" s="20">
        <v>-6.25E-2</v>
      </c>
      <c r="M61" s="20">
        <v>2.0000000000000018E-2</v>
      </c>
      <c r="N61" s="21"/>
      <c r="O61" s="20">
        <v>-0.34640522875816993</v>
      </c>
      <c r="P61" s="22" t="s">
        <v>56</v>
      </c>
      <c r="Q61" s="23"/>
      <c r="R61" s="20">
        <v>-0.47368421052631571</v>
      </c>
      <c r="T61" s="24">
        <v>38</v>
      </c>
      <c r="U61" s="24">
        <v>33.799999999999997</v>
      </c>
      <c r="V61" s="24">
        <v>35</v>
      </c>
      <c r="W61" s="24">
        <v>37.9</v>
      </c>
      <c r="X61" s="24">
        <v>33.5</v>
      </c>
      <c r="Y61" s="24">
        <v>31</v>
      </c>
      <c r="Z61" s="24">
        <v>27.5</v>
      </c>
      <c r="AA61" s="24">
        <v>25.55</v>
      </c>
      <c r="AB61" s="24">
        <v>29.5</v>
      </c>
      <c r="AC61" s="24">
        <v>32</v>
      </c>
      <c r="AD61" s="24">
        <v>30</v>
      </c>
      <c r="AE61" s="24">
        <v>30.6</v>
      </c>
    </row>
    <row r="62" spans="2:31" x14ac:dyDescent="0.25">
      <c r="B62" s="19" t="s">
        <v>57</v>
      </c>
      <c r="C62" s="20">
        <v>-0.17746913580246915</v>
      </c>
      <c r="D62" s="20">
        <v>0.29455909943714809</v>
      </c>
      <c r="E62" s="20">
        <v>-7.2463768115942351E-3</v>
      </c>
      <c r="F62" s="20">
        <v>0.11532846715328482</v>
      </c>
      <c r="G62" s="20">
        <v>-0.68193717277486909</v>
      </c>
      <c r="H62" s="20">
        <v>0.86625514403292203</v>
      </c>
      <c r="I62" s="20">
        <v>5.0814189976251978E-2</v>
      </c>
      <c r="J62" s="20">
        <v>-0.22270270270270265</v>
      </c>
      <c r="K62" s="20">
        <v>0.11821974965229476</v>
      </c>
      <c r="L62" s="20">
        <v>-1.7412935323383172E-2</v>
      </c>
      <c r="M62" s="20">
        <v>-0.17721518987341767</v>
      </c>
      <c r="N62" s="21"/>
      <c r="O62" s="20">
        <v>-0.34769230769230774</v>
      </c>
      <c r="P62" s="22" t="s">
        <v>57</v>
      </c>
      <c r="Q62" s="23"/>
      <c r="R62" s="20">
        <v>-0.66290497880314714</v>
      </c>
      <c r="T62" s="24">
        <v>62.890279200000002</v>
      </c>
      <c r="U62" s="24">
        <v>51.729195699999998</v>
      </c>
      <c r="V62" s="24">
        <v>66.966500999999994</v>
      </c>
      <c r="W62" s="24">
        <v>66.481236499999994</v>
      </c>
      <c r="X62" s="24">
        <v>74.148415600000007</v>
      </c>
      <c r="Y62" s="24">
        <v>23.5838547</v>
      </c>
      <c r="Z62" s="24">
        <v>44.013490150000003</v>
      </c>
      <c r="AA62" s="24">
        <v>46.25</v>
      </c>
      <c r="AB62" s="24">
        <v>35.950000000000003</v>
      </c>
      <c r="AC62" s="24">
        <v>40.200000000000003</v>
      </c>
      <c r="AD62" s="24">
        <v>39.5</v>
      </c>
      <c r="AE62" s="24">
        <v>32.5</v>
      </c>
    </row>
    <row r="63" spans="2:31" x14ac:dyDescent="0.25">
      <c r="B63" s="19" t="s">
        <v>58</v>
      </c>
      <c r="C63" s="20">
        <v>0.13888888888888884</v>
      </c>
      <c r="D63" s="20">
        <v>8.5365853658536661E-2</v>
      </c>
      <c r="E63" s="20">
        <v>0.11235955056179781</v>
      </c>
      <c r="F63" s="20">
        <v>-6.0606060606060552E-2</v>
      </c>
      <c r="G63" s="20">
        <v>-0.4731182795698925</v>
      </c>
      <c r="H63" s="20">
        <v>0.38367346938775504</v>
      </c>
      <c r="I63" s="20">
        <v>0.23156342182890866</v>
      </c>
      <c r="J63" s="20">
        <v>7.6646706586826374E-2</v>
      </c>
      <c r="K63" s="20">
        <v>5.7842046718576068E-2</v>
      </c>
      <c r="L63" s="20">
        <v>-6.3091482649841879E-3</v>
      </c>
      <c r="M63" s="20">
        <v>-0.21481481481481479</v>
      </c>
      <c r="N63" s="21"/>
      <c r="O63" s="20">
        <v>-0.35309973045822107</v>
      </c>
      <c r="P63" s="22" t="s">
        <v>58</v>
      </c>
      <c r="Q63" s="23"/>
      <c r="R63" s="20">
        <v>-0.33333333333333315</v>
      </c>
      <c r="T63" s="24">
        <v>72</v>
      </c>
      <c r="U63" s="24">
        <v>82</v>
      </c>
      <c r="V63" s="24">
        <v>89</v>
      </c>
      <c r="W63" s="24">
        <v>99</v>
      </c>
      <c r="X63" s="24">
        <v>93</v>
      </c>
      <c r="Y63" s="24">
        <v>49</v>
      </c>
      <c r="Z63" s="24">
        <v>67.8</v>
      </c>
      <c r="AA63" s="24">
        <v>83.5</v>
      </c>
      <c r="AB63" s="24">
        <v>89.9</v>
      </c>
      <c r="AC63" s="24">
        <v>95.1</v>
      </c>
      <c r="AD63" s="24">
        <v>94.5</v>
      </c>
      <c r="AE63" s="24">
        <v>74.2</v>
      </c>
    </row>
    <row r="64" spans="2:31" x14ac:dyDescent="0.25">
      <c r="B64" s="19" t="s">
        <v>26</v>
      </c>
      <c r="C64" s="20">
        <v>-0.13374411018484966</v>
      </c>
      <c r="D64" s="20">
        <v>0.16027384933717936</v>
      </c>
      <c r="E64" s="20">
        <v>0.20513775130305278</v>
      </c>
      <c r="F64" s="20">
        <v>5.0355267222737199E-2</v>
      </c>
      <c r="G64" s="20">
        <v>-0.48911764705882355</v>
      </c>
      <c r="H64" s="20">
        <v>7.2538860103626979E-2</v>
      </c>
      <c r="I64" s="20">
        <v>1.6103059581320522E-2</v>
      </c>
      <c r="J64" s="20">
        <v>2.165874273639723E-2</v>
      </c>
      <c r="K64" s="20">
        <v>0.45294725956566695</v>
      </c>
      <c r="L64" s="20">
        <v>-5.9074733096085463E-2</v>
      </c>
      <c r="M64" s="20">
        <v>-0.15620272314674732</v>
      </c>
      <c r="N64" s="21"/>
      <c r="O64" s="20">
        <v>-0.35454952935903183</v>
      </c>
      <c r="P64" s="22" t="s">
        <v>26</v>
      </c>
      <c r="Q64" s="23"/>
      <c r="R64" s="20">
        <v>-0.46115583010683847</v>
      </c>
      <c r="T64" s="24">
        <v>133.61933565000001</v>
      </c>
      <c r="U64" s="24">
        <v>115.7485365</v>
      </c>
      <c r="V64" s="24">
        <v>134.30000000000001</v>
      </c>
      <c r="W64" s="24">
        <v>161.85</v>
      </c>
      <c r="X64" s="24">
        <v>170</v>
      </c>
      <c r="Y64" s="24">
        <v>86.85</v>
      </c>
      <c r="Z64" s="24">
        <v>93.15</v>
      </c>
      <c r="AA64" s="24">
        <v>94.65</v>
      </c>
      <c r="AB64" s="24">
        <v>96.7</v>
      </c>
      <c r="AC64" s="24">
        <v>140.5</v>
      </c>
      <c r="AD64" s="24">
        <v>132.19999999999999</v>
      </c>
      <c r="AE64" s="24">
        <v>111.55</v>
      </c>
    </row>
    <row r="65" spans="2:31" x14ac:dyDescent="0.25">
      <c r="B65" s="19" t="s">
        <v>59</v>
      </c>
      <c r="C65" s="20">
        <v>-0.12659470068694811</v>
      </c>
      <c r="D65" s="20">
        <v>4.4943820224718767E-3</v>
      </c>
      <c r="E65" s="20">
        <v>3.3557046979866278E-3</v>
      </c>
      <c r="F65" s="20">
        <v>5.5741360089185399E-3</v>
      </c>
      <c r="G65" s="20">
        <v>-0.20731707317073167</v>
      </c>
      <c r="H65" s="20">
        <v>3.7762237762237749E-2</v>
      </c>
      <c r="I65" s="20">
        <v>0.10242587601078168</v>
      </c>
      <c r="J65" s="20">
        <v>6.0495375085542369E-2</v>
      </c>
      <c r="K65" s="20">
        <v>0.24142011834319543</v>
      </c>
      <c r="L65" s="20">
        <v>-7.8169685414680723E-2</v>
      </c>
      <c r="M65" s="20">
        <v>-0.17373319544984489</v>
      </c>
      <c r="N65" s="21"/>
      <c r="O65" s="20">
        <v>-0.35544430538172722</v>
      </c>
      <c r="P65" s="22" t="s">
        <v>59</v>
      </c>
      <c r="Q65" s="23"/>
      <c r="R65" s="20">
        <v>-0.48115406488286305</v>
      </c>
      <c r="T65" s="24">
        <v>49.629376000000001</v>
      </c>
      <c r="U65" s="24">
        <v>43.346559999999997</v>
      </c>
      <c r="V65" s="24">
        <v>43.541376</v>
      </c>
      <c r="W65" s="24">
        <v>43.687488000000002</v>
      </c>
      <c r="X65" s="24">
        <v>43.931007999999999</v>
      </c>
      <c r="Y65" s="24">
        <v>34.823360000000001</v>
      </c>
      <c r="Z65" s="24">
        <v>36.138368</v>
      </c>
      <c r="AA65" s="24">
        <v>39.839872</v>
      </c>
      <c r="AB65" s="24">
        <v>42.25</v>
      </c>
      <c r="AC65" s="24">
        <v>52.45</v>
      </c>
      <c r="AD65" s="24">
        <v>48.35</v>
      </c>
      <c r="AE65" s="24">
        <v>39.950000000000003</v>
      </c>
    </row>
    <row r="66" spans="2:31" x14ac:dyDescent="0.25">
      <c r="B66" s="19" t="s">
        <v>60</v>
      </c>
      <c r="C66" s="20">
        <v>-5.2594273600304886E-2</v>
      </c>
      <c r="D66" s="20">
        <v>0.16666666666666674</v>
      </c>
      <c r="E66" s="20">
        <v>0.22499999999999987</v>
      </c>
      <c r="F66" s="20">
        <v>9.0379008746355627E-2</v>
      </c>
      <c r="G66" s="20">
        <v>-0.41711229946524064</v>
      </c>
      <c r="H66" s="20">
        <v>-0.11009174311926617</v>
      </c>
      <c r="I66" s="20">
        <v>-2.4742268041236914E-2</v>
      </c>
      <c r="J66" s="20">
        <v>-4.3340380549682922E-2</v>
      </c>
      <c r="K66" s="20">
        <v>0.5580110497237567</v>
      </c>
      <c r="L66" s="20">
        <v>-0.12765957446808507</v>
      </c>
      <c r="M66" s="20">
        <v>-0.19105691056910579</v>
      </c>
      <c r="N66" s="21"/>
      <c r="O66" s="20">
        <v>-0.35678391959798983</v>
      </c>
      <c r="P66" s="22" t="s">
        <v>60</v>
      </c>
      <c r="Q66" s="23"/>
      <c r="R66" s="20">
        <v>-0.49471694592016258</v>
      </c>
      <c r="T66" s="24">
        <v>12.6661679</v>
      </c>
      <c r="U66" s="24">
        <v>12</v>
      </c>
      <c r="V66" s="24">
        <v>14</v>
      </c>
      <c r="W66" s="24">
        <v>17.149999999999999</v>
      </c>
      <c r="X66" s="24">
        <v>18.7</v>
      </c>
      <c r="Y66" s="24">
        <v>10.9</v>
      </c>
      <c r="Z66" s="24">
        <v>9.6999999999999993</v>
      </c>
      <c r="AA66" s="24">
        <v>9.4600000000000009</v>
      </c>
      <c r="AB66" s="24">
        <v>9.0500000000000007</v>
      </c>
      <c r="AC66" s="24">
        <v>14.1</v>
      </c>
      <c r="AD66" s="24">
        <v>12.3</v>
      </c>
      <c r="AE66" s="24">
        <v>9.9499999999999993</v>
      </c>
    </row>
    <row r="67" spans="2:31" x14ac:dyDescent="0.25">
      <c r="B67" s="19" t="s">
        <v>61</v>
      </c>
      <c r="C67" s="20">
        <v>-9.2783505154639179E-2</v>
      </c>
      <c r="D67" s="20">
        <v>1.647727272727284E-2</v>
      </c>
      <c r="E67" s="20">
        <v>0.10899944102850756</v>
      </c>
      <c r="F67" s="20">
        <v>0.10383064516129026</v>
      </c>
      <c r="G67" s="20">
        <v>-0.44246575342465755</v>
      </c>
      <c r="H67" s="20">
        <v>0.18673218673218694</v>
      </c>
      <c r="I67" s="20">
        <v>0.32367149758454117</v>
      </c>
      <c r="J67" s="20">
        <v>3.1803962460896784E-2</v>
      </c>
      <c r="K67" s="20">
        <v>0.21576553815058097</v>
      </c>
      <c r="L67" s="20">
        <v>-2.8678304239401542E-2</v>
      </c>
      <c r="M67" s="20">
        <v>-0.18271287976037653</v>
      </c>
      <c r="N67" s="21"/>
      <c r="O67" s="20">
        <v>-0.37172774869109948</v>
      </c>
      <c r="P67" s="22" t="s">
        <v>61</v>
      </c>
      <c r="Q67" s="23"/>
      <c r="R67" s="20">
        <v>-0.38144329896907203</v>
      </c>
      <c r="T67" s="24">
        <v>97</v>
      </c>
      <c r="U67" s="24">
        <v>88</v>
      </c>
      <c r="V67" s="24">
        <v>89.45</v>
      </c>
      <c r="W67" s="24">
        <v>99.2</v>
      </c>
      <c r="X67" s="24">
        <v>109.5</v>
      </c>
      <c r="Y67" s="24">
        <v>61.05</v>
      </c>
      <c r="Z67" s="24">
        <v>72.45</v>
      </c>
      <c r="AA67" s="24">
        <v>95.9</v>
      </c>
      <c r="AB67" s="24">
        <v>98.95</v>
      </c>
      <c r="AC67" s="24">
        <v>120.3</v>
      </c>
      <c r="AD67" s="24">
        <v>116.85</v>
      </c>
      <c r="AE67" s="24">
        <v>95.5</v>
      </c>
    </row>
    <row r="68" spans="2:31" x14ac:dyDescent="0.25">
      <c r="B68" s="19" t="s">
        <v>62</v>
      </c>
      <c r="C68" s="20">
        <v>-0.25373134328358216</v>
      </c>
      <c r="D68" s="20">
        <v>0.11999999999999988</v>
      </c>
      <c r="E68" s="20">
        <v>0.29910714285714302</v>
      </c>
      <c r="F68" s="20">
        <v>5.1546391752577359E-2</v>
      </c>
      <c r="G68" s="20">
        <v>-0.50980392156862742</v>
      </c>
      <c r="H68" s="20">
        <v>0.33333333333333326</v>
      </c>
      <c r="I68" s="20">
        <v>-6.9999999999999951E-2</v>
      </c>
      <c r="J68" s="20">
        <v>7.5268817204301008E-2</v>
      </c>
      <c r="K68" s="20">
        <v>0.19499999999999984</v>
      </c>
      <c r="L68" s="20">
        <v>-7.9497907949790725E-2</v>
      </c>
      <c r="M68" s="20">
        <v>-7.9545454545454586E-2</v>
      </c>
      <c r="N68" s="21"/>
      <c r="O68" s="20">
        <v>-0.38271604938271608</v>
      </c>
      <c r="P68" s="22" t="s">
        <v>62</v>
      </c>
      <c r="Q68" s="23"/>
      <c r="R68" s="20">
        <v>-0.53358208955223885</v>
      </c>
      <c r="T68" s="24">
        <v>26.8</v>
      </c>
      <c r="U68" s="24">
        <v>20</v>
      </c>
      <c r="V68" s="24">
        <v>22.4</v>
      </c>
      <c r="W68" s="24">
        <v>29.1</v>
      </c>
      <c r="X68" s="24">
        <v>30.6</v>
      </c>
      <c r="Y68" s="24">
        <v>15</v>
      </c>
      <c r="Z68" s="24">
        <v>20</v>
      </c>
      <c r="AA68" s="24">
        <v>18.600000000000001</v>
      </c>
      <c r="AB68" s="24">
        <v>20</v>
      </c>
      <c r="AC68" s="24">
        <v>23.9</v>
      </c>
      <c r="AD68" s="24">
        <v>22</v>
      </c>
      <c r="AE68" s="24">
        <v>20.25</v>
      </c>
    </row>
    <row r="69" spans="2:31" x14ac:dyDescent="0.25">
      <c r="B69" s="19" t="s">
        <v>63</v>
      </c>
      <c r="C69" s="20">
        <v>1.4598540145985384E-2</v>
      </c>
      <c r="D69" s="20">
        <v>7.9136690647481966E-2</v>
      </c>
      <c r="E69" s="20">
        <v>0.19333333333333358</v>
      </c>
      <c r="F69" s="20">
        <v>2.2346368715083775E-2</v>
      </c>
      <c r="G69" s="20">
        <v>-0.37158469945355188</v>
      </c>
      <c r="H69" s="20">
        <v>5.2173913043478182E-2</v>
      </c>
      <c r="I69" s="20">
        <v>5.7975849665294676E-2</v>
      </c>
      <c r="J69" s="20">
        <v>-6.7226890756302393E-2</v>
      </c>
      <c r="K69" s="20">
        <v>0.26126126126126104</v>
      </c>
      <c r="L69" s="20">
        <v>2.1428571428571352E-2</v>
      </c>
      <c r="M69" s="20">
        <v>-0.12587412587412583</v>
      </c>
      <c r="N69" s="21"/>
      <c r="O69" s="20">
        <v>-0.38400000000000001</v>
      </c>
      <c r="P69" s="22" t="s">
        <v>63</v>
      </c>
      <c r="Q69" s="23"/>
      <c r="R69" s="20">
        <v>-0.39537747706976922</v>
      </c>
      <c r="T69" s="24">
        <v>1.27352186</v>
      </c>
      <c r="U69" s="24">
        <v>1.29211342</v>
      </c>
      <c r="V69" s="24">
        <v>1.3943669999999999</v>
      </c>
      <c r="W69" s="24">
        <v>1.6639446200000001</v>
      </c>
      <c r="X69" s="24">
        <v>1.70112774</v>
      </c>
      <c r="Y69" s="24">
        <v>1.0690147000000001</v>
      </c>
      <c r="Z69" s="24">
        <v>1.1247893799999999</v>
      </c>
      <c r="AA69" s="24">
        <v>1.19</v>
      </c>
      <c r="AB69" s="24">
        <v>1.1100000000000001</v>
      </c>
      <c r="AC69" s="24">
        <v>1.4</v>
      </c>
      <c r="AD69" s="24">
        <v>1.43</v>
      </c>
      <c r="AE69" s="24">
        <v>1.25</v>
      </c>
    </row>
    <row r="70" spans="2:31" x14ac:dyDescent="0.25">
      <c r="B70" s="19" t="s">
        <v>64</v>
      </c>
      <c r="C70" s="20">
        <v>-0.12105263157334656</v>
      </c>
      <c r="D70" s="20">
        <v>4.7969049851031231E-2</v>
      </c>
      <c r="E70" s="20">
        <v>6.2111801242235032E-3</v>
      </c>
      <c r="F70" s="20">
        <v>-1.2345679012345734E-2</v>
      </c>
      <c r="G70" s="20">
        <v>-0.125</v>
      </c>
      <c r="H70" s="20">
        <v>0.14714285714285702</v>
      </c>
      <c r="I70" s="20">
        <v>0.18306351183063518</v>
      </c>
      <c r="J70" s="20">
        <v>5.2631578947368363E-2</v>
      </c>
      <c r="K70" s="20">
        <v>0.47500000000000009</v>
      </c>
      <c r="L70" s="20">
        <v>-4.7457627118644097E-2</v>
      </c>
      <c r="M70" s="20">
        <v>-7.4733096085409234E-2</v>
      </c>
      <c r="N70" s="21"/>
      <c r="O70" s="20">
        <v>-0.38461538461538458</v>
      </c>
      <c r="P70" s="22" t="s">
        <v>64</v>
      </c>
      <c r="Q70" s="23"/>
      <c r="R70" s="20">
        <v>-8.4611539320105233E-2</v>
      </c>
      <c r="T70" s="24">
        <v>87.394590860999998</v>
      </c>
      <c r="U70" s="24">
        <v>76.815245652000002</v>
      </c>
      <c r="V70" s="24">
        <v>80.5</v>
      </c>
      <c r="W70" s="24">
        <v>81</v>
      </c>
      <c r="X70" s="24">
        <v>80</v>
      </c>
      <c r="Y70" s="24">
        <v>70</v>
      </c>
      <c r="Z70" s="24">
        <v>80.3</v>
      </c>
      <c r="AA70" s="24">
        <v>95</v>
      </c>
      <c r="AB70" s="24">
        <v>100</v>
      </c>
      <c r="AC70" s="24">
        <v>147.5</v>
      </c>
      <c r="AD70" s="24">
        <v>140.5</v>
      </c>
      <c r="AE70" s="24">
        <v>130</v>
      </c>
    </row>
    <row r="71" spans="2:31" x14ac:dyDescent="0.25">
      <c r="B71" s="19" t="s">
        <v>65</v>
      </c>
      <c r="C71" s="20">
        <v>-0.12457912457912457</v>
      </c>
      <c r="D71" s="20">
        <v>0.30769230769230771</v>
      </c>
      <c r="E71" s="20">
        <v>0.41960784313725497</v>
      </c>
      <c r="F71" s="20">
        <v>0.25359542182483685</v>
      </c>
      <c r="G71" s="20">
        <v>-0.38118811881188119</v>
      </c>
      <c r="H71" s="20">
        <v>0.31600000000000006</v>
      </c>
      <c r="I71" s="20">
        <v>4.1033434650455947E-2</v>
      </c>
      <c r="J71" s="20">
        <v>-6.5693430656934337E-2</v>
      </c>
      <c r="K71" s="20">
        <v>0.109375</v>
      </c>
      <c r="L71" s="20">
        <v>4.7887323943661908E-2</v>
      </c>
      <c r="M71" s="20">
        <v>-0.13978494623655913</v>
      </c>
      <c r="N71" s="21"/>
      <c r="O71" s="20">
        <v>-0.4</v>
      </c>
      <c r="P71" s="22" t="s">
        <v>65</v>
      </c>
      <c r="Q71" s="23"/>
      <c r="R71" s="20">
        <v>-3.1793221560895368E-2</v>
      </c>
      <c r="T71" s="24">
        <v>198.30474674999999</v>
      </c>
      <c r="U71" s="24">
        <v>173.60011499999999</v>
      </c>
      <c r="V71" s="24">
        <v>227.015535</v>
      </c>
      <c r="W71" s="24">
        <v>322.273034</v>
      </c>
      <c r="X71" s="24">
        <v>404</v>
      </c>
      <c r="Y71" s="24">
        <v>250</v>
      </c>
      <c r="Z71" s="24">
        <v>329</v>
      </c>
      <c r="AA71" s="24">
        <v>342.5</v>
      </c>
      <c r="AB71" s="24">
        <v>320</v>
      </c>
      <c r="AC71" s="24">
        <v>355</v>
      </c>
      <c r="AD71" s="24">
        <v>372</v>
      </c>
      <c r="AE71" s="24">
        <v>320</v>
      </c>
    </row>
    <row r="72" spans="2:31" x14ac:dyDescent="0.25">
      <c r="B72" s="19" t="s">
        <v>66</v>
      </c>
      <c r="C72" s="20">
        <v>-0.10724637682012506</v>
      </c>
      <c r="D72" s="20">
        <v>-3.5714285704474102E-2</v>
      </c>
      <c r="E72" s="20">
        <v>0.21212121208020385</v>
      </c>
      <c r="F72" s="20">
        <v>2.3752089608594096E-2</v>
      </c>
      <c r="G72" s="20">
        <v>0.18644067796610164</v>
      </c>
      <c r="H72" s="20">
        <v>1.904761904761898E-2</v>
      </c>
      <c r="I72" s="20">
        <v>0.57943925233644866</v>
      </c>
      <c r="J72" s="20">
        <v>5.800971060548954E-2</v>
      </c>
      <c r="K72" s="20">
        <v>-7.9545454545454697E-2</v>
      </c>
      <c r="L72" s="20">
        <v>6.1728395061728669E-3</v>
      </c>
      <c r="M72" s="20">
        <v>-0.19018404907975472</v>
      </c>
      <c r="N72" s="21"/>
      <c r="O72" s="20">
        <v>-0.40151515151515149</v>
      </c>
      <c r="P72" s="22" t="s">
        <v>66</v>
      </c>
      <c r="Q72" s="23"/>
      <c r="R72" s="20">
        <v>-3.1218765046328256E-2</v>
      </c>
      <c r="T72" s="24">
        <v>16.309151571000001</v>
      </c>
      <c r="U72" s="24">
        <v>14.560054156</v>
      </c>
      <c r="V72" s="24">
        <v>14.040052222</v>
      </c>
      <c r="W72" s="24">
        <v>17.018245116999999</v>
      </c>
      <c r="X72" s="24">
        <v>17.422464000000002</v>
      </c>
      <c r="Y72" s="24">
        <v>20.670719999999999</v>
      </c>
      <c r="Z72" s="24">
        <v>21.064447999999999</v>
      </c>
      <c r="AA72" s="24">
        <v>33.270015999999998</v>
      </c>
      <c r="AB72" s="24">
        <v>35.200000000000003</v>
      </c>
      <c r="AC72" s="24">
        <v>32.4</v>
      </c>
      <c r="AD72" s="24">
        <v>32.6</v>
      </c>
      <c r="AE72" s="24">
        <v>26.4</v>
      </c>
    </row>
    <row r="73" spans="2:31" x14ac:dyDescent="0.25">
      <c r="B73" s="19" t="s">
        <v>67</v>
      </c>
      <c r="C73" s="20">
        <v>-6.3829787234042534E-2</v>
      </c>
      <c r="D73" s="20">
        <v>-4.5454545454545414E-2</v>
      </c>
      <c r="E73" s="20">
        <v>8.5714285714285854E-2</v>
      </c>
      <c r="F73" s="20">
        <v>9.210526315789469E-2</v>
      </c>
      <c r="G73" s="20">
        <v>-0.31726907630522083</v>
      </c>
      <c r="H73" s="20">
        <v>2.9411764705882248E-3</v>
      </c>
      <c r="I73" s="20">
        <v>-0.12023460410557185</v>
      </c>
      <c r="J73" s="20">
        <v>0.3666666666666667</v>
      </c>
      <c r="K73" s="20">
        <v>0.21951219512195119</v>
      </c>
      <c r="L73" s="20">
        <v>0.54</v>
      </c>
      <c r="M73" s="20">
        <v>-0.1428571428571429</v>
      </c>
      <c r="N73" s="21"/>
      <c r="O73" s="20">
        <v>-0.40303030303030307</v>
      </c>
      <c r="P73" s="22" t="s">
        <v>67</v>
      </c>
      <c r="Q73" s="23"/>
      <c r="R73" s="20">
        <v>-0.16170212765957448</v>
      </c>
      <c r="T73" s="24">
        <v>23.5</v>
      </c>
      <c r="U73" s="24">
        <v>22</v>
      </c>
      <c r="V73" s="24">
        <v>21</v>
      </c>
      <c r="W73" s="24">
        <v>22.8</v>
      </c>
      <c r="X73" s="24">
        <v>24.9</v>
      </c>
      <c r="Y73" s="24">
        <v>17</v>
      </c>
      <c r="Z73" s="24">
        <v>17.05</v>
      </c>
      <c r="AA73" s="24">
        <v>15</v>
      </c>
      <c r="AB73" s="24">
        <v>20.5</v>
      </c>
      <c r="AC73" s="24">
        <v>25</v>
      </c>
      <c r="AD73" s="24">
        <v>38.5</v>
      </c>
      <c r="AE73" s="24">
        <v>33</v>
      </c>
    </row>
    <row r="74" spans="2:31" x14ac:dyDescent="0.25">
      <c r="B74" s="19" t="s">
        <v>68</v>
      </c>
      <c r="C74" s="20">
        <v>-9.1823899371069162E-2</v>
      </c>
      <c r="D74" s="20">
        <v>0.30025215743329969</v>
      </c>
      <c r="E74" s="20">
        <v>0.39647085101630575</v>
      </c>
      <c r="F74" s="20">
        <v>-2.2552783109405006E-2</v>
      </c>
      <c r="G74" s="20">
        <v>-0.51873670430371455</v>
      </c>
      <c r="H74" s="20">
        <v>0.1285277116626995</v>
      </c>
      <c r="I74" s="20">
        <v>0.10635733654715285</v>
      </c>
      <c r="J74" s="20">
        <v>5.419389978213518E-2</v>
      </c>
      <c r="K74" s="20">
        <v>0.41358822009816598</v>
      </c>
      <c r="L74" s="20">
        <v>-3.7280701754386136E-2</v>
      </c>
      <c r="M74" s="20">
        <v>-0.10820045558086555</v>
      </c>
      <c r="N74" s="21"/>
      <c r="O74" s="20">
        <v>-0.40825883354618986</v>
      </c>
      <c r="P74" s="22" t="s">
        <v>68</v>
      </c>
      <c r="Q74" s="23"/>
      <c r="R74" s="20">
        <v>-0.26674445901306254</v>
      </c>
      <c r="T74" s="24">
        <v>189.56556375</v>
      </c>
      <c r="U74" s="24">
        <v>172.15891450000001</v>
      </c>
      <c r="V74" s="24">
        <v>223.85</v>
      </c>
      <c r="W74" s="24">
        <v>312.60000000000002</v>
      </c>
      <c r="X74" s="24">
        <v>305.55</v>
      </c>
      <c r="Y74" s="24">
        <v>147.05000000000001</v>
      </c>
      <c r="Z74" s="24">
        <v>165.95</v>
      </c>
      <c r="AA74" s="24">
        <v>183.6</v>
      </c>
      <c r="AB74" s="24">
        <v>193.55</v>
      </c>
      <c r="AC74" s="24">
        <v>273.60000000000002</v>
      </c>
      <c r="AD74" s="24">
        <v>263.39999999999998</v>
      </c>
      <c r="AE74" s="24">
        <v>234.9</v>
      </c>
    </row>
    <row r="75" spans="2:31" x14ac:dyDescent="0.25">
      <c r="B75" s="19" t="s">
        <v>69</v>
      </c>
      <c r="C75" s="20">
        <v>-0.15060240986179774</v>
      </c>
      <c r="D75" s="20">
        <v>7.056149265465983E-2</v>
      </c>
      <c r="E75" s="20">
        <v>7.1917808219178037E-2</v>
      </c>
      <c r="F75" s="20">
        <v>-2.2364217252396235E-2</v>
      </c>
      <c r="G75" s="20">
        <v>-0.37222190833317648</v>
      </c>
      <c r="H75" s="20">
        <v>0.42477876106194712</v>
      </c>
      <c r="I75" s="20">
        <v>9.9378881987577605E-2</v>
      </c>
      <c r="J75" s="20">
        <v>-2.2598870056497189E-2</v>
      </c>
      <c r="K75" s="20">
        <v>0.27167630057803471</v>
      </c>
      <c r="L75" s="20">
        <v>8.181818181818179E-2</v>
      </c>
      <c r="M75" s="20">
        <v>-0.12605042016806711</v>
      </c>
      <c r="N75" s="21"/>
      <c r="O75" s="20">
        <v>-0.39903846153846156</v>
      </c>
      <c r="P75" s="22" t="s">
        <v>69</v>
      </c>
      <c r="Q75" s="23"/>
      <c r="R75" s="20">
        <v>-0.33824239244116117</v>
      </c>
      <c r="T75" s="24">
        <v>1.8889091499999999</v>
      </c>
      <c r="U75" s="24">
        <v>1.6044348799999999</v>
      </c>
      <c r="V75" s="24">
        <v>1.7176461999999999</v>
      </c>
      <c r="W75" s="24">
        <v>1.84117555</v>
      </c>
      <c r="X75" s="24">
        <v>1.7999991</v>
      </c>
      <c r="Y75" s="24">
        <v>1.1299999999999999</v>
      </c>
      <c r="Z75" s="24">
        <v>1.61</v>
      </c>
      <c r="AA75" s="24">
        <v>1.77</v>
      </c>
      <c r="AB75" s="24">
        <v>1.73</v>
      </c>
      <c r="AC75" s="24">
        <v>2.2000000000000002</v>
      </c>
      <c r="AD75" s="24">
        <v>2.38</v>
      </c>
      <c r="AE75" s="24">
        <v>2.08</v>
      </c>
    </row>
    <row r="76" spans="2:31" x14ac:dyDescent="0.25">
      <c r="B76" s="19" t="s">
        <v>70</v>
      </c>
      <c r="C76" s="20">
        <v>-3.3707865167960538E-2</v>
      </c>
      <c r="D76" s="20">
        <v>2.0451944404823674E-2</v>
      </c>
      <c r="E76" s="20">
        <v>0.11780038783295677</v>
      </c>
      <c r="F76" s="20">
        <v>4.6521632748630637E-4</v>
      </c>
      <c r="G76" s="20">
        <v>-0.18618689761099827</v>
      </c>
      <c r="H76" s="20">
        <v>-2.2803029371973205E-2</v>
      </c>
      <c r="I76" s="20">
        <v>0.50906423009704671</v>
      </c>
      <c r="J76" s="20">
        <v>0.26885644768856443</v>
      </c>
      <c r="K76" s="20">
        <v>0.39980824544582938</v>
      </c>
      <c r="L76" s="20">
        <v>0.13013698630136994</v>
      </c>
      <c r="M76" s="20">
        <v>-0.13454545454545452</v>
      </c>
      <c r="N76" s="21"/>
      <c r="O76" s="20">
        <v>-0.42156862745098034</v>
      </c>
      <c r="P76" s="22" t="s">
        <v>70</v>
      </c>
      <c r="Q76" s="23"/>
      <c r="R76" s="20">
        <v>0.32981123085906972</v>
      </c>
      <c r="T76" s="24">
        <v>310.57039556900003</v>
      </c>
      <c r="U76" s="24">
        <v>300.10173055000001</v>
      </c>
      <c r="V76" s="24">
        <v>306.23939445899998</v>
      </c>
      <c r="W76" s="24">
        <v>342.31451389599999</v>
      </c>
      <c r="X76" s="24">
        <v>342.47376419699998</v>
      </c>
      <c r="Y76" s="24">
        <v>278.70963652799998</v>
      </c>
      <c r="Z76" s="24">
        <v>272.35421250000002</v>
      </c>
      <c r="AA76" s="24">
        <v>411</v>
      </c>
      <c r="AB76" s="24">
        <v>521.5</v>
      </c>
      <c r="AC76" s="24">
        <v>730</v>
      </c>
      <c r="AD76" s="24">
        <v>825</v>
      </c>
      <c r="AE76" s="24">
        <v>714</v>
      </c>
    </row>
    <row r="77" spans="2:31" x14ac:dyDescent="0.25">
      <c r="B77" s="19" t="s">
        <v>71</v>
      </c>
      <c r="C77" s="20">
        <v>-0.14117647058823524</v>
      </c>
      <c r="D77" s="20">
        <v>6.115499550550596E-2</v>
      </c>
      <c r="E77" s="20">
        <v>4.9286640726329489E-2</v>
      </c>
      <c r="F77" s="20">
        <v>-4.9443757725587956E-3</v>
      </c>
      <c r="G77" s="20">
        <v>-0.20496894409937894</v>
      </c>
      <c r="H77" s="20">
        <v>0.21875</v>
      </c>
      <c r="I77" s="20">
        <v>0.17948717948717952</v>
      </c>
      <c r="J77" s="20">
        <v>6.5217391304347894E-2</v>
      </c>
      <c r="K77" s="20">
        <v>0.1785714285714286</v>
      </c>
      <c r="L77" s="20">
        <v>8.2251082251082241E-2</v>
      </c>
      <c r="M77" s="20">
        <v>-0.13600000000000001</v>
      </c>
      <c r="N77" s="21"/>
      <c r="O77" s="20">
        <v>-0.42592592592592593</v>
      </c>
      <c r="P77" s="22" t="s">
        <v>71</v>
      </c>
      <c r="Q77" s="23"/>
      <c r="R77" s="20">
        <v>-0.26714160224949723</v>
      </c>
      <c r="T77" s="24">
        <v>84.600245000000001</v>
      </c>
      <c r="U77" s="24">
        <v>72.656681000000006</v>
      </c>
      <c r="V77" s="24">
        <v>77.099999999999994</v>
      </c>
      <c r="W77" s="24">
        <v>80.900000000000006</v>
      </c>
      <c r="X77" s="24">
        <v>80.5</v>
      </c>
      <c r="Y77" s="24">
        <v>64</v>
      </c>
      <c r="Z77" s="24">
        <v>78</v>
      </c>
      <c r="AA77" s="24">
        <v>92</v>
      </c>
      <c r="AB77" s="24">
        <v>98</v>
      </c>
      <c r="AC77" s="24">
        <v>115.5</v>
      </c>
      <c r="AD77" s="24">
        <v>125</v>
      </c>
      <c r="AE77" s="24">
        <v>108</v>
      </c>
    </row>
    <row r="78" spans="2:31" x14ac:dyDescent="0.25">
      <c r="B78" s="19" t="s">
        <v>72</v>
      </c>
      <c r="C78" s="20">
        <v>6.3348416289592757E-2</v>
      </c>
      <c r="D78" s="20">
        <v>5.9574468085106469E-2</v>
      </c>
      <c r="E78" s="20">
        <v>-4.4176706827309342E-2</v>
      </c>
      <c r="F78" s="20">
        <v>8.4033613445377853E-3</v>
      </c>
      <c r="G78" s="20">
        <v>-4.5833333333333282E-2</v>
      </c>
      <c r="H78" s="20">
        <v>2.6200873362445476E-2</v>
      </c>
      <c r="I78" s="20">
        <v>0.40425531914893598</v>
      </c>
      <c r="J78" s="20">
        <v>0.60303030303030303</v>
      </c>
      <c r="K78" s="20">
        <v>0.16257088846880907</v>
      </c>
      <c r="L78" s="20">
        <v>-0.15447154471544722</v>
      </c>
      <c r="M78" s="20">
        <v>-0.12500000000000011</v>
      </c>
      <c r="N78" s="21"/>
      <c r="O78" s="20">
        <v>-0.42857142857142849</v>
      </c>
      <c r="P78" s="22" t="s">
        <v>72</v>
      </c>
      <c r="Q78" s="23"/>
      <c r="R78" s="20">
        <v>0.17647058823529371</v>
      </c>
      <c r="T78" s="24">
        <v>2.21</v>
      </c>
      <c r="U78" s="24">
        <v>2.35</v>
      </c>
      <c r="V78" s="24">
        <v>2.4900000000000002</v>
      </c>
      <c r="W78" s="24">
        <v>2.38</v>
      </c>
      <c r="X78" s="24">
        <v>2.4</v>
      </c>
      <c r="Y78" s="24">
        <v>2.29</v>
      </c>
      <c r="Z78" s="24">
        <v>2.35</v>
      </c>
      <c r="AA78" s="24">
        <v>3.3</v>
      </c>
      <c r="AB78" s="24">
        <v>5.29</v>
      </c>
      <c r="AC78" s="24">
        <v>6.15</v>
      </c>
      <c r="AD78" s="24">
        <v>5.2</v>
      </c>
      <c r="AE78" s="24">
        <v>4.55</v>
      </c>
    </row>
    <row r="79" spans="2:31" x14ac:dyDescent="0.25">
      <c r="B79" s="19" t="s">
        <v>73</v>
      </c>
      <c r="C79" s="20">
        <v>-0.14285714285714279</v>
      </c>
      <c r="D79" s="20">
        <v>0.24615384615384617</v>
      </c>
      <c r="E79" s="20">
        <v>-4.7325102880658498E-2</v>
      </c>
      <c r="F79" s="20">
        <v>1.0799136069114423E-2</v>
      </c>
      <c r="G79" s="20">
        <v>-0.35897435897435892</v>
      </c>
      <c r="H79" s="20">
        <v>0.25</v>
      </c>
      <c r="I79" s="20">
        <v>5.3333333333334121E-3</v>
      </c>
      <c r="J79" s="20">
        <v>0.15384615384615374</v>
      </c>
      <c r="K79" s="20">
        <v>8.0459770114942764E-2</v>
      </c>
      <c r="L79" s="20">
        <v>0.28510638297872326</v>
      </c>
      <c r="M79" s="20">
        <v>-0.16390728476821192</v>
      </c>
      <c r="N79" s="21"/>
      <c r="O79" s="20">
        <v>-0.43168316831683162</v>
      </c>
      <c r="P79" s="22" t="s">
        <v>73</v>
      </c>
      <c r="Q79" s="23"/>
      <c r="R79" s="20">
        <v>-0.36923076923076914</v>
      </c>
      <c r="T79" s="24">
        <v>4.55</v>
      </c>
      <c r="U79" s="24">
        <v>3.9</v>
      </c>
      <c r="V79" s="24">
        <v>4.8600000000000003</v>
      </c>
      <c r="W79" s="24">
        <v>4.63</v>
      </c>
      <c r="X79" s="24">
        <v>4.68</v>
      </c>
      <c r="Y79" s="24">
        <v>3</v>
      </c>
      <c r="Z79" s="24">
        <v>3.75</v>
      </c>
      <c r="AA79" s="24">
        <v>3.77</v>
      </c>
      <c r="AB79" s="24">
        <v>4.3499999999999996</v>
      </c>
      <c r="AC79" s="24">
        <v>4.7</v>
      </c>
      <c r="AD79" s="24">
        <v>6.04</v>
      </c>
      <c r="AE79" s="24">
        <v>5.05</v>
      </c>
    </row>
    <row r="80" spans="2:31" x14ac:dyDescent="0.25">
      <c r="B80" s="19" t="s">
        <v>74</v>
      </c>
      <c r="C80" s="20">
        <v>-0.14672897196261669</v>
      </c>
      <c r="D80" s="20">
        <v>0.32530120481927693</v>
      </c>
      <c r="E80" s="20">
        <v>0</v>
      </c>
      <c r="F80" s="20">
        <v>-7.4380165289256284E-2</v>
      </c>
      <c r="G80" s="20">
        <v>-0.20535714285714279</v>
      </c>
      <c r="H80" s="20">
        <v>0.31460674157303359</v>
      </c>
      <c r="I80" s="20">
        <v>0.43589743589743613</v>
      </c>
      <c r="J80" s="20">
        <v>2.3809523809523725E-2</v>
      </c>
      <c r="K80" s="20">
        <v>6.1046511627907085E-2</v>
      </c>
      <c r="L80" s="20">
        <v>-4.9315068493150593E-2</v>
      </c>
      <c r="M80" s="20">
        <v>-0.27089337175792516</v>
      </c>
      <c r="N80" s="21"/>
      <c r="O80" s="20">
        <v>-0.44664031620553357</v>
      </c>
      <c r="P80" s="22" t="s">
        <v>74</v>
      </c>
      <c r="Q80" s="23"/>
      <c r="R80" s="20">
        <v>-0.34579439252336464</v>
      </c>
      <c r="T80" s="24">
        <v>10.7</v>
      </c>
      <c r="U80" s="24">
        <v>9.1300000000000008</v>
      </c>
      <c r="V80" s="24">
        <v>12.1</v>
      </c>
      <c r="W80" s="24">
        <v>12.1</v>
      </c>
      <c r="X80" s="24">
        <v>11.2</v>
      </c>
      <c r="Y80" s="24">
        <v>8.9</v>
      </c>
      <c r="Z80" s="24">
        <v>11.7</v>
      </c>
      <c r="AA80" s="24">
        <v>16.8</v>
      </c>
      <c r="AB80" s="24">
        <v>17.2</v>
      </c>
      <c r="AC80" s="24">
        <v>18.25</v>
      </c>
      <c r="AD80" s="24">
        <v>17.350000000000001</v>
      </c>
      <c r="AE80" s="24">
        <v>12.65</v>
      </c>
    </row>
    <row r="81" spans="2:31" x14ac:dyDescent="0.25">
      <c r="B81" s="19" t="s">
        <v>75</v>
      </c>
      <c r="C81" s="20">
        <v>-0.12420957542908773</v>
      </c>
      <c r="D81" s="20">
        <v>0.19846152376187876</v>
      </c>
      <c r="E81" s="20">
        <v>0.32170880557977322</v>
      </c>
      <c r="F81" s="20">
        <v>6.8931398416886669E-2</v>
      </c>
      <c r="G81" s="20">
        <v>-0.57327985189756248</v>
      </c>
      <c r="H81" s="20">
        <v>0.17932031814895133</v>
      </c>
      <c r="I81" s="20">
        <v>0.12936848559166148</v>
      </c>
      <c r="J81" s="20">
        <v>8.3061889250814369E-2</v>
      </c>
      <c r="K81" s="20">
        <v>0.21904761904761894</v>
      </c>
      <c r="L81" s="20">
        <v>4.9342105263159297E-3</v>
      </c>
      <c r="M81" s="20">
        <v>-0.15957446808510634</v>
      </c>
      <c r="N81" s="21"/>
      <c r="O81" s="20">
        <v>-0.45472249269717624</v>
      </c>
      <c r="P81" s="22" t="s">
        <v>75</v>
      </c>
      <c r="Q81" s="23"/>
      <c r="R81" s="20">
        <v>-0.48755306803199816</v>
      </c>
      <c r="T81" s="24">
        <v>109.27960830000001</v>
      </c>
      <c r="U81" s="24">
        <v>95.706034549999998</v>
      </c>
      <c r="V81" s="24">
        <v>114.7</v>
      </c>
      <c r="W81" s="24">
        <v>151.6</v>
      </c>
      <c r="X81" s="24">
        <v>162.05000000000001</v>
      </c>
      <c r="Y81" s="24">
        <v>69.150000000000006</v>
      </c>
      <c r="Z81" s="24">
        <v>81.55</v>
      </c>
      <c r="AA81" s="24">
        <v>92.1</v>
      </c>
      <c r="AB81" s="24">
        <v>99.75</v>
      </c>
      <c r="AC81" s="24">
        <v>121.6</v>
      </c>
      <c r="AD81" s="24">
        <v>122.2</v>
      </c>
      <c r="AE81" s="24">
        <v>102.7</v>
      </c>
    </row>
    <row r="82" spans="2:31" x14ac:dyDescent="0.25">
      <c r="B82" s="19" t="s">
        <v>76</v>
      </c>
      <c r="C82" s="20">
        <v>-0.16406606010399749</v>
      </c>
      <c r="D82" s="20">
        <v>9.9999999999999867E-2</v>
      </c>
      <c r="E82" s="20">
        <v>0.41258741258741272</v>
      </c>
      <c r="F82" s="20">
        <v>0.15841584158415833</v>
      </c>
      <c r="G82" s="20">
        <v>-0.48717948717948711</v>
      </c>
      <c r="H82" s="20">
        <v>0.25</v>
      </c>
      <c r="I82" s="20">
        <v>7.0000000000000062E-2</v>
      </c>
      <c r="J82" s="20">
        <v>4.3613707165109039E-2</v>
      </c>
      <c r="K82" s="20">
        <v>0.17910447761194037</v>
      </c>
      <c r="L82" s="20">
        <v>0.20506329113924049</v>
      </c>
      <c r="M82" s="20">
        <v>-0.11134453781512588</v>
      </c>
      <c r="N82" s="21"/>
      <c r="O82" s="20">
        <v>-0.45626477541371158</v>
      </c>
      <c r="P82" s="22" t="s">
        <v>76</v>
      </c>
      <c r="Q82" s="23"/>
      <c r="R82" s="20">
        <v>-0.26051997624584367</v>
      </c>
      <c r="T82" s="24">
        <v>3.1102936200000002</v>
      </c>
      <c r="U82" s="24">
        <v>2.6</v>
      </c>
      <c r="V82" s="24">
        <v>2.86</v>
      </c>
      <c r="W82" s="24">
        <v>4.04</v>
      </c>
      <c r="X82" s="24">
        <v>4.68</v>
      </c>
      <c r="Y82" s="24">
        <v>2.4</v>
      </c>
      <c r="Z82" s="24">
        <v>3</v>
      </c>
      <c r="AA82" s="24">
        <v>3.21</v>
      </c>
      <c r="AB82" s="24">
        <v>3.35</v>
      </c>
      <c r="AC82" s="24">
        <v>3.95</v>
      </c>
      <c r="AD82" s="24">
        <v>4.76</v>
      </c>
      <c r="AE82" s="24">
        <v>4.2300000000000004</v>
      </c>
    </row>
    <row r="83" spans="2:31" x14ac:dyDescent="0.25">
      <c r="B83" s="19" t="s">
        <v>77</v>
      </c>
      <c r="C83" s="20">
        <v>-1.6393442622950838E-2</v>
      </c>
      <c r="D83" s="20">
        <v>0.10525000000000007</v>
      </c>
      <c r="E83" s="20">
        <v>0.17612908090175683</v>
      </c>
      <c r="F83" s="20">
        <v>-5.5021481104864156E-2</v>
      </c>
      <c r="G83" s="20">
        <v>-0.24307881605031112</v>
      </c>
      <c r="H83" s="20">
        <v>7.008037568861214E-2</v>
      </c>
      <c r="I83" s="20">
        <v>0.27276563423073652</v>
      </c>
      <c r="J83" s="20">
        <v>-4.2835355745640125E-2</v>
      </c>
      <c r="K83" s="20">
        <v>0.18766886040872888</v>
      </c>
      <c r="L83" s="20">
        <v>-8.1661222585160953E-2</v>
      </c>
      <c r="M83" s="20">
        <v>-0.16253810975609762</v>
      </c>
      <c r="N83" s="21"/>
      <c r="O83" s="20">
        <v>-0.57982555934774371</v>
      </c>
      <c r="P83" s="22" t="s">
        <v>77</v>
      </c>
      <c r="Q83" s="23"/>
      <c r="R83" s="20">
        <v>-0.54243374469530803</v>
      </c>
      <c r="T83" s="24">
        <v>605.37680999999998</v>
      </c>
      <c r="U83" s="24">
        <v>595.45259999999996</v>
      </c>
      <c r="V83" s="24">
        <v>658.12398614999995</v>
      </c>
      <c r="W83" s="24">
        <v>774.03875894999999</v>
      </c>
      <c r="X83" s="24">
        <v>731.45</v>
      </c>
      <c r="Y83" s="24">
        <v>553.65</v>
      </c>
      <c r="Z83" s="24">
        <v>592.45000000000005</v>
      </c>
      <c r="AA83" s="24">
        <v>754.05</v>
      </c>
      <c r="AB83" s="24">
        <v>721.75</v>
      </c>
      <c r="AC83" s="24">
        <v>857.2</v>
      </c>
      <c r="AD83" s="24">
        <v>787.2</v>
      </c>
      <c r="AE83" s="24">
        <v>659.25</v>
      </c>
    </row>
    <row r="84" spans="2:31" hidden="1" x14ac:dyDescent="0.25">
      <c r="B84" s="27" t="s">
        <v>78</v>
      </c>
      <c r="C84" s="20">
        <v>-0.12500000000000011</v>
      </c>
      <c r="D84" s="20">
        <v>0</v>
      </c>
      <c r="E84" s="20">
        <v>928.48162345119329</v>
      </c>
      <c r="F84" s="20">
        <v>-0.99910500000000002</v>
      </c>
      <c r="G84" s="20">
        <v>3.9106145251396773E-2</v>
      </c>
      <c r="H84" s="20">
        <v>-0.11290322580645173</v>
      </c>
      <c r="I84" s="20">
        <v>0.21212121212121215</v>
      </c>
      <c r="J84" s="20">
        <v>0.14999999999999991</v>
      </c>
      <c r="K84" s="20">
        <v>0.34782608695652195</v>
      </c>
      <c r="L84" s="20">
        <v>0.19999999999999996</v>
      </c>
      <c r="M84" s="28">
        <v>-8.6021505376344121E-2</v>
      </c>
      <c r="N84" s="21"/>
      <c r="O84" s="20">
        <v>0.14411764705882368</v>
      </c>
      <c r="P84" s="29" t="s">
        <v>78</v>
      </c>
      <c r="Q84" s="30"/>
      <c r="R84" s="20">
        <v>0.58186153791096262</v>
      </c>
      <c r="T84" s="24">
        <v>2.4591280000000002</v>
      </c>
      <c r="U84" s="24">
        <v>2.1517369999999998</v>
      </c>
      <c r="V84" s="24">
        <v>2.1517369999999998</v>
      </c>
      <c r="W84" s="24">
        <v>2000</v>
      </c>
      <c r="X84" s="24">
        <v>1.79</v>
      </c>
      <c r="Y84" s="24">
        <v>1.86</v>
      </c>
      <c r="Z84" s="24">
        <v>1.65</v>
      </c>
      <c r="AA84" s="24">
        <v>2</v>
      </c>
      <c r="AB84" s="24">
        <v>2.2999999999999998</v>
      </c>
      <c r="AC84" s="24">
        <v>3.1</v>
      </c>
      <c r="AD84" s="24">
        <v>3.72</v>
      </c>
      <c r="AE84" s="24">
        <v>3.4</v>
      </c>
    </row>
    <row r="85" spans="2:31" x14ac:dyDescent="0.25">
      <c r="B85" s="31"/>
      <c r="O85" s="32"/>
      <c r="P85" s="22"/>
    </row>
    <row r="86" spans="2:31" x14ac:dyDescent="0.25">
      <c r="B86" s="31"/>
      <c r="O86" s="23"/>
      <c r="P86" s="22"/>
    </row>
    <row r="87" spans="2:31" x14ac:dyDescent="0.25">
      <c r="O87" s="23"/>
      <c r="P87" s="22"/>
    </row>
    <row r="88" spans="2:31" x14ac:dyDescent="0.25">
      <c r="M88" s="33"/>
    </row>
    <row r="89" spans="2:31" x14ac:dyDescent="0.25">
      <c r="M89" s="33"/>
    </row>
    <row r="90" spans="2:31" x14ac:dyDescent="0.25">
      <c r="M90" s="33"/>
    </row>
    <row r="91" spans="2:31" x14ac:dyDescent="0.25">
      <c r="M91" s="33"/>
    </row>
    <row r="92" spans="2:31" x14ac:dyDescent="0.25">
      <c r="M92" s="33"/>
    </row>
    <row r="93" spans="2:31" x14ac:dyDescent="0.25">
      <c r="M93" s="33"/>
    </row>
    <row r="94" spans="2:31" x14ac:dyDescent="0.25">
      <c r="M94" s="33"/>
    </row>
    <row r="95" spans="2:31" x14ac:dyDescent="0.25">
      <c r="M95" s="33"/>
    </row>
    <row r="96" spans="2:31" x14ac:dyDescent="0.25">
      <c r="M96" s="33"/>
    </row>
    <row r="97" spans="5:8" x14ac:dyDescent="0.25">
      <c r="E97" s="33">
        <v>0.2</v>
      </c>
      <c r="F97" t="s">
        <v>79</v>
      </c>
      <c r="H97" t="s">
        <v>80</v>
      </c>
    </row>
    <row r="98" spans="5:8" x14ac:dyDescent="0.25">
      <c r="E98" s="33">
        <v>0.15000000000000002</v>
      </c>
      <c r="F98" t="s">
        <v>81</v>
      </c>
      <c r="H98" t="s">
        <v>82</v>
      </c>
    </row>
    <row r="99" spans="5:8" x14ac:dyDescent="0.25">
      <c r="E99" s="33">
        <v>0.10000000000000002</v>
      </c>
      <c r="F99" t="s">
        <v>83</v>
      </c>
      <c r="H99" t="s">
        <v>84</v>
      </c>
    </row>
    <row r="100" spans="5:8" x14ac:dyDescent="0.25">
      <c r="E100" s="33">
        <v>5.0000000000000017E-2</v>
      </c>
      <c r="F100" t="s">
        <v>85</v>
      </c>
      <c r="H100" t="s">
        <v>86</v>
      </c>
    </row>
    <row r="101" spans="5:8" x14ac:dyDescent="0.25">
      <c r="E101" s="33">
        <v>-0.05</v>
      </c>
      <c r="F101" t="s">
        <v>87</v>
      </c>
      <c r="H101" t="s">
        <v>88</v>
      </c>
    </row>
    <row r="102" spans="5:8" x14ac:dyDescent="0.25">
      <c r="E102" s="33">
        <v>-0.1</v>
      </c>
      <c r="F102" t="s">
        <v>89</v>
      </c>
    </row>
    <row r="103" spans="5:8" x14ac:dyDescent="0.25">
      <c r="E103" s="33">
        <v>-0.15000000000000002</v>
      </c>
      <c r="F103" t="s">
        <v>90</v>
      </c>
    </row>
    <row r="104" spans="5:8" x14ac:dyDescent="0.25">
      <c r="E104" s="33">
        <v>-0.2</v>
      </c>
      <c r="F104" t="s">
        <v>91</v>
      </c>
    </row>
    <row r="105" spans="5:8" x14ac:dyDescent="0.25">
      <c r="E105" s="33"/>
    </row>
  </sheetData>
  <mergeCells count="17">
    <mergeCell ref="R12:R13"/>
    <mergeCell ref="K12:K13"/>
    <mergeCell ref="L12:L13"/>
    <mergeCell ref="M12:M13"/>
    <mergeCell ref="O12:O13"/>
    <mergeCell ref="P12:P13"/>
    <mergeCell ref="Q12:Q13"/>
    <mergeCell ref="B11:B13"/>
    <mergeCell ref="C11:M11"/>
    <mergeCell ref="C12:C13"/>
    <mergeCell ref="D12:D13"/>
    <mergeCell ref="E12:E13"/>
    <mergeCell ref="F12:F13"/>
    <mergeCell ref="G12:G13"/>
    <mergeCell ref="H12:H13"/>
    <mergeCell ref="I12:I13"/>
    <mergeCell ref="J12:J13"/>
  </mergeCells>
  <conditionalFormatting sqref="C9:K9 C14:M84 R14:R84">
    <cfRule type="expression" dxfId="17" priority="10">
      <formula>C9&lt;-0.175</formula>
    </cfRule>
    <cfRule type="expression" dxfId="16" priority="11">
      <formula>AND(C9&lt;-0.125,C9&gt;=-0.175)</formula>
    </cfRule>
    <cfRule type="expression" dxfId="15" priority="12">
      <formula>AND(C9&lt;-0.075,C9&gt;=-0.125)</formula>
    </cfRule>
    <cfRule type="expression" dxfId="14" priority="13">
      <formula>AND(C9&lt;-0.025,C9&gt;=-0.075)</formula>
    </cfRule>
    <cfRule type="expression" dxfId="13" priority="14">
      <formula>C9&gt;0.175</formula>
    </cfRule>
    <cfRule type="expression" dxfId="12" priority="15">
      <formula>AND(C9&lt;0.175,C9&gt;=0.125)</formula>
    </cfRule>
    <cfRule type="expression" dxfId="11" priority="16">
      <formula>AND(C9&lt;0.125,C9&gt;=0.075)</formula>
    </cfRule>
    <cfRule type="expression" dxfId="10" priority="17">
      <formula>AND(C9&lt;0.075,C9&gt;=0.025)</formula>
    </cfRule>
    <cfRule type="expression" dxfId="9" priority="18">
      <formula>AND(C9&lt;0.025,C9&gt;-0.025)</formula>
    </cfRule>
  </conditionalFormatting>
  <conditionalFormatting sqref="O14:O84">
    <cfRule type="expression" dxfId="8" priority="1">
      <formula>O14&lt;-0.175</formula>
    </cfRule>
    <cfRule type="expression" dxfId="7" priority="2">
      <formula>AND(O14&lt;-0.125,O14&gt;=-0.175)</formula>
    </cfRule>
    <cfRule type="expression" dxfId="6" priority="3">
      <formula>AND(O14&lt;-0.075,O14&gt;=-0.125)</formula>
    </cfRule>
    <cfRule type="expression" dxfId="5" priority="4">
      <formula>AND(O14&lt;-0.025,O14&gt;=-0.075)</formula>
    </cfRule>
    <cfRule type="expression" dxfId="4" priority="5">
      <formula>O14&gt;=0.175</formula>
    </cfRule>
    <cfRule type="expression" dxfId="3" priority="6">
      <formula>AND(O14&lt;0.175,O14&gt;=0.125)</formula>
    </cfRule>
    <cfRule type="expression" dxfId="2" priority="7">
      <formula>AND(O14&lt;0.125,O14&gt;=0.075)</formula>
    </cfRule>
    <cfRule type="expression" dxfId="1" priority="8">
      <formula>AND(O14&lt;0.075,O14&gt;=0.025)</formula>
    </cfRule>
    <cfRule type="expression" dxfId="0" priority="9">
      <formula>AND(O14&lt;0.025,O14&gt;-0.025)</formula>
    </cfRule>
  </conditionalFormatting>
  <printOptions horizontalCentered="1"/>
  <pageMargins left="0.3" right="0.3" top="0.88" bottom="0.3" header="0.25" footer="0.5"/>
  <pageSetup paperSize="9" scale="50" orientation="portrait" r:id="rId1"/>
  <headerFooter differentFirst="1">
    <oddHeader>&amp;LReporte de Ratios Argentina&amp;R&amp;G</oddHeader>
    <oddFooter>&amp;Cwww.invertironline.com&amp;R&amp;P</oddFooter>
    <firstHeader>&amp;R&amp;G</firstHeader>
    <firstFooter>&amp;Cwww.invertironline.com</firstFooter>
  </headerFooter>
  <legacyDrawingHF r:id="rId2"/>
  <extLst>
    <ext xmlns:x14="http://schemas.microsoft.com/office/spreadsheetml/2009/9/main" uri="{05C60535-1F16-4fd2-B633-F4F36F0B64E0}">
      <x14:sparklineGroups xmlns:xm="http://schemas.microsoft.com/office/excel/2006/main">
        <x14:sparklineGroup lineWeight="1.5" displayEmptyCellsAs="gap">
          <x14:colorSeries theme="1"/>
          <x14:colorNegative theme="9"/>
          <x14:colorAxis rgb="FF000000"/>
          <x14:colorMarkers theme="8"/>
          <x14:colorFirst theme="4"/>
          <x14:colorLast theme="5"/>
          <x14:colorHigh theme="6"/>
          <x14:colorLow theme="7"/>
          <x14:sparklines>
            <x14:sparkline>
              <xm:f>Heatmap!T14:AE14</xm:f>
              <xm:sqref>Q14</xm:sqref>
            </x14:sparkline>
            <x14:sparkline>
              <xm:f>Heatmap!T15:AE15</xm:f>
              <xm:sqref>Q15</xm:sqref>
            </x14:sparkline>
            <x14:sparkline>
              <xm:f>Heatmap!T16:AE16</xm:f>
              <xm:sqref>Q16</xm:sqref>
            </x14:sparkline>
            <x14:sparkline>
              <xm:f>Heatmap!T17:AE17</xm:f>
              <xm:sqref>Q17</xm:sqref>
            </x14:sparkline>
            <x14:sparkline>
              <xm:f>Heatmap!T18:AE18</xm:f>
              <xm:sqref>Q18</xm:sqref>
            </x14:sparkline>
            <x14:sparkline>
              <xm:f>Heatmap!T19:AE19</xm:f>
              <xm:sqref>Q19</xm:sqref>
            </x14:sparkline>
            <x14:sparkline>
              <xm:f>Heatmap!T20:AE20</xm:f>
              <xm:sqref>Q20</xm:sqref>
            </x14:sparkline>
            <x14:sparkline>
              <xm:f>Heatmap!T21:AE21</xm:f>
              <xm:sqref>Q21</xm:sqref>
            </x14:sparkline>
            <x14:sparkline>
              <xm:f>Heatmap!T22:AE22</xm:f>
              <xm:sqref>Q22</xm:sqref>
            </x14:sparkline>
            <x14:sparkline>
              <xm:f>Heatmap!T23:AE23</xm:f>
              <xm:sqref>Q23</xm:sqref>
            </x14:sparkline>
            <x14:sparkline>
              <xm:f>Heatmap!T24:AE24</xm:f>
              <xm:sqref>Q24</xm:sqref>
            </x14:sparkline>
            <x14:sparkline>
              <xm:f>Heatmap!T25:AE25</xm:f>
              <xm:sqref>Q25</xm:sqref>
            </x14:sparkline>
            <x14:sparkline>
              <xm:f>Heatmap!T26:AE26</xm:f>
              <xm:sqref>Q26</xm:sqref>
            </x14:sparkline>
            <x14:sparkline>
              <xm:f>Heatmap!T27:AE27</xm:f>
              <xm:sqref>Q27</xm:sqref>
            </x14:sparkline>
            <x14:sparkline>
              <xm:f>Heatmap!T28:AE28</xm:f>
              <xm:sqref>Q28</xm:sqref>
            </x14:sparkline>
            <x14:sparkline>
              <xm:f>Heatmap!T29:AE29</xm:f>
              <xm:sqref>Q29</xm:sqref>
            </x14:sparkline>
            <x14:sparkline>
              <xm:f>Heatmap!T30:AE30</xm:f>
              <xm:sqref>Q30</xm:sqref>
            </x14:sparkline>
            <x14:sparkline>
              <xm:f>Heatmap!T31:AE31</xm:f>
              <xm:sqref>Q31</xm:sqref>
            </x14:sparkline>
            <x14:sparkline>
              <xm:f>Heatmap!T32:AE32</xm:f>
              <xm:sqref>Q32</xm:sqref>
            </x14:sparkline>
            <x14:sparkline>
              <xm:f>Heatmap!T33:AE33</xm:f>
              <xm:sqref>Q33</xm:sqref>
            </x14:sparkline>
            <x14:sparkline>
              <xm:f>Heatmap!T34:AE34</xm:f>
              <xm:sqref>Q34</xm:sqref>
            </x14:sparkline>
            <x14:sparkline>
              <xm:f>Heatmap!T35:AE35</xm:f>
              <xm:sqref>Q35</xm:sqref>
            </x14:sparkline>
            <x14:sparkline>
              <xm:f>Heatmap!T36:AE36</xm:f>
              <xm:sqref>Q36</xm:sqref>
            </x14:sparkline>
            <x14:sparkline>
              <xm:f>Heatmap!T37:AE37</xm:f>
              <xm:sqref>Q37</xm:sqref>
            </x14:sparkline>
            <x14:sparkline>
              <xm:f>Heatmap!T38:AE38</xm:f>
              <xm:sqref>Q38</xm:sqref>
            </x14:sparkline>
            <x14:sparkline>
              <xm:f>Heatmap!T39:AE39</xm:f>
              <xm:sqref>Q39</xm:sqref>
            </x14:sparkline>
            <x14:sparkline>
              <xm:f>Heatmap!T40:AE40</xm:f>
              <xm:sqref>Q40</xm:sqref>
            </x14:sparkline>
            <x14:sparkline>
              <xm:f>Heatmap!T41:AE41</xm:f>
              <xm:sqref>Q41</xm:sqref>
            </x14:sparkline>
            <x14:sparkline>
              <xm:f>Heatmap!T42:AE42</xm:f>
              <xm:sqref>Q42</xm:sqref>
            </x14:sparkline>
            <x14:sparkline>
              <xm:f>Heatmap!T43:AE43</xm:f>
              <xm:sqref>Q43</xm:sqref>
            </x14:sparkline>
            <x14:sparkline>
              <xm:f>Heatmap!T44:AE44</xm:f>
              <xm:sqref>Q44</xm:sqref>
            </x14:sparkline>
            <x14:sparkline>
              <xm:f>Heatmap!T45:AE45</xm:f>
              <xm:sqref>Q45</xm:sqref>
            </x14:sparkline>
            <x14:sparkline>
              <xm:f>Heatmap!T46:AE46</xm:f>
              <xm:sqref>Q46</xm:sqref>
            </x14:sparkline>
            <x14:sparkline>
              <xm:f>Heatmap!T47:AE47</xm:f>
              <xm:sqref>Q47</xm:sqref>
            </x14:sparkline>
            <x14:sparkline>
              <xm:f>Heatmap!T48:AE48</xm:f>
              <xm:sqref>Q48</xm:sqref>
            </x14:sparkline>
            <x14:sparkline>
              <xm:f>Heatmap!T49:AE49</xm:f>
              <xm:sqref>Q49</xm:sqref>
            </x14:sparkline>
            <x14:sparkline>
              <xm:f>Heatmap!T50:AE50</xm:f>
              <xm:sqref>Q50</xm:sqref>
            </x14:sparkline>
            <x14:sparkline>
              <xm:f>Heatmap!T51:AE51</xm:f>
              <xm:sqref>Q51</xm:sqref>
            </x14:sparkline>
            <x14:sparkline>
              <xm:f>Heatmap!T52:AE52</xm:f>
              <xm:sqref>Q52</xm:sqref>
            </x14:sparkline>
            <x14:sparkline>
              <xm:f>Heatmap!T53:AE53</xm:f>
              <xm:sqref>Q53</xm:sqref>
            </x14:sparkline>
            <x14:sparkline>
              <xm:f>Heatmap!T54:AE54</xm:f>
              <xm:sqref>Q54</xm:sqref>
            </x14:sparkline>
            <x14:sparkline>
              <xm:f>Heatmap!T55:AE55</xm:f>
              <xm:sqref>Q55</xm:sqref>
            </x14:sparkline>
            <x14:sparkline>
              <xm:f>Heatmap!T56:AE56</xm:f>
              <xm:sqref>Q56</xm:sqref>
            </x14:sparkline>
            <x14:sparkline>
              <xm:f>Heatmap!T57:AE57</xm:f>
              <xm:sqref>Q57</xm:sqref>
            </x14:sparkline>
            <x14:sparkline>
              <xm:f>Heatmap!T58:AE58</xm:f>
              <xm:sqref>Q58</xm:sqref>
            </x14:sparkline>
            <x14:sparkline>
              <xm:f>Heatmap!T59:AE59</xm:f>
              <xm:sqref>Q59</xm:sqref>
            </x14:sparkline>
            <x14:sparkline>
              <xm:f>Heatmap!T60:AE60</xm:f>
              <xm:sqref>Q60</xm:sqref>
            </x14:sparkline>
            <x14:sparkline>
              <xm:f>Heatmap!T61:AE61</xm:f>
              <xm:sqref>Q61</xm:sqref>
            </x14:sparkline>
            <x14:sparkline>
              <xm:f>Heatmap!T62:AE62</xm:f>
              <xm:sqref>Q62</xm:sqref>
            </x14:sparkline>
            <x14:sparkline>
              <xm:f>Heatmap!T63:AE63</xm:f>
              <xm:sqref>Q63</xm:sqref>
            </x14:sparkline>
            <x14:sparkline>
              <xm:f>Heatmap!T64:AE64</xm:f>
              <xm:sqref>Q64</xm:sqref>
            </x14:sparkline>
            <x14:sparkline>
              <xm:f>Heatmap!T65:AE65</xm:f>
              <xm:sqref>Q65</xm:sqref>
            </x14:sparkline>
            <x14:sparkline>
              <xm:f>Heatmap!T66:AE66</xm:f>
              <xm:sqref>Q66</xm:sqref>
            </x14:sparkline>
            <x14:sparkline>
              <xm:f>Heatmap!T67:AE67</xm:f>
              <xm:sqref>Q67</xm:sqref>
            </x14:sparkline>
            <x14:sparkline>
              <xm:f>Heatmap!T68:AE68</xm:f>
              <xm:sqref>Q68</xm:sqref>
            </x14:sparkline>
            <x14:sparkline>
              <xm:f>Heatmap!T69:AE69</xm:f>
              <xm:sqref>Q69</xm:sqref>
            </x14:sparkline>
            <x14:sparkline>
              <xm:f>Heatmap!T70:AE70</xm:f>
              <xm:sqref>Q70</xm:sqref>
            </x14:sparkline>
            <x14:sparkline>
              <xm:f>Heatmap!T71:AE71</xm:f>
              <xm:sqref>Q71</xm:sqref>
            </x14:sparkline>
            <x14:sparkline>
              <xm:f>Heatmap!T72:AE72</xm:f>
              <xm:sqref>Q72</xm:sqref>
            </x14:sparkline>
            <x14:sparkline>
              <xm:f>Heatmap!T73:AE73</xm:f>
              <xm:sqref>Q73</xm:sqref>
            </x14:sparkline>
            <x14:sparkline>
              <xm:f>Heatmap!T74:AE74</xm:f>
              <xm:sqref>Q74</xm:sqref>
            </x14:sparkline>
            <x14:sparkline>
              <xm:f>Heatmap!T75:AE75</xm:f>
              <xm:sqref>Q75</xm:sqref>
            </x14:sparkline>
            <x14:sparkline>
              <xm:f>Heatmap!T76:AE76</xm:f>
              <xm:sqref>Q76</xm:sqref>
            </x14:sparkline>
            <x14:sparkline>
              <xm:f>Heatmap!T77:AE77</xm:f>
              <xm:sqref>Q77</xm:sqref>
            </x14:sparkline>
            <x14:sparkline>
              <xm:f>Heatmap!T78:AE78</xm:f>
              <xm:sqref>Q78</xm:sqref>
            </x14:sparkline>
            <x14:sparkline>
              <xm:f>Heatmap!T79:AE79</xm:f>
              <xm:sqref>Q79</xm:sqref>
            </x14:sparkline>
            <x14:sparkline>
              <xm:f>Heatmap!T80:AE80</xm:f>
              <xm:sqref>Q80</xm:sqref>
            </x14:sparkline>
            <x14:sparkline>
              <xm:f>Heatmap!T81:AE81</xm:f>
              <xm:sqref>Q81</xm:sqref>
            </x14:sparkline>
            <x14:sparkline>
              <xm:f>Heatmap!T82:AE82</xm:f>
              <xm:sqref>Q82</xm:sqref>
            </x14:sparkline>
            <x14:sparkline>
              <xm:f>Heatmap!T83:AE83</xm:f>
              <xm:sqref>Q83</xm:sqref>
            </x14:sparkline>
            <x14:sparkline>
              <xm:f>Heatmap!T84:AE84</xm:f>
              <xm:sqref>Q84</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rgb="FF564585"/>
  </sheetPr>
  <dimension ref="B1:AK124"/>
  <sheetViews>
    <sheetView zoomScaleNormal="100" zoomScaleSheetLayoutView="90" workbookViewId="0">
      <selection sqref="A1:A1048576"/>
    </sheetView>
  </sheetViews>
  <sheetFormatPr baseColWidth="10" defaultRowHeight="15" x14ac:dyDescent="0.25"/>
  <cols>
    <col min="1" max="1" width="1.28515625" customWidth="1"/>
    <col min="2" max="2" width="7" customWidth="1"/>
    <col min="3" max="3" width="9" bestFit="1" customWidth="1"/>
    <col min="4" max="4" width="9.7109375" customWidth="1"/>
    <col min="5" max="5" width="10.140625" customWidth="1"/>
    <col min="6" max="6" width="8.42578125" bestFit="1" customWidth="1"/>
    <col min="7" max="7" width="8.85546875" customWidth="1"/>
    <col min="8" max="8" width="7.42578125" customWidth="1"/>
    <col min="9" max="9" width="6.42578125" bestFit="1" customWidth="1"/>
    <col min="10" max="10" width="7.7109375" customWidth="1"/>
    <col min="11" max="11" width="12.85546875" bestFit="1" customWidth="1"/>
    <col min="12" max="12" width="11.42578125" bestFit="1" customWidth="1"/>
    <col min="13" max="13" width="6.7109375" bestFit="1" customWidth="1"/>
    <col min="14" max="14" width="8.42578125" bestFit="1" customWidth="1"/>
    <col min="15" max="15" width="7.42578125" bestFit="1" customWidth="1"/>
    <col min="16" max="16" width="15.28515625" bestFit="1" customWidth="1"/>
    <col min="17" max="17" width="9" bestFit="1" customWidth="1"/>
    <col min="18" max="18" width="7" bestFit="1" customWidth="1"/>
    <col min="19" max="19" width="8.140625" bestFit="1" customWidth="1"/>
    <col min="20" max="20" width="6" bestFit="1" customWidth="1"/>
    <col min="21" max="21" width="9.140625" customWidth="1"/>
    <col min="22" max="23" width="7" bestFit="1" customWidth="1"/>
    <col min="24" max="24" width="8.85546875" bestFit="1" customWidth="1"/>
    <col min="25" max="25" width="8.85546875" style="60" customWidth="1"/>
    <col min="27" max="27" width="13" bestFit="1" customWidth="1"/>
    <col min="28" max="28" width="13.28515625" bestFit="1" customWidth="1"/>
    <col min="29" max="29" width="12.85546875" bestFit="1" customWidth="1"/>
  </cols>
  <sheetData>
    <row r="1" spans="2:25" ht="10.5" customHeight="1" x14ac:dyDescent="0.5">
      <c r="B1" s="34"/>
      <c r="Y1"/>
    </row>
    <row r="2" spans="2:25" ht="10.5" customHeight="1" x14ac:dyDescent="0.25">
      <c r="Y2"/>
    </row>
    <row r="3" spans="2:25" ht="9.75" customHeight="1" x14ac:dyDescent="0.25">
      <c r="Y3"/>
    </row>
    <row r="4" spans="2:25" ht="26.25" x14ac:dyDescent="0.4">
      <c r="B4" s="6" t="s">
        <v>92</v>
      </c>
      <c r="Y4"/>
    </row>
    <row r="5" spans="2:25" ht="26.25" customHeight="1" x14ac:dyDescent="0.25">
      <c r="Y5"/>
    </row>
    <row r="6" spans="2:25" ht="20.25" customHeight="1" x14ac:dyDescent="0.25">
      <c r="B6" s="35" t="s">
        <v>3</v>
      </c>
      <c r="C6" s="35" t="s">
        <v>93</v>
      </c>
      <c r="D6" s="36" t="s">
        <v>94</v>
      </c>
      <c r="E6" s="36"/>
      <c r="F6" s="37" t="s">
        <v>95</v>
      </c>
      <c r="G6" s="38"/>
      <c r="H6" s="39"/>
      <c r="I6" s="36" t="s">
        <v>96</v>
      </c>
      <c r="J6" s="36"/>
      <c r="K6" s="40" t="s">
        <v>97</v>
      </c>
      <c r="L6" s="40" t="s">
        <v>98</v>
      </c>
      <c r="M6" s="41" t="s">
        <v>99</v>
      </c>
      <c r="N6" s="36" t="s">
        <v>100</v>
      </c>
      <c r="O6" s="36"/>
      <c r="P6" s="36" t="s">
        <v>101</v>
      </c>
      <c r="Q6" s="36"/>
      <c r="R6" s="36"/>
      <c r="S6" s="41" t="s">
        <v>102</v>
      </c>
      <c r="T6" s="36" t="s">
        <v>103</v>
      </c>
      <c r="U6" s="36"/>
      <c r="V6" s="36"/>
      <c r="W6" s="36"/>
      <c r="X6" s="36"/>
      <c r="Y6" s="42" t="s">
        <v>3</v>
      </c>
    </row>
    <row r="7" spans="2:25" ht="30.75" customHeight="1" x14ac:dyDescent="0.25">
      <c r="B7" s="43"/>
      <c r="C7" s="43"/>
      <c r="D7" s="44" t="s">
        <v>104</v>
      </c>
      <c r="E7" s="44" t="s">
        <v>105</v>
      </c>
      <c r="F7" s="45" t="s">
        <v>106</v>
      </c>
      <c r="G7" s="45" t="s">
        <v>118</v>
      </c>
      <c r="H7" s="45">
        <v>2020</v>
      </c>
      <c r="I7" s="45" t="s">
        <v>107</v>
      </c>
      <c r="J7" s="45" t="s">
        <v>108</v>
      </c>
      <c r="K7" s="46"/>
      <c r="L7" s="46"/>
      <c r="M7" s="41"/>
      <c r="N7" s="45" t="s">
        <v>118</v>
      </c>
      <c r="O7" s="45">
        <v>2020</v>
      </c>
      <c r="P7" s="47" t="s">
        <v>109</v>
      </c>
      <c r="Q7" s="45" t="s">
        <v>110</v>
      </c>
      <c r="R7" s="45" t="s">
        <v>111</v>
      </c>
      <c r="S7" s="41"/>
      <c r="T7" s="48" t="s">
        <v>112</v>
      </c>
      <c r="U7" s="45" t="s">
        <v>113</v>
      </c>
      <c r="V7" s="45" t="s">
        <v>114</v>
      </c>
      <c r="W7" s="45" t="s">
        <v>115</v>
      </c>
      <c r="X7" s="45" t="s">
        <v>116</v>
      </c>
      <c r="Y7" s="49"/>
    </row>
    <row r="8" spans="2:25" x14ac:dyDescent="0.25">
      <c r="B8" s="50" t="s">
        <v>117</v>
      </c>
      <c r="C8" s="51"/>
      <c r="D8" s="51"/>
      <c r="E8" s="51"/>
      <c r="F8" s="51"/>
      <c r="G8" s="51"/>
      <c r="H8" s="51"/>
      <c r="I8" s="51"/>
      <c r="J8" s="51"/>
      <c r="K8" s="51"/>
      <c r="L8" s="51"/>
      <c r="M8" s="51"/>
      <c r="N8" s="51"/>
      <c r="O8" s="51"/>
      <c r="P8" s="51"/>
      <c r="Q8" s="51"/>
      <c r="R8" s="51"/>
      <c r="S8" s="51"/>
      <c r="T8" s="51"/>
      <c r="U8" s="51"/>
      <c r="V8" s="51"/>
      <c r="W8" s="51"/>
      <c r="X8" s="51"/>
      <c r="Y8" s="51"/>
    </row>
    <row r="9" spans="2:25" x14ac:dyDescent="0.25">
      <c r="B9" t="s">
        <v>67</v>
      </c>
      <c r="C9" s="52">
        <v>19.7</v>
      </c>
      <c r="D9" s="53">
        <v>47.25</v>
      </c>
      <c r="E9" s="53">
        <v>15</v>
      </c>
      <c r="F9" s="54">
        <v>0</v>
      </c>
      <c r="G9" s="54">
        <v>-0.40303030303030307</v>
      </c>
      <c r="H9" s="54">
        <v>-0.21200000000000008</v>
      </c>
      <c r="I9" s="55">
        <v>0.84413405496025007</v>
      </c>
      <c r="J9" s="55">
        <v>0.8406845646255221</v>
      </c>
      <c r="K9" s="56">
        <v>0.37693541423099181</v>
      </c>
      <c r="L9" s="56">
        <v>-1.0762414063148928E-2</v>
      </c>
      <c r="M9" s="57">
        <v>0.57044625523606496</v>
      </c>
      <c r="N9" s="54" t="s">
        <v>200</v>
      </c>
      <c r="O9" s="58" t="s">
        <v>200</v>
      </c>
      <c r="P9" s="57">
        <v>11.5</v>
      </c>
      <c r="Q9" s="57">
        <v>13.664129000000001</v>
      </c>
      <c r="R9" s="59">
        <v>10.317931087080099</v>
      </c>
      <c r="S9" s="54">
        <v>0</v>
      </c>
      <c r="T9" s="59">
        <v>0.13095069888321501</v>
      </c>
      <c r="U9" s="59">
        <v>26.219820587217502</v>
      </c>
      <c r="V9" s="59" t="s">
        <v>200</v>
      </c>
      <c r="W9" s="59">
        <v>0.70632888609066302</v>
      </c>
      <c r="X9" s="59">
        <v>27.428234095105001</v>
      </c>
      <c r="Y9" s="60" t="s">
        <v>67</v>
      </c>
    </row>
    <row r="10" spans="2:25" x14ac:dyDescent="0.25">
      <c r="B10" t="s">
        <v>65</v>
      </c>
      <c r="C10" s="52">
        <v>192</v>
      </c>
      <c r="D10" s="53">
        <v>438</v>
      </c>
      <c r="E10" s="53">
        <v>159.35600299999999</v>
      </c>
      <c r="F10" s="54">
        <v>1.0526315789473717E-2</v>
      </c>
      <c r="G10" s="54">
        <v>-0.4</v>
      </c>
      <c r="H10" s="54">
        <v>-0.45915492957746484</v>
      </c>
      <c r="I10" s="55">
        <v>0.72035225278175408</v>
      </c>
      <c r="J10" s="55">
        <v>0.56420010551083</v>
      </c>
      <c r="K10" s="55" t="s">
        <v>200</v>
      </c>
      <c r="L10" s="55" t="s">
        <v>200</v>
      </c>
      <c r="M10" s="57">
        <v>0.413433449163364</v>
      </c>
      <c r="N10" s="54" t="s">
        <v>200</v>
      </c>
      <c r="O10" s="58" t="s">
        <v>200</v>
      </c>
      <c r="P10" s="57">
        <v>13.25214648</v>
      </c>
      <c r="Q10" s="57">
        <v>6.2180761100417898</v>
      </c>
      <c r="R10" s="59">
        <v>1.5617915096752499</v>
      </c>
      <c r="S10" s="54">
        <v>0.25056516337157897</v>
      </c>
      <c r="T10" s="59">
        <v>7.6931463675244005E-2</v>
      </c>
      <c r="U10" s="59">
        <v>2.5555416719402699</v>
      </c>
      <c r="V10" s="59" t="s">
        <v>200</v>
      </c>
      <c r="W10" s="59">
        <v>1.7514829953381099</v>
      </c>
      <c r="X10" s="59" t="s">
        <v>200</v>
      </c>
      <c r="Y10" s="60" t="s">
        <v>65</v>
      </c>
    </row>
    <row r="11" spans="2:25" x14ac:dyDescent="0.25">
      <c r="B11" t="s">
        <v>34</v>
      </c>
      <c r="C11" s="52">
        <v>46</v>
      </c>
      <c r="D11" s="53">
        <v>80</v>
      </c>
      <c r="E11" s="53">
        <v>34.049999999999997</v>
      </c>
      <c r="F11" s="54">
        <v>0</v>
      </c>
      <c r="G11" s="54">
        <v>-0.24590163934426235</v>
      </c>
      <c r="H11" s="54">
        <v>-0.20138888888888895</v>
      </c>
      <c r="I11" s="55">
        <v>0.44127703281187003</v>
      </c>
      <c r="J11" s="55">
        <v>0.511631703920157</v>
      </c>
      <c r="K11" s="56">
        <v>0.46053656556551803</v>
      </c>
      <c r="L11" s="56">
        <v>-0.10191756792706297</v>
      </c>
      <c r="M11" s="57">
        <v>0.44447865240878198</v>
      </c>
      <c r="N11" s="54" t="s">
        <v>200</v>
      </c>
      <c r="O11" s="58" t="s">
        <v>200</v>
      </c>
      <c r="P11" s="57">
        <v>10.07075635</v>
      </c>
      <c r="Q11" s="57">
        <v>17.149779842000001</v>
      </c>
      <c r="R11" s="59">
        <v>26.9868303238304</v>
      </c>
      <c r="S11" s="54" t="s">
        <v>200</v>
      </c>
      <c r="T11" s="59">
        <v>0.28275827868916997</v>
      </c>
      <c r="U11" s="59" t="s">
        <v>200</v>
      </c>
      <c r="V11" s="59">
        <v>15.3333333333333</v>
      </c>
      <c r="W11" s="59">
        <v>1.2024604408883901</v>
      </c>
      <c r="X11" s="59">
        <v>2.9136309478809799</v>
      </c>
      <c r="Y11" s="60" t="s">
        <v>34</v>
      </c>
    </row>
    <row r="12" spans="2:25" x14ac:dyDescent="0.25">
      <c r="B12" t="s">
        <v>48</v>
      </c>
      <c r="C12" s="52">
        <v>280</v>
      </c>
      <c r="D12" s="53">
        <v>470</v>
      </c>
      <c r="E12" s="53">
        <v>104.189867309836</v>
      </c>
      <c r="F12" s="54">
        <v>-9.6774193548387122E-2</v>
      </c>
      <c r="G12" s="54">
        <v>-0.30000000000000004</v>
      </c>
      <c r="H12" s="54">
        <v>-0.35632183908045978</v>
      </c>
      <c r="I12" s="55">
        <v>0.69069022535888602</v>
      </c>
      <c r="J12" s="55">
        <v>0.80064666118154304</v>
      </c>
      <c r="K12" s="55">
        <v>0.38229124169845002</v>
      </c>
      <c r="L12" s="55">
        <v>9.8095527617124478E-2</v>
      </c>
      <c r="M12" s="57" t="s">
        <v>200</v>
      </c>
      <c r="N12" s="54" t="s">
        <v>200</v>
      </c>
      <c r="O12" s="58" t="s">
        <v>200</v>
      </c>
      <c r="P12" s="57">
        <v>20.038547359999999</v>
      </c>
      <c r="Q12" s="57">
        <v>16.297942720000002</v>
      </c>
      <c r="R12" s="59">
        <v>8.7667077803648699</v>
      </c>
      <c r="S12" s="54">
        <v>5.5887096774193602E-2</v>
      </c>
      <c r="T12" s="59">
        <v>2.0068733503379601</v>
      </c>
      <c r="U12" s="59">
        <v>1400.3704205628601</v>
      </c>
      <c r="V12" s="59" t="s">
        <v>200</v>
      </c>
      <c r="W12" s="59">
        <v>349.752683435324</v>
      </c>
      <c r="X12" s="59">
        <v>16.936193847801</v>
      </c>
      <c r="Y12" s="60" t="s">
        <v>48</v>
      </c>
    </row>
    <row r="13" spans="2:25" x14ac:dyDescent="0.25">
      <c r="B13" t="s">
        <v>71</v>
      </c>
      <c r="C13" s="52">
        <v>62</v>
      </c>
      <c r="D13" s="53">
        <v>130</v>
      </c>
      <c r="E13" s="53">
        <v>53</v>
      </c>
      <c r="F13" s="54">
        <v>-1.4308426073131986E-2</v>
      </c>
      <c r="G13" s="54">
        <v>-0.42592592592592593</v>
      </c>
      <c r="H13" s="54">
        <v>-0.46320346320346317</v>
      </c>
      <c r="I13" s="55">
        <v>0.75462826217484102</v>
      </c>
      <c r="J13" s="55">
        <v>0.60123239524702599</v>
      </c>
      <c r="K13" s="55">
        <v>0.4920197108690319</v>
      </c>
      <c r="L13" s="55">
        <v>3.1142610564343087E-2</v>
      </c>
      <c r="M13" s="57">
        <v>0.69290839862360498</v>
      </c>
      <c r="N13" s="54" t="s">
        <v>200</v>
      </c>
      <c r="O13" s="58" t="s">
        <v>200</v>
      </c>
      <c r="P13" s="57">
        <v>5.5355468663999998</v>
      </c>
      <c r="Q13" s="57">
        <v>15.344339036999999</v>
      </c>
      <c r="R13" s="59">
        <v>26.278377909456001</v>
      </c>
      <c r="S13" s="54">
        <v>5.7201627344992097E-3</v>
      </c>
      <c r="T13" s="59">
        <v>0.23598333802833901</v>
      </c>
      <c r="U13" s="59" t="s">
        <v>200</v>
      </c>
      <c r="V13" s="59">
        <v>11.0350877192982</v>
      </c>
      <c r="W13" s="59">
        <v>2.77843580384341</v>
      </c>
      <c r="X13" s="59" t="s">
        <v>200</v>
      </c>
      <c r="Y13" s="60" t="s">
        <v>71</v>
      </c>
    </row>
    <row r="14" spans="2:25" x14ac:dyDescent="0.25">
      <c r="B14" t="s">
        <v>54</v>
      </c>
      <c r="C14" s="52">
        <v>11.45</v>
      </c>
      <c r="D14" s="53">
        <v>23</v>
      </c>
      <c r="E14" s="53">
        <v>9.1999999999999993</v>
      </c>
      <c r="F14" s="54">
        <v>1.327433628318575E-2</v>
      </c>
      <c r="G14" s="54">
        <v>-0.33815028901734112</v>
      </c>
      <c r="H14" s="54">
        <v>-0.33815028901734112</v>
      </c>
      <c r="I14" s="55">
        <v>0.38056109578339303</v>
      </c>
      <c r="J14" s="55">
        <v>0.49220287730038997</v>
      </c>
      <c r="K14" s="55">
        <v>0.42820990364843503</v>
      </c>
      <c r="L14" s="55">
        <v>-0.12450230349729197</v>
      </c>
      <c r="M14" s="57">
        <v>0.39573782524426598</v>
      </c>
      <c r="N14" s="54" t="s">
        <v>200</v>
      </c>
      <c r="O14" s="58" t="s">
        <v>200</v>
      </c>
      <c r="P14" s="57">
        <v>5.8739999999999997</v>
      </c>
      <c r="Q14" s="57">
        <v>17.375064999999999</v>
      </c>
      <c r="R14" s="59">
        <v>6.8008533620161904</v>
      </c>
      <c r="S14" s="54" t="s">
        <v>200</v>
      </c>
      <c r="T14" s="59">
        <v>0.19463549805430999</v>
      </c>
      <c r="U14" s="59" t="s">
        <v>200</v>
      </c>
      <c r="V14" s="59" t="s">
        <v>200</v>
      </c>
      <c r="W14" s="59">
        <v>0.74922398064362195</v>
      </c>
      <c r="X14" s="59">
        <v>2.1512364201037601</v>
      </c>
      <c r="Y14" s="60" t="s">
        <v>54</v>
      </c>
    </row>
    <row r="15" spans="2:25" x14ac:dyDescent="0.25">
      <c r="B15" t="s">
        <v>12</v>
      </c>
      <c r="C15" s="52">
        <v>8.9</v>
      </c>
      <c r="D15" s="53">
        <v>13.1</v>
      </c>
      <c r="E15" s="53">
        <v>7</v>
      </c>
      <c r="F15" s="54">
        <v>4.705882352941182E-2</v>
      </c>
      <c r="G15" s="54">
        <v>-2.732240437158473E-2</v>
      </c>
      <c r="H15" s="54">
        <v>-0.16822429906542047</v>
      </c>
      <c r="I15" s="55">
        <v>0.50615823312970998</v>
      </c>
      <c r="J15" s="55">
        <v>0.51110308082099198</v>
      </c>
      <c r="K15" s="55" t="s">
        <v>200</v>
      </c>
      <c r="L15" s="55" t="s">
        <v>200</v>
      </c>
      <c r="M15" s="57">
        <v>0.422062862062691</v>
      </c>
      <c r="N15" s="54" t="s">
        <v>200</v>
      </c>
      <c r="O15" s="58" t="s">
        <v>200</v>
      </c>
      <c r="P15" s="57">
        <v>4.9223217960000003</v>
      </c>
      <c r="Q15" s="57">
        <v>5.5738050889999906</v>
      </c>
      <c r="R15" s="59">
        <v>25.266961716585101</v>
      </c>
      <c r="S15" s="54" t="s">
        <v>200</v>
      </c>
      <c r="T15" s="59">
        <v>0.753744400219438</v>
      </c>
      <c r="U15" s="59" t="s">
        <v>200</v>
      </c>
      <c r="V15" s="59" t="s">
        <v>200</v>
      </c>
      <c r="W15" s="59">
        <v>0.436727523334412</v>
      </c>
      <c r="X15" s="59" t="s">
        <v>200</v>
      </c>
      <c r="Y15" s="60" t="s">
        <v>12</v>
      </c>
    </row>
    <row r="16" spans="2:25" x14ac:dyDescent="0.25">
      <c r="B16" t="s">
        <v>11</v>
      </c>
      <c r="C16" s="52" t="s">
        <v>200</v>
      </c>
      <c r="D16" s="53">
        <v>6.6</v>
      </c>
      <c r="E16" s="53">
        <v>2.8</v>
      </c>
      <c r="F16" s="54" t="s">
        <v>200</v>
      </c>
      <c r="G16" s="54" t="s">
        <v>200</v>
      </c>
      <c r="H16" s="54" t="s">
        <v>200</v>
      </c>
      <c r="I16" s="55">
        <v>0</v>
      </c>
      <c r="J16" s="55">
        <v>0.29717248317379202</v>
      </c>
      <c r="K16" s="55">
        <v>0.56254074223657713</v>
      </c>
      <c r="L16" s="55">
        <v>-0.16049895592578489</v>
      </c>
      <c r="M16" s="57">
        <v>0.29350900470796798</v>
      </c>
      <c r="N16" s="54" t="s">
        <v>200</v>
      </c>
      <c r="O16" s="58" t="s">
        <v>200</v>
      </c>
      <c r="P16" s="57">
        <v>3.6748795355999997</v>
      </c>
      <c r="Q16" s="57">
        <v>3.8784792895</v>
      </c>
      <c r="R16" s="59">
        <v>4.2477581437247096</v>
      </c>
      <c r="S16" s="54" t="s">
        <v>200</v>
      </c>
      <c r="T16" s="59">
        <v>0.26034642880536901</v>
      </c>
      <c r="U16" s="59" t="s">
        <v>200</v>
      </c>
      <c r="V16" s="59" t="s">
        <v>200</v>
      </c>
      <c r="W16" s="59">
        <v>1.11313941406988</v>
      </c>
      <c r="X16" s="59">
        <v>2.5397726318502101</v>
      </c>
      <c r="Y16" s="60" t="s">
        <v>11</v>
      </c>
    </row>
    <row r="17" spans="2:25" x14ac:dyDescent="0.25">
      <c r="B17" t="s">
        <v>24</v>
      </c>
      <c r="C17" s="52">
        <v>7.31</v>
      </c>
      <c r="D17" s="53">
        <v>10</v>
      </c>
      <c r="E17" s="53">
        <v>3.8742326999999999</v>
      </c>
      <c r="F17" s="54">
        <v>1.36986301369868E-3</v>
      </c>
      <c r="G17" s="54">
        <v>-0.18324022346368718</v>
      </c>
      <c r="H17" s="54">
        <v>-9.7530864197530875E-2</v>
      </c>
      <c r="I17" s="55">
        <v>0.41097909368040297</v>
      </c>
      <c r="J17" s="55">
        <v>0.47222423672722796</v>
      </c>
      <c r="K17" s="55">
        <v>0.44737117647905494</v>
      </c>
      <c r="L17" s="55">
        <v>1.7217369769084945E-2</v>
      </c>
      <c r="M17" s="57">
        <v>0.226026957616206</v>
      </c>
      <c r="N17" s="54" t="s">
        <v>200</v>
      </c>
      <c r="O17" s="58" t="s">
        <v>200</v>
      </c>
      <c r="P17" s="57">
        <v>0.688686456</v>
      </c>
      <c r="Q17" s="57">
        <v>0.93936248599999794</v>
      </c>
      <c r="R17" s="59">
        <v>3.3837514153860102</v>
      </c>
      <c r="S17" s="54">
        <v>6.1939546625E-3</v>
      </c>
      <c r="T17" s="59">
        <v>0.42784615405340198</v>
      </c>
      <c r="U17" s="59">
        <v>12.149376585114</v>
      </c>
      <c r="V17" s="59" t="s">
        <v>200</v>
      </c>
      <c r="W17" s="59">
        <v>0.63985124330838306</v>
      </c>
      <c r="X17" s="59">
        <v>17.8700073181904</v>
      </c>
      <c r="Y17" s="60" t="s">
        <v>24</v>
      </c>
    </row>
    <row r="18" spans="2:25" x14ac:dyDescent="0.25">
      <c r="B18" t="s">
        <v>36</v>
      </c>
      <c r="C18" s="52">
        <v>2.2999999999999998</v>
      </c>
      <c r="D18" s="53">
        <v>4.3499999999999996</v>
      </c>
      <c r="E18" s="53">
        <v>2.13</v>
      </c>
      <c r="F18" s="54">
        <v>5.504587155963292E-2</v>
      </c>
      <c r="G18" s="54">
        <v>-0.24836601307189554</v>
      </c>
      <c r="H18" s="54">
        <v>-0.28792569659442735</v>
      </c>
      <c r="I18" s="55">
        <v>0.47491118196488996</v>
      </c>
      <c r="J18" s="55">
        <v>0.49898305753820504</v>
      </c>
      <c r="K18" s="55">
        <v>0.4985346709947962</v>
      </c>
      <c r="L18" s="55">
        <v>-0.15943594641768766</v>
      </c>
      <c r="M18" s="57">
        <v>0.47859805638708203</v>
      </c>
      <c r="N18" s="54" t="s">
        <v>200</v>
      </c>
      <c r="O18" s="58" t="s">
        <v>200</v>
      </c>
      <c r="P18" s="57">
        <v>0.441577</v>
      </c>
      <c r="Q18" s="57">
        <v>0.62711293999999995</v>
      </c>
      <c r="R18" s="59">
        <v>3.5132621649584599</v>
      </c>
      <c r="S18" s="54">
        <v>2.0276207935779798E-2</v>
      </c>
      <c r="T18" s="59">
        <v>0.15626426758953699</v>
      </c>
      <c r="U18" s="59">
        <v>32.049397236106998</v>
      </c>
      <c r="V18" s="59" t="s">
        <v>200</v>
      </c>
      <c r="W18" s="59">
        <v>0.47090142764050902</v>
      </c>
      <c r="X18" s="59">
        <v>4.4431760703237799</v>
      </c>
      <c r="Y18" s="60" t="s">
        <v>36</v>
      </c>
    </row>
    <row r="19" spans="2:25" x14ac:dyDescent="0.25">
      <c r="B19" t="s">
        <v>49</v>
      </c>
      <c r="C19" s="52">
        <v>4.3499999999999996</v>
      </c>
      <c r="D19" s="53">
        <v>8.35</v>
      </c>
      <c r="E19" s="53">
        <v>1.575</v>
      </c>
      <c r="F19" s="54">
        <v>1.1627906976744207E-2</v>
      </c>
      <c r="G19" s="54">
        <v>-0.30400000000000005</v>
      </c>
      <c r="H19" s="54">
        <v>-3.3333333333333437E-2</v>
      </c>
      <c r="I19" s="55">
        <v>0.77975452879086404</v>
      </c>
      <c r="J19" s="55">
        <v>0.87581299728255801</v>
      </c>
      <c r="K19" s="55">
        <v>0.59871894034499951</v>
      </c>
      <c r="L19" s="55">
        <v>-0.12598224634684463</v>
      </c>
      <c r="M19" s="57">
        <v>0.60813701154934197</v>
      </c>
      <c r="N19" s="54" t="s">
        <v>200</v>
      </c>
      <c r="O19" s="58" t="s">
        <v>200</v>
      </c>
      <c r="P19" s="57">
        <v>1.1317002917999999</v>
      </c>
      <c r="Q19" s="57">
        <v>1.4084800274</v>
      </c>
      <c r="R19" s="59">
        <v>5.93590775455902</v>
      </c>
      <c r="S19" s="54">
        <v>1.16279069767442E-2</v>
      </c>
      <c r="T19" s="59">
        <v>0.34794572381960098</v>
      </c>
      <c r="U19" s="61">
        <v>8.4336876789706992</v>
      </c>
      <c r="V19" s="59" t="s">
        <v>200</v>
      </c>
      <c r="W19" s="59">
        <v>1.47523380243947</v>
      </c>
      <c r="X19" s="59">
        <v>38.494038470693198</v>
      </c>
      <c r="Y19" s="60" t="s">
        <v>49</v>
      </c>
    </row>
    <row r="20" spans="2:25" x14ac:dyDescent="0.25">
      <c r="B20" s="62" t="s">
        <v>119</v>
      </c>
      <c r="C20" s="63"/>
      <c r="D20" s="63"/>
      <c r="E20" s="63"/>
      <c r="F20" s="64">
        <v>2.7820497530627987E-3</v>
      </c>
      <c r="G20" s="64">
        <v>-0.2875936798225</v>
      </c>
      <c r="H20" s="64">
        <v>-0.26172336029583299</v>
      </c>
      <c r="I20" s="65">
        <v>0.54576781467607838</v>
      </c>
      <c r="J20" s="65">
        <v>0.58780856030256756</v>
      </c>
      <c r="K20" s="65">
        <v>0.47190648511865046</v>
      </c>
      <c r="L20" s="65">
        <v>-5.9627102914140945E-2</v>
      </c>
      <c r="M20" s="66">
        <v>0.45453384729993707</v>
      </c>
      <c r="N20" s="64" t="e">
        <v>#DIV/0!</v>
      </c>
      <c r="O20" s="64" t="s">
        <v>200</v>
      </c>
      <c r="P20" s="66">
        <v>7.0118329214363628</v>
      </c>
      <c r="Q20" s="66">
        <v>8.9524155946310735</v>
      </c>
      <c r="R20" s="67">
        <v>11.187284833421465</v>
      </c>
      <c r="S20" s="65">
        <v>5.0038641779327972E-2</v>
      </c>
      <c r="T20" s="67">
        <v>0.44311632746868956</v>
      </c>
      <c r="U20" s="59">
        <v>246.9630407203683</v>
      </c>
      <c r="V20" s="68">
        <v>13.18421052631575</v>
      </c>
      <c r="W20" s="69">
        <v>32.82513354117463</v>
      </c>
      <c r="X20" s="70">
        <v>14.097036225243542</v>
      </c>
      <c r="Y20" s="71" t="s">
        <v>120</v>
      </c>
    </row>
    <row r="21" spans="2:25" ht="9.75" customHeight="1" x14ac:dyDescent="0.25">
      <c r="I21" s="33"/>
      <c r="J21" s="33"/>
      <c r="K21" s="33"/>
      <c r="L21" s="33"/>
      <c r="M21" s="24"/>
      <c r="N21" s="72"/>
      <c r="O21" s="72"/>
      <c r="Q21" s="24"/>
      <c r="R21" s="73"/>
      <c r="S21" s="74"/>
      <c r="T21" s="73"/>
      <c r="U21" s="73"/>
      <c r="V21" s="73"/>
      <c r="W21" s="73"/>
      <c r="X21" s="73"/>
    </row>
    <row r="22" spans="2:25" x14ac:dyDescent="0.25">
      <c r="B22" s="50" t="s">
        <v>121</v>
      </c>
      <c r="C22" s="75"/>
      <c r="D22" s="75"/>
      <c r="E22" s="75"/>
      <c r="F22" s="75"/>
      <c r="G22" s="75"/>
      <c r="H22" s="75"/>
      <c r="I22" s="76"/>
      <c r="J22" s="76"/>
      <c r="K22" s="76"/>
      <c r="L22" s="76"/>
      <c r="M22" s="77"/>
      <c r="N22" s="78"/>
      <c r="O22" s="78"/>
      <c r="P22" s="75"/>
      <c r="Q22" s="77"/>
      <c r="R22" s="79"/>
      <c r="S22" s="80"/>
      <c r="T22" s="79"/>
      <c r="U22" s="79"/>
      <c r="V22" s="79"/>
      <c r="W22" s="79"/>
      <c r="X22" s="79"/>
      <c r="Y22" s="81"/>
    </row>
    <row r="23" spans="2:25" x14ac:dyDescent="0.25">
      <c r="B23" t="s">
        <v>70</v>
      </c>
      <c r="C23" s="52">
        <v>413</v>
      </c>
      <c r="D23" s="53">
        <v>990</v>
      </c>
      <c r="E23" s="53">
        <v>224.76583590975</v>
      </c>
      <c r="F23" s="54">
        <v>2.4271844660195274E-3</v>
      </c>
      <c r="G23" s="54">
        <v>-0.42156862745098034</v>
      </c>
      <c r="H23" s="54">
        <v>-0.4342465753424658</v>
      </c>
      <c r="I23" s="55">
        <v>0.86557472589838591</v>
      </c>
      <c r="J23" s="55">
        <v>0.6783294806199569</v>
      </c>
      <c r="K23" s="55">
        <v>0.52474608959482438</v>
      </c>
      <c r="L23" s="55">
        <v>9.3844071624626935E-2</v>
      </c>
      <c r="M23" s="57">
        <v>0.79638307362041705</v>
      </c>
      <c r="N23" s="54" t="s">
        <v>200</v>
      </c>
      <c r="O23" s="58" t="s">
        <v>200</v>
      </c>
      <c r="P23" s="57">
        <v>11.763</v>
      </c>
      <c r="Q23" s="57">
        <v>5.5843580000000097</v>
      </c>
      <c r="R23" s="59">
        <v>1.15290780879804</v>
      </c>
      <c r="S23" s="54">
        <v>2.13502335145631E-3</v>
      </c>
      <c r="T23" s="59">
        <v>0.15099892631130199</v>
      </c>
      <c r="U23" s="59">
        <v>34.917325604061297</v>
      </c>
      <c r="V23" s="59" t="s">
        <v>200</v>
      </c>
      <c r="W23" s="59">
        <v>8.6209913000719407</v>
      </c>
      <c r="X23" s="59">
        <v>2.5477505691728402</v>
      </c>
      <c r="Y23" s="60" t="s">
        <v>70</v>
      </c>
    </row>
    <row r="24" spans="2:25" x14ac:dyDescent="0.25">
      <c r="B24" t="s">
        <v>64</v>
      </c>
      <c r="C24" s="52">
        <v>80</v>
      </c>
      <c r="D24" s="53">
        <v>148</v>
      </c>
      <c r="E24" s="53">
        <v>55</v>
      </c>
      <c r="F24" s="54">
        <v>0</v>
      </c>
      <c r="G24" s="54">
        <v>-0.38461538461538458</v>
      </c>
      <c r="H24" s="54">
        <v>-0.4576271186440678</v>
      </c>
      <c r="I24" s="55">
        <v>0.58932468522162407</v>
      </c>
      <c r="J24" s="55">
        <v>0.52016801516802003</v>
      </c>
      <c r="K24" s="55" t="s">
        <v>200</v>
      </c>
      <c r="L24" s="55" t="s">
        <v>200</v>
      </c>
      <c r="M24" s="57">
        <v>0.59612303521163601</v>
      </c>
      <c r="N24" s="54" t="s">
        <v>200</v>
      </c>
      <c r="O24" s="58" t="s">
        <v>200</v>
      </c>
      <c r="P24" s="57">
        <v>4.7211015674999999</v>
      </c>
      <c r="Q24" s="57">
        <v>1.5882039299999999</v>
      </c>
      <c r="R24" s="59">
        <v>2.8165534940605701</v>
      </c>
      <c r="S24" s="54" t="s">
        <v>200</v>
      </c>
      <c r="T24" s="59">
        <v>0.33982832382887701</v>
      </c>
      <c r="U24" s="59">
        <v>28.307161004055001</v>
      </c>
      <c r="V24" s="59" t="s">
        <v>200</v>
      </c>
      <c r="W24" s="59">
        <v>2.8973580390317899</v>
      </c>
      <c r="X24" s="59">
        <v>2.1897081347246701</v>
      </c>
      <c r="Y24" s="60" t="s">
        <v>64</v>
      </c>
    </row>
    <row r="25" spans="2:25" x14ac:dyDescent="0.25">
      <c r="B25" t="s">
        <v>29</v>
      </c>
      <c r="C25" s="52" t="s">
        <v>200</v>
      </c>
      <c r="D25" s="53">
        <v>37</v>
      </c>
      <c r="E25" s="53">
        <v>17</v>
      </c>
      <c r="F25" s="54" t="s">
        <v>200</v>
      </c>
      <c r="G25" s="54" t="s">
        <v>200</v>
      </c>
      <c r="H25" s="54" t="s">
        <v>200</v>
      </c>
      <c r="I25" s="55">
        <v>0.43027975957704501</v>
      </c>
      <c r="J25" s="55">
        <v>0.54027781007596398</v>
      </c>
      <c r="K25" s="55">
        <v>0.56995753006040584</v>
      </c>
      <c r="L25" s="55">
        <v>0.10054047130411403</v>
      </c>
      <c r="M25" s="57">
        <v>0.46172169578252298</v>
      </c>
      <c r="N25" s="54" t="s">
        <v>200</v>
      </c>
      <c r="O25" s="58" t="s">
        <v>200</v>
      </c>
      <c r="P25" s="57">
        <v>1.1741491209999999</v>
      </c>
      <c r="Q25" s="57">
        <v>0.99273283199999907</v>
      </c>
      <c r="R25" s="59">
        <v>1.9740511867846999</v>
      </c>
      <c r="S25" s="54">
        <v>3.1891735047826102E-2</v>
      </c>
      <c r="T25" s="59">
        <v>0.17053570564359299</v>
      </c>
      <c r="U25" s="59" t="s">
        <v>200</v>
      </c>
      <c r="V25" s="59" t="s">
        <v>200</v>
      </c>
      <c r="W25" s="59">
        <v>0.97608767365928495</v>
      </c>
      <c r="X25" s="59">
        <v>1.07289373136355</v>
      </c>
      <c r="Y25" s="60" t="s">
        <v>29</v>
      </c>
    </row>
    <row r="26" spans="2:25" x14ac:dyDescent="0.25">
      <c r="B26" t="s">
        <v>73</v>
      </c>
      <c r="C26" s="52">
        <v>2.87</v>
      </c>
      <c r="D26" s="53">
        <v>7.9</v>
      </c>
      <c r="E26" s="53">
        <v>2.75</v>
      </c>
      <c r="F26" s="54">
        <v>2.5000000000000133E-2</v>
      </c>
      <c r="G26" s="54">
        <v>-0.43168316831683162</v>
      </c>
      <c r="H26" s="54">
        <v>-0.38936170212765953</v>
      </c>
      <c r="I26" s="55">
        <v>0.87561958405628104</v>
      </c>
      <c r="J26" s="55">
        <v>0.76154366081950098</v>
      </c>
      <c r="K26" s="55" t="s">
        <v>200</v>
      </c>
      <c r="L26" s="55" t="s">
        <v>200</v>
      </c>
      <c r="M26" s="57">
        <v>0.62316241007116202</v>
      </c>
      <c r="N26" s="54" t="s">
        <v>200</v>
      </c>
      <c r="O26" s="58" t="s">
        <v>200</v>
      </c>
      <c r="P26" s="57">
        <v>0.29253288849999998</v>
      </c>
      <c r="Q26" s="57">
        <v>1.3086811872000002</v>
      </c>
      <c r="R26" s="59">
        <v>14.606957990021501</v>
      </c>
      <c r="S26" s="54" t="s">
        <v>200</v>
      </c>
      <c r="T26" s="59">
        <v>2.6274729324032998E-2</v>
      </c>
      <c r="U26" s="59" t="s">
        <v>200</v>
      </c>
      <c r="V26" s="59" t="s">
        <v>200</v>
      </c>
      <c r="W26" s="59">
        <v>5.0937867736420998E-2</v>
      </c>
      <c r="X26" s="59">
        <v>8.4367185240346004E-2</v>
      </c>
      <c r="Y26" s="60" t="s">
        <v>73</v>
      </c>
    </row>
    <row r="27" spans="2:25" x14ac:dyDescent="0.25">
      <c r="B27" t="s">
        <v>72</v>
      </c>
      <c r="C27" s="52">
        <v>2.6</v>
      </c>
      <c r="D27" s="53">
        <v>7.11</v>
      </c>
      <c r="E27" s="53">
        <v>2</v>
      </c>
      <c r="F27" s="54">
        <v>-1.8867924528301772E-2</v>
      </c>
      <c r="G27" s="54">
        <v>-0.42857142857142849</v>
      </c>
      <c r="H27" s="54">
        <v>-0.57723577235772361</v>
      </c>
      <c r="I27" s="55">
        <v>0.73354088335834899</v>
      </c>
      <c r="J27" s="55">
        <v>0.66750232355578998</v>
      </c>
      <c r="K27" s="55">
        <v>0.49540879389226461</v>
      </c>
      <c r="L27" s="55">
        <v>-4.9087911423617125E-2</v>
      </c>
      <c r="M27" s="57">
        <v>0.38431938441909902</v>
      </c>
      <c r="N27" s="54" t="s">
        <v>200</v>
      </c>
      <c r="O27" s="58" t="s">
        <v>200</v>
      </c>
      <c r="P27" s="57">
        <v>0.51469906855000003</v>
      </c>
      <c r="Q27" s="57">
        <v>0.67039761945000098</v>
      </c>
      <c r="R27" s="59">
        <v>13.6631767144639</v>
      </c>
      <c r="S27" s="54" t="s">
        <v>200</v>
      </c>
      <c r="T27" s="59">
        <v>0.18919428734751501</v>
      </c>
      <c r="U27" s="59" t="s">
        <v>200</v>
      </c>
      <c r="V27" s="59" t="s">
        <v>200</v>
      </c>
      <c r="W27" s="59">
        <v>0.67283771664440395</v>
      </c>
      <c r="X27" s="59">
        <v>5.4021472914697002</v>
      </c>
      <c r="Y27" s="60" t="s">
        <v>72</v>
      </c>
    </row>
    <row r="28" spans="2:25" x14ac:dyDescent="0.25">
      <c r="B28" t="s">
        <v>293</v>
      </c>
      <c r="C28" s="52" t="s">
        <v>200</v>
      </c>
      <c r="D28" s="53" t="s">
        <v>200</v>
      </c>
      <c r="E28" s="53" t="s">
        <v>200</v>
      </c>
      <c r="F28" s="54" t="s">
        <v>200</v>
      </c>
      <c r="G28" s="54" t="s">
        <v>200</v>
      </c>
      <c r="H28" s="54" t="s">
        <v>200</v>
      </c>
      <c r="I28" s="55">
        <v>0</v>
      </c>
      <c r="J28" s="55">
        <v>0</v>
      </c>
      <c r="K28" s="55">
        <v>0.83254726817541236</v>
      </c>
      <c r="L28" s="55">
        <v>-9.3195527258223221E-2</v>
      </c>
      <c r="M28" s="57" t="s">
        <v>200</v>
      </c>
      <c r="N28" s="54" t="s">
        <v>200</v>
      </c>
      <c r="O28" s="58" t="s">
        <v>200</v>
      </c>
      <c r="P28" s="57">
        <v>0.36634667844999996</v>
      </c>
      <c r="Q28" s="57">
        <v>0.36480671845000001</v>
      </c>
      <c r="R28" s="59" t="s">
        <v>200</v>
      </c>
      <c r="S28" s="54" t="s">
        <v>200</v>
      </c>
      <c r="T28" s="59" t="s">
        <v>200</v>
      </c>
      <c r="U28" s="59" t="s">
        <v>200</v>
      </c>
      <c r="V28" s="59" t="s">
        <v>200</v>
      </c>
      <c r="W28" s="59" t="s">
        <v>200</v>
      </c>
      <c r="X28" s="59" t="s">
        <v>200</v>
      </c>
      <c r="Y28" s="60" t="s">
        <v>293</v>
      </c>
    </row>
    <row r="29" spans="2:25" x14ac:dyDescent="0.25">
      <c r="B29" s="31" t="s">
        <v>78</v>
      </c>
      <c r="C29" s="52" t="s">
        <v>200</v>
      </c>
      <c r="D29" s="53">
        <v>4.0999999999999996</v>
      </c>
      <c r="E29" s="53">
        <v>1.55</v>
      </c>
      <c r="F29" s="54" t="s">
        <v>200</v>
      </c>
      <c r="G29" s="54" t="s">
        <v>200</v>
      </c>
      <c r="H29" s="54" t="s">
        <v>200</v>
      </c>
      <c r="I29" s="55">
        <v>0.36498018127945697</v>
      </c>
      <c r="J29" s="55">
        <v>0.51849254541732703</v>
      </c>
      <c r="K29" s="55">
        <v>303.3993198359654</v>
      </c>
      <c r="L29" s="55">
        <v>-7.5126953107801042E-2</v>
      </c>
      <c r="M29" s="57" t="s">
        <v>200</v>
      </c>
      <c r="N29" s="54" t="s">
        <v>200</v>
      </c>
      <c r="O29" s="58" t="s">
        <v>200</v>
      </c>
      <c r="P29" s="57">
        <v>0.38900000000000001</v>
      </c>
      <c r="Q29" s="57">
        <v>0.38829929000000002</v>
      </c>
      <c r="R29" s="59">
        <v>4.9886997970213498</v>
      </c>
      <c r="S29" s="54" t="s">
        <v>200</v>
      </c>
      <c r="T29" s="59">
        <v>0.52847664474226896</v>
      </c>
      <c r="U29" s="61" t="s">
        <v>200</v>
      </c>
      <c r="V29" s="59" t="s">
        <v>200</v>
      </c>
      <c r="W29" s="59">
        <v>1.5004129414126199</v>
      </c>
      <c r="X29" s="59" t="s">
        <v>200</v>
      </c>
      <c r="Y29" s="60" t="s">
        <v>78</v>
      </c>
    </row>
    <row r="30" spans="2:25" x14ac:dyDescent="0.25">
      <c r="B30" s="62" t="s">
        <v>119</v>
      </c>
      <c r="C30" s="63"/>
      <c r="D30" s="63"/>
      <c r="E30" s="63"/>
      <c r="F30" s="64">
        <v>2.1398149844294723E-3</v>
      </c>
      <c r="G30" s="64">
        <v>-0.4166096522386562</v>
      </c>
      <c r="H30" s="64">
        <v>-0.46461779211797916</v>
      </c>
      <c r="I30" s="65">
        <v>0.55133140277016313</v>
      </c>
      <c r="J30" s="65">
        <v>0.52661626223665126</v>
      </c>
      <c r="K30" s="65">
        <v>61.16439590353766</v>
      </c>
      <c r="L30" s="65">
        <v>-4.6051697721800847E-3</v>
      </c>
      <c r="M30" s="66">
        <v>0.57234191982096738</v>
      </c>
      <c r="N30" s="64" t="e">
        <v>#DIV/0!</v>
      </c>
      <c r="O30" s="64" t="s">
        <v>200</v>
      </c>
      <c r="P30" s="66">
        <v>2.7458327605714281</v>
      </c>
      <c r="Q30" s="66">
        <v>1.556782796728573</v>
      </c>
      <c r="R30" s="67">
        <v>6.53372449852501</v>
      </c>
      <c r="S30" s="65">
        <v>1.7013379199641205E-2</v>
      </c>
      <c r="T30" s="67">
        <v>0.23421810286626479</v>
      </c>
      <c r="U30" s="59">
        <v>31.612243304058147</v>
      </c>
      <c r="V30" s="65" t="s">
        <v>200</v>
      </c>
      <c r="W30" s="69">
        <v>2.4531042564260765</v>
      </c>
      <c r="X30" s="68">
        <v>2.2593733823942213</v>
      </c>
      <c r="Y30" s="71" t="s">
        <v>120</v>
      </c>
    </row>
    <row r="31" spans="2:25" ht="9" customHeight="1" x14ac:dyDescent="0.25">
      <c r="I31" s="33"/>
      <c r="J31" s="33"/>
      <c r="K31" s="33"/>
      <c r="L31" s="33"/>
      <c r="M31" s="24"/>
      <c r="N31" s="72"/>
      <c r="O31" s="72"/>
      <c r="Q31" s="24"/>
      <c r="R31" s="73"/>
      <c r="S31" s="74"/>
      <c r="T31" s="73"/>
      <c r="U31" s="73"/>
      <c r="V31" s="73"/>
      <c r="W31" s="73"/>
      <c r="X31" s="73"/>
    </row>
    <row r="32" spans="2:25" x14ac:dyDescent="0.25">
      <c r="B32" s="50" t="s">
        <v>122</v>
      </c>
      <c r="C32" s="75"/>
      <c r="D32" s="75"/>
      <c r="E32" s="75"/>
      <c r="F32" s="75"/>
      <c r="G32" s="75"/>
      <c r="H32" s="75"/>
      <c r="I32" s="76"/>
      <c r="J32" s="76"/>
      <c r="K32" s="76"/>
      <c r="L32" s="76"/>
      <c r="M32" s="77"/>
      <c r="N32" s="78"/>
      <c r="O32" s="78"/>
      <c r="P32" s="75"/>
      <c r="Q32" s="77"/>
      <c r="R32" s="79"/>
      <c r="S32" s="80"/>
      <c r="T32" s="79"/>
      <c r="U32" s="79"/>
      <c r="V32" s="79"/>
      <c r="W32" s="79"/>
      <c r="X32" s="79"/>
      <c r="Y32" s="81"/>
    </row>
    <row r="33" spans="2:37" hidden="1" x14ac:dyDescent="0.25">
      <c r="B33" t="s">
        <v>8</v>
      </c>
      <c r="C33" s="52" t="s">
        <v>200</v>
      </c>
      <c r="D33" s="53">
        <v>652</v>
      </c>
      <c r="E33" s="53">
        <v>225.57680059449601</v>
      </c>
      <c r="F33" s="54" t="s">
        <v>200</v>
      </c>
      <c r="G33" s="54" t="s">
        <v>200</v>
      </c>
      <c r="H33" s="54" t="s">
        <v>200</v>
      </c>
      <c r="I33" s="55">
        <v>0.52141095978332896</v>
      </c>
      <c r="J33" s="55">
        <v>0.53889539758066807</v>
      </c>
      <c r="K33" s="55" t="s">
        <v>200</v>
      </c>
      <c r="L33" s="55" t="s">
        <v>200</v>
      </c>
      <c r="M33" s="57">
        <v>-1.0336064314334001E-2</v>
      </c>
      <c r="N33" s="54" t="s">
        <v>200</v>
      </c>
      <c r="O33" s="58" t="s">
        <v>200</v>
      </c>
      <c r="P33" s="57">
        <v>5887.5662992117996</v>
      </c>
      <c r="Q33" s="57">
        <v>466.94918134561999</v>
      </c>
      <c r="R33" s="59">
        <v>3.2487489309661099</v>
      </c>
      <c r="S33" s="54">
        <v>1.3739782770730201E-2</v>
      </c>
      <c r="T33" s="59">
        <v>0.48726156045492802</v>
      </c>
      <c r="U33" s="59">
        <v>4.9076287763529702</v>
      </c>
      <c r="V33" s="59">
        <v>33.292310654690603</v>
      </c>
      <c r="W33" s="59">
        <v>0.49830322095822899</v>
      </c>
      <c r="X33" s="59">
        <v>1.44716673878997</v>
      </c>
      <c r="Y33" s="60" t="s">
        <v>8</v>
      </c>
      <c r="AA33" t="s">
        <v>123</v>
      </c>
    </row>
    <row r="34" spans="2:37" hidden="1" x14ac:dyDescent="0.25">
      <c r="B34" t="s">
        <v>7</v>
      </c>
      <c r="C34" s="52" t="s">
        <v>200</v>
      </c>
      <c r="D34" s="53">
        <v>860</v>
      </c>
      <c r="E34" s="53">
        <v>395</v>
      </c>
      <c r="F34" s="54" t="s">
        <v>200</v>
      </c>
      <c r="G34" s="54" t="s">
        <v>200</v>
      </c>
      <c r="H34" s="54" t="s">
        <v>200</v>
      </c>
      <c r="I34" s="55">
        <v>0.49117188923368998</v>
      </c>
      <c r="J34" s="55">
        <v>0.495209330501581</v>
      </c>
      <c r="K34" s="55" t="s">
        <v>200</v>
      </c>
      <c r="L34" s="55" t="s">
        <v>200</v>
      </c>
      <c r="M34" s="57">
        <v>-8.6825462942850998E-2</v>
      </c>
      <c r="N34" s="54" t="s">
        <v>200</v>
      </c>
      <c r="O34" s="58" t="s">
        <v>200</v>
      </c>
      <c r="P34" s="57">
        <v>822.36195577800004</v>
      </c>
      <c r="Q34" s="57">
        <v>5.9498350619420703</v>
      </c>
      <c r="R34" s="59">
        <v>4.3368926446755101</v>
      </c>
      <c r="S34" s="54">
        <v>2.6571131208728099E-2</v>
      </c>
      <c r="T34" s="59">
        <v>0.88630769331216797</v>
      </c>
      <c r="U34" s="59">
        <v>8.6846932249027606</v>
      </c>
      <c r="V34" s="59">
        <v>24.271002665474501</v>
      </c>
      <c r="W34" s="59">
        <v>0.53922760109268297</v>
      </c>
      <c r="X34" s="59">
        <v>4.2310439500150796</v>
      </c>
      <c r="Y34" s="60" t="s">
        <v>7</v>
      </c>
      <c r="AA34" t="s">
        <v>124</v>
      </c>
      <c r="AB34" t="s">
        <v>125</v>
      </c>
      <c r="AC34" t="s">
        <v>126</v>
      </c>
      <c r="AD34" t="s">
        <v>127</v>
      </c>
    </row>
    <row r="35" spans="2:37" x14ac:dyDescent="0.25">
      <c r="B35" t="s">
        <v>77</v>
      </c>
      <c r="C35" s="52">
        <v>282.8</v>
      </c>
      <c r="D35" s="53">
        <v>894.85</v>
      </c>
      <c r="E35" s="53">
        <v>218.65</v>
      </c>
      <c r="F35" s="54">
        <v>0.2003395585738541</v>
      </c>
      <c r="G35" s="54">
        <v>-0.57102768297307538</v>
      </c>
      <c r="H35" s="54">
        <v>-0.67008866075594953</v>
      </c>
      <c r="I35" s="55">
        <v>1.2928635018075201</v>
      </c>
      <c r="J35" s="55">
        <v>0.87358741724066202</v>
      </c>
      <c r="K35" s="55">
        <v>0.47541581810183853</v>
      </c>
      <c r="L35" s="55">
        <v>-0.1423975655469174</v>
      </c>
      <c r="M35" s="57">
        <v>0.77807147946069499</v>
      </c>
      <c r="N35" s="54" t="s">
        <v>200</v>
      </c>
      <c r="O35" s="58" t="s">
        <v>200</v>
      </c>
      <c r="P35" s="57">
        <v>159.03602784954998</v>
      </c>
      <c r="Q35" s="57">
        <v>612.2722875948001</v>
      </c>
      <c r="R35" s="59">
        <v>3.0336490538669199</v>
      </c>
      <c r="S35" s="54">
        <v>3.02166808149406E-2</v>
      </c>
      <c r="T35" s="59">
        <v>0.13653547048652001</v>
      </c>
      <c r="U35" s="59" t="s">
        <v>200</v>
      </c>
      <c r="V35" s="59" t="s">
        <v>200</v>
      </c>
      <c r="W35" s="59">
        <v>0.43889321263160358</v>
      </c>
      <c r="X35" s="59">
        <v>0.42669967621732002</v>
      </c>
      <c r="Y35" s="60" t="s">
        <v>77</v>
      </c>
      <c r="AA35">
        <v>159036027849.54999</v>
      </c>
      <c r="AB35">
        <v>393312793</v>
      </c>
      <c r="AC35">
        <v>362357</v>
      </c>
      <c r="AD35" s="82">
        <v>0.43889321263160358</v>
      </c>
      <c r="AJ35" t="s">
        <v>26</v>
      </c>
      <c r="AK35" s="25" t="s">
        <v>27</v>
      </c>
    </row>
    <row r="36" spans="2:37" x14ac:dyDescent="0.25">
      <c r="B36" t="s">
        <v>35</v>
      </c>
      <c r="C36" s="52">
        <v>71.3</v>
      </c>
      <c r="D36" s="53">
        <v>138.26150866324801</v>
      </c>
      <c r="E36" s="53">
        <v>67</v>
      </c>
      <c r="F36" s="54">
        <v>1.2784090909090828E-2</v>
      </c>
      <c r="G36" s="54">
        <v>-0.23456790123456794</v>
      </c>
      <c r="H36" s="54">
        <v>-0.34376438104003693</v>
      </c>
      <c r="I36" s="55">
        <v>0.79194597627766594</v>
      </c>
      <c r="J36" s="55">
        <v>0.64380361475131709</v>
      </c>
      <c r="K36" s="55">
        <v>0.51992569043046644</v>
      </c>
      <c r="L36" s="55">
        <v>0.1835997816557049</v>
      </c>
      <c r="M36" s="57">
        <v>0.91303843069868995</v>
      </c>
      <c r="N36" s="54" t="s">
        <v>200</v>
      </c>
      <c r="O36" s="58" t="s">
        <v>200</v>
      </c>
      <c r="P36" s="57">
        <v>66.0225580173</v>
      </c>
      <c r="Q36" s="57">
        <v>51.916612873600002</v>
      </c>
      <c r="R36" s="59">
        <v>2.1154856223611</v>
      </c>
      <c r="S36" s="54">
        <v>9.4161055465909096E-2</v>
      </c>
      <c r="T36" s="59">
        <v>1.194472754302</v>
      </c>
      <c r="U36" s="59">
        <v>4.3806430335952999</v>
      </c>
      <c r="V36" s="59">
        <v>5.4404945904173099</v>
      </c>
      <c r="W36" s="59">
        <v>1.1701417778321499</v>
      </c>
      <c r="X36" s="59">
        <v>6.9042173345004301</v>
      </c>
      <c r="Y36" s="60" t="s">
        <v>35</v>
      </c>
      <c r="AA36">
        <v>71.3</v>
      </c>
      <c r="AC36">
        <v>921.29472127289796</v>
      </c>
      <c r="AD36">
        <v>7.7391087079592774E-2</v>
      </c>
    </row>
    <row r="37" spans="2:37" x14ac:dyDescent="0.25">
      <c r="B37" t="s">
        <v>57</v>
      </c>
      <c r="C37" s="52">
        <v>20.55</v>
      </c>
      <c r="D37" s="53">
        <v>76.671790999999999</v>
      </c>
      <c r="E37" s="53">
        <v>19.5</v>
      </c>
      <c r="F37" s="54">
        <v>1.4814814814814836E-2</v>
      </c>
      <c r="G37" s="54">
        <v>-0.36769230769230765</v>
      </c>
      <c r="H37" s="54">
        <v>-0.48880597014925375</v>
      </c>
      <c r="I37" s="55">
        <v>0.98313758131709605</v>
      </c>
      <c r="J37" s="55">
        <v>0.73536492275243703</v>
      </c>
      <c r="K37" s="55">
        <v>0.56360979336563444</v>
      </c>
      <c r="L37" s="55">
        <v>0.11404332856105293</v>
      </c>
      <c r="M37" s="57">
        <v>0.89086386558749098</v>
      </c>
      <c r="N37" s="54" t="s">
        <v>200</v>
      </c>
      <c r="O37" s="58" t="s">
        <v>200</v>
      </c>
      <c r="P37" s="57">
        <v>11.48962850485</v>
      </c>
      <c r="Q37" s="57">
        <v>5.1080027684999996</v>
      </c>
      <c r="R37" s="59">
        <v>0.42685219477786601</v>
      </c>
      <c r="S37" s="54">
        <v>7.2913580246913592E-2</v>
      </c>
      <c r="T37" s="59" t="s">
        <v>200</v>
      </c>
      <c r="U37" s="59" t="s">
        <v>200</v>
      </c>
      <c r="V37" s="59">
        <v>2.3879716981132102</v>
      </c>
      <c r="W37" s="59" t="s">
        <v>200</v>
      </c>
      <c r="X37" s="59" t="s">
        <v>200</v>
      </c>
      <c r="Y37" s="60" t="s">
        <v>57</v>
      </c>
      <c r="AA37" t="s">
        <v>69</v>
      </c>
    </row>
    <row r="38" spans="2:37" x14ac:dyDescent="0.25">
      <c r="B38" t="s">
        <v>74</v>
      </c>
      <c r="C38" s="52">
        <v>6.98</v>
      </c>
      <c r="D38" s="53">
        <v>21.5</v>
      </c>
      <c r="E38" s="53">
        <v>5.8</v>
      </c>
      <c r="F38" s="54">
        <v>0.20344827586206904</v>
      </c>
      <c r="G38" s="54">
        <v>-0.44822134387351775</v>
      </c>
      <c r="H38" s="54">
        <v>-0.61753424657534239</v>
      </c>
      <c r="I38" s="55">
        <v>0.89566402292080094</v>
      </c>
      <c r="J38" s="55">
        <v>0.66896068053408997</v>
      </c>
      <c r="K38" s="55" t="s">
        <v>200</v>
      </c>
      <c r="L38" s="55" t="s">
        <v>200</v>
      </c>
      <c r="M38" s="57">
        <v>0.46726540134429201</v>
      </c>
      <c r="N38" s="54" t="s">
        <v>200</v>
      </c>
      <c r="O38" s="58" t="s">
        <v>200</v>
      </c>
      <c r="P38" s="57">
        <v>5.3953379845200002</v>
      </c>
      <c r="Q38" s="57">
        <v>0.48417687825571898</v>
      </c>
      <c r="R38" s="59">
        <v>27.3809239527071</v>
      </c>
      <c r="S38" s="54" t="s">
        <v>200</v>
      </c>
      <c r="T38" s="59">
        <v>1.5670105246817201</v>
      </c>
      <c r="U38" s="59" t="s">
        <v>200</v>
      </c>
      <c r="V38" s="59" t="s">
        <v>200</v>
      </c>
      <c r="W38" s="59">
        <v>0.79524579338669199</v>
      </c>
      <c r="X38" s="59" t="s">
        <v>200</v>
      </c>
      <c r="Y38" s="60" t="s">
        <v>74</v>
      </c>
      <c r="AA38" t="s">
        <v>124</v>
      </c>
      <c r="AB38" t="s">
        <v>125</v>
      </c>
      <c r="AC38" t="s">
        <v>128</v>
      </c>
      <c r="AD38" t="s">
        <v>127</v>
      </c>
    </row>
    <row r="39" spans="2:37" x14ac:dyDescent="0.25">
      <c r="B39" t="s">
        <v>69</v>
      </c>
      <c r="C39" s="52">
        <v>1.25</v>
      </c>
      <c r="D39" s="53">
        <v>2.7</v>
      </c>
      <c r="E39" s="53">
        <v>1.08</v>
      </c>
      <c r="F39" s="54">
        <v>8.0645161290322509E-3</v>
      </c>
      <c r="G39" s="54">
        <v>-0.39903846153846156</v>
      </c>
      <c r="H39" s="54">
        <v>-0.43181818181818188</v>
      </c>
      <c r="I39" s="55">
        <v>0.87510586885571195</v>
      </c>
      <c r="J39" s="55">
        <v>0.63510799915958893</v>
      </c>
      <c r="K39" s="55">
        <v>0.52534950719974971</v>
      </c>
      <c r="L39" s="55">
        <v>-3.5078831526461296E-2</v>
      </c>
      <c r="M39" s="57">
        <v>0.70455680901489204</v>
      </c>
      <c r="N39" s="54" t="s">
        <v>200</v>
      </c>
      <c r="O39" s="58" t="s">
        <v>200</v>
      </c>
      <c r="P39" s="57">
        <v>2.5218074478000001</v>
      </c>
      <c r="Q39" s="57">
        <v>23.088842431291301</v>
      </c>
      <c r="R39" s="59">
        <v>37.4585362879169</v>
      </c>
      <c r="S39" s="54">
        <v>4.7438306451612899E-2</v>
      </c>
      <c r="T39" s="59">
        <v>0.25730560221536097</v>
      </c>
      <c r="U39" s="59">
        <v>6.4148991205380197</v>
      </c>
      <c r="V39" s="59">
        <v>6.2</v>
      </c>
      <c r="W39" s="59">
        <v>0.22652101096087904</v>
      </c>
      <c r="X39" s="59">
        <v>34.746329636537403</v>
      </c>
      <c r="Y39" s="60" t="s">
        <v>69</v>
      </c>
      <c r="AA39">
        <v>2521807447.8000002</v>
      </c>
      <c r="AB39" s="83">
        <v>151006434</v>
      </c>
      <c r="AC39">
        <v>11132775</v>
      </c>
      <c r="AD39" s="84">
        <v>0.22652101096087904</v>
      </c>
    </row>
    <row r="40" spans="2:37" x14ac:dyDescent="0.25">
      <c r="B40" t="s">
        <v>63</v>
      </c>
      <c r="C40" s="52">
        <v>0.77</v>
      </c>
      <c r="D40" s="53">
        <v>1.859156</v>
      </c>
      <c r="E40" s="53">
        <v>0.75</v>
      </c>
      <c r="F40" s="54">
        <v>2.6666666666666616E-2</v>
      </c>
      <c r="G40" s="54">
        <v>-0.38400000000000001</v>
      </c>
      <c r="H40" s="54">
        <v>-0.44999999999999996</v>
      </c>
      <c r="I40" s="55">
        <v>0.86901379673326307</v>
      </c>
      <c r="J40" s="55">
        <v>0.73240970999033606</v>
      </c>
      <c r="K40" s="55">
        <v>0.59227810292115657</v>
      </c>
      <c r="L40" s="55">
        <v>-0.19670793342956971</v>
      </c>
      <c r="M40" s="57">
        <v>0.45801893621242001</v>
      </c>
      <c r="N40" s="54" t="s">
        <v>200</v>
      </c>
      <c r="O40" s="58" t="s">
        <v>200</v>
      </c>
      <c r="P40" s="57">
        <v>0.46731550614</v>
      </c>
      <c r="Q40" s="57">
        <v>0.58567680049999904</v>
      </c>
      <c r="R40" s="59">
        <v>5.0780707396251001</v>
      </c>
      <c r="S40" s="54" t="s">
        <v>200</v>
      </c>
      <c r="T40" s="59">
        <v>1.7850022313664899</v>
      </c>
      <c r="U40" s="61">
        <v>8.1406707912731999</v>
      </c>
      <c r="V40" s="59" t="s">
        <v>200</v>
      </c>
      <c r="W40" s="59">
        <v>1.0297394586736299</v>
      </c>
      <c r="X40" s="59">
        <v>161.41667333717101</v>
      </c>
      <c r="Y40" s="60" t="s">
        <v>63</v>
      </c>
      <c r="AA40" t="s">
        <v>129</v>
      </c>
    </row>
    <row r="41" spans="2:37" x14ac:dyDescent="0.25">
      <c r="B41" s="62" t="s">
        <v>119</v>
      </c>
      <c r="C41" s="63"/>
      <c r="D41" s="63"/>
      <c r="E41" s="63"/>
      <c r="F41" s="64">
        <v>7.7686320492587946E-2</v>
      </c>
      <c r="G41" s="64">
        <v>-0.4007579495519884</v>
      </c>
      <c r="H41" s="64">
        <v>-0.50033524005646068</v>
      </c>
      <c r="I41" s="65">
        <v>0.84003919961613471</v>
      </c>
      <c r="J41" s="65">
        <v>0.66541738406383499</v>
      </c>
      <c r="K41" s="65">
        <v>0.53531578240376909</v>
      </c>
      <c r="L41" s="65">
        <v>-1.5308244057238119E-2</v>
      </c>
      <c r="M41" s="66">
        <v>0.51433167438266181</v>
      </c>
      <c r="N41" s="64" t="e">
        <v>#DIV/0!</v>
      </c>
      <c r="O41" s="64" t="s">
        <v>200</v>
      </c>
      <c r="P41" s="66">
        <v>869.35761628749492</v>
      </c>
      <c r="Q41" s="66">
        <v>145.79432696931366</v>
      </c>
      <c r="R41" s="67">
        <v>10.384894928362076</v>
      </c>
      <c r="S41" s="65">
        <v>4.7506756159805742E-2</v>
      </c>
      <c r="T41" s="67">
        <v>0.90198511954559812</v>
      </c>
      <c r="U41" s="59">
        <v>6.5057069893324497</v>
      </c>
      <c r="V41" s="67">
        <v>14.318355921739126</v>
      </c>
      <c r="W41" s="69">
        <v>0.67115315364798089</v>
      </c>
      <c r="X41" s="67">
        <v>34.86202177887187</v>
      </c>
      <c r="Y41" s="71" t="s">
        <v>120</v>
      </c>
      <c r="AA41">
        <v>1.25</v>
      </c>
      <c r="AC41">
        <v>7.3723845435618989</v>
      </c>
      <c r="AD41">
        <v>0.1695516549108376</v>
      </c>
    </row>
    <row r="42" spans="2:37" ht="8.25" customHeight="1" x14ac:dyDescent="0.25">
      <c r="F42" s="74"/>
      <c r="G42" s="74"/>
      <c r="H42" s="74"/>
      <c r="I42" s="33"/>
      <c r="J42" s="33"/>
      <c r="K42" s="33"/>
      <c r="L42" s="33"/>
      <c r="M42" s="24"/>
      <c r="N42" s="72"/>
      <c r="O42" s="72"/>
      <c r="Q42" s="24"/>
      <c r="R42" s="73"/>
      <c r="S42" s="74"/>
      <c r="T42" s="73"/>
      <c r="U42" s="73"/>
      <c r="V42" s="73"/>
      <c r="W42" s="73"/>
      <c r="X42" s="73"/>
    </row>
    <row r="43" spans="2:37" ht="26.25" customHeight="1" x14ac:dyDescent="0.25">
      <c r="F43" s="74"/>
      <c r="G43" s="74"/>
      <c r="H43" s="74"/>
      <c r="I43" s="33"/>
      <c r="J43" s="33"/>
      <c r="K43" s="33"/>
      <c r="L43" s="33"/>
      <c r="M43" s="24"/>
      <c r="N43" s="72"/>
      <c r="O43" s="72"/>
      <c r="Q43" s="24"/>
      <c r="R43" s="24"/>
      <c r="S43" s="74"/>
      <c r="T43" s="73"/>
      <c r="U43" s="73"/>
      <c r="V43" s="73"/>
      <c r="W43" s="73"/>
      <c r="X43" s="73"/>
    </row>
    <row r="44" spans="2:37" x14ac:dyDescent="0.25">
      <c r="B44" s="35" t="s">
        <v>3</v>
      </c>
      <c r="C44" s="35" t="s">
        <v>93</v>
      </c>
      <c r="D44" s="36" t="s">
        <v>94</v>
      </c>
      <c r="E44" s="36"/>
      <c r="F44" s="37" t="s">
        <v>95</v>
      </c>
      <c r="G44" s="38"/>
      <c r="H44" s="39"/>
      <c r="I44" s="36" t="s">
        <v>96</v>
      </c>
      <c r="J44" s="36"/>
      <c r="K44" s="40" t="s">
        <v>97</v>
      </c>
      <c r="L44" s="40" t="s">
        <v>98</v>
      </c>
      <c r="M44" s="41" t="s">
        <v>99</v>
      </c>
      <c r="N44" s="36" t="s">
        <v>100</v>
      </c>
      <c r="O44" s="36"/>
      <c r="P44" s="36" t="s">
        <v>101</v>
      </c>
      <c r="Q44" s="36"/>
      <c r="R44" s="36"/>
      <c r="S44" s="41" t="s">
        <v>102</v>
      </c>
      <c r="T44" s="36" t="s">
        <v>103</v>
      </c>
      <c r="U44" s="36"/>
      <c r="V44" s="36"/>
      <c r="W44" s="36"/>
      <c r="X44" s="36"/>
      <c r="Y44" s="85" t="s">
        <v>3</v>
      </c>
    </row>
    <row r="45" spans="2:37" ht="33" customHeight="1" x14ac:dyDescent="0.25">
      <c r="B45" s="43"/>
      <c r="C45" s="43"/>
      <c r="D45" s="44" t="s">
        <v>104</v>
      </c>
      <c r="E45" s="44" t="s">
        <v>105</v>
      </c>
      <c r="F45" s="45" t="s">
        <v>106</v>
      </c>
      <c r="G45" s="45" t="s">
        <v>118</v>
      </c>
      <c r="H45" s="45">
        <v>2020</v>
      </c>
      <c r="I45" s="45" t="s">
        <v>107</v>
      </c>
      <c r="J45" s="45" t="s">
        <v>108</v>
      </c>
      <c r="K45" s="46"/>
      <c r="L45" s="46"/>
      <c r="M45" s="41"/>
      <c r="N45" s="45" t="s">
        <v>118</v>
      </c>
      <c r="O45" s="45">
        <v>2020</v>
      </c>
      <c r="P45" s="47" t="s">
        <v>109</v>
      </c>
      <c r="Q45" s="45" t="s">
        <v>110</v>
      </c>
      <c r="R45" s="45" t="s">
        <v>111</v>
      </c>
      <c r="S45" s="41"/>
      <c r="T45" s="48" t="s">
        <v>112</v>
      </c>
      <c r="U45" s="45" t="s">
        <v>113</v>
      </c>
      <c r="V45" s="45" t="s">
        <v>114</v>
      </c>
      <c r="W45" s="45" t="s">
        <v>115</v>
      </c>
      <c r="X45" s="45" t="s">
        <v>116</v>
      </c>
      <c r="Y45" s="86"/>
    </row>
    <row r="46" spans="2:37" x14ac:dyDescent="0.25">
      <c r="B46" s="50" t="s">
        <v>130</v>
      </c>
      <c r="C46" s="75"/>
      <c r="D46" s="75"/>
      <c r="E46" s="75"/>
      <c r="F46" s="80"/>
      <c r="G46" s="80"/>
      <c r="H46" s="80"/>
      <c r="I46" s="76"/>
      <c r="J46" s="76"/>
      <c r="K46" s="76"/>
      <c r="L46" s="76"/>
      <c r="M46" s="77"/>
      <c r="N46" s="78"/>
      <c r="O46" s="78"/>
      <c r="P46" s="75"/>
      <c r="Q46" s="77"/>
      <c r="R46" s="77"/>
      <c r="S46" s="80"/>
      <c r="T46" s="79"/>
      <c r="U46" s="79"/>
      <c r="V46" s="79"/>
      <c r="W46" s="79"/>
      <c r="X46" s="79"/>
      <c r="Y46" s="81"/>
    </row>
    <row r="47" spans="2:37" x14ac:dyDescent="0.25">
      <c r="B47" t="s">
        <v>75</v>
      </c>
      <c r="C47" s="52">
        <v>56.05</v>
      </c>
      <c r="D47" s="53">
        <v>175.9</v>
      </c>
      <c r="E47" s="53">
        <v>53.5</v>
      </c>
      <c r="F47" s="54">
        <v>1.6319129646418906E-2</v>
      </c>
      <c r="G47" s="54">
        <v>-0.45423563777994158</v>
      </c>
      <c r="H47" s="54">
        <v>-0.5390625</v>
      </c>
      <c r="I47" s="55">
        <v>1.0450377729740301</v>
      </c>
      <c r="J47" s="55">
        <v>0.78454690069061495</v>
      </c>
      <c r="K47" s="55">
        <v>0.53480488502468426</v>
      </c>
      <c r="L47" s="55">
        <v>0.10930065800744804</v>
      </c>
      <c r="M47" s="57">
        <v>1.23066126692036</v>
      </c>
      <c r="N47" s="54" t="s">
        <v>200</v>
      </c>
      <c r="O47" s="58" t="s">
        <v>200</v>
      </c>
      <c r="P47" s="57">
        <v>114.8545500585</v>
      </c>
      <c r="Q47" s="57">
        <v>2.72026252705002</v>
      </c>
      <c r="R47" s="59">
        <v>3.8960016430518003E-2</v>
      </c>
      <c r="S47" s="54">
        <v>2.5417460331822302E-2</v>
      </c>
      <c r="T47" s="59">
        <v>0.64799026580140495</v>
      </c>
      <c r="U47" s="59">
        <v>2.14839968570646</v>
      </c>
      <c r="V47" s="59">
        <v>2.0235732524344301</v>
      </c>
      <c r="W47" s="59">
        <v>0.932575904437698</v>
      </c>
      <c r="X47" s="59" t="s">
        <v>200</v>
      </c>
      <c r="Y47" s="60" t="s">
        <v>75</v>
      </c>
      <c r="AG47" t="e">
        <v>#N/A</v>
      </c>
    </row>
    <row r="48" spans="2:37" x14ac:dyDescent="0.25">
      <c r="B48" t="s">
        <v>68</v>
      </c>
      <c r="C48" s="52">
        <v>136.35</v>
      </c>
      <c r="D48" s="53">
        <v>351.45</v>
      </c>
      <c r="E48" s="53">
        <v>131.25</v>
      </c>
      <c r="F48" s="54">
        <v>-3.1605113636363757E-2</v>
      </c>
      <c r="G48" s="54">
        <v>-0.41954022988505746</v>
      </c>
      <c r="H48" s="54">
        <v>-0.50164473684210531</v>
      </c>
      <c r="I48" s="55">
        <v>1.0126385126180899</v>
      </c>
      <c r="J48" s="55">
        <v>0.77572776230860696</v>
      </c>
      <c r="K48" s="55">
        <v>0.54900297089365224</v>
      </c>
      <c r="L48" s="55">
        <v>3.7241212082781194E-2</v>
      </c>
      <c r="M48" s="57">
        <v>1.2589911234483999</v>
      </c>
      <c r="N48" s="54" t="s">
        <v>200</v>
      </c>
      <c r="O48" s="58" t="s">
        <v>200</v>
      </c>
      <c r="P48" s="57">
        <v>116.3384198847</v>
      </c>
      <c r="Q48" s="57">
        <v>48.442230846400101</v>
      </c>
      <c r="R48" s="59">
        <v>0.899211478459088</v>
      </c>
      <c r="S48" s="54">
        <v>7.1022727272727307E-2</v>
      </c>
      <c r="T48" s="59">
        <v>0.72531898290451702</v>
      </c>
      <c r="U48" s="59">
        <v>2.20657282881383</v>
      </c>
      <c r="V48" s="59">
        <v>2.1820333420273701</v>
      </c>
      <c r="W48" s="59">
        <v>1.0024871502025201</v>
      </c>
      <c r="X48" s="59">
        <v>37.089586522916001</v>
      </c>
      <c r="Y48" s="60" t="s">
        <v>68</v>
      </c>
    </row>
    <row r="49" spans="2:25" x14ac:dyDescent="0.25">
      <c r="B49" t="s">
        <v>26</v>
      </c>
      <c r="C49" s="52">
        <v>71.150000000000006</v>
      </c>
      <c r="D49" s="53">
        <v>184</v>
      </c>
      <c r="E49" s="53">
        <v>68.400000000000006</v>
      </c>
      <c r="F49" s="54">
        <v>-2.8668941979522078E-2</v>
      </c>
      <c r="G49" s="54">
        <v>-0.36216943074854324</v>
      </c>
      <c r="H49" s="54">
        <v>-0.49359430604982202</v>
      </c>
      <c r="I49" s="55">
        <v>1.0527156103335999</v>
      </c>
      <c r="J49" s="55">
        <v>0.83136018478523299</v>
      </c>
      <c r="K49" s="55">
        <v>0.53778437371493826</v>
      </c>
      <c r="L49" s="55">
        <v>-4.5843159530839506E-3</v>
      </c>
      <c r="M49" s="57">
        <v>1.23917270243651</v>
      </c>
      <c r="N49" s="54" t="s">
        <v>200</v>
      </c>
      <c r="O49" s="58" t="s">
        <v>200</v>
      </c>
      <c r="P49" s="57">
        <v>52.167968175699997</v>
      </c>
      <c r="Q49" s="57">
        <v>-99.13065951649989</v>
      </c>
      <c r="R49" s="59">
        <v>-2.3293491580573802</v>
      </c>
      <c r="S49" s="54">
        <v>5.3635111945392507E-2</v>
      </c>
      <c r="T49" s="59">
        <v>0.475297730800678</v>
      </c>
      <c r="U49" s="59">
        <v>1.4472986689001499</v>
      </c>
      <c r="V49" s="59">
        <v>1.8717739050442099</v>
      </c>
      <c r="W49" s="59">
        <v>0.70403601746870403</v>
      </c>
      <c r="X49" s="59">
        <v>1.64936888698289</v>
      </c>
      <c r="Y49" s="60" t="s">
        <v>26</v>
      </c>
    </row>
    <row r="50" spans="2:25" x14ac:dyDescent="0.25">
      <c r="B50" t="s">
        <v>53</v>
      </c>
      <c r="C50" s="52">
        <v>11.4</v>
      </c>
      <c r="D50" s="53">
        <v>23.85</v>
      </c>
      <c r="E50" s="53">
        <v>9.6</v>
      </c>
      <c r="F50" s="54">
        <v>3.6363636363636376E-2</v>
      </c>
      <c r="G50" s="54">
        <v>-0.3214285714285714</v>
      </c>
      <c r="H50" s="54">
        <v>-0.30909090909090908</v>
      </c>
      <c r="I50" s="55">
        <v>0.65723853332817694</v>
      </c>
      <c r="J50" s="55">
        <v>0.57346743413516599</v>
      </c>
      <c r="K50" s="55">
        <v>0.5144384042965453</v>
      </c>
      <c r="L50" s="55">
        <v>-0.11002529447931764</v>
      </c>
      <c r="M50" s="57">
        <v>0.78209359388125999</v>
      </c>
      <c r="N50" s="54" t="s">
        <v>200</v>
      </c>
      <c r="O50" s="58" t="s">
        <v>200</v>
      </c>
      <c r="P50" s="57">
        <v>32.602337456099995</v>
      </c>
      <c r="Q50" s="57">
        <v>-132.67550355151701</v>
      </c>
      <c r="R50" s="59">
        <v>-3.6575340325535102</v>
      </c>
      <c r="S50" s="54">
        <v>2.5278857000000002E-2</v>
      </c>
      <c r="T50" s="59">
        <v>0.42963085935487899</v>
      </c>
      <c r="U50" s="59">
        <v>2.0950704895989301</v>
      </c>
      <c r="V50" s="59" t="s">
        <v>200</v>
      </c>
      <c r="W50" s="59">
        <v>0.738233540075802</v>
      </c>
      <c r="X50" s="59">
        <v>8.16003249560036</v>
      </c>
      <c r="Y50" s="60" t="s">
        <v>53</v>
      </c>
    </row>
    <row r="51" spans="2:25" x14ac:dyDescent="0.25">
      <c r="B51" t="s">
        <v>40</v>
      </c>
      <c r="C51" s="52">
        <v>33</v>
      </c>
      <c r="D51" s="53">
        <v>53</v>
      </c>
      <c r="E51" s="53">
        <v>27.719878057559999</v>
      </c>
      <c r="F51" s="54">
        <v>1.538461538461533E-2</v>
      </c>
      <c r="G51" s="54">
        <v>-0.26666666666666672</v>
      </c>
      <c r="H51" s="54">
        <v>-0.2448512585812358</v>
      </c>
      <c r="I51" s="55">
        <v>0.73591289020168604</v>
      </c>
      <c r="J51" s="55">
        <v>0.57158206833549297</v>
      </c>
      <c r="K51" s="55">
        <v>0.47188330298956555</v>
      </c>
      <c r="L51" s="55">
        <v>2.9843624465695218E-3</v>
      </c>
      <c r="M51" s="57">
        <v>0.71767550665548896</v>
      </c>
      <c r="N51" s="54" t="s">
        <v>200</v>
      </c>
      <c r="O51" s="58" t="s">
        <v>200</v>
      </c>
      <c r="P51" s="57">
        <v>25.889228532000001</v>
      </c>
      <c r="Q51" s="57">
        <v>-4.4041463825000093</v>
      </c>
      <c r="R51" s="59">
        <v>-0.171536243051923</v>
      </c>
      <c r="S51" s="54">
        <v>0.13339158941538501</v>
      </c>
      <c r="T51" s="59">
        <v>0.425621793628222</v>
      </c>
      <c r="U51" s="59">
        <v>1.3255826853613299</v>
      </c>
      <c r="V51" s="59" t="s">
        <v>200</v>
      </c>
      <c r="W51" s="59">
        <v>0.70003361159992905</v>
      </c>
      <c r="X51" s="59">
        <v>5.2638357268335598</v>
      </c>
      <c r="Y51" s="60" t="s">
        <v>40</v>
      </c>
    </row>
    <row r="52" spans="2:25" x14ac:dyDescent="0.25">
      <c r="B52" t="s">
        <v>17</v>
      </c>
      <c r="C52" s="52">
        <v>249</v>
      </c>
      <c r="D52" s="53">
        <v>380</v>
      </c>
      <c r="E52" s="53">
        <v>185.5</v>
      </c>
      <c r="F52" s="54">
        <v>5.8448459086078541E-2</v>
      </c>
      <c r="G52" s="54">
        <v>-0.12784588441331002</v>
      </c>
      <c r="H52" s="54">
        <v>-0.22550544323483668</v>
      </c>
      <c r="I52" s="55">
        <v>0.57451922643183795</v>
      </c>
      <c r="J52" s="55">
        <v>0.50374186123862497</v>
      </c>
      <c r="K52" s="55" t="s">
        <v>200</v>
      </c>
      <c r="L52" s="55" t="s">
        <v>200</v>
      </c>
      <c r="M52" s="57">
        <v>0.83327532714388197</v>
      </c>
      <c r="N52" s="54" t="s">
        <v>200</v>
      </c>
      <c r="O52" s="58" t="s">
        <v>200</v>
      </c>
      <c r="P52" s="57">
        <v>20.244375000000002</v>
      </c>
      <c r="Q52" s="57">
        <v>-16.682061610000002</v>
      </c>
      <c r="R52" s="59">
        <v>-13.2832910376234</v>
      </c>
      <c r="S52" s="54">
        <v>2.1253985122210398E-2</v>
      </c>
      <c r="T52" s="59">
        <v>5.2212618560165698</v>
      </c>
      <c r="U52" s="59">
        <v>9.7980008329862596</v>
      </c>
      <c r="V52" s="59" t="s">
        <v>200</v>
      </c>
      <c r="W52" s="59">
        <v>1.1868696049024099</v>
      </c>
      <c r="X52" s="59">
        <v>1.4267722570621999</v>
      </c>
      <c r="Y52" s="60" t="s">
        <v>17</v>
      </c>
    </row>
    <row r="53" spans="2:25" x14ac:dyDescent="0.25">
      <c r="B53" t="s">
        <v>60</v>
      </c>
      <c r="C53" s="52">
        <v>6.4</v>
      </c>
      <c r="D53" s="53">
        <v>19</v>
      </c>
      <c r="E53" s="53">
        <v>6</v>
      </c>
      <c r="F53" s="54">
        <v>3.2258064516129004E-2</v>
      </c>
      <c r="G53" s="54">
        <v>-0.35678391959798983</v>
      </c>
      <c r="H53" s="54">
        <v>-0.54609929078014185</v>
      </c>
      <c r="I53" s="55">
        <v>0.75924005138534501</v>
      </c>
      <c r="J53" s="55">
        <v>0.629349814622991</v>
      </c>
      <c r="K53" s="55">
        <v>0.54081186491239552</v>
      </c>
      <c r="L53" s="55">
        <v>-7.1354555852653268E-2</v>
      </c>
      <c r="M53" s="57">
        <v>0.56826821087903301</v>
      </c>
      <c r="N53" s="54" t="s">
        <v>200</v>
      </c>
      <c r="O53" s="58" t="s">
        <v>200</v>
      </c>
      <c r="P53" s="57">
        <v>11.67</v>
      </c>
      <c r="Q53" s="57">
        <v>-12.674154604</v>
      </c>
      <c r="R53" s="59">
        <v>-6.4411501861324396</v>
      </c>
      <c r="S53" s="54">
        <v>2.6881720967741898E-2</v>
      </c>
      <c r="T53" s="59">
        <v>0.54469904498792998</v>
      </c>
      <c r="U53" s="59">
        <v>5.1129803727527596</v>
      </c>
      <c r="V53" s="59" t="s">
        <v>200</v>
      </c>
      <c r="W53" s="59">
        <v>0.79582357644344004</v>
      </c>
      <c r="X53" s="59">
        <v>0.55175475537199303</v>
      </c>
      <c r="Y53" s="60" t="s">
        <v>60</v>
      </c>
    </row>
    <row r="54" spans="2:25" x14ac:dyDescent="0.25">
      <c r="B54" t="s">
        <v>47</v>
      </c>
      <c r="C54" s="52">
        <v>9.33</v>
      </c>
      <c r="D54" s="53">
        <v>15.95</v>
      </c>
      <c r="E54" s="53">
        <v>4.82</v>
      </c>
      <c r="F54" s="54">
        <v>4.1294642857142794E-2</v>
      </c>
      <c r="G54" s="54">
        <v>-0.31143911439114391</v>
      </c>
      <c r="H54" s="54">
        <v>-0.30373134328358209</v>
      </c>
      <c r="I54" s="55">
        <v>0.71435265439210693</v>
      </c>
      <c r="J54" s="55">
        <v>0.67434718222210188</v>
      </c>
      <c r="K54" s="55">
        <v>0.56431141990904965</v>
      </c>
      <c r="L54" s="55">
        <v>3.1583264074904749E-2</v>
      </c>
      <c r="M54" s="57">
        <v>0.75126131566901599</v>
      </c>
      <c r="N54" s="54" t="s">
        <v>200</v>
      </c>
      <c r="O54" s="58" t="s">
        <v>200</v>
      </c>
      <c r="P54" s="57">
        <v>9.7005189000000005</v>
      </c>
      <c r="Q54" s="57">
        <v>5.7432958800000096</v>
      </c>
      <c r="R54" s="59">
        <v>2.2058302201223001</v>
      </c>
      <c r="S54" s="54">
        <v>9.5610119051339287E-2</v>
      </c>
      <c r="T54" s="59">
        <v>1.8581812831887601</v>
      </c>
      <c r="U54" s="59">
        <v>3.7332711121481301</v>
      </c>
      <c r="V54" s="59" t="s">
        <v>200</v>
      </c>
      <c r="W54" s="59">
        <v>2.1467710206223298</v>
      </c>
      <c r="X54" s="59">
        <v>1.9885771547334601</v>
      </c>
      <c r="Y54" s="60" t="s">
        <v>47</v>
      </c>
    </row>
    <row r="55" spans="2:25" x14ac:dyDescent="0.25">
      <c r="B55" s="62" t="s">
        <v>119</v>
      </c>
      <c r="C55" s="63"/>
      <c r="D55" s="63"/>
      <c r="E55" s="63"/>
      <c r="F55" s="64">
        <v>1.7474311529766889E-2</v>
      </c>
      <c r="G55" s="64">
        <v>-0.32751368186390306</v>
      </c>
      <c r="H55" s="64">
        <v>-0.39544747348282916</v>
      </c>
      <c r="I55" s="65">
        <v>0.81895690645810904</v>
      </c>
      <c r="J55" s="65">
        <v>0.66801540104235402</v>
      </c>
      <c r="K55" s="65">
        <v>0.53043388882011866</v>
      </c>
      <c r="L55" s="65">
        <v>-6.9352423905019321E-4</v>
      </c>
      <c r="M55" s="87">
        <v>0.92267488087924376</v>
      </c>
      <c r="N55" s="64" t="e">
        <v>#DIV/0!</v>
      </c>
      <c r="O55" s="64" t="s">
        <v>200</v>
      </c>
      <c r="P55" s="66">
        <v>47.933424750874998</v>
      </c>
      <c r="Q55" s="66">
        <v>-26.082592051383347</v>
      </c>
      <c r="R55" s="67">
        <v>-2.8423573678008429</v>
      </c>
      <c r="S55" s="64">
        <v>5.656144638832733E-2</v>
      </c>
      <c r="T55" s="67">
        <v>1.29100022708537</v>
      </c>
      <c r="U55" s="67">
        <v>3.4833970845334807</v>
      </c>
      <c r="V55" s="67">
        <v>2.0257934998353364</v>
      </c>
      <c r="W55" s="69">
        <v>1.0258538032191042</v>
      </c>
      <c r="X55" s="67">
        <v>8.0185611142143536</v>
      </c>
      <c r="Y55" s="71" t="s">
        <v>120</v>
      </c>
    </row>
    <row r="56" spans="2:25" ht="9" customHeight="1" x14ac:dyDescent="0.25">
      <c r="F56" s="74"/>
      <c r="G56" s="74"/>
      <c r="H56" s="74"/>
      <c r="I56" s="33"/>
      <c r="J56" s="33"/>
      <c r="K56" s="33"/>
      <c r="L56" s="33"/>
      <c r="M56" s="24"/>
      <c r="N56" s="72"/>
      <c r="O56" s="72"/>
      <c r="P56" s="24"/>
      <c r="Q56" s="24"/>
      <c r="R56" s="73"/>
      <c r="S56" s="74"/>
      <c r="T56" s="73"/>
      <c r="U56" s="73"/>
      <c r="V56" s="73"/>
      <c r="W56" s="73"/>
      <c r="X56" s="73"/>
    </row>
    <row r="57" spans="2:25" x14ac:dyDescent="0.25">
      <c r="B57" s="50" t="s">
        <v>131</v>
      </c>
      <c r="C57" s="75"/>
      <c r="D57" s="75"/>
      <c r="E57" s="75"/>
      <c r="F57" s="80"/>
      <c r="G57" s="80"/>
      <c r="H57" s="80"/>
      <c r="I57" s="76"/>
      <c r="J57" s="76"/>
      <c r="K57" s="76"/>
      <c r="L57" s="76"/>
      <c r="M57" s="77"/>
      <c r="N57" s="78"/>
      <c r="O57" s="78"/>
      <c r="P57" s="77"/>
      <c r="Q57" s="77"/>
      <c r="R57" s="79"/>
      <c r="S57" s="80"/>
      <c r="T57" s="79"/>
      <c r="U57" s="79"/>
      <c r="V57" s="79"/>
      <c r="W57" s="79"/>
      <c r="X57" s="79"/>
      <c r="Y57" s="81"/>
    </row>
    <row r="58" spans="2:25" x14ac:dyDescent="0.25">
      <c r="B58" t="s">
        <v>32</v>
      </c>
      <c r="C58" s="52">
        <v>49.8</v>
      </c>
      <c r="D58" s="53">
        <v>86.234443124544597</v>
      </c>
      <c r="E58" s="53">
        <v>43.5</v>
      </c>
      <c r="F58" s="54">
        <v>-4.0000000000000036E-3</v>
      </c>
      <c r="G58" s="54">
        <v>-0.23981850224065027</v>
      </c>
      <c r="H58" s="54">
        <v>-0.3197856488867924</v>
      </c>
      <c r="I58" s="55">
        <v>0.49752006513146196</v>
      </c>
      <c r="J58" s="55">
        <v>0.462526782485355</v>
      </c>
      <c r="K58" s="55">
        <v>0.66361128449570528</v>
      </c>
      <c r="L58" s="55">
        <v>0.23353579046445661</v>
      </c>
      <c r="M58" s="57">
        <v>0.48690264645374998</v>
      </c>
      <c r="N58" s="54" t="s">
        <v>200</v>
      </c>
      <c r="O58" s="58" t="s">
        <v>200</v>
      </c>
      <c r="P58" s="57">
        <v>5.611770688</v>
      </c>
      <c r="Q58" s="57">
        <v>0.48919397999999797</v>
      </c>
      <c r="R58" s="59">
        <v>9.7012969026616006E-2</v>
      </c>
      <c r="S58" s="54">
        <v>0.36877957816200002</v>
      </c>
      <c r="T58" s="59">
        <v>0.16869229548352399</v>
      </c>
      <c r="U58" s="59" t="s">
        <v>200</v>
      </c>
      <c r="V58" s="59" t="s">
        <v>200</v>
      </c>
      <c r="W58" s="59">
        <v>0.60336245943210898</v>
      </c>
      <c r="X58" s="59">
        <v>0.46833214787903399</v>
      </c>
      <c r="Y58" s="60" t="s">
        <v>32</v>
      </c>
    </row>
    <row r="59" spans="2:25" x14ac:dyDescent="0.25">
      <c r="B59" t="s">
        <v>22</v>
      </c>
      <c r="C59" s="52">
        <v>21.55</v>
      </c>
      <c r="D59" s="53">
        <v>31.867894</v>
      </c>
      <c r="E59" s="53">
        <v>15.240320776909201</v>
      </c>
      <c r="F59" s="54">
        <v>2.6190476190476319E-2</v>
      </c>
      <c r="G59" s="54">
        <v>-0.17886456058699252</v>
      </c>
      <c r="H59" s="54">
        <v>-0.21260984686375928</v>
      </c>
      <c r="I59" s="55">
        <v>0.50663862208781996</v>
      </c>
      <c r="J59" s="55">
        <v>0.45391313565658103</v>
      </c>
      <c r="K59" s="55">
        <v>0.43210934277904978</v>
      </c>
      <c r="L59" s="55">
        <v>0.18960000921379172</v>
      </c>
      <c r="M59" s="57">
        <v>0.50842383011971204</v>
      </c>
      <c r="N59" s="54" t="s">
        <v>200</v>
      </c>
      <c r="O59" s="58" t="s">
        <v>200</v>
      </c>
      <c r="P59" s="57">
        <v>4.1120000000000001</v>
      </c>
      <c r="Q59" s="57">
        <v>1.2027348600000001</v>
      </c>
      <c r="R59" s="59" t="s">
        <v>200</v>
      </c>
      <c r="S59" s="54">
        <v>0.49437026150952401</v>
      </c>
      <c r="T59" s="59">
        <v>0.61144729126175001</v>
      </c>
      <c r="U59" s="59" t="s">
        <v>200</v>
      </c>
      <c r="V59" s="59" t="s">
        <v>200</v>
      </c>
      <c r="W59" s="59">
        <v>0.58016845097732805</v>
      </c>
      <c r="X59" s="59">
        <v>1.29723306673032</v>
      </c>
      <c r="Y59" s="60" t="s">
        <v>22</v>
      </c>
    </row>
    <row r="60" spans="2:25" x14ac:dyDescent="0.25">
      <c r="B60" t="s">
        <v>281</v>
      </c>
      <c r="C60" s="52" t="s">
        <v>200</v>
      </c>
      <c r="D60" s="53">
        <v>9.1999999999999993</v>
      </c>
      <c r="E60" s="53">
        <v>5.9</v>
      </c>
      <c r="F60" s="54" t="s">
        <v>200</v>
      </c>
      <c r="G60" s="54" t="s">
        <v>200</v>
      </c>
      <c r="H60" s="54" t="s">
        <v>200</v>
      </c>
      <c r="I60" s="55">
        <v>0</v>
      </c>
      <c r="J60" s="55">
        <v>0</v>
      </c>
      <c r="K60" s="55">
        <v>0.54154630023993222</v>
      </c>
      <c r="L60" s="55">
        <v>8.4998706339717067E-2</v>
      </c>
      <c r="M60" s="57" t="s">
        <v>200</v>
      </c>
      <c r="N60" s="54" t="s">
        <v>200</v>
      </c>
      <c r="O60" s="58" t="s">
        <v>200</v>
      </c>
      <c r="P60" s="57" t="s">
        <v>200</v>
      </c>
      <c r="Q60" s="57">
        <v>1.2802299619999999</v>
      </c>
      <c r="R60" s="59">
        <v>12.2601555419356</v>
      </c>
      <c r="S60" s="54" t="s">
        <v>200</v>
      </c>
      <c r="T60" s="59" t="s">
        <v>200</v>
      </c>
      <c r="U60" s="59" t="s">
        <v>200</v>
      </c>
      <c r="V60" s="59" t="s">
        <v>200</v>
      </c>
      <c r="W60" s="59" t="s">
        <v>200</v>
      </c>
      <c r="X60" s="59" t="s">
        <v>200</v>
      </c>
      <c r="Y60" s="60" t="s">
        <v>281</v>
      </c>
    </row>
    <row r="61" spans="2:25" x14ac:dyDescent="0.25">
      <c r="B61" t="s">
        <v>20</v>
      </c>
      <c r="C61" s="52">
        <v>18.149999999999999</v>
      </c>
      <c r="D61" s="53">
        <v>25.8</v>
      </c>
      <c r="E61" s="53">
        <v>10</v>
      </c>
      <c r="F61" s="54" t="s">
        <v>200</v>
      </c>
      <c r="G61" s="54">
        <v>-0.14588235294117657</v>
      </c>
      <c r="H61" s="54">
        <v>-9.2500000000000027E-2</v>
      </c>
      <c r="I61" s="55">
        <v>0.39383152191771104</v>
      </c>
      <c r="J61" s="55">
        <v>0.39772333950170302</v>
      </c>
      <c r="K61" s="55">
        <v>0.3590872211420198</v>
      </c>
      <c r="L61" s="55">
        <v>-8.5522799632007263E-2</v>
      </c>
      <c r="M61" s="57">
        <v>0.31804317512616498</v>
      </c>
      <c r="N61" s="54" t="s">
        <v>200</v>
      </c>
      <c r="O61" s="58" t="s">
        <v>200</v>
      </c>
      <c r="P61" s="57">
        <v>2.3408000000000002</v>
      </c>
      <c r="Q61" s="57">
        <v>2.1995921300000001</v>
      </c>
      <c r="R61" s="59">
        <v>5.9837365886398803</v>
      </c>
      <c r="S61" s="54" t="s">
        <v>200</v>
      </c>
      <c r="T61" s="59">
        <v>3.42795137088391</v>
      </c>
      <c r="U61" s="59">
        <v>28.839736867194201</v>
      </c>
      <c r="V61" s="59" t="s">
        <v>200</v>
      </c>
      <c r="W61" s="59">
        <v>0.91851852435970005</v>
      </c>
      <c r="X61" s="59">
        <v>4.0962653124267803</v>
      </c>
      <c r="Y61" s="60" t="s">
        <v>20</v>
      </c>
    </row>
    <row r="62" spans="2:25" x14ac:dyDescent="0.25">
      <c r="B62" t="s">
        <v>39</v>
      </c>
      <c r="C62" s="52">
        <v>4.25</v>
      </c>
      <c r="D62" s="53">
        <v>7.8</v>
      </c>
      <c r="E62" s="53">
        <v>2.6</v>
      </c>
      <c r="F62" s="54">
        <v>-5.555555555555558E-2</v>
      </c>
      <c r="G62" s="54">
        <v>-0.26086956521739135</v>
      </c>
      <c r="H62" s="54">
        <v>-0.44805194805194803</v>
      </c>
      <c r="I62" s="55">
        <v>0.51567445166076598</v>
      </c>
      <c r="J62" s="55">
        <v>0.50216545075179297</v>
      </c>
      <c r="K62" s="55">
        <v>0.4826669283241144</v>
      </c>
      <c r="L62" s="55">
        <v>-2.1138296000133949E-2</v>
      </c>
      <c r="M62" s="57">
        <v>0.33367902159853602</v>
      </c>
      <c r="N62" s="54" t="s">
        <v>200</v>
      </c>
      <c r="O62" s="58" t="s">
        <v>200</v>
      </c>
      <c r="P62" s="57">
        <v>2.1002100000000001</v>
      </c>
      <c r="Q62" s="57">
        <v>2.5872188655000001</v>
      </c>
      <c r="R62" s="59">
        <v>5.5335683061539802</v>
      </c>
      <c r="S62" s="54" t="s">
        <v>200</v>
      </c>
      <c r="T62" s="59">
        <v>0.50738761553272005</v>
      </c>
      <c r="U62" s="59">
        <v>258.76940770557798</v>
      </c>
      <c r="V62" s="59" t="s">
        <v>200</v>
      </c>
      <c r="W62" s="59">
        <v>6.8868820224916201</v>
      </c>
      <c r="X62" s="59">
        <v>37.136022861757901</v>
      </c>
      <c r="Y62" s="60" t="s">
        <v>39</v>
      </c>
    </row>
    <row r="63" spans="2:25" x14ac:dyDescent="0.25">
      <c r="B63" t="s">
        <v>44</v>
      </c>
      <c r="C63" s="52">
        <v>45</v>
      </c>
      <c r="D63" s="53">
        <v>67</v>
      </c>
      <c r="E63" s="53">
        <v>29</v>
      </c>
      <c r="F63" s="54">
        <v>-6.25E-2</v>
      </c>
      <c r="G63" s="54">
        <v>-0.2857142857142857</v>
      </c>
      <c r="H63" s="54">
        <v>-0.24369747899159666</v>
      </c>
      <c r="I63" s="55">
        <v>0.70086612882018007</v>
      </c>
      <c r="J63" s="55">
        <v>0.54438680985093002</v>
      </c>
      <c r="K63" s="55">
        <v>0.47380821043440963</v>
      </c>
      <c r="L63" s="55">
        <v>-1.2448860838901732E-2</v>
      </c>
      <c r="M63" s="57">
        <v>0.32358405527954498</v>
      </c>
      <c r="N63" s="54" t="s">
        <v>200</v>
      </c>
      <c r="O63" s="58" t="s">
        <v>200</v>
      </c>
      <c r="P63" s="57">
        <v>1.7549999999999999</v>
      </c>
      <c r="Q63" s="57">
        <v>1.2908579499999999</v>
      </c>
      <c r="R63" s="59">
        <v>5.1793734972747298</v>
      </c>
      <c r="S63" s="54" t="s">
        <v>200</v>
      </c>
      <c r="T63" s="59">
        <v>0.28725819764428001</v>
      </c>
      <c r="U63" s="59" t="s">
        <v>200</v>
      </c>
      <c r="V63" s="59" t="s">
        <v>200</v>
      </c>
      <c r="W63" s="59">
        <v>1.8652601120146499</v>
      </c>
      <c r="X63" s="59">
        <v>16.930834718369699</v>
      </c>
      <c r="Y63" s="60" t="s">
        <v>44</v>
      </c>
    </row>
    <row r="64" spans="2:25" x14ac:dyDescent="0.25">
      <c r="B64" t="s">
        <v>52</v>
      </c>
      <c r="C64" s="52">
        <v>6.08</v>
      </c>
      <c r="D64" s="53">
        <v>13.6</v>
      </c>
      <c r="E64" s="53">
        <v>5.0999999999999996</v>
      </c>
      <c r="F64" s="54">
        <v>7.6106194690265472E-2</v>
      </c>
      <c r="G64" s="54">
        <v>-0.32067039106145245</v>
      </c>
      <c r="H64" s="54">
        <v>-0.35112059765208103</v>
      </c>
      <c r="I64" s="55">
        <v>0.61849931672228298</v>
      </c>
      <c r="J64" s="55">
        <v>0.57648447252958501</v>
      </c>
      <c r="K64" s="55">
        <v>0.54269785642292723</v>
      </c>
      <c r="L64" s="55">
        <v>-7.1519802574805169E-2</v>
      </c>
      <c r="M64" s="57">
        <v>0.66252974241944596</v>
      </c>
      <c r="N64" s="54" t="s">
        <v>200</v>
      </c>
      <c r="O64" s="58" t="s">
        <v>200</v>
      </c>
      <c r="P64" s="57">
        <v>0.54225000000000001</v>
      </c>
      <c r="Q64" s="57">
        <v>0.87918059000000004</v>
      </c>
      <c r="R64" s="59">
        <v>4.1038030706105397</v>
      </c>
      <c r="S64" s="54" t="s">
        <v>200</v>
      </c>
      <c r="T64" s="59">
        <v>0.33754975797085002</v>
      </c>
      <c r="U64" s="59" t="s">
        <v>200</v>
      </c>
      <c r="V64" s="59" t="s">
        <v>200</v>
      </c>
      <c r="W64" s="59">
        <v>0.89364740225952999</v>
      </c>
      <c r="X64" s="59">
        <v>3.5626163879975601</v>
      </c>
      <c r="Y64" s="60" t="s">
        <v>52</v>
      </c>
    </row>
    <row r="65" spans="2:25" x14ac:dyDescent="0.25">
      <c r="B65" t="s">
        <v>23</v>
      </c>
      <c r="C65" s="52" t="s">
        <v>200</v>
      </c>
      <c r="D65" s="53">
        <v>11.2</v>
      </c>
      <c r="E65" s="53">
        <v>3.75</v>
      </c>
      <c r="F65" s="54" t="s">
        <v>200</v>
      </c>
      <c r="G65" s="54" t="s">
        <v>200</v>
      </c>
      <c r="H65" s="54" t="s">
        <v>200</v>
      </c>
      <c r="I65" s="55">
        <v>0.70750481117267494</v>
      </c>
      <c r="J65" s="55">
        <v>0.56184270788701296</v>
      </c>
      <c r="K65" s="55">
        <v>0.47800951713661438</v>
      </c>
      <c r="L65" s="55">
        <v>-1.5865799948899917E-2</v>
      </c>
      <c r="M65" s="57">
        <v>0.35658388252791601</v>
      </c>
      <c r="N65" s="54" t="s">
        <v>200</v>
      </c>
      <c r="O65" s="58" t="s">
        <v>200</v>
      </c>
      <c r="P65" s="57">
        <v>0.374</v>
      </c>
      <c r="Q65" s="57">
        <v>0.44101114000000002</v>
      </c>
      <c r="R65" s="59">
        <v>2.6715909528039901</v>
      </c>
      <c r="S65" s="54" t="s">
        <v>200</v>
      </c>
      <c r="T65" s="59">
        <v>0.18210354313584501</v>
      </c>
      <c r="U65" s="59" t="s">
        <v>200</v>
      </c>
      <c r="V65" s="59" t="s">
        <v>200</v>
      </c>
      <c r="W65" s="59">
        <v>3.6384769746390102</v>
      </c>
      <c r="X65" s="59" t="s">
        <v>200</v>
      </c>
      <c r="Y65" s="60" t="s">
        <v>23</v>
      </c>
    </row>
    <row r="66" spans="2:25" x14ac:dyDescent="0.25">
      <c r="B66" t="s">
        <v>14</v>
      </c>
      <c r="C66" s="52" t="s">
        <v>200</v>
      </c>
      <c r="D66" s="53">
        <v>168</v>
      </c>
      <c r="E66" s="53">
        <v>53.777628</v>
      </c>
      <c r="F66" s="54" t="s">
        <v>200</v>
      </c>
      <c r="G66" s="54" t="s">
        <v>200</v>
      </c>
      <c r="H66" s="54" t="s">
        <v>200</v>
      </c>
      <c r="I66" s="55">
        <v>0.51032170372088803</v>
      </c>
      <c r="J66" s="55">
        <v>0.75038495649794401</v>
      </c>
      <c r="K66" s="55">
        <v>0.43831016527482136</v>
      </c>
      <c r="L66" s="55">
        <v>9.9859319670682956E-2</v>
      </c>
      <c r="M66" s="57" t="s">
        <v>200</v>
      </c>
      <c r="N66" s="54" t="s">
        <v>200</v>
      </c>
      <c r="O66" s="58" t="s">
        <v>200</v>
      </c>
      <c r="P66" s="57">
        <v>0.28599999999999998</v>
      </c>
      <c r="Q66" s="57">
        <v>0.27813021999999998</v>
      </c>
      <c r="R66" s="59">
        <v>2.8041328891569401</v>
      </c>
      <c r="S66" s="54">
        <v>2.69230769230769E-3</v>
      </c>
      <c r="T66" s="59" t="s">
        <v>200</v>
      </c>
      <c r="U66" s="59" t="s">
        <v>200</v>
      </c>
      <c r="V66" s="59" t="s">
        <v>200</v>
      </c>
      <c r="W66" s="59" t="s">
        <v>200</v>
      </c>
      <c r="X66" s="59" t="s">
        <v>200</v>
      </c>
      <c r="Y66" s="60" t="s">
        <v>14</v>
      </c>
    </row>
    <row r="67" spans="2:25" x14ac:dyDescent="0.25">
      <c r="B67" t="s">
        <v>38</v>
      </c>
      <c r="C67" s="52">
        <v>6.7</v>
      </c>
      <c r="D67" s="53">
        <v>11.3</v>
      </c>
      <c r="E67" s="53">
        <v>6.3</v>
      </c>
      <c r="F67" s="54" t="s">
        <v>200</v>
      </c>
      <c r="G67" s="54" t="s">
        <v>200</v>
      </c>
      <c r="H67" s="54">
        <v>-0.30927835051546382</v>
      </c>
      <c r="I67" s="55">
        <v>0.511077974084857</v>
      </c>
      <c r="J67" s="55">
        <v>0.59381470942022607</v>
      </c>
      <c r="K67" s="55">
        <v>0.65781211228507797</v>
      </c>
      <c r="L67" s="55">
        <v>-0.22402064539067101</v>
      </c>
      <c r="M67" s="57" t="s">
        <v>200</v>
      </c>
      <c r="N67" s="54" t="s">
        <v>200</v>
      </c>
      <c r="O67" s="58" t="s">
        <v>200</v>
      </c>
      <c r="P67" s="57">
        <v>4.6483652560000005E-2</v>
      </c>
      <c r="Q67" s="57">
        <v>4.4980878000000002E-2</v>
      </c>
      <c r="R67" s="59" t="s">
        <v>200</v>
      </c>
      <c r="S67" s="54" t="s">
        <v>200</v>
      </c>
      <c r="T67" s="59" t="s">
        <v>200</v>
      </c>
      <c r="U67" s="59">
        <v>3.6868689528765501</v>
      </c>
      <c r="V67" s="59" t="s">
        <v>200</v>
      </c>
      <c r="W67" s="59">
        <v>-0.54759684893850402</v>
      </c>
      <c r="X67" s="59" t="s">
        <v>200</v>
      </c>
      <c r="Y67" s="60" t="s">
        <v>38</v>
      </c>
    </row>
    <row r="68" spans="2:25" x14ac:dyDescent="0.25">
      <c r="B68" s="62" t="s">
        <v>119</v>
      </c>
      <c r="C68" s="63"/>
      <c r="D68" s="63"/>
      <c r="E68" s="63"/>
      <c r="F68" s="64">
        <v>-3.9517769349627588E-3</v>
      </c>
      <c r="G68" s="64">
        <v>-0.23863660962699149</v>
      </c>
      <c r="H68" s="64">
        <v>-0.28243483870880587</v>
      </c>
      <c r="I68" s="65">
        <v>0.49619345953186417</v>
      </c>
      <c r="J68" s="65">
        <v>0.48432423645811296</v>
      </c>
      <c r="K68" s="65">
        <v>0.50696589385346713</v>
      </c>
      <c r="L68" s="65">
        <v>1.774776213032293E-2</v>
      </c>
      <c r="M68" s="66">
        <v>0.42710662193215282</v>
      </c>
      <c r="N68" s="64" t="e">
        <v>#DIV/0!</v>
      </c>
      <c r="O68" s="64" t="s">
        <v>200</v>
      </c>
      <c r="P68" s="66">
        <v>1.9076127045066664</v>
      </c>
      <c r="Q68" s="66">
        <v>1.0693130575500001</v>
      </c>
      <c r="R68" s="67">
        <v>4.8291717269502845</v>
      </c>
      <c r="S68" s="64">
        <v>0.28861404912127725</v>
      </c>
      <c r="T68" s="67">
        <v>0.78891286741612565</v>
      </c>
      <c r="U68" s="67">
        <v>97.098671175216225</v>
      </c>
      <c r="V68" s="67" t="s">
        <v>200</v>
      </c>
      <c r="W68" s="69">
        <v>1.8548398871544305</v>
      </c>
      <c r="X68" s="67">
        <v>10.581884082526882</v>
      </c>
      <c r="Y68" s="71" t="s">
        <v>120</v>
      </c>
    </row>
    <row r="69" spans="2:25" ht="7.5" customHeight="1" x14ac:dyDescent="0.25">
      <c r="F69" s="74"/>
      <c r="G69" s="74"/>
      <c r="H69" s="74"/>
      <c r="I69" s="33"/>
      <c r="J69" s="33"/>
      <c r="K69" s="33"/>
      <c r="L69" s="33"/>
      <c r="M69" s="24"/>
      <c r="N69" s="72"/>
      <c r="O69" s="72"/>
      <c r="P69" s="24"/>
      <c r="Q69" s="24"/>
      <c r="R69" s="73"/>
      <c r="S69" s="74"/>
      <c r="T69" s="73"/>
      <c r="U69" s="73"/>
      <c r="V69" s="73"/>
      <c r="W69" s="73"/>
      <c r="X69" s="73"/>
    </row>
    <row r="70" spans="2:25" x14ac:dyDescent="0.25">
      <c r="B70" s="50" t="s">
        <v>132</v>
      </c>
      <c r="C70" s="75"/>
      <c r="D70" s="75"/>
      <c r="E70" s="75"/>
      <c r="F70" s="80"/>
      <c r="G70" s="80"/>
      <c r="H70" s="80"/>
      <c r="I70" s="76"/>
      <c r="J70" s="76"/>
      <c r="K70" s="76"/>
      <c r="L70" s="76"/>
      <c r="M70" s="77"/>
      <c r="N70" s="78"/>
      <c r="O70" s="78"/>
      <c r="P70" s="77"/>
      <c r="Q70" s="77"/>
      <c r="R70" s="79"/>
      <c r="S70" s="80"/>
      <c r="T70" s="79"/>
      <c r="U70" s="79"/>
      <c r="V70" s="79"/>
      <c r="W70" s="79"/>
      <c r="X70" s="79"/>
      <c r="Y70" s="81"/>
    </row>
    <row r="71" spans="2:25" x14ac:dyDescent="0.25">
      <c r="B71" t="s">
        <v>42</v>
      </c>
      <c r="C71" s="52">
        <v>32</v>
      </c>
      <c r="D71" s="53">
        <v>58.5</v>
      </c>
      <c r="E71" s="53">
        <v>28.373425999999998</v>
      </c>
      <c r="F71" s="54">
        <v>5.7851239669421517E-2</v>
      </c>
      <c r="G71" s="54">
        <v>-0.27107061503416852</v>
      </c>
      <c r="H71" s="54">
        <v>-0.37007874015748032</v>
      </c>
      <c r="I71" s="55">
        <v>0.67239681157677789</v>
      </c>
      <c r="J71" s="55">
        <v>0.56257848041511405</v>
      </c>
      <c r="K71" s="55">
        <v>0.44684574578277458</v>
      </c>
      <c r="L71" s="55">
        <v>-7.8692456303156577E-3</v>
      </c>
      <c r="M71" s="57">
        <v>0.75550710748451899</v>
      </c>
      <c r="N71" s="54" t="s">
        <v>200</v>
      </c>
      <c r="O71" s="58" t="s">
        <v>200</v>
      </c>
      <c r="P71" s="57">
        <v>21.989705480000001</v>
      </c>
      <c r="Q71" s="57">
        <v>286.78196291500001</v>
      </c>
      <c r="R71" s="59">
        <v>15.596147646019199</v>
      </c>
      <c r="S71" s="54">
        <v>0</v>
      </c>
      <c r="T71" s="59">
        <v>0.214969457386713</v>
      </c>
      <c r="U71" s="59" t="s">
        <v>200</v>
      </c>
      <c r="V71" s="59" t="s">
        <v>200</v>
      </c>
      <c r="W71" s="59">
        <v>0.50543377227755004</v>
      </c>
      <c r="X71" s="59">
        <v>0.68903613127337204</v>
      </c>
      <c r="Y71" s="60" t="s">
        <v>42</v>
      </c>
    </row>
    <row r="72" spans="2:25" x14ac:dyDescent="0.25">
      <c r="B72" t="s">
        <v>18</v>
      </c>
      <c r="C72" s="52" t="s">
        <v>200</v>
      </c>
      <c r="D72" s="53">
        <v>290</v>
      </c>
      <c r="E72" s="53">
        <v>141.97732999999999</v>
      </c>
      <c r="F72" s="54" t="s">
        <v>200</v>
      </c>
      <c r="G72" s="54" t="s">
        <v>200</v>
      </c>
      <c r="H72" s="54" t="s">
        <v>200</v>
      </c>
      <c r="I72" s="55">
        <v>0.52420617162012906</v>
      </c>
      <c r="J72" s="55">
        <v>0.51276142841912598</v>
      </c>
      <c r="K72" s="55">
        <v>0.42932715957335793</v>
      </c>
      <c r="L72" s="55">
        <v>0.10087037111021058</v>
      </c>
      <c r="M72" s="57">
        <v>0.26726614966205298</v>
      </c>
      <c r="N72" s="54" t="s">
        <v>200</v>
      </c>
      <c r="O72" s="58" t="s">
        <v>200</v>
      </c>
      <c r="P72" s="57">
        <v>28.983231499999999</v>
      </c>
      <c r="Q72" s="57">
        <v>56.030071499999998</v>
      </c>
      <c r="R72" s="59">
        <v>8.7264617505636792</v>
      </c>
      <c r="S72" s="54">
        <v>2.0529111806956501E-2</v>
      </c>
      <c r="T72" s="59">
        <v>2.4641305360663202</v>
      </c>
      <c r="U72" s="59" t="s">
        <v>200</v>
      </c>
      <c r="V72" s="59" t="s">
        <v>200</v>
      </c>
      <c r="W72" s="59">
        <v>0.61299070324946203</v>
      </c>
      <c r="X72" s="59">
        <v>5.1478457921408003</v>
      </c>
      <c r="Y72" s="60" t="s">
        <v>18</v>
      </c>
    </row>
    <row r="73" spans="2:25" x14ac:dyDescent="0.25">
      <c r="B73" t="s">
        <v>59</v>
      </c>
      <c r="C73" s="52">
        <v>24.75</v>
      </c>
      <c r="D73" s="53">
        <v>58</v>
      </c>
      <c r="E73" s="53">
        <v>25</v>
      </c>
      <c r="F73" s="54">
        <v>-3.3203125E-2</v>
      </c>
      <c r="G73" s="54">
        <v>-0.38047559449311641</v>
      </c>
      <c r="H73" s="54">
        <v>-0.52812202097235472</v>
      </c>
      <c r="I73" s="55">
        <v>0.75657155576485491</v>
      </c>
      <c r="J73" s="55">
        <v>0.67111827858666107</v>
      </c>
      <c r="K73" s="55">
        <v>0.4336447762240257</v>
      </c>
      <c r="L73" s="55">
        <v>-5.5647041021619881E-2</v>
      </c>
      <c r="M73" s="57">
        <v>0.70910859053723196</v>
      </c>
      <c r="N73" s="54" t="s">
        <v>200</v>
      </c>
      <c r="O73" s="58" t="s">
        <v>200</v>
      </c>
      <c r="P73" s="57">
        <v>16.830116074199999</v>
      </c>
      <c r="Q73" s="57">
        <v>335.91885578240004</v>
      </c>
      <c r="R73" s="59">
        <v>13.4679999912758</v>
      </c>
      <c r="S73" s="54" t="s">
        <v>200</v>
      </c>
      <c r="T73" s="59">
        <v>0.12984119073214501</v>
      </c>
      <c r="U73" s="59" t="s">
        <v>200</v>
      </c>
      <c r="V73" s="59" t="s">
        <v>200</v>
      </c>
      <c r="W73" s="59">
        <v>0.87490024747633799</v>
      </c>
      <c r="X73" s="59">
        <v>0.41152134257067002</v>
      </c>
      <c r="Y73" s="60" t="s">
        <v>59</v>
      </c>
    </row>
    <row r="74" spans="2:25" x14ac:dyDescent="0.25">
      <c r="B74" t="s">
        <v>55</v>
      </c>
      <c r="C74" s="52">
        <v>47</v>
      </c>
      <c r="D74" s="53">
        <v>80.5</v>
      </c>
      <c r="E74" s="53">
        <v>32.322395061599998</v>
      </c>
      <c r="F74" s="54">
        <v>-6.1876247504990101E-2</v>
      </c>
      <c r="G74" s="54">
        <v>-0.34265734265734271</v>
      </c>
      <c r="H74" s="54">
        <v>-0.32857142857142863</v>
      </c>
      <c r="I74" s="55">
        <v>0.59602167985542198</v>
      </c>
      <c r="J74" s="55">
        <v>0.47760972713133298</v>
      </c>
      <c r="K74" s="55">
        <v>0.46056109230624376</v>
      </c>
      <c r="L74" s="55">
        <v>7.3235605500973078E-2</v>
      </c>
      <c r="M74" s="57">
        <v>0.55988121599834595</v>
      </c>
      <c r="N74" s="54" t="s">
        <v>200</v>
      </c>
      <c r="O74" s="58" t="s">
        <v>200</v>
      </c>
      <c r="P74" s="57">
        <v>25.619170562499999</v>
      </c>
      <c r="Q74" s="57">
        <v>21.796498122900001</v>
      </c>
      <c r="R74" s="59">
        <v>73.720251375374204</v>
      </c>
      <c r="S74" s="54">
        <v>7.8771013457085801E-2</v>
      </c>
      <c r="T74" s="59">
        <v>5.8203654343650504</v>
      </c>
      <c r="U74" s="59" t="s">
        <v>200</v>
      </c>
      <c r="V74" s="59" t="s">
        <v>200</v>
      </c>
      <c r="W74" s="59">
        <v>0.77068544702169395</v>
      </c>
      <c r="X74" s="59">
        <v>16.677895905225999</v>
      </c>
      <c r="Y74" s="60" t="s">
        <v>55</v>
      </c>
    </row>
    <row r="75" spans="2:25" x14ac:dyDescent="0.25">
      <c r="B75" s="62" t="s">
        <v>119</v>
      </c>
      <c r="C75" s="63"/>
      <c r="D75" s="63"/>
      <c r="E75" s="63"/>
      <c r="F75" s="64">
        <v>-1.2409377611856195E-2</v>
      </c>
      <c r="G75" s="88">
        <v>-0.33140118406154256</v>
      </c>
      <c r="H75" s="88">
        <v>-0.40892406323375452</v>
      </c>
      <c r="I75" s="65">
        <v>0.63729905470429593</v>
      </c>
      <c r="J75" s="65">
        <v>0.55601697863805855</v>
      </c>
      <c r="K75" s="65">
        <v>0.44259469347160046</v>
      </c>
      <c r="L75" s="65">
        <v>2.7647422489812029E-2</v>
      </c>
      <c r="M75" s="66">
        <v>0.57294076592053744</v>
      </c>
      <c r="N75" s="64" t="e">
        <v>#DIV/0!</v>
      </c>
      <c r="O75" s="88" t="s">
        <v>200</v>
      </c>
      <c r="P75" s="66">
        <v>23.355555904175002</v>
      </c>
      <c r="Q75" s="66">
        <v>175.131847080075</v>
      </c>
      <c r="R75" s="67">
        <v>27.877715190808221</v>
      </c>
      <c r="S75" s="64">
        <v>3.3100041754680766E-2</v>
      </c>
      <c r="T75" s="67">
        <v>2.1573266546375569</v>
      </c>
      <c r="U75" s="67" t="s">
        <v>200</v>
      </c>
      <c r="V75" s="67" t="s">
        <v>200</v>
      </c>
      <c r="W75" s="69">
        <v>0.69100254250626092</v>
      </c>
      <c r="X75" s="70">
        <v>5.7315747928027108</v>
      </c>
      <c r="Y75" s="71" t="s">
        <v>120</v>
      </c>
    </row>
    <row r="76" spans="2:25" ht="9" customHeight="1" x14ac:dyDescent="0.25">
      <c r="F76" s="74"/>
      <c r="G76" s="74"/>
      <c r="H76" s="74"/>
      <c r="I76" s="33"/>
      <c r="J76" s="33"/>
      <c r="K76" s="33"/>
      <c r="L76" s="33"/>
      <c r="M76" s="24"/>
      <c r="N76" s="72"/>
      <c r="O76" s="72"/>
      <c r="P76" s="24"/>
      <c r="Q76" s="24"/>
      <c r="R76" s="73"/>
      <c r="S76" s="74"/>
      <c r="T76" s="73"/>
      <c r="U76" s="73"/>
      <c r="V76" s="73"/>
      <c r="W76" s="73"/>
      <c r="X76" s="73"/>
    </row>
    <row r="77" spans="2:25" x14ac:dyDescent="0.25">
      <c r="B77" s="50" t="s">
        <v>133</v>
      </c>
      <c r="C77" s="75"/>
      <c r="D77" s="75"/>
      <c r="E77" s="75"/>
      <c r="F77" s="80"/>
      <c r="G77" s="80"/>
      <c r="H77" s="80"/>
      <c r="I77" s="76"/>
      <c r="J77" s="76"/>
      <c r="K77" s="76"/>
      <c r="L77" s="76"/>
      <c r="M77" s="77"/>
      <c r="N77" s="78"/>
      <c r="O77" s="78"/>
      <c r="P77" s="77"/>
      <c r="Q77" s="77"/>
      <c r="R77" s="79"/>
      <c r="S77" s="80"/>
      <c r="T77" s="79"/>
      <c r="U77" s="79"/>
      <c r="V77" s="79"/>
      <c r="W77" s="79"/>
      <c r="X77" s="79"/>
      <c r="Y77" s="81"/>
    </row>
    <row r="78" spans="2:25" x14ac:dyDescent="0.25">
      <c r="B78" t="s">
        <v>33</v>
      </c>
      <c r="C78" s="52">
        <v>15.4</v>
      </c>
      <c r="D78" s="53">
        <v>27.3</v>
      </c>
      <c r="E78" s="53">
        <v>10.45</v>
      </c>
      <c r="F78" s="54">
        <v>5.4794520547945202E-2</v>
      </c>
      <c r="G78" s="54">
        <v>-0.24694376528117357</v>
      </c>
      <c r="H78" s="54">
        <v>-0.39961013645224164</v>
      </c>
      <c r="I78" s="55">
        <v>0.75702797366424701</v>
      </c>
      <c r="J78" s="55">
        <v>0.57643712500113298</v>
      </c>
      <c r="K78" s="55">
        <v>0.45139227066721632</v>
      </c>
      <c r="L78" s="55">
        <v>-6.163035822754126E-3</v>
      </c>
      <c r="M78" s="57">
        <v>0.66444465069931202</v>
      </c>
      <c r="N78" s="54" t="s">
        <v>200</v>
      </c>
      <c r="O78" s="58" t="s">
        <v>200</v>
      </c>
      <c r="P78" s="57" t="s">
        <v>406</v>
      </c>
      <c r="Q78" s="89">
        <v>66.912552735800006</v>
      </c>
      <c r="R78" s="59">
        <v>4.4484630043604003</v>
      </c>
      <c r="S78" s="54">
        <v>4.6084931506849294E-2</v>
      </c>
      <c r="T78" s="59">
        <v>0.61546244230480596</v>
      </c>
      <c r="U78" s="59">
        <v>5.9430767226781303</v>
      </c>
      <c r="V78" s="59" t="s">
        <v>200</v>
      </c>
      <c r="W78" s="59">
        <v>0.418587315918106</v>
      </c>
      <c r="X78" s="59">
        <v>3.27465641013801</v>
      </c>
      <c r="Y78" s="60" t="s">
        <v>33</v>
      </c>
    </row>
    <row r="79" spans="2:25" x14ac:dyDescent="0.25">
      <c r="B79" t="s">
        <v>61</v>
      </c>
      <c r="C79" s="52">
        <v>59.95</v>
      </c>
      <c r="D79" s="53">
        <v>129.94999999999999</v>
      </c>
      <c r="E79" s="53">
        <v>55</v>
      </c>
      <c r="F79" s="54">
        <v>5.9187279151943439E-2</v>
      </c>
      <c r="G79" s="54">
        <v>-0.37225130890052349</v>
      </c>
      <c r="H79" s="54">
        <v>-0.50166251039068999</v>
      </c>
      <c r="I79" s="55">
        <v>0.94074106632766397</v>
      </c>
      <c r="J79" s="55">
        <v>0.680115785256871</v>
      </c>
      <c r="K79" s="55" t="s">
        <v>200</v>
      </c>
      <c r="L79" s="55" t="s">
        <v>200</v>
      </c>
      <c r="M79" s="57">
        <v>1.04625993074693</v>
      </c>
      <c r="N79" s="54" t="s">
        <v>200</v>
      </c>
      <c r="O79" s="58" t="s">
        <v>200</v>
      </c>
      <c r="P79" s="57">
        <v>45.655629134000002</v>
      </c>
      <c r="Q79" s="89">
        <v>46.047936333999999</v>
      </c>
      <c r="R79" s="59">
        <v>4.1362696805210604</v>
      </c>
      <c r="S79" s="54" t="s">
        <v>200</v>
      </c>
      <c r="T79" s="59">
        <v>0.86606845522518705</v>
      </c>
      <c r="U79" s="59">
        <v>8.7870188098091706</v>
      </c>
      <c r="V79" s="59" t="s">
        <v>200</v>
      </c>
      <c r="W79" s="59">
        <v>1.2449819914390301</v>
      </c>
      <c r="X79" s="59">
        <v>4.0255504861731302</v>
      </c>
      <c r="Y79" s="60" t="s">
        <v>61</v>
      </c>
    </row>
    <row r="80" spans="2:25" x14ac:dyDescent="0.25">
      <c r="B80" t="s">
        <v>66</v>
      </c>
      <c r="C80" s="52">
        <v>15.85</v>
      </c>
      <c r="D80" s="53">
        <v>39</v>
      </c>
      <c r="E80" s="53">
        <v>12.76368383808</v>
      </c>
      <c r="F80" s="54">
        <v>0.13214285714285712</v>
      </c>
      <c r="G80" s="54">
        <v>-0.39962121212121215</v>
      </c>
      <c r="H80" s="54">
        <v>-0.51080246913580241</v>
      </c>
      <c r="I80" s="55">
        <v>0.92668057386655311</v>
      </c>
      <c r="J80" s="55">
        <v>0.73343085174809797</v>
      </c>
      <c r="K80" s="55">
        <v>0.42013129214817868</v>
      </c>
      <c r="L80" s="55">
        <v>-3.0473294119376382E-2</v>
      </c>
      <c r="M80" s="57">
        <v>0.590136336679845</v>
      </c>
      <c r="N80" s="54" t="s">
        <v>200</v>
      </c>
      <c r="O80" s="58" t="s">
        <v>200</v>
      </c>
      <c r="P80" s="57">
        <v>57.4</v>
      </c>
      <c r="Q80" s="89">
        <v>63.678789520000002</v>
      </c>
      <c r="R80" s="59">
        <v>7.37078481770404</v>
      </c>
      <c r="S80" s="54">
        <v>9.2142857142857096E-2</v>
      </c>
      <c r="T80" s="59">
        <v>0.66771291068223604</v>
      </c>
      <c r="U80" s="59">
        <v>19.5552575706783</v>
      </c>
      <c r="V80" s="59">
        <v>100</v>
      </c>
      <c r="W80" s="59">
        <v>1.2467831067673101</v>
      </c>
      <c r="X80" s="59">
        <v>2.7187922543317602</v>
      </c>
      <c r="Y80" s="60" t="s">
        <v>66</v>
      </c>
    </row>
    <row r="81" spans="2:25" x14ac:dyDescent="0.25">
      <c r="B81" t="s">
        <v>58</v>
      </c>
      <c r="C81" s="52">
        <v>47.15</v>
      </c>
      <c r="D81" s="53">
        <v>102</v>
      </c>
      <c r="E81" s="53">
        <v>46</v>
      </c>
      <c r="F81" s="54">
        <v>-3.3811475409836089E-2</v>
      </c>
      <c r="G81" s="54">
        <v>-0.36455525606469008</v>
      </c>
      <c r="H81" s="54">
        <v>-0.50420609884332279</v>
      </c>
      <c r="I81" s="55">
        <v>0.74547722212840195</v>
      </c>
      <c r="J81" s="55">
        <v>0.55131652504133599</v>
      </c>
      <c r="K81" s="55">
        <v>0.5082274109865017</v>
      </c>
      <c r="L81" s="55">
        <v>8.481395805927372E-2</v>
      </c>
      <c r="M81" s="57">
        <v>0.68744090742737396</v>
      </c>
      <c r="N81" s="54" t="s">
        <v>200</v>
      </c>
      <c r="O81" s="58" t="s">
        <v>200</v>
      </c>
      <c r="P81" s="57">
        <v>21.651499288499998</v>
      </c>
      <c r="Q81" s="89">
        <v>16.452370068</v>
      </c>
      <c r="R81" s="59">
        <v>5.1486165877954297</v>
      </c>
      <c r="S81" s="54">
        <v>2.1721311475409802E-2</v>
      </c>
      <c r="T81" s="59">
        <v>0.967560044114949</v>
      </c>
      <c r="U81" s="59">
        <v>7.2785631400437296</v>
      </c>
      <c r="V81" s="59" t="s">
        <v>200</v>
      </c>
      <c r="W81" s="59">
        <v>1.2499304137613101</v>
      </c>
      <c r="X81" s="59">
        <v>3.6628756910701199</v>
      </c>
      <c r="Y81" s="60" t="s">
        <v>58</v>
      </c>
    </row>
    <row r="82" spans="2:25" x14ac:dyDescent="0.25">
      <c r="B82" t="s">
        <v>270</v>
      </c>
      <c r="C82" s="52" t="s">
        <v>200</v>
      </c>
      <c r="D82" s="53">
        <v>26.5</v>
      </c>
      <c r="E82" s="53">
        <v>9</v>
      </c>
      <c r="F82" s="54" t="s">
        <v>200</v>
      </c>
      <c r="G82" s="54" t="s">
        <v>200</v>
      </c>
      <c r="H82" s="54" t="s">
        <v>200</v>
      </c>
      <c r="I82" s="55">
        <v>0</v>
      </c>
      <c r="J82" s="55">
        <v>0.20982005591080699</v>
      </c>
      <c r="K82" s="55">
        <v>0.543870798223138</v>
      </c>
      <c r="L82" s="55">
        <v>-6.3575239146148044E-2</v>
      </c>
      <c r="M82" s="57" t="s">
        <v>200</v>
      </c>
      <c r="N82" s="54" t="s">
        <v>200</v>
      </c>
      <c r="O82" s="58" t="s">
        <v>200</v>
      </c>
      <c r="P82" s="57">
        <v>9.4249424815000005</v>
      </c>
      <c r="Q82" s="89">
        <v>19.941878481500002</v>
      </c>
      <c r="R82" s="59">
        <v>11.2411498271991</v>
      </c>
      <c r="S82" s="54" t="s">
        <v>200</v>
      </c>
      <c r="T82" s="59" t="s">
        <v>200</v>
      </c>
      <c r="U82" s="59" t="s">
        <v>200</v>
      </c>
      <c r="V82" s="59" t="s">
        <v>200</v>
      </c>
      <c r="W82" s="59" t="s">
        <v>200</v>
      </c>
      <c r="X82" s="59" t="s">
        <v>200</v>
      </c>
      <c r="Y82" s="60" t="s">
        <v>270</v>
      </c>
    </row>
    <row r="83" spans="2:25" x14ac:dyDescent="0.25">
      <c r="B83" t="s">
        <v>19</v>
      </c>
      <c r="C83" s="52">
        <v>43</v>
      </c>
      <c r="D83" s="53">
        <v>70</v>
      </c>
      <c r="E83" s="53">
        <v>22.9</v>
      </c>
      <c r="F83" s="54">
        <v>0</v>
      </c>
      <c r="G83" s="54">
        <v>-0.14000000000000001</v>
      </c>
      <c r="H83" s="54">
        <v>-0.21818181818181814</v>
      </c>
      <c r="I83" s="55">
        <v>0.52459412193639599</v>
      </c>
      <c r="J83" s="55">
        <v>0.486374269838659</v>
      </c>
      <c r="K83" s="55">
        <v>0.40770185890503452</v>
      </c>
      <c r="L83" s="55">
        <v>9.3710327933089754E-3</v>
      </c>
      <c r="M83" s="57">
        <v>0.135697462037531</v>
      </c>
      <c r="N83" s="54" t="s">
        <v>200</v>
      </c>
      <c r="O83" s="58" t="s">
        <v>200</v>
      </c>
      <c r="P83" s="57">
        <v>6.3828301679999999</v>
      </c>
      <c r="Q83" s="89">
        <v>7.0873947580000092</v>
      </c>
      <c r="R83" s="59">
        <v>16.671780420864302</v>
      </c>
      <c r="S83" s="54" t="s">
        <v>200</v>
      </c>
      <c r="T83" s="59">
        <v>1.9225707500912299</v>
      </c>
      <c r="U83" s="59" t="s">
        <v>200</v>
      </c>
      <c r="V83" s="59" t="s">
        <v>200</v>
      </c>
      <c r="W83" s="59">
        <v>3.4868394473812101</v>
      </c>
      <c r="X83" s="59" t="s">
        <v>200</v>
      </c>
      <c r="Y83" s="60" t="s">
        <v>19</v>
      </c>
    </row>
    <row r="84" spans="2:25" x14ac:dyDescent="0.25">
      <c r="B84" t="s">
        <v>28</v>
      </c>
      <c r="C84" s="52">
        <v>19</v>
      </c>
      <c r="D84" s="53">
        <v>31.5</v>
      </c>
      <c r="E84" s="53">
        <v>15.5</v>
      </c>
      <c r="F84" s="54">
        <v>-9.5238095238095233E-2</v>
      </c>
      <c r="G84" s="54">
        <v>-0.19148936170212771</v>
      </c>
      <c r="H84" s="54">
        <v>-0.22448979591836737</v>
      </c>
      <c r="I84" s="55">
        <v>0.5590822319855</v>
      </c>
      <c r="J84" s="55">
        <v>0.45199557773607402</v>
      </c>
      <c r="K84" s="55">
        <v>0.46702945124202605</v>
      </c>
      <c r="L84" s="55">
        <v>-6.9988323943004693E-2</v>
      </c>
      <c r="M84" s="57">
        <v>0.23667557720188201</v>
      </c>
      <c r="N84" s="54" t="s">
        <v>200</v>
      </c>
      <c r="O84" s="58" t="s">
        <v>200</v>
      </c>
      <c r="P84" s="57">
        <v>2.33175568984</v>
      </c>
      <c r="Q84" s="89">
        <v>10.894715590000001</v>
      </c>
      <c r="R84" s="59">
        <v>4.5558602311736003</v>
      </c>
      <c r="S84" s="54" t="s">
        <v>200</v>
      </c>
      <c r="T84" s="59" t="s">
        <v>200</v>
      </c>
      <c r="U84" s="59" t="s">
        <v>200</v>
      </c>
      <c r="V84" s="59" t="s">
        <v>200</v>
      </c>
      <c r="W84" s="59" t="s">
        <v>200</v>
      </c>
      <c r="X84" s="59" t="s">
        <v>200</v>
      </c>
      <c r="Y84" s="60" t="s">
        <v>28</v>
      </c>
    </row>
    <row r="85" spans="2:25" x14ac:dyDescent="0.25">
      <c r="B85" t="s">
        <v>10</v>
      </c>
      <c r="C85" s="52" t="s">
        <v>200</v>
      </c>
      <c r="D85" s="53">
        <v>50</v>
      </c>
      <c r="E85" s="53">
        <v>47</v>
      </c>
      <c r="F85" s="54" t="s">
        <v>200</v>
      </c>
      <c r="G85" s="54" t="s">
        <v>200</v>
      </c>
      <c r="H85" s="54" t="s">
        <v>200</v>
      </c>
      <c r="I85" s="55">
        <v>0</v>
      </c>
      <c r="J85" s="55">
        <v>0</v>
      </c>
      <c r="K85" s="55" t="s">
        <v>200</v>
      </c>
      <c r="L85" s="55" t="s">
        <v>200</v>
      </c>
      <c r="M85" s="57" t="s">
        <v>200</v>
      </c>
      <c r="N85" s="54" t="s">
        <v>200</v>
      </c>
      <c r="O85" s="58" t="s">
        <v>200</v>
      </c>
      <c r="P85" s="57" t="s">
        <v>406</v>
      </c>
      <c r="Q85" s="89">
        <v>1.9676973339999999</v>
      </c>
      <c r="R85" s="59">
        <v>19.057887396856799</v>
      </c>
      <c r="S85" s="54" t="s">
        <v>200</v>
      </c>
      <c r="T85" s="59" t="s">
        <v>200</v>
      </c>
      <c r="U85" s="59" t="s">
        <v>200</v>
      </c>
      <c r="V85" s="59" t="s">
        <v>200</v>
      </c>
      <c r="W85" s="59" t="s">
        <v>200</v>
      </c>
      <c r="X85" s="59" t="s">
        <v>200</v>
      </c>
      <c r="Y85" s="60" t="s">
        <v>10</v>
      </c>
    </row>
    <row r="86" spans="2:25" x14ac:dyDescent="0.25">
      <c r="B86" t="s">
        <v>15</v>
      </c>
      <c r="C86" s="52" t="s">
        <v>200</v>
      </c>
      <c r="D86" s="53">
        <v>5.49</v>
      </c>
      <c r="E86" s="53">
        <v>3</v>
      </c>
      <c r="F86" s="54" t="s">
        <v>200</v>
      </c>
      <c r="G86" s="54" t="s">
        <v>200</v>
      </c>
      <c r="H86" s="54" t="s">
        <v>200</v>
      </c>
      <c r="I86" s="55">
        <v>0.28501598333285899</v>
      </c>
      <c r="J86" s="55">
        <v>0.411495604048907</v>
      </c>
      <c r="K86" s="55">
        <v>0.4068633202499965</v>
      </c>
      <c r="L86" s="55">
        <v>-0.14801089241913878</v>
      </c>
      <c r="M86" s="57">
        <v>0.10598013947316599</v>
      </c>
      <c r="N86" s="54" t="s">
        <v>200</v>
      </c>
      <c r="O86" s="58" t="s">
        <v>200</v>
      </c>
      <c r="P86" s="57">
        <v>0.27424850000000001</v>
      </c>
      <c r="Q86" s="89">
        <v>0.76765757999999995</v>
      </c>
      <c r="R86" s="59">
        <v>3.9013148111688798</v>
      </c>
      <c r="S86" s="54" t="s">
        <v>200</v>
      </c>
      <c r="T86" s="59">
        <v>0.26937135177562899</v>
      </c>
      <c r="U86" s="59" t="s">
        <v>200</v>
      </c>
      <c r="V86" s="59" t="s">
        <v>200</v>
      </c>
      <c r="W86" s="59">
        <v>0.97911618178683202</v>
      </c>
      <c r="X86" s="59" t="s">
        <v>200</v>
      </c>
      <c r="Y86" s="60" t="s">
        <v>15</v>
      </c>
    </row>
    <row r="87" spans="2:25" x14ac:dyDescent="0.25">
      <c r="B87" t="s">
        <v>9</v>
      </c>
      <c r="C87" s="52" t="s">
        <v>200</v>
      </c>
      <c r="D87" s="53">
        <v>13.65</v>
      </c>
      <c r="E87" s="53">
        <v>10</v>
      </c>
      <c r="F87" s="54" t="s">
        <v>200</v>
      </c>
      <c r="G87" s="54" t="s">
        <v>200</v>
      </c>
      <c r="H87" s="54" t="s">
        <v>200</v>
      </c>
      <c r="I87" s="55">
        <v>0</v>
      </c>
      <c r="J87" s="55">
        <v>0</v>
      </c>
      <c r="K87" s="55">
        <v>0.53515512744946192</v>
      </c>
      <c r="L87" s="55">
        <v>-0.16555577273137823</v>
      </c>
      <c r="M87" s="57" t="s">
        <v>200</v>
      </c>
      <c r="N87" s="54" t="s">
        <v>200</v>
      </c>
      <c r="O87" s="58" t="s">
        <v>200</v>
      </c>
      <c r="P87" s="57">
        <v>0.22764708550000001</v>
      </c>
      <c r="Q87" s="89">
        <v>0.231853020800001</v>
      </c>
      <c r="R87" s="59">
        <v>3.7063274633928098</v>
      </c>
      <c r="S87" s="54" t="s">
        <v>200</v>
      </c>
      <c r="T87" s="59" t="s">
        <v>200</v>
      </c>
      <c r="U87" s="59" t="s">
        <v>200</v>
      </c>
      <c r="V87" s="59" t="s">
        <v>200</v>
      </c>
      <c r="W87" s="59" t="s">
        <v>200</v>
      </c>
      <c r="X87" s="59" t="s">
        <v>200</v>
      </c>
      <c r="Y87" s="60" t="s">
        <v>9</v>
      </c>
    </row>
    <row r="88" spans="2:25" x14ac:dyDescent="0.25">
      <c r="B88" s="62" t="s">
        <v>119</v>
      </c>
      <c r="C88" s="63"/>
      <c r="D88" s="63"/>
      <c r="E88" s="63"/>
      <c r="F88" s="64">
        <v>1.9512514365802407E-2</v>
      </c>
      <c r="G88" s="64">
        <v>-0.2858101506782878</v>
      </c>
      <c r="H88" s="64">
        <v>-0.39315880482037374</v>
      </c>
      <c r="I88" s="65">
        <v>0.47386191732416211</v>
      </c>
      <c r="J88" s="65">
        <v>0.41009857945818851</v>
      </c>
      <c r="K88" s="65">
        <v>0.46754644123394429</v>
      </c>
      <c r="L88" s="65">
        <v>-4.8697695916152195E-2</v>
      </c>
      <c r="M88" s="66">
        <v>0.49523357203800566</v>
      </c>
      <c r="N88" s="64" t="e">
        <v>#DIV/0!</v>
      </c>
      <c r="O88" s="64" t="s">
        <v>200</v>
      </c>
      <c r="P88" s="66">
        <v>17.918569043417502</v>
      </c>
      <c r="Q88" s="66">
        <v>23.39828454221</v>
      </c>
      <c r="R88" s="67">
        <v>8.0238454241036425</v>
      </c>
      <c r="S88" s="64">
        <v>5.3316366708372066E-2</v>
      </c>
      <c r="T88" s="67">
        <v>0.8847909923656726</v>
      </c>
      <c r="U88" s="67">
        <v>10.390979060802334</v>
      </c>
      <c r="V88" s="67">
        <v>100</v>
      </c>
      <c r="W88" s="69">
        <v>1.4377064095089664</v>
      </c>
      <c r="X88" s="70">
        <v>3.420468710428255</v>
      </c>
      <c r="Y88" s="71" t="s">
        <v>120</v>
      </c>
    </row>
    <row r="89" spans="2:25" ht="26.25" customHeight="1" x14ac:dyDescent="0.25">
      <c r="B89" s="90"/>
      <c r="C89" s="23"/>
      <c r="D89" s="23"/>
      <c r="E89" s="23"/>
      <c r="F89" s="91"/>
      <c r="G89" s="91"/>
      <c r="H89" s="91"/>
      <c r="I89" s="92"/>
      <c r="J89" s="92"/>
      <c r="K89" s="92"/>
      <c r="L89" s="92"/>
      <c r="M89" s="93"/>
      <c r="N89" s="94"/>
      <c r="O89" s="94"/>
      <c r="P89" s="23"/>
      <c r="Q89" s="93"/>
      <c r="R89" s="93"/>
      <c r="S89" s="91"/>
      <c r="T89" s="95"/>
      <c r="U89" s="95"/>
      <c r="V89" s="95"/>
      <c r="W89" s="95"/>
      <c r="X89" s="95"/>
      <c r="Y89" s="96"/>
    </row>
    <row r="90" spans="2:25" ht="15" customHeight="1" x14ac:dyDescent="0.25">
      <c r="B90" s="97" t="s">
        <v>3</v>
      </c>
      <c r="C90" s="97" t="s">
        <v>93</v>
      </c>
      <c r="D90" s="37" t="s">
        <v>94</v>
      </c>
      <c r="E90" s="39"/>
      <c r="F90" s="37" t="s">
        <v>95</v>
      </c>
      <c r="G90" s="38"/>
      <c r="H90" s="39"/>
      <c r="I90" s="37" t="s">
        <v>96</v>
      </c>
      <c r="J90" s="39"/>
      <c r="K90" s="40" t="s">
        <v>97</v>
      </c>
      <c r="L90" s="40" t="s">
        <v>98</v>
      </c>
      <c r="M90" s="40" t="s">
        <v>99</v>
      </c>
      <c r="N90" s="37" t="s">
        <v>100</v>
      </c>
      <c r="O90" s="39"/>
      <c r="P90" s="37" t="s">
        <v>101</v>
      </c>
      <c r="Q90" s="38"/>
      <c r="R90" s="39"/>
      <c r="S90" s="40" t="s">
        <v>102</v>
      </c>
      <c r="T90" s="37" t="s">
        <v>103</v>
      </c>
      <c r="U90" s="38"/>
      <c r="V90" s="38"/>
      <c r="W90" s="38"/>
      <c r="X90" s="39"/>
      <c r="Y90" s="98" t="s">
        <v>3</v>
      </c>
    </row>
    <row r="91" spans="2:25" ht="25.5" x14ac:dyDescent="0.25">
      <c r="B91" s="99"/>
      <c r="C91" s="99"/>
      <c r="D91" s="44" t="s">
        <v>104</v>
      </c>
      <c r="E91" s="44" t="s">
        <v>105</v>
      </c>
      <c r="F91" s="45" t="s">
        <v>106</v>
      </c>
      <c r="G91" s="45" t="s">
        <v>118</v>
      </c>
      <c r="H91" s="45">
        <v>2020</v>
      </c>
      <c r="I91" s="45" t="s">
        <v>107</v>
      </c>
      <c r="J91" s="45" t="s">
        <v>108</v>
      </c>
      <c r="K91" s="46"/>
      <c r="L91" s="46"/>
      <c r="M91" s="46"/>
      <c r="N91" s="45" t="s">
        <v>118</v>
      </c>
      <c r="O91" s="45">
        <v>2020</v>
      </c>
      <c r="P91" s="47" t="s">
        <v>109</v>
      </c>
      <c r="Q91" s="45" t="s">
        <v>110</v>
      </c>
      <c r="R91" s="45" t="s">
        <v>111</v>
      </c>
      <c r="S91" s="46"/>
      <c r="T91" s="48" t="s">
        <v>112</v>
      </c>
      <c r="U91" s="45" t="s">
        <v>113</v>
      </c>
      <c r="V91" s="45" t="s">
        <v>114</v>
      </c>
      <c r="W91" s="45" t="s">
        <v>115</v>
      </c>
      <c r="X91" s="45" t="s">
        <v>116</v>
      </c>
      <c r="Y91" s="100"/>
    </row>
    <row r="92" spans="2:25" x14ac:dyDescent="0.25">
      <c r="B92" s="50" t="s">
        <v>134</v>
      </c>
      <c r="C92" s="75"/>
      <c r="D92" s="75"/>
      <c r="E92" s="75"/>
      <c r="F92" s="80"/>
      <c r="G92" s="80"/>
      <c r="H92" s="80"/>
      <c r="I92" s="76"/>
      <c r="J92" s="76"/>
      <c r="K92" s="76"/>
      <c r="L92" s="76"/>
      <c r="M92" s="77"/>
      <c r="N92" s="78"/>
      <c r="O92" s="78"/>
      <c r="P92" s="75"/>
      <c r="Q92" s="77"/>
      <c r="R92" s="77"/>
      <c r="S92" s="80"/>
      <c r="T92" s="79"/>
      <c r="U92" s="79"/>
      <c r="V92" s="79"/>
      <c r="W92" s="79"/>
      <c r="X92" s="79"/>
      <c r="Y92" s="81"/>
    </row>
    <row r="93" spans="2:25" x14ac:dyDescent="0.25">
      <c r="B93" t="s">
        <v>13</v>
      </c>
      <c r="C93" s="52">
        <v>97.5</v>
      </c>
      <c r="D93" s="53">
        <v>118</v>
      </c>
      <c r="E93" s="53">
        <v>35</v>
      </c>
      <c r="F93" s="54">
        <v>2.6315789473684292E-2</v>
      </c>
      <c r="G93" s="54">
        <v>-6.6985645933014371E-2</v>
      </c>
      <c r="H93" s="54">
        <v>-0.15948275862068961</v>
      </c>
      <c r="I93" s="55">
        <v>0.7795594864499451</v>
      </c>
      <c r="J93" s="55">
        <v>0.58934484088160699</v>
      </c>
      <c r="K93" s="55" t="s">
        <v>200</v>
      </c>
      <c r="L93" s="55" t="s">
        <v>200</v>
      </c>
      <c r="M93" s="57">
        <v>0.28156933940348999</v>
      </c>
      <c r="N93" s="54" t="s">
        <v>200</v>
      </c>
      <c r="O93" s="58" t="s">
        <v>200</v>
      </c>
      <c r="P93" s="57">
        <v>7.2837841273999997</v>
      </c>
      <c r="Q93" s="57">
        <v>1.7490382499999999</v>
      </c>
      <c r="R93" s="59">
        <v>1.87447842090618</v>
      </c>
      <c r="S93" s="54" t="s">
        <v>200</v>
      </c>
      <c r="T93" s="59">
        <v>0.34553041816656599</v>
      </c>
      <c r="U93" s="101">
        <v>61.092854708329803</v>
      </c>
      <c r="V93" s="59" t="s">
        <v>200</v>
      </c>
      <c r="W93" s="59">
        <v>3.7417638633083299</v>
      </c>
      <c r="X93" s="59">
        <v>15.140774788215699</v>
      </c>
      <c r="Y93" s="60" t="s">
        <v>13</v>
      </c>
    </row>
    <row r="94" spans="2:25" x14ac:dyDescent="0.25">
      <c r="B94" t="s">
        <v>25</v>
      </c>
      <c r="C94" s="52">
        <v>4.3499999999999996</v>
      </c>
      <c r="D94" s="53">
        <v>7.6</v>
      </c>
      <c r="E94" s="53">
        <v>4.3</v>
      </c>
      <c r="F94" s="54">
        <v>-2.9017857142857317E-2</v>
      </c>
      <c r="G94" s="54">
        <v>-0.18691588785046731</v>
      </c>
      <c r="H94" s="54">
        <v>-0.2232142857142857</v>
      </c>
      <c r="I94" s="55">
        <v>0.50661518053375798</v>
      </c>
      <c r="J94" s="55">
        <v>0.64127947940278995</v>
      </c>
      <c r="K94" s="55">
        <v>0.45645221695025462</v>
      </c>
      <c r="L94" s="55">
        <v>-0.13055430906581256</v>
      </c>
      <c r="M94" s="57">
        <v>5.8058454438076001E-2</v>
      </c>
      <c r="N94" s="54" t="s">
        <v>200</v>
      </c>
      <c r="O94" s="58" t="s">
        <v>200</v>
      </c>
      <c r="P94" s="57">
        <v>0.21294732499999999</v>
      </c>
      <c r="Q94" s="57">
        <v>0.28698503319999996</v>
      </c>
      <c r="R94" s="59" t="s">
        <v>200</v>
      </c>
      <c r="S94" s="54" t="s">
        <v>200</v>
      </c>
      <c r="T94" s="59">
        <v>0.55249275312379398</v>
      </c>
      <c r="U94" s="59" t="s">
        <v>200</v>
      </c>
      <c r="V94" s="59" t="s">
        <v>200</v>
      </c>
      <c r="W94" s="59">
        <v>1.7716717377789</v>
      </c>
      <c r="X94" s="59">
        <v>3.1598713136232002</v>
      </c>
      <c r="Y94" s="60" t="s">
        <v>25</v>
      </c>
    </row>
    <row r="95" spans="2:25" x14ac:dyDescent="0.25">
      <c r="B95" s="62" t="s">
        <v>119</v>
      </c>
      <c r="C95" s="63"/>
      <c r="D95" s="63"/>
      <c r="E95" s="63"/>
      <c r="F95" s="64">
        <v>-1.3510338345865125E-3</v>
      </c>
      <c r="G95" s="64">
        <v>-0.12695076689174084</v>
      </c>
      <c r="H95" s="64">
        <v>-0.19134852216748766</v>
      </c>
      <c r="I95" s="65">
        <v>0.64308733349185154</v>
      </c>
      <c r="J95" s="65">
        <v>0.61531216014219847</v>
      </c>
      <c r="K95" s="65">
        <v>0.45645221695025462</v>
      </c>
      <c r="L95" s="65">
        <v>-0.13055430906581256</v>
      </c>
      <c r="M95" s="66">
        <v>0.169813896920783</v>
      </c>
      <c r="N95" s="64" t="e">
        <v>#DIV/0!</v>
      </c>
      <c r="O95" s="64" t="s">
        <v>200</v>
      </c>
      <c r="P95" s="66">
        <v>3.7483657261999999</v>
      </c>
      <c r="Q95" s="66">
        <v>1.0180116416</v>
      </c>
      <c r="R95" s="67">
        <v>1.87447842090618</v>
      </c>
      <c r="S95" s="64" t="s">
        <v>200</v>
      </c>
      <c r="T95" s="67">
        <v>0.44901158564517996</v>
      </c>
      <c r="U95" s="102">
        <v>61.092854708329803</v>
      </c>
      <c r="V95" s="67" t="s">
        <v>200</v>
      </c>
      <c r="W95" s="69">
        <v>2.756717800543615</v>
      </c>
      <c r="X95" s="67">
        <v>9.1503230509194502</v>
      </c>
      <c r="Y95" s="71" t="s">
        <v>120</v>
      </c>
    </row>
    <row r="96" spans="2:25" ht="9" customHeight="1" x14ac:dyDescent="0.25">
      <c r="F96" s="74"/>
      <c r="G96" s="74"/>
      <c r="H96" s="74"/>
      <c r="I96" s="33"/>
      <c r="J96" s="33"/>
      <c r="K96" s="33"/>
      <c r="L96" s="33"/>
      <c r="M96" s="24"/>
      <c r="N96" s="72"/>
      <c r="O96" s="72"/>
      <c r="P96" s="24"/>
      <c r="Q96" s="24"/>
      <c r="R96" s="73"/>
      <c r="S96" s="74"/>
      <c r="T96" s="73"/>
      <c r="U96" s="73"/>
      <c r="V96" s="73"/>
      <c r="W96" s="73"/>
      <c r="X96" s="73"/>
    </row>
    <row r="97" spans="2:25" x14ac:dyDescent="0.25">
      <c r="B97" s="50" t="s">
        <v>135</v>
      </c>
      <c r="C97" s="75"/>
      <c r="D97" s="75"/>
      <c r="E97" s="75"/>
      <c r="F97" s="80"/>
      <c r="G97" s="80"/>
      <c r="H97" s="80"/>
      <c r="I97" s="76"/>
      <c r="J97" s="76"/>
      <c r="K97" s="76"/>
      <c r="L97" s="76"/>
      <c r="M97" s="77"/>
      <c r="N97" s="78"/>
      <c r="O97" s="78"/>
      <c r="P97" s="77"/>
      <c r="Q97" s="77"/>
      <c r="R97" s="79"/>
      <c r="S97" s="80"/>
      <c r="T97" s="79"/>
      <c r="U97" s="79"/>
      <c r="V97" s="79"/>
      <c r="W97" s="79"/>
      <c r="X97" s="79"/>
      <c r="Y97" s="81"/>
    </row>
    <row r="98" spans="2:25" x14ac:dyDescent="0.25">
      <c r="B98" t="s">
        <v>56</v>
      </c>
      <c r="C98" s="52">
        <v>20</v>
      </c>
      <c r="D98" s="53">
        <v>38.799999999999997</v>
      </c>
      <c r="E98" s="53">
        <v>20</v>
      </c>
      <c r="F98" s="54">
        <v>0</v>
      </c>
      <c r="G98" s="54">
        <v>-0.34640522875816993</v>
      </c>
      <c r="H98" s="54">
        <v>-0.375</v>
      </c>
      <c r="I98" s="55">
        <v>0.70222878929023591</v>
      </c>
      <c r="J98" s="55">
        <v>0.62703656030807498</v>
      </c>
      <c r="K98" s="55">
        <v>0.4732037249574122</v>
      </c>
      <c r="L98" s="55">
        <v>2.1624219617861096E-2</v>
      </c>
      <c r="M98" s="57">
        <v>0.16730605720387801</v>
      </c>
      <c r="N98" s="54" t="s">
        <v>200</v>
      </c>
      <c r="O98" s="58" t="s">
        <v>200</v>
      </c>
      <c r="P98" s="57">
        <v>8.2361611398000001</v>
      </c>
      <c r="Q98" s="57">
        <v>0.8705411099999959</v>
      </c>
      <c r="R98" s="59">
        <v>0.18740250592096599</v>
      </c>
      <c r="S98" s="54" t="s">
        <v>200</v>
      </c>
      <c r="T98" s="59">
        <v>9.7734035548659004E-2</v>
      </c>
      <c r="U98" s="59">
        <v>1.62353080609116</v>
      </c>
      <c r="V98" s="59" t="s">
        <v>200</v>
      </c>
      <c r="W98" s="59">
        <v>0.47501865444974101</v>
      </c>
      <c r="X98" s="59">
        <v>1.10276423930038</v>
      </c>
      <c r="Y98" s="60" t="s">
        <v>56</v>
      </c>
    </row>
    <row r="99" spans="2:25" x14ac:dyDescent="0.25">
      <c r="B99" t="s">
        <v>21</v>
      </c>
      <c r="C99" s="52">
        <v>33.6</v>
      </c>
      <c r="D99" s="53">
        <v>64.5</v>
      </c>
      <c r="E99" s="53">
        <v>29.15</v>
      </c>
      <c r="F99" s="54">
        <v>-3.7249283667621702E-2</v>
      </c>
      <c r="G99" s="54">
        <v>-0.13956466069142115</v>
      </c>
      <c r="H99" s="54">
        <v>-0.32530120481927705</v>
      </c>
      <c r="I99" s="55">
        <v>0.73418535408525598</v>
      </c>
      <c r="J99" s="55">
        <v>0.63304534750914299</v>
      </c>
      <c r="K99" s="55">
        <v>0.51460982794111954</v>
      </c>
      <c r="L99" s="55">
        <v>3.6671079552735186E-2</v>
      </c>
      <c r="M99" s="57">
        <v>1.1390859331776</v>
      </c>
      <c r="N99" s="54" t="s">
        <v>200</v>
      </c>
      <c r="O99" s="58" t="s">
        <v>200</v>
      </c>
      <c r="P99" s="57">
        <v>71.331958260800008</v>
      </c>
      <c r="Q99" s="57">
        <v>166.5817760411</v>
      </c>
      <c r="R99" s="59">
        <v>2.9362412712372001</v>
      </c>
      <c r="S99" s="54" t="s">
        <v>200</v>
      </c>
      <c r="T99" s="59">
        <v>0.395875009190025</v>
      </c>
      <c r="U99" s="59">
        <v>1.3656722433573201</v>
      </c>
      <c r="V99" s="59">
        <v>5.9454855195911396</v>
      </c>
      <c r="W99" s="59">
        <v>0.56460622297367002</v>
      </c>
      <c r="X99" s="59">
        <v>1.7539038539706799</v>
      </c>
      <c r="Y99" s="60" t="s">
        <v>21</v>
      </c>
    </row>
    <row r="100" spans="2:25" x14ac:dyDescent="0.25">
      <c r="B100" t="s">
        <v>46</v>
      </c>
      <c r="C100" s="52">
        <v>13.6</v>
      </c>
      <c r="D100" s="53">
        <v>51</v>
      </c>
      <c r="E100" s="53">
        <v>11.9</v>
      </c>
      <c r="F100" s="54">
        <v>1.4925373134328401E-2</v>
      </c>
      <c r="G100" s="54">
        <v>-0.28042328042328035</v>
      </c>
      <c r="H100" s="54">
        <v>-0.43451143451143459</v>
      </c>
      <c r="I100" s="55">
        <v>0.746921783950523</v>
      </c>
      <c r="J100" s="55">
        <v>0.7780839162067571</v>
      </c>
      <c r="K100" s="55">
        <v>0.6049163221198367</v>
      </c>
      <c r="L100" s="55">
        <v>-1.519330304006028E-2</v>
      </c>
      <c r="M100" s="57">
        <v>1.1607893128987401</v>
      </c>
      <c r="N100" s="54" t="s">
        <v>200</v>
      </c>
      <c r="O100" s="58" t="s">
        <v>200</v>
      </c>
      <c r="P100" s="57">
        <v>16.134900779999999</v>
      </c>
      <c r="Q100" s="57">
        <v>14.929848159000001</v>
      </c>
      <c r="R100" s="59">
        <v>1.8191480572507399</v>
      </c>
      <c r="S100" s="54" t="s">
        <v>200</v>
      </c>
      <c r="T100" s="59">
        <v>6.9277435145238001E-2</v>
      </c>
      <c r="U100" s="59">
        <v>0.80433476412882998</v>
      </c>
      <c r="V100" s="59">
        <v>3.4447300771208198</v>
      </c>
      <c r="W100" s="59">
        <v>0.21516999982767901</v>
      </c>
      <c r="X100" s="59">
        <v>1.3905027577183</v>
      </c>
      <c r="Y100" s="60" t="s">
        <v>46</v>
      </c>
    </row>
    <row r="101" spans="2:25" x14ac:dyDescent="0.25">
      <c r="B101" t="s">
        <v>50</v>
      </c>
      <c r="C101" s="52">
        <v>15.65</v>
      </c>
      <c r="D101" s="53">
        <v>47.7</v>
      </c>
      <c r="E101" s="53">
        <v>14.85</v>
      </c>
      <c r="F101" s="54">
        <v>-9.493670886076E-3</v>
      </c>
      <c r="G101" s="54">
        <v>-0.31208791208791209</v>
      </c>
      <c r="H101" s="54">
        <v>-0.39807692307692311</v>
      </c>
      <c r="I101" s="55">
        <v>0.86964078665558309</v>
      </c>
      <c r="J101" s="55">
        <v>0.73350331744577402</v>
      </c>
      <c r="K101" s="55">
        <v>0.57548328997668097</v>
      </c>
      <c r="L101" s="55">
        <v>5.6407180486637731E-2</v>
      </c>
      <c r="M101" s="57">
        <v>1.06847250703226</v>
      </c>
      <c r="N101" s="54" t="s">
        <v>200</v>
      </c>
      <c r="O101" s="58" t="s">
        <v>200</v>
      </c>
      <c r="P101" s="57">
        <v>8.7823074512500003</v>
      </c>
      <c r="Q101" s="57">
        <v>4.8518733226000004</v>
      </c>
      <c r="R101" s="59">
        <v>0.53793062294369398</v>
      </c>
      <c r="S101" s="54">
        <v>0.21199052510126598</v>
      </c>
      <c r="T101" s="59">
        <v>0.23776572099246501</v>
      </c>
      <c r="U101" s="59">
        <v>1.7631272073962101</v>
      </c>
      <c r="V101" s="59">
        <v>1.36694282372321</v>
      </c>
      <c r="W101" s="59">
        <v>0.41282437345956302</v>
      </c>
      <c r="X101" s="59">
        <v>0.55195068138807002</v>
      </c>
      <c r="Y101" s="60" t="s">
        <v>50</v>
      </c>
    </row>
    <row r="102" spans="2:25" x14ac:dyDescent="0.25">
      <c r="B102" t="s">
        <v>31</v>
      </c>
      <c r="C102" s="52">
        <v>11.8</v>
      </c>
      <c r="D102" s="53">
        <v>24.8</v>
      </c>
      <c r="E102" s="53">
        <v>10.1</v>
      </c>
      <c r="F102" s="54">
        <v>-3.2786885245901565E-2</v>
      </c>
      <c r="G102" s="54">
        <v>-0.23376623376623373</v>
      </c>
      <c r="H102" s="54">
        <v>-0.27160493827160481</v>
      </c>
      <c r="I102" s="55">
        <v>0.55460113519988496</v>
      </c>
      <c r="J102" s="55">
        <v>0.52380890286321902</v>
      </c>
      <c r="K102" s="55">
        <v>0.64856063898872462</v>
      </c>
      <c r="L102" s="55">
        <v>2.9341212741599954E-2</v>
      </c>
      <c r="M102" s="57">
        <v>0.91314173396361598</v>
      </c>
      <c r="N102" s="54" t="s">
        <v>200</v>
      </c>
      <c r="O102" s="58" t="s">
        <v>200</v>
      </c>
      <c r="P102" s="57">
        <v>7.7478337309</v>
      </c>
      <c r="Q102" s="57">
        <v>11.8202724824</v>
      </c>
      <c r="R102" s="59">
        <v>1.40158115132613</v>
      </c>
      <c r="S102" s="54" t="s">
        <v>200</v>
      </c>
      <c r="T102" s="59">
        <v>5.6455008523490002E-2</v>
      </c>
      <c r="U102" s="59">
        <v>6.2202054707216998</v>
      </c>
      <c r="V102" s="59" t="s">
        <v>200</v>
      </c>
      <c r="W102" s="59">
        <v>0.33983677583583499</v>
      </c>
      <c r="X102" s="59">
        <v>0.34303579305815601</v>
      </c>
      <c r="Y102" s="60" t="s">
        <v>31</v>
      </c>
    </row>
    <row r="103" spans="2:25" x14ac:dyDescent="0.25">
      <c r="B103" t="s">
        <v>62</v>
      </c>
      <c r="C103" s="52">
        <v>12.5</v>
      </c>
      <c r="D103" s="53">
        <v>32.25</v>
      </c>
      <c r="E103" s="53">
        <v>12</v>
      </c>
      <c r="F103" s="54">
        <v>2.4590163934426368E-2</v>
      </c>
      <c r="G103" s="54">
        <v>-0.38271604938271608</v>
      </c>
      <c r="H103" s="54">
        <v>-0.47698744769874479</v>
      </c>
      <c r="I103" s="55">
        <v>0.86975629453288505</v>
      </c>
      <c r="J103" s="55">
        <v>0.70789258534803201</v>
      </c>
      <c r="K103" s="55">
        <v>0.56636394746766838</v>
      </c>
      <c r="L103" s="55">
        <v>-2.9925350911873538E-3</v>
      </c>
      <c r="M103" s="57">
        <v>0.87254175623500896</v>
      </c>
      <c r="N103" s="54" t="s">
        <v>200</v>
      </c>
      <c r="O103" s="58" t="s">
        <v>200</v>
      </c>
      <c r="P103" s="57">
        <v>5.3158327315500005</v>
      </c>
      <c r="Q103" s="57">
        <v>3.6915222578</v>
      </c>
      <c r="R103" s="59">
        <v>0.37500341927884201</v>
      </c>
      <c r="S103" s="54" t="s">
        <v>200</v>
      </c>
      <c r="T103" s="59">
        <v>0.13421284902768901</v>
      </c>
      <c r="U103" s="59">
        <v>1.3898881548826001</v>
      </c>
      <c r="V103" s="59" t="s">
        <v>200</v>
      </c>
      <c r="W103" s="59">
        <v>0.95775636998129798</v>
      </c>
      <c r="X103" s="59">
        <v>2.75486911727138</v>
      </c>
      <c r="Y103" s="60" t="s">
        <v>62</v>
      </c>
    </row>
    <row r="104" spans="2:25" x14ac:dyDescent="0.25">
      <c r="B104" t="s">
        <v>37</v>
      </c>
      <c r="C104" s="52">
        <v>45</v>
      </c>
      <c r="D104" s="53">
        <v>78</v>
      </c>
      <c r="E104" s="53">
        <v>42</v>
      </c>
      <c r="F104" s="54">
        <v>0</v>
      </c>
      <c r="G104" s="54">
        <v>-0.25</v>
      </c>
      <c r="H104" s="54">
        <v>-0.38775510204081631</v>
      </c>
      <c r="I104" s="55">
        <v>0.73128992338269794</v>
      </c>
      <c r="J104" s="55">
        <v>0.58918522896227599</v>
      </c>
      <c r="K104" s="55">
        <v>0.54807314098299686</v>
      </c>
      <c r="L104" s="55">
        <v>1.7201746534563078E-2</v>
      </c>
      <c r="M104" s="57">
        <v>0.80789531144717897</v>
      </c>
      <c r="N104" s="54" t="s">
        <v>200</v>
      </c>
      <c r="O104" s="58" t="s">
        <v>200</v>
      </c>
      <c r="P104" s="57">
        <v>9.3676988922</v>
      </c>
      <c r="Q104" s="57">
        <v>16.17624369</v>
      </c>
      <c r="R104" s="59">
        <v>1.94383788160432</v>
      </c>
      <c r="S104" s="54" t="s">
        <v>200</v>
      </c>
      <c r="T104" s="59">
        <v>0.47674646849129498</v>
      </c>
      <c r="U104" s="59">
        <v>3.22056581763009</v>
      </c>
      <c r="V104" s="59" t="s">
        <v>200</v>
      </c>
      <c r="W104" s="59">
        <v>0.49570578179466501</v>
      </c>
      <c r="X104" s="59">
        <v>3.1974172380925299</v>
      </c>
      <c r="Y104" s="60" t="s">
        <v>37</v>
      </c>
    </row>
    <row r="105" spans="2:25" x14ac:dyDescent="0.25">
      <c r="B105" t="s">
        <v>51</v>
      </c>
      <c r="C105" s="52">
        <v>12.8</v>
      </c>
      <c r="D105" s="53">
        <v>39</v>
      </c>
      <c r="E105" s="53">
        <v>11</v>
      </c>
      <c r="F105" s="54">
        <v>4.0650406504064929E-2</v>
      </c>
      <c r="G105" s="54">
        <v>-0.31550802139037426</v>
      </c>
      <c r="H105" s="54">
        <v>-0.47755102040816322</v>
      </c>
      <c r="I105" s="55">
        <v>0.63456928631778997</v>
      </c>
      <c r="J105" s="55">
        <v>0.60337722540837102</v>
      </c>
      <c r="K105" s="55">
        <v>0.53928156425283857</v>
      </c>
      <c r="L105" s="55">
        <v>-2.0789810731535852E-2</v>
      </c>
      <c r="M105" s="57">
        <v>0.94665089375532596</v>
      </c>
      <c r="N105" s="54" t="s">
        <v>200</v>
      </c>
      <c r="O105" s="58" t="s">
        <v>200</v>
      </c>
      <c r="P105" s="57">
        <v>2.9644463691999996</v>
      </c>
      <c r="Q105" s="57">
        <v>0.31393712459999901</v>
      </c>
      <c r="R105" s="59">
        <v>0.13006786203913501</v>
      </c>
      <c r="S105" s="54" t="s">
        <v>200</v>
      </c>
      <c r="T105" s="59">
        <v>7.2887181747161994E-2</v>
      </c>
      <c r="U105" s="59">
        <v>1.9915867603198201</v>
      </c>
      <c r="V105" s="59" t="s">
        <v>200</v>
      </c>
      <c r="W105" s="59">
        <v>0.29730179791501998</v>
      </c>
      <c r="X105" s="59">
        <v>0.94930272581998698</v>
      </c>
      <c r="Y105" s="60" t="s">
        <v>51</v>
      </c>
    </row>
    <row r="106" spans="2:25" x14ac:dyDescent="0.25">
      <c r="B106" t="s">
        <v>45</v>
      </c>
      <c r="C106" s="52">
        <v>18.399999999999999</v>
      </c>
      <c r="D106" s="53">
        <v>41.269698900000002</v>
      </c>
      <c r="E106" s="53">
        <v>14.97612005</v>
      </c>
      <c r="F106" s="54">
        <v>3.9548022598870025E-2</v>
      </c>
      <c r="G106" s="54">
        <v>-0.29770992366412219</v>
      </c>
      <c r="H106" s="54">
        <v>-0.48459383753501406</v>
      </c>
      <c r="I106" s="55">
        <v>0.86074263818050101</v>
      </c>
      <c r="J106" s="55">
        <v>0.773539014402708</v>
      </c>
      <c r="K106" s="55">
        <v>0.49598212651850765</v>
      </c>
      <c r="L106" s="55">
        <v>7.8351320201976771E-2</v>
      </c>
      <c r="M106" s="57">
        <v>1.1401755690705899</v>
      </c>
      <c r="N106" s="54" t="s">
        <v>200</v>
      </c>
      <c r="O106" s="58" t="s">
        <v>200</v>
      </c>
      <c r="P106" s="57">
        <v>26.7981939312</v>
      </c>
      <c r="Q106" s="57">
        <v>57.109481931199994</v>
      </c>
      <c r="R106" s="59">
        <v>3.19482273642434</v>
      </c>
      <c r="S106" s="54">
        <v>4.0112994350282503E-2</v>
      </c>
      <c r="T106" s="59">
        <v>0.74520605366112302</v>
      </c>
      <c r="U106" s="59">
        <v>3.02456562453008</v>
      </c>
      <c r="V106" s="59">
        <v>3.4038461538461502</v>
      </c>
      <c r="W106" s="59">
        <v>0.45918708336908198</v>
      </c>
      <c r="X106" s="59">
        <v>2.3763188067096199</v>
      </c>
      <c r="Y106" s="60" t="s">
        <v>45</v>
      </c>
    </row>
    <row r="107" spans="2:25" x14ac:dyDescent="0.25">
      <c r="B107" t="s">
        <v>30</v>
      </c>
      <c r="C107" s="52">
        <v>7.45</v>
      </c>
      <c r="D107" s="53">
        <v>15</v>
      </c>
      <c r="E107" s="53">
        <v>4.5576404500000001</v>
      </c>
      <c r="F107" s="54">
        <v>-2.6143790849673221E-2</v>
      </c>
      <c r="G107" s="54">
        <v>-0.22233820459290188</v>
      </c>
      <c r="H107" s="54">
        <v>-0.46402877697841727</v>
      </c>
      <c r="I107" s="55">
        <v>0.94980696306355694</v>
      </c>
      <c r="J107" s="55">
        <v>0.68518954319521597</v>
      </c>
      <c r="K107" s="55">
        <v>0.61187337064207525</v>
      </c>
      <c r="L107" s="55">
        <v>-0.11752291583679964</v>
      </c>
      <c r="M107" s="57">
        <v>0.83312806265696004</v>
      </c>
      <c r="N107" s="54" t="s">
        <v>200</v>
      </c>
      <c r="O107" s="58" t="s">
        <v>200</v>
      </c>
      <c r="P107" s="57">
        <v>6.3529948208999993</v>
      </c>
      <c r="Q107" s="57">
        <v>6.4039746416999996</v>
      </c>
      <c r="R107" s="59">
        <v>1.0019139262819901</v>
      </c>
      <c r="S107" s="54">
        <v>0.372424838823529</v>
      </c>
      <c r="T107" s="59">
        <v>0.42021465075127001</v>
      </c>
      <c r="U107" s="59">
        <v>1.31453011133125</v>
      </c>
      <c r="V107" s="59" t="s">
        <v>200</v>
      </c>
      <c r="W107" s="59">
        <v>0.55145837194160496</v>
      </c>
      <c r="X107" s="59">
        <v>0.974003983447156</v>
      </c>
      <c r="Y107" s="60" t="s">
        <v>30</v>
      </c>
    </row>
    <row r="108" spans="2:25" x14ac:dyDescent="0.25">
      <c r="B108" s="62" t="s">
        <v>119</v>
      </c>
      <c r="C108" s="63"/>
      <c r="D108" s="63"/>
      <c r="E108" s="63"/>
      <c r="F108" s="64">
        <v>1.4040335522417235E-3</v>
      </c>
      <c r="G108" s="64">
        <v>-0.27805195147571315</v>
      </c>
      <c r="H108" s="64">
        <v>-0.40954106853403954</v>
      </c>
      <c r="I108" s="65">
        <v>0.76537429546589131</v>
      </c>
      <c r="J108" s="65">
        <v>0.66546616416495719</v>
      </c>
      <c r="K108" s="65">
        <v>0.55783479538478609</v>
      </c>
      <c r="L108" s="65">
        <v>8.3098194435790688E-3</v>
      </c>
      <c r="M108" s="66">
        <v>0.90491871374411592</v>
      </c>
      <c r="N108" s="64" t="e">
        <v>#DIV/0!</v>
      </c>
      <c r="O108" s="64" t="s">
        <v>200</v>
      </c>
      <c r="P108" s="66">
        <v>16.303232810779999</v>
      </c>
      <c r="Q108" s="66">
        <v>28.27494707604</v>
      </c>
      <c r="R108" s="67">
        <v>1.352794943430736</v>
      </c>
      <c r="S108" s="64">
        <v>0.20817611942502581</v>
      </c>
      <c r="T108" s="67">
        <v>0.27063744130784156</v>
      </c>
      <c r="U108" s="67">
        <v>2.2718006960389063</v>
      </c>
      <c r="V108" s="67">
        <v>3.5402511435703299</v>
      </c>
      <c r="W108" s="69">
        <v>0.47688654315481582</v>
      </c>
      <c r="X108" s="67">
        <v>1.5394069196776259</v>
      </c>
      <c r="Y108" s="71" t="s">
        <v>120</v>
      </c>
    </row>
    <row r="109" spans="2:25" ht="7.5" customHeight="1" x14ac:dyDescent="0.25">
      <c r="F109" s="74"/>
      <c r="G109" s="74"/>
      <c r="H109" s="74"/>
      <c r="I109" s="33"/>
      <c r="J109" s="33"/>
      <c r="K109" s="33"/>
      <c r="L109" s="33"/>
      <c r="M109" s="24"/>
      <c r="N109" s="72"/>
      <c r="O109" s="72"/>
      <c r="P109" s="24"/>
      <c r="Q109" s="24"/>
      <c r="R109" s="73"/>
      <c r="S109" s="74"/>
      <c r="T109" s="73"/>
      <c r="U109" s="73"/>
      <c r="V109" s="73"/>
      <c r="W109" s="73"/>
      <c r="X109" s="73"/>
    </row>
    <row r="110" spans="2:25" x14ac:dyDescent="0.25">
      <c r="B110" s="50" t="s">
        <v>136</v>
      </c>
      <c r="C110" s="75"/>
      <c r="D110" s="75"/>
      <c r="E110" s="75"/>
      <c r="F110" s="80"/>
      <c r="G110" s="80"/>
      <c r="H110" s="80"/>
      <c r="I110" s="76"/>
      <c r="J110" s="76"/>
      <c r="K110" s="76"/>
      <c r="L110" s="76"/>
      <c r="M110" s="77"/>
      <c r="N110" s="78"/>
      <c r="O110" s="78"/>
      <c r="P110" s="77"/>
      <c r="Q110" s="77"/>
      <c r="R110" s="79"/>
      <c r="S110" s="80"/>
      <c r="T110" s="79"/>
      <c r="U110" s="79"/>
      <c r="V110" s="79"/>
      <c r="W110" s="79"/>
      <c r="X110" s="79"/>
      <c r="Y110" s="81"/>
    </row>
    <row r="111" spans="2:25" x14ac:dyDescent="0.25">
      <c r="B111" t="s">
        <v>76</v>
      </c>
      <c r="C111" s="52">
        <v>2.2999999999999998</v>
      </c>
      <c r="D111" s="53">
        <v>5.69</v>
      </c>
      <c r="E111" s="53">
        <v>2.15</v>
      </c>
      <c r="F111" s="54">
        <v>0</v>
      </c>
      <c r="G111" s="54">
        <v>-0.45626477541371169</v>
      </c>
      <c r="H111" s="54">
        <v>-0.41772151898734189</v>
      </c>
      <c r="I111" s="55">
        <v>0.86348150585924399</v>
      </c>
      <c r="J111" s="55">
        <v>0.74462900098323503</v>
      </c>
      <c r="K111" s="55">
        <v>0.5164095635521192</v>
      </c>
      <c r="L111" s="55">
        <v>-1.7107644792714871E-2</v>
      </c>
      <c r="M111" s="57">
        <v>0.66329643726986298</v>
      </c>
      <c r="N111" s="54" t="s">
        <v>200</v>
      </c>
      <c r="O111" s="58" t="s">
        <v>200</v>
      </c>
      <c r="P111" s="57">
        <v>3.7875000000000001</v>
      </c>
      <c r="Q111" s="57">
        <v>3.5954860599999998</v>
      </c>
      <c r="R111" s="59">
        <v>9.5781775051093803</v>
      </c>
      <c r="S111" s="54">
        <v>1.9181582608695701E-2</v>
      </c>
      <c r="T111" s="59">
        <v>1.52933932873464</v>
      </c>
      <c r="U111" s="59">
        <v>31.825100318251</v>
      </c>
      <c r="V111" s="59" t="s">
        <v>200</v>
      </c>
      <c r="W111" s="59">
        <v>0.72090812859647002</v>
      </c>
      <c r="X111" s="59" t="s">
        <v>200</v>
      </c>
      <c r="Y111" s="60" t="s">
        <v>76</v>
      </c>
    </row>
    <row r="112" spans="2:25" x14ac:dyDescent="0.25">
      <c r="B112" s="62" t="s">
        <v>119</v>
      </c>
      <c r="C112" s="63"/>
      <c r="D112" s="63"/>
      <c r="E112" s="63"/>
      <c r="F112" s="64">
        <v>0</v>
      </c>
      <c r="G112" s="64">
        <v>-0.45626477541371169</v>
      </c>
      <c r="H112" s="64">
        <v>-0.41772151898734189</v>
      </c>
      <c r="I112" s="65">
        <v>0.86348150585924399</v>
      </c>
      <c r="J112" s="65">
        <v>0.74462900098323503</v>
      </c>
      <c r="K112" s="65">
        <v>0.5164095635521192</v>
      </c>
      <c r="L112" s="65">
        <v>-1.7107644792714871E-2</v>
      </c>
      <c r="M112" s="66">
        <v>0.66329643726986298</v>
      </c>
      <c r="N112" s="64" t="e">
        <v>#DIV/0!</v>
      </c>
      <c r="O112" s="64" t="s">
        <v>200</v>
      </c>
      <c r="P112" s="66">
        <v>3.7875000000000001</v>
      </c>
      <c r="Q112" s="66">
        <v>3.5954860599999998</v>
      </c>
      <c r="R112" s="67">
        <v>9.5781775051093803</v>
      </c>
      <c r="S112" s="64">
        <v>1.9181582608695701E-2</v>
      </c>
      <c r="T112" s="67">
        <v>1.52933932873464</v>
      </c>
      <c r="U112" s="67">
        <v>31.825100318251</v>
      </c>
      <c r="V112" s="67" t="s">
        <v>200</v>
      </c>
      <c r="W112" s="69">
        <v>0.72090812859647002</v>
      </c>
      <c r="X112" s="67" t="s">
        <v>200</v>
      </c>
      <c r="Y112" s="71" t="s">
        <v>120</v>
      </c>
    </row>
    <row r="113" spans="2:25" ht="9" customHeight="1" x14ac:dyDescent="0.25">
      <c r="F113" s="74"/>
      <c r="G113" s="74"/>
      <c r="H113" s="74"/>
      <c r="I113" s="33"/>
      <c r="J113" s="33"/>
      <c r="K113" s="33"/>
      <c r="L113" s="33"/>
      <c r="M113" s="24"/>
      <c r="N113" s="72"/>
      <c r="O113" s="72"/>
      <c r="P113" s="24"/>
      <c r="Q113" s="24"/>
      <c r="R113" s="73"/>
      <c r="S113" s="74"/>
      <c r="T113" s="73"/>
      <c r="U113" s="73"/>
      <c r="V113" s="73"/>
      <c r="W113" s="73"/>
      <c r="X113" s="73"/>
    </row>
    <row r="114" spans="2:25" x14ac:dyDescent="0.25">
      <c r="B114" s="50" t="s">
        <v>137</v>
      </c>
      <c r="C114" s="75"/>
      <c r="D114" s="75"/>
      <c r="E114" s="75"/>
      <c r="F114" s="80"/>
      <c r="G114" s="80"/>
      <c r="H114" s="80"/>
      <c r="I114" s="76"/>
      <c r="J114" s="76"/>
      <c r="K114" s="76"/>
      <c r="L114" s="76"/>
      <c r="M114" s="77"/>
      <c r="N114" s="78"/>
      <c r="O114" s="78"/>
      <c r="P114" s="77"/>
      <c r="Q114" s="77"/>
      <c r="R114" s="79"/>
      <c r="S114" s="80"/>
      <c r="T114" s="79"/>
      <c r="U114" s="79"/>
      <c r="V114" s="79"/>
      <c r="W114" s="79"/>
      <c r="X114" s="79"/>
      <c r="Y114" s="81"/>
    </row>
    <row r="115" spans="2:25" hidden="1" x14ac:dyDescent="0.25">
      <c r="B115" t="s">
        <v>301</v>
      </c>
      <c r="C115" s="52" t="e">
        <v>#NAME?</v>
      </c>
      <c r="D115" s="53" t="e">
        <v>#NAME?</v>
      </c>
      <c r="E115" s="53">
        <v>230</v>
      </c>
      <c r="F115" s="54" t="s">
        <v>200</v>
      </c>
      <c r="G115" s="54" t="s">
        <v>200</v>
      </c>
      <c r="H115" s="54" t="s">
        <v>200</v>
      </c>
      <c r="I115" s="55" t="s">
        <v>200</v>
      </c>
      <c r="J115" s="55">
        <v>0.34103852627881898</v>
      </c>
      <c r="K115" s="55" t="s">
        <v>200</v>
      </c>
      <c r="L115" s="55" t="s">
        <v>200</v>
      </c>
      <c r="M115" s="57">
        <v>8.7141414266572001E-2</v>
      </c>
      <c r="N115" s="54" t="s">
        <v>200</v>
      </c>
      <c r="O115" s="58" t="s">
        <v>200</v>
      </c>
      <c r="P115" s="57">
        <v>1692.0652468997</v>
      </c>
      <c r="Q115" s="57">
        <v>80.229988734957999</v>
      </c>
      <c r="R115" s="59">
        <v>5.2506537130208102</v>
      </c>
      <c r="S115" s="54">
        <v>5.2627617759482499E-2</v>
      </c>
      <c r="T115" s="59">
        <v>0.49892587532439803</v>
      </c>
      <c r="U115" s="59">
        <v>33.421922137623902</v>
      </c>
      <c r="V115" s="59">
        <v>11.840999086236801</v>
      </c>
      <c r="W115" s="59">
        <v>1.39023774912139</v>
      </c>
      <c r="X115" s="59">
        <v>1.6100625614767099</v>
      </c>
      <c r="Y115" s="60" t="s">
        <v>301</v>
      </c>
    </row>
    <row r="116" spans="2:25" x14ac:dyDescent="0.25">
      <c r="B116" t="s">
        <v>41</v>
      </c>
      <c r="C116" s="52">
        <v>142.55000000000001</v>
      </c>
      <c r="D116" s="53">
        <v>218.55</v>
      </c>
      <c r="E116" s="53">
        <v>92.147444969999995</v>
      </c>
      <c r="F116" s="54">
        <v>4.8547260022067107E-2</v>
      </c>
      <c r="G116" s="54">
        <v>-0.26425806451612899</v>
      </c>
      <c r="H116" s="54">
        <v>-0.16539812646370022</v>
      </c>
      <c r="I116" s="55">
        <v>0.77834971002806197</v>
      </c>
      <c r="J116" s="55">
        <v>0.57106953476786604</v>
      </c>
      <c r="K116" s="55">
        <v>0.42105887226531752</v>
      </c>
      <c r="L116" s="55">
        <v>4.4868178166752148E-2</v>
      </c>
      <c r="M116" s="57">
        <v>0.63439628048071395</v>
      </c>
      <c r="N116" s="54" t="s">
        <v>200</v>
      </c>
      <c r="O116" s="58" t="s">
        <v>200</v>
      </c>
      <c r="P116" s="57">
        <v>415.77992891279996</v>
      </c>
      <c r="Q116" s="57">
        <v>212.54561162125</v>
      </c>
      <c r="R116" s="59">
        <v>2.63413366904101</v>
      </c>
      <c r="S116" s="54">
        <v>9.5997761675616092E-2</v>
      </c>
      <c r="T116" s="59">
        <v>0.36023192428298401</v>
      </c>
      <c r="U116" s="59">
        <v>67.118382052728506</v>
      </c>
      <c r="V116" s="59" t="s">
        <v>200</v>
      </c>
      <c r="W116" s="59">
        <v>0.65499177321711699</v>
      </c>
      <c r="X116" s="59">
        <v>1.04211504059719</v>
      </c>
      <c r="Y116" s="60" t="s">
        <v>41</v>
      </c>
    </row>
    <row r="117" spans="2:25" x14ac:dyDescent="0.25">
      <c r="B117" t="s">
        <v>43</v>
      </c>
      <c r="C117" s="52">
        <v>229.5</v>
      </c>
      <c r="D117" s="53">
        <v>444.5</v>
      </c>
      <c r="E117" s="53">
        <v>128</v>
      </c>
      <c r="F117" s="54">
        <v>6.5789473684210176E-3</v>
      </c>
      <c r="G117" s="54">
        <v>-0.27716535433070866</v>
      </c>
      <c r="H117" s="54">
        <v>-0.24754098360655741</v>
      </c>
      <c r="I117" s="55">
        <v>0.81532532251891199</v>
      </c>
      <c r="J117" s="55">
        <v>0.6864497366267911</v>
      </c>
      <c r="K117" s="55" t="s">
        <v>200</v>
      </c>
      <c r="L117" s="55" t="s">
        <v>200</v>
      </c>
      <c r="M117" s="57">
        <v>0.81757364268725996</v>
      </c>
      <c r="N117" s="54" t="s">
        <v>200</v>
      </c>
      <c r="O117" s="58" t="s">
        <v>200</v>
      </c>
      <c r="P117" s="57">
        <v>50.399279819999997</v>
      </c>
      <c r="Q117" s="57">
        <v>324.92718669599998</v>
      </c>
      <c r="R117" s="59">
        <v>4.0178952231482601</v>
      </c>
      <c r="S117" s="54" t="s">
        <v>200</v>
      </c>
      <c r="T117" s="59">
        <v>0.116495319866343</v>
      </c>
      <c r="U117" s="59">
        <v>37.868078361335598</v>
      </c>
      <c r="V117" s="59" t="s">
        <v>200</v>
      </c>
      <c r="W117" s="59">
        <v>0.32935480723862798</v>
      </c>
      <c r="X117" s="59">
        <v>0.33837220072791402</v>
      </c>
      <c r="Y117" s="60" t="s">
        <v>43</v>
      </c>
    </row>
    <row r="118" spans="2:25" x14ac:dyDescent="0.25">
      <c r="B118" t="s">
        <v>16</v>
      </c>
      <c r="C118" s="52">
        <v>30.95</v>
      </c>
      <c r="D118" s="53">
        <v>49.9</v>
      </c>
      <c r="E118" s="53">
        <v>21</v>
      </c>
      <c r="F118" s="54">
        <v>-1.612903225806428E-3</v>
      </c>
      <c r="G118" s="54">
        <v>-8.9705882352941191E-2</v>
      </c>
      <c r="H118" s="54">
        <v>-6.4954682779456263E-2</v>
      </c>
      <c r="I118" s="55">
        <v>0.60056288433860805</v>
      </c>
      <c r="J118" s="55">
        <v>0.68660454310766894</v>
      </c>
      <c r="K118" s="55">
        <v>0.50170071954385898</v>
      </c>
      <c r="L118" s="55">
        <v>1.2963768669854714E-2</v>
      </c>
      <c r="M118" s="57">
        <v>0.52154291452984003</v>
      </c>
      <c r="N118" s="54" t="s">
        <v>200</v>
      </c>
      <c r="O118" s="58" t="s">
        <v>200</v>
      </c>
      <c r="P118" s="57">
        <v>3.4168321279999998</v>
      </c>
      <c r="Q118" s="57">
        <v>1.9139720739999999</v>
      </c>
      <c r="R118" s="59">
        <v>1.35195475024779</v>
      </c>
      <c r="S118" s="54" t="s">
        <v>200</v>
      </c>
      <c r="T118" s="59">
        <v>8.4445314231948995E-2</v>
      </c>
      <c r="U118" s="59" t="s">
        <v>200</v>
      </c>
      <c r="V118" s="59">
        <v>27.192982456140399</v>
      </c>
      <c r="W118" s="59">
        <v>0.33415535573444399</v>
      </c>
      <c r="X118" s="59">
        <v>2.55892528351839</v>
      </c>
      <c r="Y118" s="60" t="s">
        <v>16</v>
      </c>
    </row>
    <row r="119" spans="2:25" x14ac:dyDescent="0.25">
      <c r="B119" s="103" t="s">
        <v>119</v>
      </c>
      <c r="C119" s="104"/>
      <c r="D119" s="104"/>
      <c r="E119" s="104"/>
      <c r="F119" s="105">
        <v>1.7837768054893899E-2</v>
      </c>
      <c r="G119" s="105">
        <v>-0.21037643373325962</v>
      </c>
      <c r="H119" s="105">
        <v>-0.15929793094990463</v>
      </c>
      <c r="I119" s="106">
        <v>0.7314126389618606</v>
      </c>
      <c r="J119" s="106">
        <v>0.5712905851952863</v>
      </c>
      <c r="K119" s="106">
        <v>0.46137979590458822</v>
      </c>
      <c r="L119" s="106">
        <v>2.8915973418303431E-2</v>
      </c>
      <c r="M119" s="107">
        <v>0.51516356299109645</v>
      </c>
      <c r="N119" s="106" t="e">
        <v>#DIV/0!</v>
      </c>
      <c r="O119" s="105" t="s">
        <v>200</v>
      </c>
      <c r="P119" s="107">
        <v>540.41532194012507</v>
      </c>
      <c r="Q119" s="107">
        <v>154.90418978155196</v>
      </c>
      <c r="R119" s="108">
        <v>3.3136593388644675</v>
      </c>
      <c r="S119" s="105">
        <v>7.4312689717549299E-2</v>
      </c>
      <c r="T119" s="108">
        <v>0.26502460842641851</v>
      </c>
      <c r="U119" s="108">
        <v>46.136127517229333</v>
      </c>
      <c r="V119" s="108">
        <v>19.516990771188599</v>
      </c>
      <c r="W119" s="109">
        <v>0.67718492132789476</v>
      </c>
      <c r="X119" s="108">
        <v>1.3873687715800509</v>
      </c>
      <c r="Y119" s="110" t="s">
        <v>120</v>
      </c>
    </row>
    <row r="120" spans="2:25" x14ac:dyDescent="0.25">
      <c r="B120" s="111" t="s">
        <v>138</v>
      </c>
      <c r="C120" s="112" t="e">
        <v>#NAME?</v>
      </c>
      <c r="D120" s="52">
        <v>44470.76</v>
      </c>
      <c r="E120" s="52">
        <v>21738.62</v>
      </c>
      <c r="F120" s="54" t="s">
        <v>200</v>
      </c>
      <c r="G120" s="54" t="s">
        <v>200</v>
      </c>
      <c r="H120" s="54" t="s">
        <v>200</v>
      </c>
      <c r="I120" s="55">
        <v>0.78663094975107095</v>
      </c>
      <c r="J120" s="55">
        <v>0.58676702213185405</v>
      </c>
      <c r="Y120" s="113" t="s">
        <v>138</v>
      </c>
    </row>
    <row r="121" spans="2:25" x14ac:dyDescent="0.25">
      <c r="B121" s="111"/>
      <c r="C121" s="114"/>
      <c r="F121" s="74"/>
      <c r="G121" s="74"/>
      <c r="H121" s="74"/>
      <c r="I121" s="33"/>
      <c r="J121" s="33"/>
      <c r="Y121" s="113"/>
    </row>
    <row r="122" spans="2:25" x14ac:dyDescent="0.25">
      <c r="B122" s="115" t="s">
        <v>139</v>
      </c>
    </row>
    <row r="124" spans="2:25" x14ac:dyDescent="0.25">
      <c r="B124" t="s">
        <v>140</v>
      </c>
    </row>
  </sheetData>
  <mergeCells count="39">
    <mergeCell ref="Y90:Y91"/>
    <mergeCell ref="L90:L91"/>
    <mergeCell ref="M90:M91"/>
    <mergeCell ref="N90:O90"/>
    <mergeCell ref="P90:R90"/>
    <mergeCell ref="S90:S91"/>
    <mergeCell ref="T90:X90"/>
    <mergeCell ref="P44:R44"/>
    <mergeCell ref="S44:S45"/>
    <mergeCell ref="T44:X44"/>
    <mergeCell ref="Y44:Y45"/>
    <mergeCell ref="B90:B91"/>
    <mergeCell ref="C90:C91"/>
    <mergeCell ref="D90:E90"/>
    <mergeCell ref="F90:H90"/>
    <mergeCell ref="I90:J90"/>
    <mergeCell ref="K90:K91"/>
    <mergeCell ref="Y6:Y7"/>
    <mergeCell ref="B44:B45"/>
    <mergeCell ref="C44:C45"/>
    <mergeCell ref="D44:E44"/>
    <mergeCell ref="F44:H44"/>
    <mergeCell ref="I44:J44"/>
    <mergeCell ref="K44:K45"/>
    <mergeCell ref="L44:L45"/>
    <mergeCell ref="M44:M45"/>
    <mergeCell ref="N44:O44"/>
    <mergeCell ref="L6:L7"/>
    <mergeCell ref="M6:M7"/>
    <mergeCell ref="N6:O6"/>
    <mergeCell ref="P6:R6"/>
    <mergeCell ref="S6:S7"/>
    <mergeCell ref="T6:X6"/>
    <mergeCell ref="B6:B7"/>
    <mergeCell ref="C6:C7"/>
    <mergeCell ref="D6:E6"/>
    <mergeCell ref="F6:H6"/>
    <mergeCell ref="I6:J6"/>
    <mergeCell ref="K6:K7"/>
  </mergeCells>
  <printOptions horizontalCentered="1" verticalCentered="1"/>
  <pageMargins left="0" right="0" top="0" bottom="0" header="0" footer="0"/>
  <pageSetup paperSize="9" scale="65" orientation="landscape" r:id="rId1"/>
  <headerFooter>
    <oddHeader>&amp;LReporte de Ratios Argentina&amp;R&amp;G</oddHeader>
    <oddFooter>&amp;Cwww.invertironline.com&amp;R&amp;P</oddFooter>
  </headerFooter>
  <rowBreaks count="2" manualBreakCount="2">
    <brk id="42" min="1" max="24" man="1"/>
    <brk id="88" min="1" max="24" man="1"/>
  </rowBreaks>
  <drawing r:id="rId2"/>
  <legacy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564585"/>
  </sheetPr>
  <dimension ref="A1:AK118"/>
  <sheetViews>
    <sheetView zoomScaleNormal="100" zoomScaleSheetLayoutView="100" workbookViewId="0"/>
  </sheetViews>
  <sheetFormatPr baseColWidth="10" defaultRowHeight="15" x14ac:dyDescent="0.25"/>
  <cols>
    <col min="1" max="1" width="6.5703125" customWidth="1"/>
    <col min="2" max="2" width="4" customWidth="1"/>
    <col min="3" max="3" width="8.7109375" customWidth="1"/>
    <col min="4" max="4" width="9.28515625" customWidth="1"/>
    <col min="5" max="5" width="7.42578125" customWidth="1"/>
    <col min="6" max="6" width="10" bestFit="1" customWidth="1"/>
    <col min="7" max="7" width="6.140625" customWidth="1"/>
    <col min="8" max="8" width="6.7109375" customWidth="1"/>
    <col min="9" max="9" width="8.5703125" bestFit="1" customWidth="1"/>
    <col min="10" max="10" width="6.85546875" customWidth="1"/>
    <col min="11" max="11" width="7.42578125" customWidth="1"/>
    <col min="12" max="12" width="8.7109375" bestFit="1" customWidth="1"/>
    <col min="13" max="13" width="6.7109375" bestFit="1" customWidth="1"/>
    <col min="14" max="14" width="8.7109375" customWidth="1"/>
    <col min="15" max="15" width="8.140625" customWidth="1"/>
    <col min="16" max="16" width="8.7109375" bestFit="1" customWidth="1"/>
    <col min="17" max="17" width="7.42578125" customWidth="1"/>
    <col min="18" max="18" width="8.7109375" bestFit="1" customWidth="1"/>
    <col min="19" max="19" width="8.28515625" customWidth="1"/>
    <col min="20" max="20" width="9.7109375" customWidth="1"/>
    <col min="21" max="21" width="8.42578125" customWidth="1"/>
    <col min="22" max="22" width="7" customWidth="1"/>
    <col min="23" max="23" width="7.85546875" customWidth="1"/>
  </cols>
  <sheetData>
    <row r="1" spans="1:23" ht="26.25" x14ac:dyDescent="0.4">
      <c r="A1" s="116" t="s">
        <v>141</v>
      </c>
    </row>
    <row r="2" spans="1:23" ht="26.25" customHeight="1" x14ac:dyDescent="0.25"/>
    <row r="3" spans="1:23" ht="18" customHeight="1" x14ac:dyDescent="0.25">
      <c r="A3" s="117" t="s">
        <v>3</v>
      </c>
      <c r="B3" s="118" t="s">
        <v>142</v>
      </c>
      <c r="C3" s="119" t="s">
        <v>143</v>
      </c>
      <c r="D3" s="120" t="s">
        <v>144</v>
      </c>
      <c r="E3" s="121"/>
      <c r="F3" s="120" t="s">
        <v>145</v>
      </c>
      <c r="G3" s="121"/>
      <c r="H3" s="120" t="s">
        <v>146</v>
      </c>
      <c r="I3" s="121"/>
      <c r="J3" s="120" t="s">
        <v>147</v>
      </c>
      <c r="K3" s="121"/>
      <c r="L3" s="121"/>
      <c r="M3" s="121"/>
      <c r="N3" s="121"/>
      <c r="O3" s="121"/>
      <c r="P3" s="121"/>
      <c r="Q3" s="121"/>
      <c r="R3" s="121"/>
      <c r="S3" s="121"/>
      <c r="T3" s="121"/>
      <c r="U3" s="121"/>
      <c r="V3" s="122"/>
      <c r="W3" s="117" t="s">
        <v>3</v>
      </c>
    </row>
    <row r="4" spans="1:23" ht="27" customHeight="1" x14ac:dyDescent="0.25">
      <c r="A4" s="123"/>
      <c r="B4" s="124"/>
      <c r="C4" s="125"/>
      <c r="D4" s="126" t="s">
        <v>148</v>
      </c>
      <c r="E4" s="126" t="s">
        <v>149</v>
      </c>
      <c r="F4" s="126" t="s">
        <v>150</v>
      </c>
      <c r="G4" s="126" t="s">
        <v>151</v>
      </c>
      <c r="H4" s="126" t="s">
        <v>152</v>
      </c>
      <c r="I4" s="126" t="s">
        <v>153</v>
      </c>
      <c r="J4" s="126" t="s">
        <v>154</v>
      </c>
      <c r="K4" s="126" t="s">
        <v>155</v>
      </c>
      <c r="L4" s="126" t="s">
        <v>156</v>
      </c>
      <c r="M4" s="126" t="s">
        <v>157</v>
      </c>
      <c r="N4" s="126" t="s">
        <v>158</v>
      </c>
      <c r="O4" s="126" t="s">
        <v>159</v>
      </c>
      <c r="P4" s="126" t="s">
        <v>160</v>
      </c>
      <c r="Q4" s="127" t="s">
        <v>161</v>
      </c>
      <c r="R4" s="128" t="s">
        <v>162</v>
      </c>
      <c r="S4" s="127" t="s">
        <v>163</v>
      </c>
      <c r="T4" s="129" t="s">
        <v>164</v>
      </c>
      <c r="U4" s="128" t="s">
        <v>165</v>
      </c>
      <c r="V4" s="127" t="s">
        <v>166</v>
      </c>
      <c r="W4" s="123"/>
    </row>
    <row r="5" spans="1:23" x14ac:dyDescent="0.25">
      <c r="A5" s="50" t="s">
        <v>117</v>
      </c>
      <c r="B5" s="51"/>
      <c r="C5" s="51"/>
      <c r="D5" s="51"/>
      <c r="E5" s="51"/>
      <c r="F5" s="51"/>
      <c r="G5" s="51"/>
      <c r="H5" s="51"/>
      <c r="I5" s="51"/>
      <c r="J5" s="51"/>
      <c r="K5" s="51"/>
      <c r="L5" s="51"/>
      <c r="M5" s="51"/>
      <c r="N5" s="51"/>
      <c r="O5" s="51"/>
      <c r="P5" s="51"/>
      <c r="Q5" s="51"/>
      <c r="R5" s="51"/>
      <c r="S5" s="51"/>
      <c r="T5" s="51"/>
      <c r="U5" s="51"/>
      <c r="V5" s="51"/>
      <c r="W5" s="51"/>
    </row>
    <row r="6" spans="1:23" x14ac:dyDescent="0.25">
      <c r="A6" t="s">
        <v>67</v>
      </c>
      <c r="B6" s="130">
        <v>0.01</v>
      </c>
      <c r="C6" s="131">
        <v>43830</v>
      </c>
      <c r="D6" s="132">
        <v>37.0704443176</v>
      </c>
      <c r="E6" s="132">
        <v>2.3308194448943667</v>
      </c>
      <c r="F6" s="132">
        <v>1.3471249999999999</v>
      </c>
      <c r="G6" s="132">
        <v>0.64117500000000005</v>
      </c>
      <c r="H6" s="132">
        <v>2.7065812886882217</v>
      </c>
      <c r="I6" s="132">
        <v>12.802241530018058</v>
      </c>
      <c r="J6" s="132">
        <v>28.585094999999999</v>
      </c>
      <c r="K6" s="132">
        <v>8.3788192725000002E-2</v>
      </c>
      <c r="L6" s="132">
        <v>0.24637500000000001</v>
      </c>
      <c r="M6" s="132">
        <v>1.4093618821633024E-2</v>
      </c>
      <c r="N6" s="132">
        <v>3.2788348979999999</v>
      </c>
      <c r="O6" s="132">
        <v>1.4207471893000001</v>
      </c>
      <c r="P6" s="132">
        <v>0.75134000000000001</v>
      </c>
      <c r="Q6" s="133">
        <v>4.8059534104421147</v>
      </c>
      <c r="R6" s="134">
        <v>184.64779999999999</v>
      </c>
      <c r="S6" s="133">
        <v>-2.1299562916022556</v>
      </c>
      <c r="T6" s="135">
        <v>0.60592972575390247</v>
      </c>
      <c r="U6" s="73">
        <v>36.079018833333336</v>
      </c>
      <c r="V6" s="133">
        <v>0.36330253815403046</v>
      </c>
      <c r="W6" s="60" t="s">
        <v>67</v>
      </c>
    </row>
    <row r="7" spans="1:23" x14ac:dyDescent="0.25">
      <c r="A7" t="s">
        <v>65</v>
      </c>
      <c r="B7">
        <v>1</v>
      </c>
      <c r="C7" s="131">
        <v>43830</v>
      </c>
      <c r="D7" s="132">
        <v>44.152960087624997</v>
      </c>
      <c r="E7" s="132">
        <v>5.4174815466479185</v>
      </c>
      <c r="F7" s="132">
        <v>0.95848750000000005</v>
      </c>
      <c r="G7" s="132">
        <v>0.64655249999999997</v>
      </c>
      <c r="H7" s="132">
        <v>4.5696907319220754</v>
      </c>
      <c r="I7" s="132">
        <v>18.894929451399257</v>
      </c>
      <c r="J7" s="132">
        <v>4.8027150000000001</v>
      </c>
      <c r="K7" s="132">
        <v>2.7629425898000002</v>
      </c>
      <c r="L7" s="132">
        <v>2.9017249999999999</v>
      </c>
      <c r="M7" s="132">
        <v>3.3939698028246104E-2</v>
      </c>
      <c r="N7" s="132">
        <v>86.340518557500005</v>
      </c>
      <c r="O7" s="132">
        <v>16.1746100473</v>
      </c>
      <c r="P7" s="132">
        <v>72.376980000000003</v>
      </c>
      <c r="Q7" s="133">
        <v>10.766411307525367</v>
      </c>
      <c r="R7" s="134">
        <v>952.02760000000001</v>
      </c>
      <c r="S7" s="133" t="s">
        <v>200</v>
      </c>
      <c r="T7" s="135">
        <v>1.8928849216550324E-2</v>
      </c>
      <c r="U7" s="73">
        <v>49.608756666666665</v>
      </c>
      <c r="V7" s="133" t="s">
        <v>200</v>
      </c>
      <c r="W7" s="60" t="s">
        <v>65</v>
      </c>
    </row>
    <row r="8" spans="1:23" x14ac:dyDescent="0.25">
      <c r="A8" t="s">
        <v>34</v>
      </c>
      <c r="B8">
        <v>1</v>
      </c>
      <c r="C8" s="131">
        <v>43830</v>
      </c>
      <c r="D8" s="132">
        <v>103.21296694030001</v>
      </c>
      <c r="E8" s="132">
        <v>3.1930619816116059</v>
      </c>
      <c r="F8" s="132">
        <v>1.3414349999999999</v>
      </c>
      <c r="G8" s="132">
        <v>0.65349999999999997</v>
      </c>
      <c r="H8" s="132">
        <v>1.3414903325074277</v>
      </c>
      <c r="I8" s="132">
        <v>5.1929406739737853</v>
      </c>
      <c r="J8" s="132">
        <v>23.332850000000001</v>
      </c>
      <c r="K8" s="132">
        <v>-1.4070274705500001</v>
      </c>
      <c r="L8" s="132">
        <v>-4.0566025000000003</v>
      </c>
      <c r="M8" s="132">
        <v>-1.479723701865855E-2</v>
      </c>
      <c r="N8" s="132">
        <v>-12.2359963255</v>
      </c>
      <c r="O8" s="132">
        <v>-3.7884814110999998</v>
      </c>
      <c r="P8" s="132">
        <v>-5.6195700000000004</v>
      </c>
      <c r="Q8" s="133">
        <v>1.1404828835092116</v>
      </c>
      <c r="R8" s="134">
        <v>-1303.3422</v>
      </c>
      <c r="S8" s="133">
        <v>-2.0844043267653944</v>
      </c>
      <c r="T8" s="135">
        <v>1.4885945928379869</v>
      </c>
      <c r="U8" s="73">
        <v>24.437921333333332</v>
      </c>
      <c r="V8" s="133">
        <v>5.9449599877546166E-2</v>
      </c>
      <c r="W8" s="60" t="s">
        <v>34</v>
      </c>
    </row>
    <row r="9" spans="1:23" x14ac:dyDescent="0.25">
      <c r="A9" t="s">
        <v>48</v>
      </c>
      <c r="B9">
        <v>1</v>
      </c>
      <c r="C9" s="131">
        <v>43830</v>
      </c>
      <c r="D9" s="136">
        <v>0.68203853827500005</v>
      </c>
      <c r="E9" s="136">
        <v>1.7807987527657803</v>
      </c>
      <c r="F9" s="132">
        <v>2.6590175</v>
      </c>
      <c r="G9" s="132">
        <v>1.496335</v>
      </c>
      <c r="H9" s="132">
        <v>1.0659119478284871</v>
      </c>
      <c r="I9" s="132">
        <v>2.5637984500216504</v>
      </c>
      <c r="J9" s="132">
        <v>45.173000000000002</v>
      </c>
      <c r="K9" s="132">
        <v>19.289640612675001</v>
      </c>
      <c r="L9" s="132">
        <v>13.63214</v>
      </c>
      <c r="M9" s="132">
        <v>0.12412676668180087</v>
      </c>
      <c r="N9" s="132">
        <v>30.528092133600001</v>
      </c>
      <c r="O9" s="132">
        <v>17.2551226699</v>
      </c>
      <c r="P9" s="132">
        <v>0.22137000000000001</v>
      </c>
      <c r="Q9" s="133">
        <v>-0.46418946862524069</v>
      </c>
      <c r="R9" s="134">
        <v>406.44830200000001</v>
      </c>
      <c r="S9" s="133">
        <v>0.26301904745359317</v>
      </c>
      <c r="T9" s="135">
        <v>0.45155522936559345</v>
      </c>
      <c r="U9" s="73">
        <v>3.0753935433333335</v>
      </c>
      <c r="V9" s="133">
        <v>0.39683404106222309</v>
      </c>
      <c r="W9" s="60" t="s">
        <v>48</v>
      </c>
    </row>
    <row r="10" spans="1:23" x14ac:dyDescent="0.25">
      <c r="A10" t="s">
        <v>71</v>
      </c>
      <c r="B10">
        <v>1</v>
      </c>
      <c r="C10" s="131">
        <v>43830</v>
      </c>
      <c r="D10" s="136">
        <v>97.996284048850001</v>
      </c>
      <c r="E10" s="136">
        <v>2.4685652942949274</v>
      </c>
      <c r="F10" s="132">
        <v>1.1379224999999999</v>
      </c>
      <c r="G10" s="132">
        <v>0.47842750000000001</v>
      </c>
      <c r="H10" s="132">
        <v>0.30974772857068911</v>
      </c>
      <c r="I10" s="132">
        <v>1.6726261875724711</v>
      </c>
      <c r="J10" s="132">
        <v>14.478680000000001</v>
      </c>
      <c r="K10" s="132">
        <v>-32.598379848100002</v>
      </c>
      <c r="L10" s="132">
        <v>-9.0679374999999993</v>
      </c>
      <c r="M10" s="132">
        <v>-5.7398402887147454E-2</v>
      </c>
      <c r="N10" s="132">
        <v>-2.7142673816</v>
      </c>
      <c r="O10" s="132">
        <v>-1.1641688933000001</v>
      </c>
      <c r="P10" s="132">
        <v>-0.50980000000000003</v>
      </c>
      <c r="Q10" s="133">
        <v>-2.4345864911029667</v>
      </c>
      <c r="R10" s="134">
        <v>-330.30799999999999</v>
      </c>
      <c r="S10" s="133">
        <v>-2.0394879231032945</v>
      </c>
      <c r="T10" s="135">
        <v>2.6217461562741073</v>
      </c>
      <c r="U10" s="73">
        <v>5.8051463866666673</v>
      </c>
      <c r="V10" s="133">
        <v>0.45218792302072663</v>
      </c>
      <c r="W10" s="60" t="s">
        <v>71</v>
      </c>
    </row>
    <row r="11" spans="1:23" x14ac:dyDescent="0.25">
      <c r="A11" t="s">
        <v>54</v>
      </c>
      <c r="B11">
        <v>1</v>
      </c>
      <c r="C11" s="131">
        <v>43799</v>
      </c>
      <c r="D11" s="136">
        <v>204.32478430477499</v>
      </c>
      <c r="E11" s="136">
        <v>3.8550688356283667</v>
      </c>
      <c r="F11" s="132">
        <v>1.1831799999999999</v>
      </c>
      <c r="G11" s="132">
        <v>0.52519000000000005</v>
      </c>
      <c r="H11" s="132">
        <v>1.1313630862828805</v>
      </c>
      <c r="I11" s="132">
        <v>3.9988125276032944</v>
      </c>
      <c r="J11" s="132">
        <v>34.400562499999999</v>
      </c>
      <c r="K11" s="132">
        <v>4.5708371188249997</v>
      </c>
      <c r="L11" s="132">
        <v>-3.7689625000000002</v>
      </c>
      <c r="M11" s="132">
        <v>-2.4614461605407766E-2</v>
      </c>
      <c r="N11" s="132">
        <v>-24.947580010799999</v>
      </c>
      <c r="O11" s="132">
        <v>-4.6337571498000001</v>
      </c>
      <c r="P11" s="132">
        <v>-2.10066</v>
      </c>
      <c r="Q11" s="133">
        <v>1.8536202769399615</v>
      </c>
      <c r="R11" s="134">
        <v>-644.17679999999996</v>
      </c>
      <c r="S11" s="133">
        <v>-2.5755820164324623</v>
      </c>
      <c r="T11" s="135">
        <v>2.7104063865317638</v>
      </c>
      <c r="U11" s="73">
        <v>11.190775500000001</v>
      </c>
      <c r="V11" s="133">
        <v>0.33691071752178559</v>
      </c>
      <c r="W11" s="60" t="s">
        <v>54</v>
      </c>
    </row>
    <row r="12" spans="1:23" x14ac:dyDescent="0.25">
      <c r="A12" t="s">
        <v>12</v>
      </c>
      <c r="B12">
        <v>1</v>
      </c>
      <c r="C12" s="131">
        <v>43830</v>
      </c>
      <c r="D12" s="136">
        <v>13.307787000075001</v>
      </c>
      <c r="E12" s="136">
        <v>1.5892105757317148</v>
      </c>
      <c r="F12" s="132">
        <v>1.2545774999999999</v>
      </c>
      <c r="G12" s="132">
        <v>0.46612500000000001</v>
      </c>
      <c r="H12" s="132">
        <v>0.47600040527968918</v>
      </c>
      <c r="I12" s="132">
        <v>-18.434143306227273</v>
      </c>
      <c r="J12" s="132">
        <v>20.8677925</v>
      </c>
      <c r="K12" s="132" t="s">
        <v>200</v>
      </c>
      <c r="L12" s="132">
        <v>-4.47811</v>
      </c>
      <c r="M12" s="132">
        <v>-3.4976521112476115E-2</v>
      </c>
      <c r="N12" s="132">
        <v>-3.0032803920000002</v>
      </c>
      <c r="O12" s="132">
        <v>-1.7938164786999999</v>
      </c>
      <c r="P12" s="132">
        <v>-0.65361999999999998</v>
      </c>
      <c r="Q12" s="133">
        <v>-9.6889396841672859E-3</v>
      </c>
      <c r="R12" s="134">
        <v>-115.76484000000001</v>
      </c>
      <c r="S12" s="133">
        <v>0.84684075223359856</v>
      </c>
      <c r="T12" s="135">
        <v>4.2649679299569101</v>
      </c>
      <c r="U12" s="73">
        <v>2.7914833400000001</v>
      </c>
      <c r="V12" s="133">
        <v>0.49104816380094563</v>
      </c>
      <c r="W12" s="60" t="s">
        <v>12</v>
      </c>
    </row>
    <row r="13" spans="1:23" x14ac:dyDescent="0.25">
      <c r="A13" t="s">
        <v>11</v>
      </c>
      <c r="B13">
        <v>1</v>
      </c>
      <c r="C13" s="131">
        <v>43738</v>
      </c>
      <c r="D13" s="136">
        <v>30.088639900324999</v>
      </c>
      <c r="E13" s="136">
        <v>2.3596748649756685</v>
      </c>
      <c r="F13" s="132">
        <v>0.90686500000000003</v>
      </c>
      <c r="G13" s="132">
        <v>0.59204999999999997</v>
      </c>
      <c r="H13" s="132">
        <v>1.8850389095767535</v>
      </c>
      <c r="I13" s="132">
        <v>14.151215753746712</v>
      </c>
      <c r="J13" s="132">
        <v>12.4934125</v>
      </c>
      <c r="K13" s="132">
        <v>2.0177424285250001</v>
      </c>
      <c r="L13" s="132">
        <v>-3.1981350000000002</v>
      </c>
      <c r="M13" s="132">
        <v>-6.0153246984190618E-5</v>
      </c>
      <c r="N13" s="132">
        <v>-17.208848568099999</v>
      </c>
      <c r="O13" s="132">
        <v>-6.3312642183000003</v>
      </c>
      <c r="P13" s="132">
        <v>-0.64337</v>
      </c>
      <c r="Q13" s="133">
        <v>-5.3958665364248626</v>
      </c>
      <c r="R13" s="134">
        <v>-315.34100000000001</v>
      </c>
      <c r="S13" s="133">
        <v>0.3950317892293127</v>
      </c>
      <c r="T13" s="135">
        <v>2.2174539454664135</v>
      </c>
      <c r="U13" s="73">
        <v>5.3592595000000003</v>
      </c>
      <c r="V13" s="133">
        <v>0.5662950641667901</v>
      </c>
      <c r="W13" s="60" t="s">
        <v>11</v>
      </c>
    </row>
    <row r="14" spans="1:23" x14ac:dyDescent="0.25">
      <c r="A14" t="s">
        <v>24</v>
      </c>
      <c r="B14">
        <v>1</v>
      </c>
      <c r="C14" s="131">
        <v>43830</v>
      </c>
      <c r="D14" s="136">
        <v>6.3656435567249998</v>
      </c>
      <c r="E14" s="136">
        <v>1.3913989785304135</v>
      </c>
      <c r="F14" s="132">
        <v>2.375105</v>
      </c>
      <c r="G14" s="132">
        <v>1.5437425</v>
      </c>
      <c r="H14" s="132">
        <v>1.2059668424040728</v>
      </c>
      <c r="I14" s="132">
        <v>2.2325465051441267</v>
      </c>
      <c r="J14" s="132">
        <v>41.411769999999997</v>
      </c>
      <c r="K14" s="132">
        <v>8.8666504727</v>
      </c>
      <c r="L14" s="132">
        <v>3.4741149999999998</v>
      </c>
      <c r="M14" s="132">
        <v>5.6023719270874059E-2</v>
      </c>
      <c r="N14" s="132">
        <v>6.5238887466</v>
      </c>
      <c r="O14" s="132">
        <v>5.1708095139000001</v>
      </c>
      <c r="P14" s="132">
        <v>0.65847</v>
      </c>
      <c r="Q14" s="133">
        <v>36.151245706967806</v>
      </c>
      <c r="R14" s="134">
        <v>51.063915999999999</v>
      </c>
      <c r="S14" s="133">
        <v>0.33147090268106449</v>
      </c>
      <c r="T14" s="135">
        <v>0.50027524791095945</v>
      </c>
      <c r="U14" s="73">
        <v>1.0485042916666667</v>
      </c>
      <c r="V14" s="133">
        <v>0.46754383493884788</v>
      </c>
      <c r="W14" s="60" t="s">
        <v>24</v>
      </c>
    </row>
    <row r="15" spans="1:23" x14ac:dyDescent="0.25">
      <c r="A15" t="s">
        <v>36</v>
      </c>
      <c r="B15">
        <v>0.1</v>
      </c>
      <c r="C15" s="131">
        <v>43799</v>
      </c>
      <c r="D15" s="136">
        <v>43.60673633215</v>
      </c>
      <c r="E15" s="136">
        <v>1.8871364358110563</v>
      </c>
      <c r="F15" s="132">
        <v>1.5014274999999999</v>
      </c>
      <c r="G15" s="132">
        <v>0.91755249999999999</v>
      </c>
      <c r="H15" s="132">
        <v>1.8060495934216527</v>
      </c>
      <c r="I15" s="132">
        <v>-0.46051583126523354</v>
      </c>
      <c r="J15" s="132">
        <v>10.273877499999999</v>
      </c>
      <c r="K15" s="132">
        <v>3.1125529186250001</v>
      </c>
      <c r="L15" s="132">
        <v>0.33462249999999999</v>
      </c>
      <c r="M15" s="132">
        <v>3.7033352847953463E-2</v>
      </c>
      <c r="N15" s="132">
        <v>2.2923639496999999</v>
      </c>
      <c r="O15" s="132">
        <v>1.1457324952000001</v>
      </c>
      <c r="P15" s="132">
        <v>0.27387</v>
      </c>
      <c r="Q15" s="133">
        <v>-0.80135752251578884</v>
      </c>
      <c r="R15" s="134">
        <v>20.626908</v>
      </c>
      <c r="S15" s="133">
        <v>0.28528821946359506</v>
      </c>
      <c r="T15" s="135">
        <v>2.7742193708753522</v>
      </c>
      <c r="U15" s="73">
        <v>0.90175486333333332</v>
      </c>
      <c r="V15" s="133">
        <v>0.43794192494546902</v>
      </c>
      <c r="W15" s="60" t="s">
        <v>36</v>
      </c>
    </row>
    <row r="16" spans="1:23" x14ac:dyDescent="0.25">
      <c r="A16" t="s">
        <v>49</v>
      </c>
      <c r="B16">
        <v>1</v>
      </c>
      <c r="C16" s="131">
        <v>43799</v>
      </c>
      <c r="D16" s="136">
        <v>76.534346197800005</v>
      </c>
      <c r="E16" s="136">
        <v>2.987254653990842</v>
      </c>
      <c r="F16" s="132">
        <v>1.1745574999999999</v>
      </c>
      <c r="G16" s="132">
        <v>0.74246999999999996</v>
      </c>
      <c r="H16" s="132">
        <v>1.6905268417853017</v>
      </c>
      <c r="I16" s="132">
        <v>8.8883984631809234</v>
      </c>
      <c r="J16" s="132">
        <v>21.084457499999999</v>
      </c>
      <c r="K16" s="132">
        <v>7.7085611068000004</v>
      </c>
      <c r="L16" s="132">
        <v>3.949125</v>
      </c>
      <c r="M16" s="132">
        <v>3.0208088711698958E-2</v>
      </c>
      <c r="N16" s="132">
        <v>21.980458771199999</v>
      </c>
      <c r="O16" s="132">
        <v>7.7893082218999998</v>
      </c>
      <c r="P16" s="132">
        <v>0.39076</v>
      </c>
      <c r="Q16" s="133">
        <v>1.0194228772126346</v>
      </c>
      <c r="R16" s="134">
        <v>-25.118168000000001</v>
      </c>
      <c r="S16" s="133">
        <v>-2.0763305569686956</v>
      </c>
      <c r="T16" s="135">
        <v>0.86941103283906096</v>
      </c>
      <c r="U16" s="73">
        <v>0.51502524166666663</v>
      </c>
      <c r="V16" s="133">
        <v>0.53074292113392829</v>
      </c>
      <c r="W16" s="60" t="s">
        <v>49</v>
      </c>
    </row>
    <row r="17" spans="1:23" x14ac:dyDescent="0.25">
      <c r="A17" s="62" t="s">
        <v>119</v>
      </c>
      <c r="B17" s="63"/>
      <c r="C17" s="137"/>
      <c r="D17" s="138">
        <v>59.758421020409088</v>
      </c>
      <c r="E17" s="138">
        <v>2.6600428513529697</v>
      </c>
      <c r="F17" s="139">
        <v>1.4399727272727274</v>
      </c>
      <c r="G17" s="139">
        <v>0.79119272727272727</v>
      </c>
      <c r="H17" s="139">
        <v>1.653487973478841</v>
      </c>
      <c r="I17" s="139">
        <v>4.6820773095607073</v>
      </c>
      <c r="J17" s="139">
        <v>23.354928409090913</v>
      </c>
      <c r="K17" s="139">
        <v>1.4407308122025</v>
      </c>
      <c r="L17" s="139">
        <v>-2.8768181818183162E-3</v>
      </c>
      <c r="M17" s="139">
        <v>1.4870769862866583E-2</v>
      </c>
      <c r="N17" s="139">
        <v>8.2576531253272734</v>
      </c>
      <c r="O17" s="139">
        <v>2.840440180572728</v>
      </c>
      <c r="P17" s="139">
        <v>5.9223427272727269</v>
      </c>
      <c r="Q17" s="140">
        <v>4.239222500385825</v>
      </c>
      <c r="R17" s="141">
        <v>-101.74877109090909</v>
      </c>
      <c r="S17" s="140">
        <v>-0.87841104038109385</v>
      </c>
      <c r="T17" s="142">
        <v>1.6839534970026</v>
      </c>
      <c r="U17" s="143">
        <v>12.801185409090913</v>
      </c>
      <c r="V17" s="140">
        <v>0.41022567286222927</v>
      </c>
      <c r="W17" s="71" t="s">
        <v>120</v>
      </c>
    </row>
    <row r="18" spans="1:23" x14ac:dyDescent="0.25">
      <c r="C18" s="60"/>
      <c r="D18" s="136"/>
      <c r="E18" s="136"/>
      <c r="F18" s="132"/>
      <c r="G18" s="132"/>
      <c r="H18" s="132"/>
      <c r="I18" s="132"/>
      <c r="J18" s="132"/>
      <c r="K18" s="132"/>
      <c r="L18" s="132"/>
      <c r="M18" s="132"/>
      <c r="N18" s="132"/>
      <c r="O18" s="132"/>
      <c r="P18" s="132"/>
      <c r="Q18" s="133"/>
      <c r="R18" s="134"/>
      <c r="S18" s="133"/>
      <c r="T18" s="135"/>
      <c r="U18" s="73"/>
      <c r="V18" s="133"/>
      <c r="W18" s="60"/>
    </row>
    <row r="19" spans="1:23" x14ac:dyDescent="0.25">
      <c r="A19" s="50" t="s">
        <v>121</v>
      </c>
      <c r="B19" s="75"/>
      <c r="C19" s="81"/>
      <c r="D19" s="144"/>
      <c r="E19" s="144"/>
      <c r="F19" s="145"/>
      <c r="G19" s="145"/>
      <c r="H19" s="145"/>
      <c r="I19" s="145"/>
      <c r="J19" s="145"/>
      <c r="K19" s="145"/>
      <c r="L19" s="145"/>
      <c r="M19" s="145"/>
      <c r="N19" s="145"/>
      <c r="O19" s="145"/>
      <c r="P19" s="145"/>
      <c r="Q19" s="146"/>
      <c r="R19" s="147"/>
      <c r="S19" s="146"/>
      <c r="T19" s="148"/>
      <c r="U19" s="79"/>
      <c r="V19" s="146"/>
      <c r="W19" s="81"/>
    </row>
    <row r="20" spans="1:23" x14ac:dyDescent="0.25">
      <c r="A20" t="s">
        <v>70</v>
      </c>
      <c r="B20">
        <v>1</v>
      </c>
      <c r="C20" s="131">
        <v>43830</v>
      </c>
      <c r="D20" s="132">
        <v>6.9072482666750004</v>
      </c>
      <c r="E20" s="132">
        <v>3.6307681718176963</v>
      </c>
      <c r="F20" s="132">
        <v>1.1644675</v>
      </c>
      <c r="G20" s="132">
        <v>0.51897249999999995</v>
      </c>
      <c r="H20" s="132">
        <v>2.0589762976884485</v>
      </c>
      <c r="I20" s="132">
        <v>8.0299572208183179</v>
      </c>
      <c r="J20" s="132">
        <v>19.1385425</v>
      </c>
      <c r="K20" s="132">
        <v>6.8847818129749996</v>
      </c>
      <c r="L20" s="132">
        <v>2.7959624999999999</v>
      </c>
      <c r="M20" s="132">
        <v>3.9521167990868598E-2</v>
      </c>
      <c r="N20" s="132">
        <v>27.567064204099999</v>
      </c>
      <c r="O20" s="132">
        <v>8.0399546464</v>
      </c>
      <c r="P20" s="132">
        <v>11.39503</v>
      </c>
      <c r="Q20" s="133">
        <v>7.9755291704982874</v>
      </c>
      <c r="R20" s="134">
        <v>836.41719999999998</v>
      </c>
      <c r="S20" s="133">
        <v>0.73034368214929102</v>
      </c>
      <c r="T20" s="135">
        <v>8.0665706909840491</v>
      </c>
      <c r="U20" s="73">
        <v>27.061068833333334</v>
      </c>
      <c r="V20" s="133">
        <v>0.51674492434908936</v>
      </c>
      <c r="W20" s="60" t="s">
        <v>70</v>
      </c>
    </row>
    <row r="21" spans="1:23" x14ac:dyDescent="0.25">
      <c r="A21" t="s">
        <v>64</v>
      </c>
      <c r="B21">
        <v>1</v>
      </c>
      <c r="C21" s="131">
        <v>43738</v>
      </c>
      <c r="D21" s="132">
        <v>25.594782491225001</v>
      </c>
      <c r="E21" s="132">
        <v>1.7771566844652209</v>
      </c>
      <c r="F21" s="132">
        <v>0.94742249999999995</v>
      </c>
      <c r="G21" s="132">
        <v>0.56725250000000005</v>
      </c>
      <c r="H21" s="132" t="s">
        <v>200</v>
      </c>
      <c r="I21" s="132" t="s">
        <v>200</v>
      </c>
      <c r="J21" s="132" t="s">
        <v>200</v>
      </c>
      <c r="K21" s="132">
        <v>12.096023063000001</v>
      </c>
      <c r="L21" s="132" t="s">
        <v>200</v>
      </c>
      <c r="M21" s="132" t="s">
        <v>200</v>
      </c>
      <c r="N21" s="132">
        <v>16.5542802505</v>
      </c>
      <c r="O21" s="132">
        <v>8.3192881732000004</v>
      </c>
      <c r="P21" s="132" t="s">
        <v>200</v>
      </c>
      <c r="Q21" s="133" t="s">
        <v>200</v>
      </c>
      <c r="R21" s="134">
        <v>64.774600000000007</v>
      </c>
      <c r="S21" s="133">
        <v>0.38205876973308439</v>
      </c>
      <c r="T21" s="135">
        <v>0.42911737542629297</v>
      </c>
      <c r="U21" s="73">
        <v>1.1981491683333332</v>
      </c>
      <c r="V21" s="133">
        <v>0.35175858503822899</v>
      </c>
      <c r="W21" s="60" t="s">
        <v>64</v>
      </c>
    </row>
    <row r="22" spans="1:23" x14ac:dyDescent="0.25">
      <c r="A22" t="s">
        <v>29</v>
      </c>
      <c r="B22">
        <v>1</v>
      </c>
      <c r="C22" s="131">
        <v>43738</v>
      </c>
      <c r="D22" s="132">
        <v>62.535341882125003</v>
      </c>
      <c r="E22" s="132">
        <v>2.8669832333427778</v>
      </c>
      <c r="F22" s="132">
        <v>1.3960174999999999</v>
      </c>
      <c r="G22" s="132">
        <v>0.72004000000000001</v>
      </c>
      <c r="H22" s="132">
        <v>2.0360792806398367</v>
      </c>
      <c r="I22" s="132">
        <v>9.358472097257426</v>
      </c>
      <c r="J22" s="132">
        <v>41.854255000000002</v>
      </c>
      <c r="K22" s="132">
        <v>6.1848837311500002</v>
      </c>
      <c r="L22" s="132">
        <v>-8.1563925000000008</v>
      </c>
      <c r="M22" s="132">
        <v>-5.5386847346582418E-2</v>
      </c>
      <c r="N22" s="132">
        <v>-64.136511205399998</v>
      </c>
      <c r="O22" s="132">
        <v>-17.7611483118</v>
      </c>
      <c r="P22" s="132">
        <v>-11.37229</v>
      </c>
      <c r="Q22" s="133">
        <v>-0.72565130109016396</v>
      </c>
      <c r="R22" s="134">
        <v>-68.819522000000006</v>
      </c>
      <c r="S22" s="133">
        <v>-2.5541581891895047</v>
      </c>
      <c r="T22" s="135">
        <v>4.0974966345050889</v>
      </c>
      <c r="U22" s="73">
        <v>3.3946711033333337</v>
      </c>
      <c r="V22" s="133">
        <v>0.37622276916221553</v>
      </c>
      <c r="W22" s="60" t="s">
        <v>29</v>
      </c>
    </row>
    <row r="23" spans="1:23" x14ac:dyDescent="0.25">
      <c r="A23" t="s">
        <v>73</v>
      </c>
      <c r="B23">
        <v>0.1</v>
      </c>
      <c r="C23" s="131">
        <v>43830</v>
      </c>
      <c r="D23" s="136" t="s">
        <v>200</v>
      </c>
      <c r="E23" s="136">
        <v>-21.571737780813503</v>
      </c>
      <c r="F23" s="132">
        <v>0.67847000000000002</v>
      </c>
      <c r="G23" s="132">
        <v>0.50358749999999997</v>
      </c>
      <c r="H23" s="132">
        <v>0.65120111132079961</v>
      </c>
      <c r="I23" s="132">
        <v>-3.8163997096469142</v>
      </c>
      <c r="J23" s="132">
        <v>14.835015</v>
      </c>
      <c r="K23" s="132">
        <v>-0.25180206955000001</v>
      </c>
      <c r="L23" s="132">
        <v>-25.977607500000001</v>
      </c>
      <c r="M23" s="132">
        <v>-0.2692325672028989</v>
      </c>
      <c r="N23" s="132">
        <v>-183.9275656769</v>
      </c>
      <c r="O23" s="132">
        <v>-13.3272738982</v>
      </c>
      <c r="P23" s="132">
        <v>-28.01153</v>
      </c>
      <c r="Q23" s="133">
        <v>0.51242911032002414</v>
      </c>
      <c r="R23" s="134">
        <v>-1516.5216</v>
      </c>
      <c r="S23" s="133">
        <v>1.6031747093752533</v>
      </c>
      <c r="T23" s="135">
        <v>2.3908105702066913</v>
      </c>
      <c r="U23" s="73">
        <v>3.4856919566666664</v>
      </c>
      <c r="V23" s="133">
        <v>0.83295946646644836</v>
      </c>
      <c r="W23" s="60" t="s">
        <v>73</v>
      </c>
    </row>
    <row r="24" spans="1:23" x14ac:dyDescent="0.25">
      <c r="A24" t="s">
        <v>72</v>
      </c>
      <c r="B24">
        <v>1</v>
      </c>
      <c r="C24" s="131">
        <v>43830</v>
      </c>
      <c r="D24" s="136">
        <v>95.473946569000006</v>
      </c>
      <c r="E24" s="136">
        <v>2.7222844182266099</v>
      </c>
      <c r="F24" s="132">
        <v>2.1673499999999999</v>
      </c>
      <c r="G24" s="132">
        <v>1.196485</v>
      </c>
      <c r="H24" s="132">
        <v>1.4579336797678897</v>
      </c>
      <c r="I24" s="132">
        <v>-2.1369834299300052</v>
      </c>
      <c r="J24" s="132">
        <v>15.7652675</v>
      </c>
      <c r="K24" s="132">
        <v>-3.1816462938000001</v>
      </c>
      <c r="L24" s="132">
        <v>-5.3021374999999997</v>
      </c>
      <c r="M24" s="132">
        <v>-1.2539219942329271E-2</v>
      </c>
      <c r="N24" s="132">
        <v>-16.6560071629</v>
      </c>
      <c r="O24" s="132">
        <v>-6.4623411381000002</v>
      </c>
      <c r="P24" s="132">
        <v>-0.76761999999999997</v>
      </c>
      <c r="Q24" s="133">
        <v>-5.7393340668629227</v>
      </c>
      <c r="R24" s="134">
        <v>-92.890212000000005</v>
      </c>
      <c r="S24" s="133">
        <v>-2.2766453226058223</v>
      </c>
      <c r="T24" s="135">
        <v>2.1083712067562423</v>
      </c>
      <c r="U24" s="73">
        <v>1.5471011366666667</v>
      </c>
      <c r="V24" s="133">
        <v>0.2959484155548544</v>
      </c>
      <c r="W24" s="60" t="s">
        <v>72</v>
      </c>
    </row>
    <row r="25" spans="1:23" x14ac:dyDescent="0.25">
      <c r="A25" t="s">
        <v>293</v>
      </c>
      <c r="B25">
        <v>1</v>
      </c>
      <c r="C25" s="131">
        <v>43465</v>
      </c>
      <c r="D25" s="136" t="s">
        <v>200</v>
      </c>
      <c r="E25" s="136">
        <v>-1.4154500995036725</v>
      </c>
      <c r="F25" s="132">
        <v>0.27470749999999999</v>
      </c>
      <c r="G25" s="132">
        <v>0.25330249999999999</v>
      </c>
      <c r="H25" s="132">
        <v>1.3335423615603821</v>
      </c>
      <c r="I25" s="132">
        <v>32.804584479074947</v>
      </c>
      <c r="J25" s="132">
        <v>22.78173</v>
      </c>
      <c r="K25" s="132">
        <v>-93.620789849999994</v>
      </c>
      <c r="L25" s="132">
        <v>-105.8327</v>
      </c>
      <c r="M25" s="132">
        <v>-1.0343928987225053</v>
      </c>
      <c r="N25" s="132" t="s">
        <v>200</v>
      </c>
      <c r="O25" s="149">
        <v>-102.099648221</v>
      </c>
      <c r="P25" s="132">
        <v>-1.95346</v>
      </c>
      <c r="Q25" s="133">
        <v>0.61435835060767141</v>
      </c>
      <c r="R25" s="134">
        <v>-114.973534</v>
      </c>
      <c r="S25" s="133">
        <v>-1.9816166542528046E-2</v>
      </c>
      <c r="T25" s="135">
        <v>0.32135626704043585</v>
      </c>
      <c r="U25" s="73">
        <v>0.77471846499999997</v>
      </c>
      <c r="V25" s="133">
        <v>-0.36175751038650894</v>
      </c>
      <c r="W25" s="60" t="s">
        <v>293</v>
      </c>
    </row>
    <row r="26" spans="1:23" x14ac:dyDescent="0.25">
      <c r="A26" s="31" t="s">
        <v>78</v>
      </c>
      <c r="B26">
        <v>1</v>
      </c>
      <c r="C26" s="131">
        <v>43769</v>
      </c>
      <c r="D26" s="136">
        <v>3.6009294046</v>
      </c>
      <c r="E26" s="136">
        <v>2.3269656303079551</v>
      </c>
      <c r="F26" s="132">
        <v>1.6492599999999999</v>
      </c>
      <c r="G26" s="132">
        <v>0.84519750000000005</v>
      </c>
      <c r="H26" s="132">
        <v>1.7849668056487611</v>
      </c>
      <c r="I26" s="132">
        <v>-0.32830190794988301</v>
      </c>
      <c r="J26" s="132">
        <v>25.519372499999999</v>
      </c>
      <c r="K26" s="132">
        <v>8.4387062849499994</v>
      </c>
      <c r="L26" s="132">
        <v>-2.4393375000000002</v>
      </c>
      <c r="M26" s="132">
        <v>3.1313531825176012E-3</v>
      </c>
      <c r="N26" s="132">
        <v>-2.9616103227999999</v>
      </c>
      <c r="O26" s="132">
        <v>-1.1992455027</v>
      </c>
      <c r="P26" s="132">
        <v>-0.15151000000000001</v>
      </c>
      <c r="Q26" s="133">
        <v>-0.72023462173516017</v>
      </c>
      <c r="R26" s="134">
        <v>-6.6923219999999999</v>
      </c>
      <c r="S26" s="133">
        <v>-2.4811385193626436</v>
      </c>
      <c r="T26" s="135">
        <v>1.1176841149173602</v>
      </c>
      <c r="U26" s="73">
        <v>0.32069945</v>
      </c>
      <c r="V26" s="133">
        <v>0.35114345640917444</v>
      </c>
      <c r="W26" s="60" t="s">
        <v>78</v>
      </c>
    </row>
    <row r="27" spans="1:23" x14ac:dyDescent="0.25">
      <c r="A27" s="62" t="s">
        <v>119</v>
      </c>
      <c r="B27" s="63"/>
      <c r="C27" s="150"/>
      <c r="D27" s="138">
        <v>38.822449722725011</v>
      </c>
      <c r="E27" s="138">
        <v>-1.3804328203081311</v>
      </c>
      <c r="F27" s="139">
        <v>1.182527857142857</v>
      </c>
      <c r="G27" s="139">
        <v>0.65783392857142864</v>
      </c>
      <c r="H27" s="139">
        <v>1.553783256104353</v>
      </c>
      <c r="I27" s="139">
        <v>7.3185547916039804</v>
      </c>
      <c r="J27" s="139">
        <v>23.315697083333333</v>
      </c>
      <c r="K27" s="139">
        <v>-9.0642633316107144</v>
      </c>
      <c r="L27" s="139">
        <v>-24.152035416666664</v>
      </c>
      <c r="M27" s="139">
        <v>-0.22148316867348827</v>
      </c>
      <c r="N27" s="139">
        <v>-37.260058318900001</v>
      </c>
      <c r="O27" s="139">
        <v>-17.784344893171429</v>
      </c>
      <c r="P27" s="139">
        <v>-5.1435633333333337</v>
      </c>
      <c r="Q27" s="140">
        <v>0.31951610695628946</v>
      </c>
      <c r="R27" s="141">
        <v>-128.38648428571429</v>
      </c>
      <c r="S27" s="140">
        <v>-0.65945443377755275</v>
      </c>
      <c r="T27" s="142">
        <v>2.6473438371194513</v>
      </c>
      <c r="U27" s="143">
        <v>5.3974428733333335</v>
      </c>
      <c r="V27" s="140">
        <v>0.33757430094192886</v>
      </c>
      <c r="W27" s="71" t="s">
        <v>120</v>
      </c>
    </row>
    <row r="28" spans="1:23" x14ac:dyDescent="0.25">
      <c r="C28" s="131"/>
      <c r="D28" s="136"/>
      <c r="E28" s="136"/>
      <c r="F28" s="132"/>
      <c r="G28" s="132"/>
      <c r="H28" s="132"/>
      <c r="I28" s="132"/>
      <c r="J28" s="132"/>
      <c r="K28" s="132"/>
      <c r="L28" s="132"/>
      <c r="M28" s="132"/>
      <c r="N28" s="132"/>
      <c r="O28" s="132"/>
      <c r="P28" s="132"/>
      <c r="Q28" s="133"/>
      <c r="R28" s="134"/>
      <c r="S28" s="133"/>
      <c r="T28" s="135"/>
      <c r="U28" s="73"/>
      <c r="V28" s="133"/>
      <c r="W28" s="60"/>
    </row>
    <row r="29" spans="1:23" x14ac:dyDescent="0.25">
      <c r="A29" s="50" t="s">
        <v>122</v>
      </c>
      <c r="B29" s="75"/>
      <c r="C29" s="151"/>
      <c r="D29" s="144"/>
      <c r="E29" s="144"/>
      <c r="F29" s="145"/>
      <c r="G29" s="145"/>
      <c r="H29" s="145"/>
      <c r="I29" s="145"/>
      <c r="J29" s="145"/>
      <c r="K29" s="145"/>
      <c r="L29" s="145"/>
      <c r="M29" s="145"/>
      <c r="N29" s="145"/>
      <c r="O29" s="145"/>
      <c r="P29" s="145"/>
      <c r="Q29" s="146"/>
      <c r="R29" s="147"/>
      <c r="S29" s="146"/>
      <c r="T29" s="148"/>
      <c r="U29" s="79"/>
      <c r="V29" s="146"/>
      <c r="W29" s="81"/>
    </row>
    <row r="30" spans="1:23" x14ac:dyDescent="0.25">
      <c r="A30" t="s">
        <v>8</v>
      </c>
      <c r="B30">
        <v>1</v>
      </c>
      <c r="C30" s="131">
        <v>43830</v>
      </c>
      <c r="D30" s="132">
        <v>128.68039160525001</v>
      </c>
      <c r="E30" s="132">
        <v>3.168843444541614</v>
      </c>
      <c r="F30" s="132">
        <v>1.1326225000000001</v>
      </c>
      <c r="G30" s="132">
        <v>0.8680525</v>
      </c>
      <c r="H30" s="132">
        <v>4.109150601344461</v>
      </c>
      <c r="I30" s="132">
        <v>8.2892846330986565</v>
      </c>
      <c r="J30" s="132">
        <v>33.609462499999999</v>
      </c>
      <c r="K30" s="132">
        <v>26.273150823849999</v>
      </c>
      <c r="L30" s="132">
        <v>10.057047499999999</v>
      </c>
      <c r="M30" s="132">
        <v>0.22013975230355587</v>
      </c>
      <c r="N30" s="132">
        <v>10.4786247787</v>
      </c>
      <c r="O30" s="132">
        <v>3.4528156982999998</v>
      </c>
      <c r="P30" s="132">
        <v>27.727130743563201</v>
      </c>
      <c r="Q30" s="133">
        <v>34.440230252939422</v>
      </c>
      <c r="R30" s="134">
        <v>156244.39144173052</v>
      </c>
      <c r="S30" s="133">
        <v>-2.4514440195145637</v>
      </c>
      <c r="T30" s="135">
        <v>39.368741073795398</v>
      </c>
      <c r="U30" s="73">
        <v>2102.3697427115535</v>
      </c>
      <c r="V30" s="133">
        <v>0.32943559234240416</v>
      </c>
      <c r="W30" s="60" t="s">
        <v>8</v>
      </c>
    </row>
    <row r="31" spans="1:23" hidden="1" x14ac:dyDescent="0.25">
      <c r="A31" t="s">
        <v>7</v>
      </c>
      <c r="B31">
        <v>1</v>
      </c>
      <c r="C31" s="131">
        <v>43830</v>
      </c>
      <c r="D31" s="132">
        <v>8.8672883020499995</v>
      </c>
      <c r="E31" s="132">
        <v>1.2472207114953515</v>
      </c>
      <c r="F31" s="132">
        <v>3.0600399999999999</v>
      </c>
      <c r="G31" s="132">
        <v>1.7809225</v>
      </c>
      <c r="H31" s="132">
        <v>24.659646703168978</v>
      </c>
      <c r="I31" s="132">
        <v>-2.314120318185827</v>
      </c>
      <c r="J31" s="132">
        <v>29.94049</v>
      </c>
      <c r="K31" s="132">
        <v>11.348122795649999</v>
      </c>
      <c r="L31" s="132">
        <v>10.081860000000001</v>
      </c>
      <c r="M31" s="132">
        <v>0.1247055423528609</v>
      </c>
      <c r="N31" s="132">
        <v>6.2484519498999997</v>
      </c>
      <c r="O31" s="132">
        <v>5.0268145399000002</v>
      </c>
      <c r="P31" s="132">
        <v>30.57159364</v>
      </c>
      <c r="Q31" s="133">
        <v>0.48060376897549961</v>
      </c>
      <c r="R31" s="134">
        <v>20155.821617400001</v>
      </c>
      <c r="S31" s="133">
        <v>0.3534458418738966</v>
      </c>
      <c r="T31" s="135">
        <v>15.783742066316446</v>
      </c>
      <c r="U31" s="73">
        <v>177.84063369725001</v>
      </c>
      <c r="V31" s="133">
        <v>0.38199812279069301</v>
      </c>
      <c r="W31" s="60" t="s">
        <v>7</v>
      </c>
    </row>
    <row r="32" spans="1:23" x14ac:dyDescent="0.25">
      <c r="A32" t="s">
        <v>77</v>
      </c>
      <c r="B32">
        <v>10</v>
      </c>
      <c r="C32" s="131">
        <v>43830</v>
      </c>
      <c r="D32" s="132">
        <v>105.40974217794999</v>
      </c>
      <c r="E32" s="132">
        <v>2.895042649057654</v>
      </c>
      <c r="F32" s="132">
        <v>1.0761099999999999</v>
      </c>
      <c r="G32" s="132">
        <v>0.77362500000000001</v>
      </c>
      <c r="H32" s="132">
        <v>0.5017262215249233</v>
      </c>
      <c r="I32" s="132">
        <v>7.975957687441162</v>
      </c>
      <c r="J32" s="132">
        <v>15.0797925</v>
      </c>
      <c r="K32" s="132">
        <v>4.1536761022249999</v>
      </c>
      <c r="L32" s="132">
        <v>-4.13354</v>
      </c>
      <c r="M32" s="132">
        <v>-1.7679175354961354E-2</v>
      </c>
      <c r="N32" s="132">
        <v>-6.5355215254000001</v>
      </c>
      <c r="O32" s="132">
        <v>-2.2416502909</v>
      </c>
      <c r="P32" s="132">
        <v>-75.107669999999999</v>
      </c>
      <c r="Q32" s="133">
        <v>0.17465321563682223</v>
      </c>
      <c r="R32" s="134">
        <v>-334.8</v>
      </c>
      <c r="S32" s="133">
        <v>-2.2676500646186226</v>
      </c>
      <c r="T32" s="135">
        <v>3.6895970572056274</v>
      </c>
      <c r="U32" s="73">
        <v>312.5676666666667</v>
      </c>
      <c r="V32" s="133">
        <v>0.36741376384347313</v>
      </c>
      <c r="W32" s="60" t="s">
        <v>77</v>
      </c>
    </row>
    <row r="33" spans="1:37" x14ac:dyDescent="0.25">
      <c r="A33" t="s">
        <v>35</v>
      </c>
      <c r="B33">
        <v>0.1</v>
      </c>
      <c r="C33" s="131">
        <v>43830</v>
      </c>
      <c r="D33" s="136">
        <v>68.466087332924999</v>
      </c>
      <c r="E33" s="136">
        <v>2.0068180221261489</v>
      </c>
      <c r="F33" s="132">
        <v>2.71305</v>
      </c>
      <c r="G33" s="132">
        <v>2.6492900000000001</v>
      </c>
      <c r="H33" s="132">
        <v>0.57092505216538114</v>
      </c>
      <c r="I33" s="132">
        <v>50.713053242240036</v>
      </c>
      <c r="J33" s="132">
        <v>49.866684999999997</v>
      </c>
      <c r="K33" s="132">
        <v>40.587460026000002</v>
      </c>
      <c r="L33" s="132">
        <v>24.416002500000001</v>
      </c>
      <c r="M33" s="132">
        <v>3.5899136629555101E-2</v>
      </c>
      <c r="N33" s="132">
        <v>26.764472856200001</v>
      </c>
      <c r="O33" s="132">
        <v>13.4162432412</v>
      </c>
      <c r="P33" s="132">
        <v>15.0222</v>
      </c>
      <c r="Q33" s="133">
        <v>127.4552618697993</v>
      </c>
      <c r="R33" s="134">
        <v>8281.4174000000003</v>
      </c>
      <c r="S33" s="133">
        <v>1.6136825177305756</v>
      </c>
      <c r="T33" s="135">
        <v>3.7454142791516594</v>
      </c>
      <c r="U33" s="73">
        <v>22.807815833333333</v>
      </c>
      <c r="V33" s="133">
        <v>0.62362055409721928</v>
      </c>
      <c r="W33" s="60" t="s">
        <v>35</v>
      </c>
    </row>
    <row r="34" spans="1:37" x14ac:dyDescent="0.25">
      <c r="A34" t="s">
        <v>57</v>
      </c>
      <c r="B34">
        <v>1</v>
      </c>
      <c r="C34" s="131">
        <v>43830</v>
      </c>
      <c r="D34" s="136">
        <v>23.070043447974999</v>
      </c>
      <c r="E34" s="136">
        <v>1.5263883852302969</v>
      </c>
      <c r="F34" s="132">
        <v>0.930755</v>
      </c>
      <c r="G34" s="132">
        <v>0.91734000000000004</v>
      </c>
      <c r="H34" s="132">
        <v>0.29640417827828514</v>
      </c>
      <c r="I34" s="132">
        <v>88.303577022780431</v>
      </c>
      <c r="J34" s="132">
        <v>44.58222</v>
      </c>
      <c r="K34" s="132">
        <v>33.196803178825</v>
      </c>
      <c r="L34" s="132">
        <v>23.616045</v>
      </c>
      <c r="M34" s="132">
        <v>0.36405218901174557</v>
      </c>
      <c r="N34" s="132">
        <v>9.7076132086999998</v>
      </c>
      <c r="O34" s="132">
        <v>6.3595621368000002</v>
      </c>
      <c r="P34" s="132">
        <v>9.3365500000000008</v>
      </c>
      <c r="Q34" s="133">
        <v>0.11499897868163234</v>
      </c>
      <c r="R34" s="134">
        <v>3003.8436000000002</v>
      </c>
      <c r="S34" s="133">
        <v>-2.7535628864197985</v>
      </c>
      <c r="T34" s="135">
        <v>4.1988141285581282</v>
      </c>
      <c r="U34" s="73">
        <v>7.5767228333333332</v>
      </c>
      <c r="V34" s="133">
        <v>0.98871246951852898</v>
      </c>
      <c r="W34" s="60" t="s">
        <v>57</v>
      </c>
    </row>
    <row r="35" spans="1:37" x14ac:dyDescent="0.25">
      <c r="A35" t="s">
        <v>74</v>
      </c>
      <c r="B35">
        <v>1</v>
      </c>
      <c r="C35" s="131" t="s">
        <v>200</v>
      </c>
      <c r="D35" s="136">
        <v>73.847700136849994</v>
      </c>
      <c r="E35" s="136">
        <v>2.2494935689930848</v>
      </c>
      <c r="F35" s="132">
        <v>0.66612499999999997</v>
      </c>
      <c r="G35" s="132">
        <v>0.51156500000000005</v>
      </c>
      <c r="H35" s="132">
        <v>8.4789805504848257</v>
      </c>
      <c r="I35" s="132" t="s">
        <v>200</v>
      </c>
      <c r="J35" s="132">
        <v>7.8499150000000002</v>
      </c>
      <c r="K35" s="132">
        <v>-25.588730501099999</v>
      </c>
      <c r="L35" s="134">
        <v>-47.105894999999997</v>
      </c>
      <c r="M35" s="132">
        <v>-0.84900569279619831</v>
      </c>
      <c r="N35" s="132">
        <v>-22.0162028144</v>
      </c>
      <c r="O35" s="132">
        <v>-10.3066722522</v>
      </c>
      <c r="P35" s="132">
        <v>-0.83173757999999998</v>
      </c>
      <c r="Q35" s="133" t="s">
        <v>200</v>
      </c>
      <c r="R35" s="134">
        <v>-2631.8692369999999</v>
      </c>
      <c r="S35" s="133">
        <v>3.024852076662226</v>
      </c>
      <c r="T35" s="135">
        <v>1.2512604162582297</v>
      </c>
      <c r="U35" s="73">
        <v>2.1295531413833331</v>
      </c>
      <c r="V35" s="133">
        <v>1.1457856521010941</v>
      </c>
      <c r="W35" s="60" t="s">
        <v>74</v>
      </c>
      <c r="AJ35" t="s">
        <v>26</v>
      </c>
      <c r="AK35" s="25" t="s">
        <v>27</v>
      </c>
    </row>
    <row r="36" spans="1:37" x14ac:dyDescent="0.25">
      <c r="A36" t="s">
        <v>69</v>
      </c>
      <c r="B36">
        <v>1</v>
      </c>
      <c r="C36" s="131">
        <v>43830</v>
      </c>
      <c r="D36" s="136">
        <v>12.560097357625001</v>
      </c>
      <c r="E36" s="136">
        <v>1.5644986318715766</v>
      </c>
      <c r="F36" s="132">
        <v>1.3545974999999999</v>
      </c>
      <c r="G36" s="132">
        <v>1.0326200000000001</v>
      </c>
      <c r="H36" s="132">
        <v>0.99391773897884783</v>
      </c>
      <c r="I36" s="132">
        <v>9.3023719425284881</v>
      </c>
      <c r="J36" s="132">
        <v>7.3074750000000002</v>
      </c>
      <c r="K36" s="132">
        <v>-1.1474058587</v>
      </c>
      <c r="L36" s="132">
        <v>2.8431199999999999</v>
      </c>
      <c r="M36" s="132">
        <v>5.7653902389386544E-2</v>
      </c>
      <c r="N36" s="132">
        <v>6.0528861561999996</v>
      </c>
      <c r="O36" s="132">
        <v>3.5776413654999999</v>
      </c>
      <c r="P36" s="132">
        <v>8.8330000000000006E-2</v>
      </c>
      <c r="Q36" s="133">
        <v>2.0920632036449343</v>
      </c>
      <c r="R36" s="134">
        <v>599.21259999999995</v>
      </c>
      <c r="S36" s="133">
        <v>0.32493837676526072</v>
      </c>
      <c r="T36" s="135">
        <v>3.0871232568674269</v>
      </c>
      <c r="U36" s="73">
        <v>6.7894065000000001</v>
      </c>
      <c r="V36" s="133">
        <v>0.77659886510525999</v>
      </c>
      <c r="W36" s="60" t="s">
        <v>69</v>
      </c>
    </row>
    <row r="37" spans="1:37" x14ac:dyDescent="0.25">
      <c r="A37" t="s">
        <v>63</v>
      </c>
      <c r="B37">
        <v>10</v>
      </c>
      <c r="C37" s="131">
        <v>43830</v>
      </c>
      <c r="D37" s="136">
        <v>0</v>
      </c>
      <c r="E37" s="136">
        <v>1.4071205609467086</v>
      </c>
      <c r="F37" s="132">
        <v>1.9475125</v>
      </c>
      <c r="G37" s="132">
        <v>1.485195</v>
      </c>
      <c r="H37" s="132">
        <v>0.48289502682886937</v>
      </c>
      <c r="I37" s="132">
        <v>3.613894430431376</v>
      </c>
      <c r="J37" s="132">
        <v>48.904425000000003</v>
      </c>
      <c r="K37" s="132">
        <v>16.25873490195</v>
      </c>
      <c r="L37" s="132">
        <v>23.57376</v>
      </c>
      <c r="M37" s="132">
        <v>0.16534469036199759</v>
      </c>
      <c r="N37" s="132">
        <v>18.762623175600002</v>
      </c>
      <c r="O37" s="132">
        <v>8.7036723164000005</v>
      </c>
      <c r="P37" s="132">
        <v>8.7709999999999996E-2</v>
      </c>
      <c r="Q37" s="133">
        <v>-0.84228096806721564</v>
      </c>
      <c r="R37" s="134">
        <v>24.049621999999999</v>
      </c>
      <c r="S37" s="133">
        <v>-2.1650705578813652</v>
      </c>
      <c r="T37" s="135">
        <v>1.1405258387057728</v>
      </c>
      <c r="U37" s="73">
        <v>0.46740440333333333</v>
      </c>
      <c r="V37" s="133">
        <v>-0.11731772619704695</v>
      </c>
      <c r="W37" s="60" t="s">
        <v>63</v>
      </c>
    </row>
    <row r="38" spans="1:37" x14ac:dyDescent="0.25">
      <c r="A38" s="62" t="s">
        <v>119</v>
      </c>
      <c r="B38" s="63"/>
      <c r="C38" s="63"/>
      <c r="D38" s="138">
        <v>52.612668795078129</v>
      </c>
      <c r="E38" s="138">
        <v>2.008178246782804</v>
      </c>
      <c r="F38" s="139">
        <v>1.6101015624999999</v>
      </c>
      <c r="G38" s="139">
        <v>1.2523262499999999</v>
      </c>
      <c r="H38" s="139">
        <v>5.0117057590968219</v>
      </c>
      <c r="I38" s="139">
        <v>23.697716948619188</v>
      </c>
      <c r="J38" s="139">
        <v>29.642558125000004</v>
      </c>
      <c r="K38" s="139">
        <v>13.135226433587501</v>
      </c>
      <c r="L38" s="139">
        <v>5.4185500000000015</v>
      </c>
      <c r="M38" s="139">
        <v>1.2638793112242754E-2</v>
      </c>
      <c r="N38" s="139">
        <v>6.182868473187499</v>
      </c>
      <c r="O38" s="139">
        <v>3.4985533443750008</v>
      </c>
      <c r="P38" s="139">
        <v>0.86176335044539987</v>
      </c>
      <c r="Q38" s="140">
        <v>23.416504331658622</v>
      </c>
      <c r="R38" s="141">
        <v>23167.758380516316</v>
      </c>
      <c r="S38" s="140">
        <v>-0.54010108942529889</v>
      </c>
      <c r="T38" s="142">
        <v>9.0331522646073363</v>
      </c>
      <c r="U38" s="143">
        <v>329.06861822335668</v>
      </c>
      <c r="V38" s="140">
        <v>0.56203091170020314</v>
      </c>
      <c r="W38" s="71" t="s">
        <v>120</v>
      </c>
    </row>
    <row r="39" spans="1:37" ht="26.25" customHeight="1" x14ac:dyDescent="0.25">
      <c r="A39" s="90"/>
      <c r="B39" s="23"/>
      <c r="C39" s="23"/>
      <c r="D39" s="152"/>
      <c r="E39" s="152"/>
      <c r="F39" s="23"/>
      <c r="G39" s="23"/>
      <c r="H39" s="23"/>
      <c r="I39" s="23"/>
      <c r="J39" s="23"/>
      <c r="K39" s="23"/>
      <c r="L39" s="23"/>
      <c r="M39" s="23"/>
      <c r="N39" s="23"/>
      <c r="O39" s="23"/>
      <c r="P39" s="23"/>
      <c r="Q39" s="23"/>
      <c r="R39" s="23"/>
      <c r="S39" s="23"/>
      <c r="T39" s="23"/>
      <c r="U39" s="23"/>
      <c r="V39" s="23"/>
      <c r="W39" s="90"/>
    </row>
    <row r="40" spans="1:37" x14ac:dyDescent="0.25">
      <c r="A40" s="117" t="s">
        <v>3</v>
      </c>
      <c r="B40" s="118" t="s">
        <v>142</v>
      </c>
      <c r="C40" s="119" t="s">
        <v>143</v>
      </c>
      <c r="D40" s="153" t="s">
        <v>144</v>
      </c>
      <c r="E40" s="154"/>
      <c r="F40" s="120" t="s">
        <v>145</v>
      </c>
      <c r="G40" s="121"/>
      <c r="H40" s="120" t="s">
        <v>146</v>
      </c>
      <c r="I40" s="121"/>
      <c r="J40" s="117" t="s">
        <v>147</v>
      </c>
      <c r="K40" s="155"/>
      <c r="L40" s="155"/>
      <c r="M40" s="155"/>
      <c r="N40" s="155"/>
      <c r="O40" s="155"/>
      <c r="P40" s="155"/>
      <c r="Q40" s="155"/>
      <c r="R40" s="155"/>
      <c r="S40" s="155"/>
      <c r="T40" s="155"/>
      <c r="U40" s="155"/>
      <c r="V40" s="156"/>
      <c r="W40" s="117" t="s">
        <v>3</v>
      </c>
    </row>
    <row r="41" spans="1:37" ht="24.75" customHeight="1" x14ac:dyDescent="0.25">
      <c r="A41" s="123"/>
      <c r="B41" s="124"/>
      <c r="C41" s="125"/>
      <c r="D41" s="126" t="s">
        <v>148</v>
      </c>
      <c r="E41" s="126" t="s">
        <v>149</v>
      </c>
      <c r="F41" s="126" t="s">
        <v>150</v>
      </c>
      <c r="G41" s="126" t="s">
        <v>151</v>
      </c>
      <c r="H41" s="126" t="s">
        <v>152</v>
      </c>
      <c r="I41" s="126" t="s">
        <v>153</v>
      </c>
      <c r="J41" s="126" t="s">
        <v>154</v>
      </c>
      <c r="K41" s="126" t="s">
        <v>155</v>
      </c>
      <c r="L41" s="126" t="s">
        <v>156</v>
      </c>
      <c r="M41" s="126" t="s">
        <v>157</v>
      </c>
      <c r="N41" s="126" t="s">
        <v>158</v>
      </c>
      <c r="O41" s="126" t="s">
        <v>159</v>
      </c>
      <c r="P41" s="126" t="s">
        <v>160</v>
      </c>
      <c r="Q41" s="157" t="s">
        <v>258</v>
      </c>
      <c r="R41" s="157" t="s">
        <v>162</v>
      </c>
      <c r="S41" s="157" t="s">
        <v>163</v>
      </c>
      <c r="T41" s="157" t="s">
        <v>164</v>
      </c>
      <c r="U41" s="157" t="s">
        <v>165</v>
      </c>
      <c r="V41" s="157" t="s">
        <v>166</v>
      </c>
      <c r="W41" s="123"/>
    </row>
    <row r="42" spans="1:37" x14ac:dyDescent="0.25">
      <c r="A42" s="50" t="s">
        <v>130</v>
      </c>
      <c r="B42" s="75"/>
      <c r="C42" s="75"/>
      <c r="D42" s="75"/>
      <c r="E42" s="75"/>
      <c r="F42" s="75"/>
      <c r="G42" s="75"/>
      <c r="H42" s="75"/>
      <c r="I42" s="75"/>
      <c r="J42" s="75"/>
      <c r="K42" s="75"/>
      <c r="L42" s="75"/>
      <c r="M42" s="75"/>
      <c r="N42" s="75"/>
      <c r="O42" s="75"/>
      <c r="P42" s="75"/>
      <c r="Q42" s="75"/>
      <c r="R42" s="75"/>
      <c r="S42" s="75"/>
      <c r="T42" s="75"/>
      <c r="U42" s="75"/>
      <c r="V42" s="75"/>
      <c r="W42" s="75"/>
    </row>
    <row r="43" spans="1:37" x14ac:dyDescent="0.25">
      <c r="A43" t="s">
        <v>75</v>
      </c>
      <c r="B43">
        <v>1</v>
      </c>
      <c r="C43" s="131">
        <v>43830</v>
      </c>
      <c r="D43" s="132" t="s">
        <v>200</v>
      </c>
      <c r="E43" s="132" t="s">
        <v>200</v>
      </c>
      <c r="F43" s="60" t="s">
        <v>200</v>
      </c>
      <c r="G43" s="132" t="s">
        <v>200</v>
      </c>
      <c r="H43" s="132" t="s">
        <v>200</v>
      </c>
      <c r="I43" s="132" t="s">
        <v>200</v>
      </c>
      <c r="J43" s="132" t="s">
        <v>200</v>
      </c>
      <c r="K43" s="132" t="s">
        <v>200</v>
      </c>
      <c r="L43" s="132" t="s">
        <v>200</v>
      </c>
      <c r="M43" s="132" t="s">
        <v>200</v>
      </c>
      <c r="N43" s="132" t="s">
        <v>200</v>
      </c>
      <c r="O43" s="132" t="s">
        <v>200</v>
      </c>
      <c r="P43" s="132" t="s">
        <v>200</v>
      </c>
      <c r="Q43" s="133" t="s">
        <v>200</v>
      </c>
      <c r="R43" s="134">
        <v>11590.782333333334</v>
      </c>
      <c r="S43" s="133" t="s">
        <v>200</v>
      </c>
      <c r="T43" s="135">
        <v>0.14054251627315079</v>
      </c>
      <c r="U43" s="149" t="s">
        <v>200</v>
      </c>
      <c r="V43" s="133" t="s">
        <v>200</v>
      </c>
      <c r="W43" s="60" t="s">
        <v>75</v>
      </c>
    </row>
    <row r="44" spans="1:37" x14ac:dyDescent="0.25">
      <c r="A44" t="s">
        <v>68</v>
      </c>
      <c r="B44">
        <v>1</v>
      </c>
      <c r="C44" s="131">
        <v>43830</v>
      </c>
      <c r="D44" s="132">
        <v>42.030747645875003</v>
      </c>
      <c r="E44" s="132">
        <v>5.5752886932081838</v>
      </c>
      <c r="F44" s="60" t="s">
        <v>200</v>
      </c>
      <c r="G44" s="132" t="s">
        <v>200</v>
      </c>
      <c r="H44" s="132" t="s">
        <v>200</v>
      </c>
      <c r="I44" s="132" t="s">
        <v>200</v>
      </c>
      <c r="J44" s="132" t="s">
        <v>200</v>
      </c>
      <c r="K44" s="132">
        <v>50.555892733599997</v>
      </c>
      <c r="L44" s="132">
        <v>32.4884925</v>
      </c>
      <c r="M44" s="132" t="s">
        <v>200</v>
      </c>
      <c r="N44" s="132" t="s">
        <v>200</v>
      </c>
      <c r="O44" s="132">
        <v>10.5803885931</v>
      </c>
      <c r="P44" s="132">
        <v>63.809359999999998</v>
      </c>
      <c r="Q44" s="133">
        <v>8.1522934846933737E-3</v>
      </c>
      <c r="R44" s="134">
        <v>18603.682799999999</v>
      </c>
      <c r="S44" s="133">
        <v>0.63616618864369001</v>
      </c>
      <c r="T44" s="135">
        <v>0.51633296317732658</v>
      </c>
      <c r="U44" s="149" t="s">
        <v>200</v>
      </c>
      <c r="V44" s="133" t="s">
        <v>200</v>
      </c>
      <c r="W44" s="60" t="s">
        <v>68</v>
      </c>
    </row>
    <row r="45" spans="1:37" x14ac:dyDescent="0.25">
      <c r="A45" t="s">
        <v>26</v>
      </c>
      <c r="B45">
        <v>1</v>
      </c>
      <c r="C45" s="131">
        <v>43830</v>
      </c>
      <c r="D45" s="132">
        <v>15.609801492475</v>
      </c>
      <c r="E45" s="132">
        <v>7.6759886716167243</v>
      </c>
      <c r="F45" s="60" t="s">
        <v>200</v>
      </c>
      <c r="G45" s="132" t="s">
        <v>200</v>
      </c>
      <c r="H45" s="132" t="s">
        <v>200</v>
      </c>
      <c r="I45" s="132" t="s">
        <v>200</v>
      </c>
      <c r="J45" s="132" t="s">
        <v>200</v>
      </c>
      <c r="K45" s="132">
        <v>40.801315359375003</v>
      </c>
      <c r="L45" s="132">
        <v>32.660352500000002</v>
      </c>
      <c r="M45" s="132" t="s">
        <v>200</v>
      </c>
      <c r="N45" s="132" t="s">
        <v>200</v>
      </c>
      <c r="O45" s="132">
        <v>7.8886646026999996</v>
      </c>
      <c r="P45" s="132">
        <v>50.611530000000002</v>
      </c>
      <c r="Q45" s="133">
        <v>-0.30345303806957546</v>
      </c>
      <c r="R45" s="134">
        <v>12664.427600000001</v>
      </c>
      <c r="S45" s="133">
        <v>0.57450253624585867</v>
      </c>
      <c r="T45" s="135">
        <v>0.94182082106465792</v>
      </c>
      <c r="U45" s="149" t="s">
        <v>200</v>
      </c>
      <c r="V45" s="133" t="s">
        <v>200</v>
      </c>
      <c r="W45" s="60" t="s">
        <v>26</v>
      </c>
    </row>
    <row r="46" spans="1:37" x14ac:dyDescent="0.25">
      <c r="A46" t="s">
        <v>53</v>
      </c>
      <c r="B46">
        <v>1</v>
      </c>
      <c r="C46" s="131">
        <v>43830</v>
      </c>
      <c r="D46" s="132">
        <v>14.493067115775</v>
      </c>
      <c r="E46" s="132">
        <v>10.290203693584839</v>
      </c>
      <c r="F46" s="60" t="s">
        <v>200</v>
      </c>
      <c r="G46" s="132" t="s">
        <v>200</v>
      </c>
      <c r="H46" s="132" t="s">
        <v>200</v>
      </c>
      <c r="I46" s="132" t="s">
        <v>200</v>
      </c>
      <c r="J46" s="132" t="s">
        <v>200</v>
      </c>
      <c r="K46" s="132">
        <v>27.976787777925001</v>
      </c>
      <c r="L46" s="132">
        <v>20.463554999999999</v>
      </c>
      <c r="M46" s="132" t="s">
        <v>200</v>
      </c>
      <c r="N46" s="132" t="s">
        <v>200</v>
      </c>
      <c r="O46" s="132">
        <v>4.0157337678999996</v>
      </c>
      <c r="P46" s="132">
        <v>5.2504200000000001</v>
      </c>
      <c r="Q46" s="133">
        <v>-0.39745921218076163</v>
      </c>
      <c r="R46" s="134">
        <v>9949.9264000000003</v>
      </c>
      <c r="S46" s="133">
        <v>0.47612396493244491</v>
      </c>
      <c r="T46" s="135">
        <v>0.44993907319201981</v>
      </c>
      <c r="U46" s="149" t="s">
        <v>200</v>
      </c>
      <c r="V46" s="133" t="s">
        <v>200</v>
      </c>
      <c r="W46" s="60" t="s">
        <v>53</v>
      </c>
    </row>
    <row r="47" spans="1:37" x14ac:dyDescent="0.25">
      <c r="A47" t="s">
        <v>40</v>
      </c>
      <c r="B47">
        <v>1</v>
      </c>
      <c r="C47" s="131">
        <v>43830</v>
      </c>
      <c r="D47" s="136">
        <v>77.290128417950001</v>
      </c>
      <c r="E47" s="136">
        <v>7.0350086210004035</v>
      </c>
      <c r="F47" s="60" t="s">
        <v>200</v>
      </c>
      <c r="G47" s="132" t="s">
        <v>200</v>
      </c>
      <c r="H47" s="132" t="s">
        <v>200</v>
      </c>
      <c r="I47" s="132" t="s">
        <v>200</v>
      </c>
      <c r="J47" s="132" t="s">
        <v>200</v>
      </c>
      <c r="K47" s="132">
        <v>55.468880183025</v>
      </c>
      <c r="L47" s="132">
        <v>31.540444999999998</v>
      </c>
      <c r="M47" s="132" t="s">
        <v>200</v>
      </c>
      <c r="N47" s="132" t="s">
        <v>200</v>
      </c>
      <c r="O47" s="132">
        <v>9.6789650058000003</v>
      </c>
      <c r="P47" s="132">
        <v>24.517520000000001</v>
      </c>
      <c r="Q47" s="133">
        <v>-0.1225254877529971</v>
      </c>
      <c r="R47" s="134">
        <v>7339.2371999999996</v>
      </c>
      <c r="S47" s="133">
        <v>0.51959454617860756</v>
      </c>
      <c r="T47" s="135">
        <v>0.94480800207570803</v>
      </c>
      <c r="U47" s="149" t="s">
        <v>200</v>
      </c>
      <c r="V47" s="133" t="s">
        <v>200</v>
      </c>
      <c r="W47" s="60" t="s">
        <v>40</v>
      </c>
      <c r="AG47" t="e">
        <v>#N/A</v>
      </c>
    </row>
    <row r="48" spans="1:37" x14ac:dyDescent="0.25">
      <c r="A48" t="s">
        <v>17</v>
      </c>
      <c r="B48">
        <v>1</v>
      </c>
      <c r="C48" s="131" t="s">
        <v>200</v>
      </c>
      <c r="D48" s="136">
        <v>48.322510118475002</v>
      </c>
      <c r="E48" s="136">
        <v>3.6620873596278241</v>
      </c>
      <c r="F48" s="60">
        <v>1.2135925000000001</v>
      </c>
      <c r="G48" s="132">
        <v>1.2135925000000001</v>
      </c>
      <c r="H48" s="132" t="s">
        <v>200</v>
      </c>
      <c r="I48" s="132" t="s">
        <v>200</v>
      </c>
      <c r="J48" s="132" t="s">
        <v>200</v>
      </c>
      <c r="K48" s="132">
        <v>30.84458255845</v>
      </c>
      <c r="L48" s="132" t="s">
        <v>200</v>
      </c>
      <c r="M48" s="132" t="s">
        <v>200</v>
      </c>
      <c r="N48" s="132">
        <v>12.4417445645</v>
      </c>
      <c r="O48" s="132">
        <v>3.4504219492999999</v>
      </c>
      <c r="P48" s="132" t="s">
        <v>200</v>
      </c>
      <c r="Q48" s="133" t="s">
        <v>200</v>
      </c>
      <c r="R48" s="134">
        <v>1703.72776</v>
      </c>
      <c r="S48" s="133" t="s">
        <v>200</v>
      </c>
      <c r="T48" s="135">
        <v>1.9499843526780507</v>
      </c>
      <c r="U48" s="149">
        <v>3.0728710533333334</v>
      </c>
      <c r="V48" s="133" t="s">
        <v>200</v>
      </c>
      <c r="W48" s="60" t="s">
        <v>17</v>
      </c>
    </row>
    <row r="49" spans="1:23" x14ac:dyDescent="0.25">
      <c r="A49" t="s">
        <v>60</v>
      </c>
      <c r="B49">
        <v>1</v>
      </c>
      <c r="C49" s="131">
        <v>43830</v>
      </c>
      <c r="D49" s="136">
        <v>12.302296835975</v>
      </c>
      <c r="E49" s="136">
        <v>8.0643405546413334</v>
      </c>
      <c r="F49" s="60" t="s">
        <v>200</v>
      </c>
      <c r="G49" s="132" t="s">
        <v>200</v>
      </c>
      <c r="H49" s="132" t="s">
        <v>200</v>
      </c>
      <c r="I49" s="132" t="s">
        <v>200</v>
      </c>
      <c r="J49" s="132" t="s">
        <v>200</v>
      </c>
      <c r="K49" s="132">
        <v>6.1615767850000003</v>
      </c>
      <c r="L49" s="132">
        <v>10.513415</v>
      </c>
      <c r="M49" s="132" t="s">
        <v>200</v>
      </c>
      <c r="N49" s="132" t="s">
        <v>200</v>
      </c>
      <c r="O49" s="132">
        <v>2.1171794776000001</v>
      </c>
      <c r="P49" s="132">
        <v>1.2127600000000001</v>
      </c>
      <c r="Q49" s="133">
        <v>-0.91411305484259042</v>
      </c>
      <c r="R49" s="134">
        <v>1218.5222000000001</v>
      </c>
      <c r="S49" s="133">
        <v>0.26500010302765031</v>
      </c>
      <c r="T49" s="135">
        <v>0.64596722999096789</v>
      </c>
      <c r="U49" s="149" t="s">
        <v>200</v>
      </c>
      <c r="V49" s="133" t="s">
        <v>200</v>
      </c>
      <c r="W49" s="60" t="s">
        <v>60</v>
      </c>
    </row>
    <row r="50" spans="1:23" x14ac:dyDescent="0.25">
      <c r="A50" t="s">
        <v>47</v>
      </c>
      <c r="B50">
        <v>1</v>
      </c>
      <c r="C50" s="131">
        <v>43830</v>
      </c>
      <c r="D50" s="136">
        <v>979.27522435152503</v>
      </c>
      <c r="E50" s="136">
        <v>11.084662564773907</v>
      </c>
      <c r="F50" s="60">
        <v>0.8996575</v>
      </c>
      <c r="G50" s="132">
        <v>0.8996575</v>
      </c>
      <c r="H50" s="132">
        <v>0.12834587567868505</v>
      </c>
      <c r="I50" s="132" t="s">
        <v>200</v>
      </c>
      <c r="J50" s="132">
        <v>98.614372500000002</v>
      </c>
      <c r="K50" s="132">
        <v>61.879950569225002</v>
      </c>
      <c r="L50" s="132">
        <v>48.159237500000003</v>
      </c>
      <c r="M50" s="132">
        <v>0.36066537323968673</v>
      </c>
      <c r="N50" s="132">
        <v>70.856799881000001</v>
      </c>
      <c r="O50" s="132">
        <v>7.5085712243999998</v>
      </c>
      <c r="P50" s="132">
        <v>2.4000400000000002</v>
      </c>
      <c r="Q50" s="133">
        <v>-0.42440675560788255</v>
      </c>
      <c r="R50" s="134">
        <v>947.9384</v>
      </c>
      <c r="S50" s="133">
        <v>0.42426669527288707</v>
      </c>
      <c r="T50" s="135">
        <v>0.84776304174701644</v>
      </c>
      <c r="U50" s="149">
        <v>1.7648797249999999</v>
      </c>
      <c r="V50" s="133">
        <v>0.43757134223159566</v>
      </c>
      <c r="W50" s="60" t="s">
        <v>47</v>
      </c>
    </row>
    <row r="51" spans="1:23" x14ac:dyDescent="0.25">
      <c r="A51" s="62" t="s">
        <v>119</v>
      </c>
      <c r="B51" s="63"/>
      <c r="C51" s="150"/>
      <c r="D51" s="138">
        <v>169.90339656829286</v>
      </c>
      <c r="E51" s="138">
        <v>7.6267971654933167</v>
      </c>
      <c r="F51" s="139">
        <v>1.0566249999999999</v>
      </c>
      <c r="G51" s="139">
        <v>1.0566249999999999</v>
      </c>
      <c r="H51" s="139">
        <v>0.12834587567868505</v>
      </c>
      <c r="I51" s="139" t="s">
        <v>200</v>
      </c>
      <c r="J51" s="139">
        <v>98.614372500000002</v>
      </c>
      <c r="K51" s="139">
        <v>39.098426566657132</v>
      </c>
      <c r="L51" s="139">
        <v>29.304249583333331</v>
      </c>
      <c r="M51" s="139">
        <v>0.36066537323968673</v>
      </c>
      <c r="N51" s="139">
        <v>41.64927222275</v>
      </c>
      <c r="O51" s="139">
        <v>6.4628463743999998</v>
      </c>
      <c r="P51" s="139">
        <v>24.633604999999999</v>
      </c>
      <c r="Q51" s="140">
        <v>-0.35896754249485224</v>
      </c>
      <c r="R51" s="141">
        <v>8002.2805866666677</v>
      </c>
      <c r="S51" s="142">
        <v>0.48260900571685644</v>
      </c>
      <c r="T51" s="142">
        <v>0.80464475002486224</v>
      </c>
      <c r="U51" s="158">
        <v>2.4188753891666668</v>
      </c>
      <c r="V51" s="140">
        <v>0.43757134223159566</v>
      </c>
      <c r="W51" s="71" t="s">
        <v>120</v>
      </c>
    </row>
    <row r="52" spans="1:23" ht="6.75" customHeight="1" x14ac:dyDescent="0.25">
      <c r="C52" s="131"/>
      <c r="D52" s="136"/>
      <c r="E52" s="136"/>
      <c r="F52" s="60"/>
      <c r="Q52" s="135"/>
      <c r="R52" s="134"/>
      <c r="S52" s="135"/>
      <c r="T52" s="135"/>
      <c r="U52" s="159"/>
      <c r="V52" s="133"/>
      <c r="W52" s="60"/>
    </row>
    <row r="53" spans="1:23" x14ac:dyDescent="0.25">
      <c r="A53" s="50" t="s">
        <v>131</v>
      </c>
      <c r="B53" s="75"/>
      <c r="C53" s="151"/>
      <c r="D53" s="144"/>
      <c r="E53" s="144"/>
      <c r="F53" s="81"/>
      <c r="G53" s="75"/>
      <c r="H53" s="75"/>
      <c r="I53" s="75"/>
      <c r="J53" s="75"/>
      <c r="K53" s="75"/>
      <c r="L53" s="75"/>
      <c r="M53" s="75"/>
      <c r="N53" s="75"/>
      <c r="O53" s="75"/>
      <c r="P53" s="75"/>
      <c r="Q53" s="148"/>
      <c r="R53" s="147"/>
      <c r="S53" s="148"/>
      <c r="T53" s="148"/>
      <c r="U53" s="160"/>
      <c r="V53" s="146"/>
      <c r="W53" s="81"/>
    </row>
    <row r="54" spans="1:23" x14ac:dyDescent="0.25">
      <c r="A54" t="s">
        <v>32</v>
      </c>
      <c r="B54">
        <v>1</v>
      </c>
      <c r="C54" s="131">
        <v>43830</v>
      </c>
      <c r="D54" s="136">
        <v>0</v>
      </c>
      <c r="E54" s="136">
        <v>1.9531124936863067</v>
      </c>
      <c r="F54" s="60">
        <v>1.2469425000000001</v>
      </c>
      <c r="G54" s="132">
        <v>1.2469425000000001</v>
      </c>
      <c r="H54" s="132">
        <v>0.51525135479266504</v>
      </c>
      <c r="I54" s="132" t="s">
        <v>200</v>
      </c>
      <c r="J54" s="132">
        <v>44.541342499999999</v>
      </c>
      <c r="K54" s="132">
        <v>36.659623080750002</v>
      </c>
      <c r="L54" s="132">
        <v>-61.702114999999999</v>
      </c>
      <c r="M54" s="132">
        <v>-0.81213739114099748</v>
      </c>
      <c r="N54" s="149">
        <v>-31.903324015199999</v>
      </c>
      <c r="O54" s="149">
        <v>-16.481734551599999</v>
      </c>
      <c r="P54" s="149">
        <v>-37.1877</v>
      </c>
      <c r="Q54" s="133">
        <v>1.0187711112302305</v>
      </c>
      <c r="R54" s="134">
        <v>1248.6068419999999</v>
      </c>
      <c r="S54" s="133">
        <v>-3.8460783896999828</v>
      </c>
      <c r="T54" s="135">
        <v>23.322927336230538</v>
      </c>
      <c r="U54" s="149">
        <v>4.1636701650000001</v>
      </c>
      <c r="V54" s="133">
        <v>0.54322952183268503</v>
      </c>
      <c r="W54" s="60" t="s">
        <v>32</v>
      </c>
    </row>
    <row r="55" spans="1:23" x14ac:dyDescent="0.25">
      <c r="A55" t="s">
        <v>22</v>
      </c>
      <c r="B55">
        <v>1</v>
      </c>
      <c r="C55" s="131">
        <v>43830</v>
      </c>
      <c r="D55" s="132">
        <v>0</v>
      </c>
      <c r="E55" s="132">
        <v>1.8185689922466231</v>
      </c>
      <c r="F55" s="60">
        <v>1.4638325000000001</v>
      </c>
      <c r="G55" s="132">
        <v>1.4545524999999999</v>
      </c>
      <c r="H55" s="132">
        <v>0.49484970052530663</v>
      </c>
      <c r="I55" s="132">
        <v>114.5403250267053</v>
      </c>
      <c r="J55" s="132">
        <v>42.475299999999997</v>
      </c>
      <c r="K55" s="132">
        <v>-55.231326201350001</v>
      </c>
      <c r="L55" s="132">
        <v>-27.205414999999999</v>
      </c>
      <c r="M55" s="132">
        <v>-0.45456506776445355</v>
      </c>
      <c r="N55" s="149">
        <v>-10.3738964063</v>
      </c>
      <c r="O55" s="149">
        <v>-5.7715378510999997</v>
      </c>
      <c r="P55" s="132">
        <v>-4.4541399999999998</v>
      </c>
      <c r="Q55" s="133">
        <v>1.4904306112878332</v>
      </c>
      <c r="R55" s="134">
        <v>1740.570174</v>
      </c>
      <c r="S55" s="133">
        <v>-2.9067678865234043</v>
      </c>
      <c r="T55" s="135">
        <v>28.018413284501065</v>
      </c>
      <c r="U55" s="149">
        <v>2.7622994583333336</v>
      </c>
      <c r="V55" s="133">
        <v>0.53905711093099762</v>
      </c>
      <c r="W55" s="60" t="s">
        <v>22</v>
      </c>
    </row>
    <row r="56" spans="1:23" x14ac:dyDescent="0.25">
      <c r="A56" t="s">
        <v>281</v>
      </c>
      <c r="B56">
        <v>1</v>
      </c>
      <c r="C56" s="131">
        <v>43373</v>
      </c>
      <c r="D56" s="132">
        <v>8.6555723305000001</v>
      </c>
      <c r="E56" s="132">
        <v>2.4292571789476152</v>
      </c>
      <c r="F56" s="60">
        <v>1.3680425000000001</v>
      </c>
      <c r="G56" s="132">
        <v>1.3652025000000001</v>
      </c>
      <c r="H56" s="132">
        <v>1.6442539658697903</v>
      </c>
      <c r="I56" s="134">
        <v>1683.8744169687168</v>
      </c>
      <c r="J56" s="132">
        <v>14.7960425</v>
      </c>
      <c r="K56" s="132">
        <v>3.9666696699999999</v>
      </c>
      <c r="L56" s="132">
        <v>10.799765000000001</v>
      </c>
      <c r="M56" s="132">
        <v>0.10080054472701099</v>
      </c>
      <c r="N56" s="132">
        <v>44.637354213999998</v>
      </c>
      <c r="O56" s="132">
        <v>16.964490043000001</v>
      </c>
      <c r="P56" s="132">
        <v>1.70584</v>
      </c>
      <c r="Q56" s="133">
        <v>-0.12045653327215633</v>
      </c>
      <c r="R56" s="134">
        <v>124.71554999999999</v>
      </c>
      <c r="S56" s="133">
        <v>0.57240400331137442</v>
      </c>
      <c r="T56" s="135">
        <v>0.64403721214950937</v>
      </c>
      <c r="U56" s="149">
        <v>1.11107114</v>
      </c>
      <c r="V56" s="133">
        <v>0.38923721855072091</v>
      </c>
      <c r="W56" s="60" t="s">
        <v>281</v>
      </c>
    </row>
    <row r="57" spans="1:23" x14ac:dyDescent="0.25">
      <c r="A57" t="s">
        <v>20</v>
      </c>
      <c r="B57">
        <v>1</v>
      </c>
      <c r="C57" s="131">
        <v>43738</v>
      </c>
      <c r="D57" s="132">
        <v>2.4324228500000001E-3</v>
      </c>
      <c r="E57" s="132">
        <v>1.1182930371358686</v>
      </c>
      <c r="F57" s="60">
        <v>2.3363874999999998</v>
      </c>
      <c r="G57" s="132">
        <v>1.3433075000000001</v>
      </c>
      <c r="H57" s="132">
        <v>0.28717224834230215</v>
      </c>
      <c r="I57" s="132">
        <v>0.46480337925600157</v>
      </c>
      <c r="J57" s="132">
        <v>42.231412499999998</v>
      </c>
      <c r="K57" s="134">
        <v>63.913914364199996</v>
      </c>
      <c r="L57" s="134">
        <v>24.464927500000002</v>
      </c>
      <c r="M57" s="132">
        <v>-1.2480534616187504</v>
      </c>
      <c r="N57" s="132">
        <v>3.7653094445000002</v>
      </c>
      <c r="O57" s="132">
        <v>3.4506109980000002</v>
      </c>
      <c r="P57" s="132">
        <v>0.62934000000000001</v>
      </c>
      <c r="Q57" s="133">
        <v>-0.58597220071024603</v>
      </c>
      <c r="R57" s="134">
        <v>112.60883800000001</v>
      </c>
      <c r="S57" s="133">
        <v>0.47590187047384491</v>
      </c>
      <c r="T57" s="135">
        <v>4.7723423291916758</v>
      </c>
      <c r="U57" s="149">
        <v>0.15221784333333335</v>
      </c>
      <c r="V57" s="133">
        <v>0.62299811363788149</v>
      </c>
      <c r="W57" s="60" t="s">
        <v>20</v>
      </c>
    </row>
    <row r="58" spans="1:23" x14ac:dyDescent="0.25">
      <c r="A58" t="s">
        <v>39</v>
      </c>
      <c r="B58">
        <v>1</v>
      </c>
      <c r="C58" s="131">
        <v>43830</v>
      </c>
      <c r="D58" s="136">
        <v>28.919363480575001</v>
      </c>
      <c r="E58" s="136">
        <v>1.7021365177926002</v>
      </c>
      <c r="F58" s="60">
        <v>2.6672475000000002</v>
      </c>
      <c r="G58" s="132">
        <v>1.2224649999999999</v>
      </c>
      <c r="H58" s="132">
        <v>0.91756825469757686</v>
      </c>
      <c r="I58" s="132">
        <v>0.7329239051589802</v>
      </c>
      <c r="J58" s="132">
        <v>31.9838825</v>
      </c>
      <c r="K58" s="132">
        <v>6.0307762756500001</v>
      </c>
      <c r="L58" s="132">
        <v>1.7942324999999999</v>
      </c>
      <c r="M58" s="132">
        <v>2.7977249710555742E-2</v>
      </c>
      <c r="N58" s="132">
        <v>3.2670494865999999</v>
      </c>
      <c r="O58" s="132">
        <v>1.9494047265000001</v>
      </c>
      <c r="P58" s="132">
        <v>1.7389999999999999E-2</v>
      </c>
      <c r="Q58" s="133">
        <v>16.932830602949728</v>
      </c>
      <c r="R58" s="134">
        <v>26.666333999999999</v>
      </c>
      <c r="S58" s="133">
        <v>-0.19802981747621262</v>
      </c>
      <c r="T58" s="135">
        <v>1.381340277415354</v>
      </c>
      <c r="U58" s="149">
        <v>2.6590602983333333</v>
      </c>
      <c r="V58" s="133">
        <v>0.30755177110682674</v>
      </c>
      <c r="W58" s="60" t="s">
        <v>39</v>
      </c>
    </row>
    <row r="59" spans="1:23" x14ac:dyDescent="0.25">
      <c r="A59" t="s">
        <v>44</v>
      </c>
      <c r="B59">
        <v>0.1</v>
      </c>
      <c r="C59" s="131">
        <v>43646</v>
      </c>
      <c r="D59" s="136">
        <v>16.943231493599999</v>
      </c>
      <c r="E59" s="136">
        <v>4.0292008778918573</v>
      </c>
      <c r="F59" s="60">
        <v>1.2713525000000001</v>
      </c>
      <c r="G59" s="132">
        <v>1.2018475</v>
      </c>
      <c r="H59" s="132">
        <v>1.9182035871388545</v>
      </c>
      <c r="I59" s="132">
        <v>38.361836449976956</v>
      </c>
      <c r="J59" s="132">
        <v>12.201695000000001</v>
      </c>
      <c r="K59" s="132">
        <v>3.637508370925</v>
      </c>
      <c r="L59" s="132">
        <v>-0.94229750000000001</v>
      </c>
      <c r="M59" s="132">
        <v>-8.2834571812142634E-3</v>
      </c>
      <c r="N59" s="132">
        <v>-9.5809209071999994</v>
      </c>
      <c r="O59" s="132">
        <v>-2.6339417119999999</v>
      </c>
      <c r="P59" s="132">
        <v>-1.9259299999999999</v>
      </c>
      <c r="Q59" s="133">
        <v>2.0252849406833802</v>
      </c>
      <c r="R59" s="134">
        <v>10.858779999999999</v>
      </c>
      <c r="S59" s="133">
        <v>-2.3153508113959518</v>
      </c>
      <c r="T59" s="135">
        <v>2.949096722330502</v>
      </c>
      <c r="U59" s="149">
        <v>1.9302820683333333</v>
      </c>
      <c r="V59" s="133">
        <v>0.308037737066859</v>
      </c>
      <c r="W59" s="60" t="s">
        <v>44</v>
      </c>
    </row>
    <row r="60" spans="1:23" x14ac:dyDescent="0.25">
      <c r="A60" t="s">
        <v>52</v>
      </c>
      <c r="B60">
        <v>1</v>
      </c>
      <c r="C60" s="131">
        <v>43830</v>
      </c>
      <c r="D60" s="136">
        <v>68.022518669649997</v>
      </c>
      <c r="E60" s="136">
        <v>2.5864948801555654</v>
      </c>
      <c r="F60" s="60">
        <v>1.3223149999999999</v>
      </c>
      <c r="G60" s="132">
        <v>0.84664249999999996</v>
      </c>
      <c r="H60" s="132">
        <v>1.1696409520656259</v>
      </c>
      <c r="I60" s="132">
        <v>3.1276541414624957</v>
      </c>
      <c r="J60" s="132">
        <v>22.056897500000002</v>
      </c>
      <c r="K60" s="132">
        <v>2.8515449525999998</v>
      </c>
      <c r="L60" s="132">
        <v>-16.442812499999999</v>
      </c>
      <c r="M60" s="132">
        <v>-6.2621012342745141E-2</v>
      </c>
      <c r="N60" s="132">
        <v>-14.2306009775</v>
      </c>
      <c r="O60" s="132">
        <v>-6.3444284102999999</v>
      </c>
      <c r="P60" s="132">
        <v>-0.60126000000000002</v>
      </c>
      <c r="Q60" s="133">
        <v>-3.537197183700036E-2</v>
      </c>
      <c r="R60" s="134">
        <v>-9.4271279999999997</v>
      </c>
      <c r="S60" s="133">
        <v>-2.9148993730668433</v>
      </c>
      <c r="T60" s="135">
        <v>3.5019327011580201</v>
      </c>
      <c r="U60" s="149">
        <v>0.91760946499999996</v>
      </c>
      <c r="V60" s="133">
        <v>0.44220742439644867</v>
      </c>
      <c r="W60" s="60" t="s">
        <v>52</v>
      </c>
    </row>
    <row r="61" spans="1:23" x14ac:dyDescent="0.25">
      <c r="A61" t="s">
        <v>23</v>
      </c>
      <c r="B61">
        <v>0.1</v>
      </c>
      <c r="C61" s="131">
        <v>43830</v>
      </c>
      <c r="D61" s="136">
        <v>49.6539758957</v>
      </c>
      <c r="E61" s="136">
        <v>9.7286675916651451</v>
      </c>
      <c r="F61" s="60">
        <v>1.3127200000000001</v>
      </c>
      <c r="G61" s="132">
        <v>0.96633250000000004</v>
      </c>
      <c r="H61" s="132" t="s">
        <v>200</v>
      </c>
      <c r="I61" s="132" t="s">
        <v>200</v>
      </c>
      <c r="J61" s="132" t="s">
        <v>200</v>
      </c>
      <c r="K61" s="132">
        <v>5.4448762103249999</v>
      </c>
      <c r="L61" s="132" t="s">
        <v>200</v>
      </c>
      <c r="M61" s="132" t="s">
        <v>200</v>
      </c>
      <c r="N61" s="132">
        <v>-97.904203600399995</v>
      </c>
      <c r="O61" s="132">
        <v>-15.821216895699999</v>
      </c>
      <c r="P61" s="132" t="s">
        <v>200</v>
      </c>
      <c r="Q61" s="133">
        <v>1.1387901024686569</v>
      </c>
      <c r="R61" s="134">
        <v>-72.51876</v>
      </c>
      <c r="S61" s="133">
        <v>-2.238975150369785</v>
      </c>
      <c r="T61" s="135">
        <v>1.3583602084688031</v>
      </c>
      <c r="U61" s="149">
        <v>1.2001805999999999</v>
      </c>
      <c r="V61" s="133">
        <v>0.24029629972860067</v>
      </c>
      <c r="W61" s="60" t="s">
        <v>23</v>
      </c>
    </row>
    <row r="62" spans="1:23" x14ac:dyDescent="0.25">
      <c r="A62" t="s">
        <v>14</v>
      </c>
      <c r="B62">
        <v>1</v>
      </c>
      <c r="C62" s="131">
        <v>43830</v>
      </c>
      <c r="D62" s="136">
        <v>18.92696312835</v>
      </c>
      <c r="E62" s="136">
        <v>11.223307172555888</v>
      </c>
      <c r="F62" s="60">
        <v>1.1732075</v>
      </c>
      <c r="G62" s="132">
        <v>0.92168249999999996</v>
      </c>
      <c r="H62" s="132">
        <v>1.0589131592710619</v>
      </c>
      <c r="I62" s="132">
        <v>3.9601305051820122</v>
      </c>
      <c r="J62" s="132">
        <v>22.881084999999999</v>
      </c>
      <c r="K62" s="132">
        <v>5.4949082073250004</v>
      </c>
      <c r="L62" s="132">
        <v>5.1229725000000004</v>
      </c>
      <c r="M62" s="132">
        <v>5.1401892467724773E-2</v>
      </c>
      <c r="N62" s="132">
        <v>61.229777321999997</v>
      </c>
      <c r="O62" s="132">
        <v>5.4799253217999997</v>
      </c>
      <c r="P62" s="132">
        <v>3.5661900000000002</v>
      </c>
      <c r="Q62" s="133">
        <v>-8.0907397130212555E-2</v>
      </c>
      <c r="R62" s="134">
        <v>18.661324</v>
      </c>
      <c r="S62" s="133">
        <v>0.19633494989776312</v>
      </c>
      <c r="T62" s="135">
        <v>0.77815718910608056</v>
      </c>
      <c r="U62" s="149">
        <v>0.39797605166666666</v>
      </c>
      <c r="V62" s="133">
        <v>0.40721836309013781</v>
      </c>
      <c r="W62" s="60" t="s">
        <v>14</v>
      </c>
    </row>
    <row r="63" spans="1:23" x14ac:dyDescent="0.25">
      <c r="A63" t="s">
        <v>38</v>
      </c>
      <c r="B63">
        <v>1</v>
      </c>
      <c r="C63" s="131">
        <v>43738</v>
      </c>
      <c r="D63" s="136" t="s">
        <v>200</v>
      </c>
      <c r="E63" s="136">
        <v>-5.9753118542591077E-2</v>
      </c>
      <c r="F63" s="60">
        <v>0.13903750000000001</v>
      </c>
      <c r="G63" s="132">
        <v>0.13903750000000001</v>
      </c>
      <c r="H63" s="132" t="s">
        <v>200</v>
      </c>
      <c r="I63" s="132" t="s">
        <v>200</v>
      </c>
      <c r="J63" s="132" t="s">
        <v>200</v>
      </c>
      <c r="K63" s="132" t="s">
        <v>200</v>
      </c>
      <c r="L63" s="132" t="s">
        <v>200</v>
      </c>
      <c r="M63" s="132" t="s">
        <v>200</v>
      </c>
      <c r="N63" s="132" t="s">
        <v>200</v>
      </c>
      <c r="O63" s="149">
        <v>323.4428385814</v>
      </c>
      <c r="P63" s="132">
        <v>1.8639300000000001</v>
      </c>
      <c r="Q63" s="133">
        <v>-2.2238925047239135</v>
      </c>
      <c r="R63" s="134">
        <v>-2.0933320000000002</v>
      </c>
      <c r="S63" s="133">
        <v>0.21686689895509814</v>
      </c>
      <c r="T63" s="135">
        <v>1.1476367561435548</v>
      </c>
      <c r="U63" s="149">
        <v>0</v>
      </c>
      <c r="V63" s="133" t="s">
        <v>200</v>
      </c>
      <c r="W63" s="60" t="s">
        <v>38</v>
      </c>
    </row>
    <row r="64" spans="1:23" x14ac:dyDescent="0.25">
      <c r="A64" s="62" t="s">
        <v>119</v>
      </c>
      <c r="B64" s="63"/>
      <c r="C64" s="150"/>
      <c r="D64" s="138">
        <v>21.236006380136111</v>
      </c>
      <c r="E64" s="138">
        <v>3.6529285623534875</v>
      </c>
      <c r="F64" s="139">
        <v>1.4301085</v>
      </c>
      <c r="G64" s="139">
        <v>1.0708012499999999</v>
      </c>
      <c r="H64" s="139">
        <v>1.000731652837898</v>
      </c>
      <c r="I64" s="158">
        <v>263.58029862520829</v>
      </c>
      <c r="J64" s="158">
        <v>29.145957187499995</v>
      </c>
      <c r="K64" s="158">
        <v>8.0853883256027768</v>
      </c>
      <c r="L64" s="141">
        <v>-8.0138428125000001</v>
      </c>
      <c r="M64" s="139">
        <v>-0.30068508789285864</v>
      </c>
      <c r="N64" s="139">
        <v>-5.6770506043888886</v>
      </c>
      <c r="O64" s="139">
        <v>30.423441024999999</v>
      </c>
      <c r="P64" s="139">
        <v>-4.0429266666666672</v>
      </c>
      <c r="Q64" s="161">
        <v>1.9559506760946301</v>
      </c>
      <c r="R64" s="141">
        <v>319.8648622</v>
      </c>
      <c r="S64" s="142">
        <v>-1.2958593705894099</v>
      </c>
      <c r="T64" s="142">
        <v>6.7874244016695098</v>
      </c>
      <c r="U64" s="158">
        <v>1.5294367090000001</v>
      </c>
      <c r="V64" s="140">
        <v>0.42220372892679531</v>
      </c>
      <c r="W64" s="71" t="s">
        <v>120</v>
      </c>
    </row>
    <row r="65" spans="1:23" ht="7.5" customHeight="1" x14ac:dyDescent="0.25">
      <c r="C65" s="131"/>
      <c r="D65" s="136"/>
      <c r="E65" s="136"/>
      <c r="F65" s="60"/>
      <c r="Q65" s="135"/>
      <c r="R65" s="134"/>
      <c r="S65" s="135"/>
      <c r="T65" s="135"/>
      <c r="U65" s="159"/>
      <c r="V65" s="133"/>
      <c r="W65" s="60"/>
    </row>
    <row r="66" spans="1:23" x14ac:dyDescent="0.25">
      <c r="A66" s="50" t="s">
        <v>132</v>
      </c>
      <c r="B66" s="75"/>
      <c r="C66" s="151"/>
      <c r="D66" s="144"/>
      <c r="E66" s="144"/>
      <c r="F66" s="81"/>
      <c r="G66" s="75"/>
      <c r="H66" s="75"/>
      <c r="I66" s="75"/>
      <c r="J66" s="75"/>
      <c r="K66" s="75"/>
      <c r="L66" s="75"/>
      <c r="M66" s="75"/>
      <c r="N66" s="75"/>
      <c r="O66" s="75"/>
      <c r="P66" s="75"/>
      <c r="Q66" s="148"/>
      <c r="R66" s="147"/>
      <c r="S66" s="148"/>
      <c r="T66" s="148"/>
      <c r="U66" s="160"/>
      <c r="V66" s="146"/>
      <c r="W66" s="81"/>
    </row>
    <row r="67" spans="1:23" x14ac:dyDescent="0.25">
      <c r="A67" t="s">
        <v>42</v>
      </c>
      <c r="B67">
        <v>1</v>
      </c>
      <c r="C67" s="131">
        <v>43830</v>
      </c>
      <c r="D67" s="136" t="s">
        <v>200</v>
      </c>
      <c r="E67" s="136">
        <v>13.295738727642712</v>
      </c>
      <c r="F67" s="60">
        <v>1.7575025</v>
      </c>
      <c r="G67" s="132">
        <v>1.7438374999999999</v>
      </c>
      <c r="H67" s="132">
        <v>0.16398518434236514</v>
      </c>
      <c r="I67" s="132">
        <v>44.699221988158172</v>
      </c>
      <c r="J67" s="132">
        <v>38.235922500000001</v>
      </c>
      <c r="K67" s="132">
        <v>11.297663326</v>
      </c>
      <c r="L67" s="132">
        <v>-44.598394999999996</v>
      </c>
      <c r="M67" s="132">
        <v>-0.37066191821196121</v>
      </c>
      <c r="N67" s="132">
        <v>-97.739516076399994</v>
      </c>
      <c r="O67" s="132">
        <v>-6.9362320400000002</v>
      </c>
      <c r="P67" s="132">
        <v>-64.907499999999999</v>
      </c>
      <c r="Q67" s="133">
        <v>0.63077273071964812</v>
      </c>
      <c r="R67" s="134">
        <v>-11951.2</v>
      </c>
      <c r="S67" s="133">
        <v>1.1929222946008697</v>
      </c>
      <c r="T67" s="135">
        <v>3.7258555023533346</v>
      </c>
      <c r="U67" s="149">
        <v>34.570695999999998</v>
      </c>
      <c r="V67" s="133">
        <v>0.89630496611275889</v>
      </c>
      <c r="W67" s="60" t="s">
        <v>42</v>
      </c>
    </row>
    <row r="68" spans="1:23" x14ac:dyDescent="0.25">
      <c r="A68" t="s">
        <v>18</v>
      </c>
      <c r="B68">
        <v>1</v>
      </c>
      <c r="C68" s="131">
        <v>43830</v>
      </c>
      <c r="D68" s="132" t="s">
        <v>200</v>
      </c>
      <c r="E68" s="132">
        <v>2.1111032063461117</v>
      </c>
      <c r="F68" s="60">
        <v>2.8881424999999998</v>
      </c>
      <c r="G68" s="132">
        <v>2.88253</v>
      </c>
      <c r="H68" s="132">
        <v>0.12521685297692331</v>
      </c>
      <c r="I68" s="132" t="s">
        <v>200</v>
      </c>
      <c r="J68" s="132">
        <v>67.514122499999999</v>
      </c>
      <c r="K68" s="132">
        <v>51.869360178625001</v>
      </c>
      <c r="L68" s="132">
        <v>-106.512305</v>
      </c>
      <c r="M68" s="132">
        <v>-1.1997170221658602</v>
      </c>
      <c r="N68" s="132">
        <v>-30.3877664153</v>
      </c>
      <c r="O68" s="132">
        <v>-14.7641810162</v>
      </c>
      <c r="P68" s="132">
        <v>-107.50022</v>
      </c>
      <c r="Q68" s="133">
        <v>-2.170349981532437</v>
      </c>
      <c r="R68" s="134">
        <v>-284.58539999999999</v>
      </c>
      <c r="S68" s="133">
        <v>-3.167417082175477</v>
      </c>
      <c r="T68" s="135">
        <v>3.2205027847953098</v>
      </c>
      <c r="U68" s="149">
        <v>5.7986700000000004</v>
      </c>
      <c r="V68" s="133">
        <v>0.36926952497872101</v>
      </c>
      <c r="W68" s="60" t="s">
        <v>18</v>
      </c>
    </row>
    <row r="69" spans="1:23" x14ac:dyDescent="0.25">
      <c r="A69" t="s">
        <v>59</v>
      </c>
      <c r="B69">
        <v>0.1</v>
      </c>
      <c r="C69" s="131">
        <v>43830</v>
      </c>
      <c r="D69" s="132" t="s">
        <v>200</v>
      </c>
      <c r="E69" s="132">
        <v>28.304074349824138</v>
      </c>
      <c r="F69" s="60">
        <v>1.58646</v>
      </c>
      <c r="G69" s="132">
        <v>1.5001724999999999</v>
      </c>
      <c r="H69" s="132">
        <v>0.18407542323070336</v>
      </c>
      <c r="I69" s="132">
        <v>7.9422891681859848</v>
      </c>
      <c r="J69" s="132">
        <v>33.997140000000002</v>
      </c>
      <c r="K69" s="132">
        <v>12.283490298</v>
      </c>
      <c r="L69" s="132">
        <v>-33.087955000000001</v>
      </c>
      <c r="M69" s="132">
        <v>-0.34202564329992413</v>
      </c>
      <c r="N69" s="132">
        <v>-170.93831973619999</v>
      </c>
      <c r="O69" s="132">
        <v>-7.3651716720999998</v>
      </c>
      <c r="P69" s="132">
        <v>-75.814859999999996</v>
      </c>
      <c r="Q69" s="133">
        <v>0.90265804597701149</v>
      </c>
      <c r="R69" s="134">
        <v>-13235.6</v>
      </c>
      <c r="S69" s="133">
        <v>0.84957262871181993</v>
      </c>
      <c r="T69" s="135">
        <v>15.625498817583834</v>
      </c>
      <c r="U69" s="149">
        <v>40.955969333333336</v>
      </c>
      <c r="V69" s="133">
        <v>0.78171018863811703</v>
      </c>
      <c r="W69" s="60" t="s">
        <v>59</v>
      </c>
    </row>
    <row r="70" spans="1:23" x14ac:dyDescent="0.25">
      <c r="A70" t="s">
        <v>55</v>
      </c>
      <c r="B70">
        <v>1</v>
      </c>
      <c r="C70" s="131">
        <v>43738</v>
      </c>
      <c r="D70" s="132" t="s">
        <v>200</v>
      </c>
      <c r="E70" s="132">
        <v>1.7998865721645145</v>
      </c>
      <c r="F70" s="60">
        <v>3.9094975000000001</v>
      </c>
      <c r="G70" s="132">
        <v>1.9388375</v>
      </c>
      <c r="H70" s="132">
        <v>7.7890268314307273E-2</v>
      </c>
      <c r="I70" s="132">
        <v>6.3972451076971533</v>
      </c>
      <c r="J70" s="132">
        <v>54.461235000000002</v>
      </c>
      <c r="K70" s="132">
        <v>-2.5243725585000001</v>
      </c>
      <c r="L70" s="132">
        <v>-26.482187499999998</v>
      </c>
      <c r="M70" s="132">
        <v>-0.30338687669715353</v>
      </c>
      <c r="N70" s="132">
        <v>-7.9856886718000002</v>
      </c>
      <c r="O70" s="132">
        <v>-2.3390909412999998</v>
      </c>
      <c r="P70" s="132">
        <v>-3.9113099999999998</v>
      </c>
      <c r="Q70" s="133">
        <v>2.4513347399321166</v>
      </c>
      <c r="R70" s="134">
        <v>1278.2256</v>
      </c>
      <c r="S70" s="133">
        <v>0.79341448917564339</v>
      </c>
      <c r="T70" s="135">
        <v>4.2662479307272916</v>
      </c>
      <c r="U70" s="149">
        <v>5.2407336666666673</v>
      </c>
      <c r="V70" s="133">
        <v>1.6172100124711051</v>
      </c>
      <c r="W70" s="60" t="s">
        <v>55</v>
      </c>
    </row>
    <row r="71" spans="1:23" x14ac:dyDescent="0.25">
      <c r="A71" s="62" t="s">
        <v>119</v>
      </c>
      <c r="B71" s="63"/>
      <c r="C71" s="150"/>
      <c r="D71" s="138" t="s">
        <v>200</v>
      </c>
      <c r="E71" s="138">
        <v>11.37770071399437</v>
      </c>
      <c r="F71" s="139">
        <v>2.5354006249999999</v>
      </c>
      <c r="G71" s="139">
        <v>2.0163443750000001</v>
      </c>
      <c r="H71" s="139">
        <v>0.13779193221607478</v>
      </c>
      <c r="I71" s="139">
        <v>19.679585421347102</v>
      </c>
      <c r="J71" s="139">
        <v>48.552104999999997</v>
      </c>
      <c r="K71" s="139">
        <v>18.231535311031248</v>
      </c>
      <c r="L71" s="139">
        <v>-52.670210625000003</v>
      </c>
      <c r="M71" s="139">
        <v>-0.55394786509372484</v>
      </c>
      <c r="N71" s="139">
        <v>-76.762822724924987</v>
      </c>
      <c r="O71" s="139">
        <v>-7.8511689173999999</v>
      </c>
      <c r="P71" s="139">
        <v>-63.033472499999995</v>
      </c>
      <c r="Q71" s="140">
        <v>0.45360388377408484</v>
      </c>
      <c r="R71" s="141">
        <v>-6048.2899499999994</v>
      </c>
      <c r="S71" s="142">
        <v>-8.2876917421785989E-2</v>
      </c>
      <c r="T71" s="142">
        <v>6.7095262588649431</v>
      </c>
      <c r="U71" s="158">
        <v>21.64151725</v>
      </c>
      <c r="V71" s="140">
        <v>0.9161236730501755</v>
      </c>
      <c r="W71" s="71" t="s">
        <v>120</v>
      </c>
    </row>
    <row r="72" spans="1:23" ht="5.25" customHeight="1" x14ac:dyDescent="0.25">
      <c r="C72" s="131"/>
      <c r="D72" s="136"/>
      <c r="E72" s="136"/>
      <c r="F72" s="60"/>
      <c r="Q72" s="135"/>
      <c r="R72" s="134"/>
      <c r="S72" s="135"/>
      <c r="T72" s="135"/>
      <c r="U72" s="159"/>
      <c r="V72" s="133"/>
      <c r="W72" s="60"/>
    </row>
    <row r="73" spans="1:23" x14ac:dyDescent="0.25">
      <c r="A73" s="50" t="s">
        <v>133</v>
      </c>
      <c r="B73" s="75"/>
      <c r="C73" s="151"/>
      <c r="D73" s="144"/>
      <c r="E73" s="144"/>
      <c r="F73" s="81"/>
      <c r="G73" s="75"/>
      <c r="H73" s="75"/>
      <c r="I73" s="75"/>
      <c r="J73" s="75"/>
      <c r="K73" s="75"/>
      <c r="L73" s="75"/>
      <c r="M73" s="75"/>
      <c r="N73" s="75"/>
      <c r="O73" s="75"/>
      <c r="P73" s="75"/>
      <c r="Q73" s="148"/>
      <c r="R73" s="147"/>
      <c r="S73" s="148"/>
      <c r="T73" s="148"/>
      <c r="U73" s="160"/>
      <c r="V73" s="146"/>
      <c r="W73" s="81"/>
    </row>
    <row r="74" spans="1:23" x14ac:dyDescent="0.25">
      <c r="A74" t="s">
        <v>33</v>
      </c>
      <c r="B74">
        <v>1</v>
      </c>
      <c r="C74" s="131">
        <v>43830</v>
      </c>
      <c r="D74" s="136">
        <v>8.0092982310499998</v>
      </c>
      <c r="E74" s="136">
        <v>1.1804002358400765</v>
      </c>
      <c r="F74" s="60">
        <v>2.439295</v>
      </c>
      <c r="G74" s="132">
        <v>0.65274750000000004</v>
      </c>
      <c r="H74" s="132">
        <v>0.65398747912559585</v>
      </c>
      <c r="I74" s="132">
        <v>7.5958681840825104</v>
      </c>
      <c r="J74" s="132">
        <v>18.485939999999999</v>
      </c>
      <c r="K74" s="132">
        <v>7.2001860722249997</v>
      </c>
      <c r="L74" s="132">
        <v>10.203832500000001</v>
      </c>
      <c r="M74" s="132">
        <v>0.12250025435914134</v>
      </c>
      <c r="N74" s="132">
        <v>7.2297233066000004</v>
      </c>
      <c r="O74" s="132">
        <v>6.1238448031999999</v>
      </c>
      <c r="P74" s="132">
        <v>2.3404400000000001</v>
      </c>
      <c r="Q74" s="133">
        <v>0.634419626056137</v>
      </c>
      <c r="R74" s="134">
        <v>9328.6937999999991</v>
      </c>
      <c r="S74" s="133">
        <v>0.3615306060981478</v>
      </c>
      <c r="T74" s="135">
        <v>0.89849768203481795</v>
      </c>
      <c r="U74" s="149">
        <v>59.309404333333333</v>
      </c>
      <c r="V74" s="133">
        <v>0.37956175177944607</v>
      </c>
      <c r="W74" s="60" t="s">
        <v>33</v>
      </c>
    </row>
    <row r="75" spans="1:23" x14ac:dyDescent="0.25">
      <c r="A75" t="s">
        <v>61</v>
      </c>
      <c r="B75">
        <v>0.01</v>
      </c>
      <c r="C75" s="131">
        <v>43830</v>
      </c>
      <c r="D75" s="132">
        <v>42.745118735699997</v>
      </c>
      <c r="E75" s="132">
        <v>2.1615323088408105</v>
      </c>
      <c r="F75" s="60">
        <v>0.74675999999999998</v>
      </c>
      <c r="G75" s="132">
        <v>0.36176249999999999</v>
      </c>
      <c r="H75" s="132">
        <v>0.76788238014233501</v>
      </c>
      <c r="I75" s="132">
        <v>4.6308503324056218</v>
      </c>
      <c r="J75" s="132">
        <v>27.583375</v>
      </c>
      <c r="K75" s="132">
        <v>19.157167919199999</v>
      </c>
      <c r="L75" s="132">
        <v>9.8568499999999997</v>
      </c>
      <c r="M75" s="132">
        <v>-0.11339119519115218</v>
      </c>
      <c r="N75" s="132">
        <v>15.2208282201</v>
      </c>
      <c r="O75" s="132">
        <v>7.3767694096999996</v>
      </c>
      <c r="P75" s="132">
        <v>5.9854000000000003</v>
      </c>
      <c r="Q75" s="133">
        <v>25.945918818002973</v>
      </c>
      <c r="R75" s="134">
        <v>2301.9704400000001</v>
      </c>
      <c r="S75" s="133">
        <v>0.75393208165441528</v>
      </c>
      <c r="T75" s="135">
        <v>2.5694824646136554</v>
      </c>
      <c r="U75" s="149">
        <v>21.457976813333332</v>
      </c>
      <c r="V75" s="133">
        <v>0.45496135064373777</v>
      </c>
      <c r="W75" s="60" t="s">
        <v>61</v>
      </c>
    </row>
    <row r="76" spans="1:23" x14ac:dyDescent="0.25">
      <c r="A76" t="s">
        <v>66</v>
      </c>
      <c r="B76">
        <v>0</v>
      </c>
      <c r="C76" s="131">
        <v>43830</v>
      </c>
      <c r="D76" s="132">
        <v>83.416831144550002</v>
      </c>
      <c r="E76" s="132">
        <v>2.4135264272729398</v>
      </c>
      <c r="F76" s="60">
        <v>1.7256849999999999</v>
      </c>
      <c r="G76" s="132">
        <v>0.58634249999999999</v>
      </c>
      <c r="H76" s="132">
        <v>0.81025116045485956</v>
      </c>
      <c r="I76" s="132">
        <v>-4.121372915913236</v>
      </c>
      <c r="J76" s="132">
        <v>16.947215</v>
      </c>
      <c r="K76" s="132">
        <v>10.052485637249999</v>
      </c>
      <c r="L76" s="132">
        <v>4.9691324999999997</v>
      </c>
      <c r="M76" s="132">
        <v>-5.7806063969601425E-2</v>
      </c>
      <c r="N76" s="132">
        <v>7.4563961110000001</v>
      </c>
      <c r="O76" s="132">
        <v>3.7453928732000001</v>
      </c>
      <c r="P76" s="132">
        <v>0.71592</v>
      </c>
      <c r="Q76" s="133">
        <v>1.5349845617802724</v>
      </c>
      <c r="R76" s="134">
        <v>1831.0093340000001</v>
      </c>
      <c r="S76" s="133">
        <v>0.57349906094076508</v>
      </c>
      <c r="T76" s="135">
        <v>0.92568836666689158</v>
      </c>
      <c r="U76" s="149">
        <v>22.666058266666667</v>
      </c>
      <c r="V76" s="133">
        <v>0.46061539115694905</v>
      </c>
      <c r="W76" s="60" t="s">
        <v>66</v>
      </c>
    </row>
    <row r="77" spans="1:23" x14ac:dyDescent="0.25">
      <c r="A77" t="s">
        <v>58</v>
      </c>
      <c r="B77">
        <v>1</v>
      </c>
      <c r="C77" s="131">
        <v>43738</v>
      </c>
      <c r="D77" s="132">
        <v>5.2653764846</v>
      </c>
      <c r="E77" s="132">
        <v>1.6620175511687296</v>
      </c>
      <c r="F77" s="60">
        <v>0.79181000000000001</v>
      </c>
      <c r="G77" s="132">
        <v>0.40050999999999998</v>
      </c>
      <c r="H77" s="132">
        <v>0.92780674076843328</v>
      </c>
      <c r="I77" s="132">
        <v>16.607913478082317</v>
      </c>
      <c r="J77" s="132">
        <v>30.435855</v>
      </c>
      <c r="K77" s="132">
        <v>10.185181044</v>
      </c>
      <c r="L77" s="132">
        <v>12.95486</v>
      </c>
      <c r="M77" s="132">
        <v>-6.3367913132874237E-2</v>
      </c>
      <c r="N77" s="132">
        <v>31.246812924099999</v>
      </c>
      <c r="O77" s="132">
        <v>17.5161371218</v>
      </c>
      <c r="P77" s="132">
        <v>6.2690000000000001</v>
      </c>
      <c r="Q77" s="133">
        <v>0.43815630107830339</v>
      </c>
      <c r="R77" s="134">
        <v>890.77408200000002</v>
      </c>
      <c r="S77" s="133">
        <v>1.2037708958785114</v>
      </c>
      <c r="T77" s="135">
        <v>2.3903199037954104</v>
      </c>
      <c r="U77" s="149">
        <v>6.684688968333333</v>
      </c>
      <c r="V77" s="133">
        <v>0.38722460135389603</v>
      </c>
      <c r="W77" s="60" t="s">
        <v>58</v>
      </c>
    </row>
    <row r="78" spans="1:23" x14ac:dyDescent="0.25">
      <c r="A78" t="s">
        <v>270</v>
      </c>
      <c r="B78">
        <v>1</v>
      </c>
      <c r="C78" s="131">
        <v>43738</v>
      </c>
      <c r="D78" s="136">
        <v>146.31728675700001</v>
      </c>
      <c r="E78" s="136">
        <v>3.1753529032040726</v>
      </c>
      <c r="F78" s="60">
        <v>1.5482050000000001</v>
      </c>
      <c r="G78" s="132">
        <v>1.2357324999999999</v>
      </c>
      <c r="H78" s="132">
        <v>1.1156380534228829</v>
      </c>
      <c r="I78" s="132">
        <v>12.088167384597758</v>
      </c>
      <c r="J78" s="132">
        <v>13.854979999999999</v>
      </c>
      <c r="K78" s="132">
        <v>1.7446838088250001</v>
      </c>
      <c r="L78" s="132">
        <v>-5.2195</v>
      </c>
      <c r="M78" s="132">
        <v>-4.2623251989837942E-2</v>
      </c>
      <c r="N78" s="132">
        <v>-25.864412685600001</v>
      </c>
      <c r="O78" s="132">
        <v>-5.9888727237000001</v>
      </c>
      <c r="P78" s="132">
        <v>-2.4550200000000002</v>
      </c>
      <c r="Q78" s="133">
        <v>0.12869386446731945</v>
      </c>
      <c r="R78" s="134">
        <v>-40.1096</v>
      </c>
      <c r="S78" s="133">
        <v>-2.7309815934421549</v>
      </c>
      <c r="T78" s="135">
        <v>1.5289440278968773</v>
      </c>
      <c r="U78" s="149">
        <v>10.033262833333334</v>
      </c>
      <c r="V78" s="133">
        <v>0.3418705814069698</v>
      </c>
      <c r="W78" s="60" t="s">
        <v>270</v>
      </c>
    </row>
    <row r="79" spans="1:23" x14ac:dyDescent="0.25">
      <c r="A79" t="s">
        <v>19</v>
      </c>
      <c r="B79">
        <v>1</v>
      </c>
      <c r="C79" s="131">
        <v>43708</v>
      </c>
      <c r="D79" s="136">
        <v>34.8023496868</v>
      </c>
      <c r="E79" s="136">
        <v>2.3852196084265649</v>
      </c>
      <c r="F79" s="60">
        <v>1.1466825</v>
      </c>
      <c r="G79" s="132">
        <v>0.42115750000000002</v>
      </c>
      <c r="H79" s="132">
        <v>0.7607941952123688</v>
      </c>
      <c r="I79" s="132">
        <v>0.65359168727384187</v>
      </c>
      <c r="J79" s="132">
        <v>16.438210000000002</v>
      </c>
      <c r="K79" s="132">
        <v>7.9972382925750001</v>
      </c>
      <c r="L79" s="132">
        <v>-2.8312425000000001</v>
      </c>
      <c r="M79" s="132">
        <v>4.3673801665364727E-2</v>
      </c>
      <c r="N79" s="132">
        <v>-9.5456551405999992</v>
      </c>
      <c r="O79" s="132">
        <v>-3.4445691786000001</v>
      </c>
      <c r="P79" s="132">
        <v>-0.78488999999999998</v>
      </c>
      <c r="Q79" s="133">
        <v>-0.13752929803115777</v>
      </c>
      <c r="R79" s="134">
        <v>29.389973999999999</v>
      </c>
      <c r="S79" s="133">
        <v>3.9512697462372071E-2</v>
      </c>
      <c r="T79" s="135">
        <v>0.34749555267198395</v>
      </c>
      <c r="U79" s="149">
        <v>1.5677600183333333</v>
      </c>
      <c r="V79" s="133">
        <v>0.19534784129587868</v>
      </c>
      <c r="W79" s="60" t="s">
        <v>19</v>
      </c>
    </row>
    <row r="80" spans="1:23" x14ac:dyDescent="0.25">
      <c r="A80" t="s">
        <v>28</v>
      </c>
      <c r="B80">
        <v>0.1</v>
      </c>
      <c r="C80" s="131">
        <v>43799</v>
      </c>
      <c r="D80" s="136">
        <v>195.07318950729999</v>
      </c>
      <c r="E80" s="136">
        <v>4.3428225548209518</v>
      </c>
      <c r="F80" s="60">
        <v>0.45169999999999999</v>
      </c>
      <c r="G80" s="132">
        <v>0.28551749999999998</v>
      </c>
      <c r="H80" s="132">
        <v>0.76093351365309836</v>
      </c>
      <c r="I80" s="132">
        <v>9.5157197306747321</v>
      </c>
      <c r="J80" s="132">
        <v>19.625342499999999</v>
      </c>
      <c r="K80" s="132">
        <v>9.1027371009499998</v>
      </c>
      <c r="L80" s="132">
        <v>-8.0468375000000005</v>
      </c>
      <c r="M80" s="132">
        <v>-2.9512100970975163E-3</v>
      </c>
      <c r="N80" s="132">
        <v>-35.471594320199998</v>
      </c>
      <c r="O80" s="132">
        <v>-6.3905658545000001</v>
      </c>
      <c r="P80" s="132">
        <v>-9.9659999999999999E-2</v>
      </c>
      <c r="Q80" s="133">
        <v>1.3763855472647337</v>
      </c>
      <c r="R80" s="134">
        <v>-909.79100000000005</v>
      </c>
      <c r="S80" s="133">
        <v>0.4822246714428573</v>
      </c>
      <c r="T80" s="135">
        <v>1.5727870608278605</v>
      </c>
      <c r="U80" s="149">
        <v>5.7952839999999997</v>
      </c>
      <c r="V80" s="133">
        <v>0.36307457923198672</v>
      </c>
      <c r="W80" s="60" t="s">
        <v>28</v>
      </c>
    </row>
    <row r="81" spans="1:23" x14ac:dyDescent="0.25">
      <c r="A81" t="s">
        <v>10</v>
      </c>
      <c r="B81" s="31">
        <v>1</v>
      </c>
      <c r="C81" s="162">
        <v>43830</v>
      </c>
      <c r="D81" s="136">
        <v>81.609625822200002</v>
      </c>
      <c r="E81" s="136">
        <v>2.7134753033102328</v>
      </c>
      <c r="F81" s="60">
        <v>0.89861000000000002</v>
      </c>
      <c r="G81" s="132">
        <v>0.47817749999999998</v>
      </c>
      <c r="H81" s="132">
        <v>0.95112002066377621</v>
      </c>
      <c r="I81" s="132">
        <v>6.8750013468884656</v>
      </c>
      <c r="J81" s="132">
        <v>10.5825625</v>
      </c>
      <c r="K81" s="132">
        <v>-0.27727294257500001</v>
      </c>
      <c r="L81" s="132">
        <v>3.5465225</v>
      </c>
      <c r="M81" s="132">
        <v>-2.226055605372931E-2</v>
      </c>
      <c r="N81" s="132">
        <v>9.5832602731000005</v>
      </c>
      <c r="O81" s="132">
        <v>3.7292589558999998</v>
      </c>
      <c r="P81" s="132">
        <v>5.4907500000000002</v>
      </c>
      <c r="Q81" s="133">
        <v>0.87324670082633515</v>
      </c>
      <c r="R81" s="134">
        <v>42.125860000000003</v>
      </c>
      <c r="S81" s="133" t="s">
        <v>200</v>
      </c>
      <c r="T81" s="135">
        <v>1.5994529926370851</v>
      </c>
      <c r="U81" s="149">
        <v>1.0815078549999999</v>
      </c>
      <c r="V81" s="133" t="s">
        <v>200</v>
      </c>
      <c r="W81" s="60" t="s">
        <v>10</v>
      </c>
    </row>
    <row r="82" spans="1:23" x14ac:dyDescent="0.25">
      <c r="A82" t="s">
        <v>15</v>
      </c>
      <c r="B82">
        <v>1</v>
      </c>
      <c r="C82" s="131">
        <v>43830</v>
      </c>
      <c r="D82" s="136">
        <v>167.828915038725</v>
      </c>
      <c r="E82" s="136">
        <v>3.9065730396912151</v>
      </c>
      <c r="F82" s="60">
        <v>1.1308525</v>
      </c>
      <c r="G82" s="132">
        <v>0.60667249999999995</v>
      </c>
      <c r="H82" s="132">
        <v>0.95385570263391528</v>
      </c>
      <c r="I82" s="132">
        <v>3.6338678685968544</v>
      </c>
      <c r="J82" s="132">
        <v>16.809660000000001</v>
      </c>
      <c r="K82" s="132">
        <v>14.101094439775</v>
      </c>
      <c r="L82" s="132">
        <v>-5.4724725000000003</v>
      </c>
      <c r="M82" s="132">
        <v>-2.253229985116191E-2</v>
      </c>
      <c r="N82" s="132">
        <v>-23.787626315899999</v>
      </c>
      <c r="O82" s="132">
        <v>-6.2326434593000002</v>
      </c>
      <c r="P82" s="132">
        <v>-0.80088000000000004</v>
      </c>
      <c r="Q82" s="133">
        <v>0.96275817011748277</v>
      </c>
      <c r="R82" s="134">
        <v>-34.441070000000003</v>
      </c>
      <c r="S82" s="133">
        <v>-2.6843192769998723</v>
      </c>
      <c r="T82" s="135">
        <v>53.167206772881805</v>
      </c>
      <c r="U82" s="149">
        <v>0.59216569666666663</v>
      </c>
      <c r="V82" s="133">
        <v>0.24411204971936096</v>
      </c>
      <c r="W82" s="60" t="s">
        <v>15</v>
      </c>
    </row>
    <row r="83" spans="1:23" x14ac:dyDescent="0.25">
      <c r="A83" t="s">
        <v>9</v>
      </c>
      <c r="B83">
        <v>1</v>
      </c>
      <c r="C83" s="131">
        <v>43585</v>
      </c>
      <c r="D83" s="136">
        <v>4.8205906242000003</v>
      </c>
      <c r="E83" s="136">
        <v>2.65791108721062</v>
      </c>
      <c r="F83" s="60">
        <v>2.0214249999999998</v>
      </c>
      <c r="G83" s="132">
        <v>1.2312675</v>
      </c>
      <c r="H83" s="132" t="s">
        <v>200</v>
      </c>
      <c r="I83" s="132" t="s">
        <v>200</v>
      </c>
      <c r="J83" s="132" t="s">
        <v>200</v>
      </c>
      <c r="K83" s="132">
        <v>7.1615198548499999</v>
      </c>
      <c r="L83" s="132" t="s">
        <v>200</v>
      </c>
      <c r="M83" s="132" t="s">
        <v>200</v>
      </c>
      <c r="N83" s="132" t="s">
        <v>200</v>
      </c>
      <c r="O83" s="132" t="s">
        <v>200</v>
      </c>
      <c r="P83" s="132" t="s">
        <v>200</v>
      </c>
      <c r="Q83" s="133">
        <v>-3.6592586085734364</v>
      </c>
      <c r="R83" s="134">
        <v>-30.0806</v>
      </c>
      <c r="S83" s="133">
        <v>-1.9513402787750587</v>
      </c>
      <c r="T83" s="135">
        <v>1.5355169662532213</v>
      </c>
      <c r="U83" s="149">
        <v>0.47856816666666668</v>
      </c>
      <c r="V83" s="133">
        <v>2.4124545291415611E-2</v>
      </c>
      <c r="W83" s="60" t="s">
        <v>9</v>
      </c>
    </row>
    <row r="84" spans="1:23" x14ac:dyDescent="0.25">
      <c r="A84" s="62" t="s">
        <v>119</v>
      </c>
      <c r="B84" s="63"/>
      <c r="C84" s="63"/>
      <c r="D84" s="138">
        <v>76.988858203212487</v>
      </c>
      <c r="E84" s="138">
        <v>2.6598831019786213</v>
      </c>
      <c r="F84" s="139">
        <v>1.2901025000000002</v>
      </c>
      <c r="G84" s="139">
        <v>0.62598874999999998</v>
      </c>
      <c r="H84" s="139">
        <v>0.85580769400858492</v>
      </c>
      <c r="I84" s="139">
        <v>6.3866230107432074</v>
      </c>
      <c r="J84" s="139">
        <v>18.973682222222223</v>
      </c>
      <c r="K84" s="139">
        <v>8.6425021227075014</v>
      </c>
      <c r="L84" s="139">
        <v>2.2179049999999996</v>
      </c>
      <c r="M84" s="139">
        <v>-1.763982602899427E-2</v>
      </c>
      <c r="N84" s="139">
        <v>-2.6591408474888882</v>
      </c>
      <c r="O84" s="139">
        <v>1.826083549744445</v>
      </c>
      <c r="P84" s="139">
        <v>1.8512288888888888</v>
      </c>
      <c r="Q84" s="140">
        <v>2.8097775682988959</v>
      </c>
      <c r="R84" s="141">
        <v>1340.9541219999999</v>
      </c>
      <c r="S84" s="142">
        <v>-0.43913012619333519</v>
      </c>
      <c r="T84" s="142">
        <v>6.6535391790279617</v>
      </c>
      <c r="U84" s="158">
        <v>12.966667695166667</v>
      </c>
      <c r="V84" s="140">
        <v>0.31676585465329343</v>
      </c>
      <c r="W84" s="71" t="s">
        <v>120</v>
      </c>
    </row>
    <row r="85" spans="1:23" ht="26.25" customHeight="1" x14ac:dyDescent="0.25">
      <c r="A85" s="90"/>
      <c r="B85" s="23"/>
      <c r="C85" s="23"/>
      <c r="D85" s="152"/>
      <c r="E85" s="152"/>
      <c r="F85" s="23"/>
      <c r="G85" s="23"/>
      <c r="H85" s="23"/>
      <c r="I85" s="23"/>
      <c r="J85" s="23"/>
      <c r="K85" s="23"/>
      <c r="L85" s="23"/>
      <c r="M85" s="23"/>
      <c r="N85" s="23"/>
      <c r="O85" s="23"/>
      <c r="P85" s="23"/>
      <c r="Q85" s="23"/>
      <c r="R85" s="23"/>
      <c r="S85" s="23"/>
      <c r="T85" s="23"/>
      <c r="U85" s="23"/>
      <c r="V85" s="23"/>
      <c r="W85" s="90"/>
    </row>
    <row r="86" spans="1:23" x14ac:dyDescent="0.25">
      <c r="A86" s="117" t="s">
        <v>3</v>
      </c>
      <c r="B86" s="118" t="s">
        <v>142</v>
      </c>
      <c r="C86" s="119" t="s">
        <v>143</v>
      </c>
      <c r="D86" s="153" t="s">
        <v>144</v>
      </c>
      <c r="E86" s="154"/>
      <c r="F86" s="120" t="s">
        <v>145</v>
      </c>
      <c r="G86" s="121"/>
      <c r="H86" s="120" t="s">
        <v>146</v>
      </c>
      <c r="I86" s="121"/>
      <c r="J86" s="117" t="s">
        <v>147</v>
      </c>
      <c r="K86" s="155"/>
      <c r="L86" s="155"/>
      <c r="M86" s="155"/>
      <c r="N86" s="155"/>
      <c r="O86" s="155"/>
      <c r="P86" s="155"/>
      <c r="Q86" s="155"/>
      <c r="R86" s="155"/>
      <c r="S86" s="155"/>
      <c r="T86" s="155"/>
      <c r="U86" s="155"/>
      <c r="V86" s="156"/>
      <c r="W86" s="117" t="s">
        <v>3</v>
      </c>
    </row>
    <row r="87" spans="1:23" ht="36" x14ac:dyDescent="0.25">
      <c r="A87" s="123"/>
      <c r="B87" s="124"/>
      <c r="C87" s="125"/>
      <c r="D87" s="163" t="s">
        <v>148</v>
      </c>
      <c r="E87" s="163" t="s">
        <v>149</v>
      </c>
      <c r="F87" s="126" t="s">
        <v>150</v>
      </c>
      <c r="G87" s="126" t="s">
        <v>151</v>
      </c>
      <c r="H87" s="126" t="s">
        <v>152</v>
      </c>
      <c r="I87" s="126" t="s">
        <v>153</v>
      </c>
      <c r="J87" s="126" t="s">
        <v>154</v>
      </c>
      <c r="K87" s="126" t="s">
        <v>155</v>
      </c>
      <c r="L87" s="126" t="s">
        <v>156</v>
      </c>
      <c r="M87" s="126" t="s">
        <v>157</v>
      </c>
      <c r="N87" s="126" t="s">
        <v>158</v>
      </c>
      <c r="O87" s="126" t="s">
        <v>159</v>
      </c>
      <c r="P87" s="157" t="s">
        <v>160</v>
      </c>
      <c r="Q87" s="157" t="s">
        <v>258</v>
      </c>
      <c r="R87" s="157" t="s">
        <v>162</v>
      </c>
      <c r="S87" s="157" t="s">
        <v>163</v>
      </c>
      <c r="T87" s="157" t="s">
        <v>164</v>
      </c>
      <c r="U87" s="157" t="s">
        <v>165</v>
      </c>
      <c r="V87" s="157" t="s">
        <v>166</v>
      </c>
      <c r="W87" s="123"/>
    </row>
    <row r="88" spans="1:23" x14ac:dyDescent="0.25">
      <c r="A88" s="50" t="s">
        <v>134</v>
      </c>
      <c r="B88" s="75"/>
      <c r="C88" s="75"/>
      <c r="D88" s="75"/>
      <c r="E88" s="75"/>
      <c r="F88" s="75"/>
      <c r="G88" s="75"/>
      <c r="H88" s="75"/>
      <c r="I88" s="75"/>
      <c r="J88" s="75"/>
      <c r="K88" s="75"/>
      <c r="L88" s="75"/>
      <c r="M88" s="75"/>
      <c r="N88" s="75"/>
      <c r="O88" s="75"/>
      <c r="P88" s="75"/>
      <c r="Q88" s="75"/>
      <c r="R88" s="75"/>
      <c r="S88" s="75"/>
      <c r="T88" s="75"/>
      <c r="U88" s="75"/>
      <c r="V88" s="75"/>
      <c r="W88" s="75"/>
    </row>
    <row r="89" spans="1:23" x14ac:dyDescent="0.25">
      <c r="A89" t="s">
        <v>13</v>
      </c>
      <c r="B89">
        <v>1</v>
      </c>
      <c r="C89" s="131">
        <v>43830</v>
      </c>
      <c r="D89" s="132">
        <v>35.995447221825003</v>
      </c>
      <c r="E89" s="132">
        <v>2.5659165446483323</v>
      </c>
      <c r="F89" s="132">
        <v>1.3731450000000001</v>
      </c>
      <c r="G89" s="132">
        <v>0.97378750000000003</v>
      </c>
      <c r="H89" s="132">
        <v>1.0228715566765216</v>
      </c>
      <c r="I89" s="132">
        <v>4.3477645374054106</v>
      </c>
      <c r="J89" s="132">
        <v>46.72298</v>
      </c>
      <c r="K89" s="132">
        <v>15.288496091575</v>
      </c>
      <c r="L89" s="132">
        <v>-0.10777</v>
      </c>
      <c r="M89" s="132">
        <v>-4.8690374557191954E-2</v>
      </c>
      <c r="N89" s="132">
        <v>6.8477778616</v>
      </c>
      <c r="O89" s="132">
        <v>2.7015588892000002</v>
      </c>
      <c r="P89" s="132">
        <v>1.65917</v>
      </c>
      <c r="Q89" s="133">
        <v>5.560849323053441</v>
      </c>
      <c r="R89" s="134">
        <v>5.9371859999999996</v>
      </c>
      <c r="S89" s="133">
        <v>0.80974118915568316</v>
      </c>
      <c r="T89" s="133">
        <v>8.4894203078756245</v>
      </c>
      <c r="U89" s="149">
        <v>1.6551931633333332</v>
      </c>
      <c r="V89" s="133">
        <v>0.62173457038554814</v>
      </c>
      <c r="W89" s="60" t="s">
        <v>13</v>
      </c>
    </row>
    <row r="90" spans="1:23" x14ac:dyDescent="0.25">
      <c r="A90" t="s">
        <v>25</v>
      </c>
      <c r="B90">
        <v>1</v>
      </c>
      <c r="C90" s="131">
        <v>43738</v>
      </c>
      <c r="D90" s="132">
        <v>76.635048888399993</v>
      </c>
      <c r="E90" s="132">
        <v>3.1330289688302799</v>
      </c>
      <c r="F90" s="132">
        <v>1.4010100000000001</v>
      </c>
      <c r="G90" s="132">
        <v>0.7122425</v>
      </c>
      <c r="H90" s="132">
        <v>0.79379024025953282</v>
      </c>
      <c r="I90" s="132">
        <v>-1.9097333295300807</v>
      </c>
      <c r="J90" s="132">
        <v>13.7087</v>
      </c>
      <c r="K90" s="132">
        <v>-36.649439175600001</v>
      </c>
      <c r="L90" s="132">
        <v>-36.917704999999998</v>
      </c>
      <c r="M90" s="132">
        <v>-0.59247269436232453</v>
      </c>
      <c r="N90" s="132">
        <v>-201.63443657170001</v>
      </c>
      <c r="O90" s="132">
        <v>-55.447079651700001</v>
      </c>
      <c r="P90" s="132">
        <v>-2.6608900000000002</v>
      </c>
      <c r="Q90" s="133">
        <v>-0.47166141427310615</v>
      </c>
      <c r="R90" s="134">
        <v>-19.44454</v>
      </c>
      <c r="S90" s="133">
        <v>-1.6143662281921243</v>
      </c>
      <c r="T90" s="133">
        <v>7.761533542829822</v>
      </c>
      <c r="U90" s="149">
        <v>0.17809206</v>
      </c>
      <c r="V90" s="133">
        <v>0.28539792280295084</v>
      </c>
      <c r="W90" s="60" t="s">
        <v>25</v>
      </c>
    </row>
    <row r="91" spans="1:23" x14ac:dyDescent="0.25">
      <c r="A91" s="62" t="s">
        <v>119</v>
      </c>
      <c r="B91" s="63"/>
      <c r="C91" s="150"/>
      <c r="D91" s="139">
        <v>56.315248055112498</v>
      </c>
      <c r="E91" s="139">
        <v>2.8494727567393063</v>
      </c>
      <c r="F91" s="139">
        <v>1.3870775000000002</v>
      </c>
      <c r="G91" s="139">
        <v>0.84301500000000007</v>
      </c>
      <c r="H91" s="139">
        <v>0.90833089846802717</v>
      </c>
      <c r="I91" s="139">
        <v>1.2190156039376649</v>
      </c>
      <c r="J91" s="139">
        <v>30.21584</v>
      </c>
      <c r="K91" s="139">
        <v>-10.680471542012501</v>
      </c>
      <c r="L91" s="139">
        <v>-18.5127375</v>
      </c>
      <c r="M91" s="139">
        <v>-0.32058153445975823</v>
      </c>
      <c r="N91" s="139">
        <v>-97.39332935505</v>
      </c>
      <c r="O91" s="139">
        <v>-26.37276038125</v>
      </c>
      <c r="P91" s="139">
        <v>-0.50086000000000008</v>
      </c>
      <c r="Q91" s="140">
        <v>2.5445939543901677</v>
      </c>
      <c r="R91" s="141">
        <v>-6.7536769999999997</v>
      </c>
      <c r="S91" s="140">
        <v>-0.40231251951822056</v>
      </c>
      <c r="T91" s="140">
        <v>8.1254769253527233</v>
      </c>
      <c r="U91" s="158">
        <v>0.91664261166666661</v>
      </c>
      <c r="V91" s="140">
        <v>0.45356624659424949</v>
      </c>
      <c r="W91" s="71" t="s">
        <v>120</v>
      </c>
    </row>
    <row r="92" spans="1:23" x14ac:dyDescent="0.25">
      <c r="C92" s="131"/>
      <c r="D92" s="132"/>
      <c r="E92" s="132"/>
      <c r="F92" s="132"/>
      <c r="G92" s="132"/>
      <c r="H92" s="132"/>
      <c r="I92" s="132"/>
      <c r="J92" s="132"/>
      <c r="K92" s="132"/>
      <c r="L92" s="132"/>
      <c r="M92" s="132"/>
      <c r="N92" s="132"/>
      <c r="O92" s="132"/>
      <c r="P92" s="132"/>
      <c r="Q92" s="135"/>
      <c r="R92" s="134"/>
      <c r="S92" s="135"/>
      <c r="T92" s="135"/>
      <c r="U92" s="149"/>
      <c r="V92" s="133"/>
      <c r="W92" s="60"/>
    </row>
    <row r="93" spans="1:23" x14ac:dyDescent="0.25">
      <c r="A93" s="50" t="s">
        <v>135</v>
      </c>
      <c r="B93" s="75"/>
      <c r="C93" s="151"/>
      <c r="D93" s="144"/>
      <c r="E93" s="144"/>
      <c r="F93" s="145"/>
      <c r="G93" s="145"/>
      <c r="H93" s="145"/>
      <c r="I93" s="145"/>
      <c r="J93" s="145"/>
      <c r="K93" s="145"/>
      <c r="L93" s="145"/>
      <c r="M93" s="145"/>
      <c r="N93" s="145"/>
      <c r="O93" s="145"/>
      <c r="P93" s="145"/>
      <c r="Q93" s="148"/>
      <c r="R93" s="147"/>
      <c r="S93" s="148"/>
      <c r="T93" s="148"/>
      <c r="U93" s="160"/>
      <c r="V93" s="146"/>
      <c r="W93" s="81"/>
    </row>
    <row r="94" spans="1:23" x14ac:dyDescent="0.25">
      <c r="A94" t="s">
        <v>56</v>
      </c>
      <c r="B94">
        <v>1</v>
      </c>
      <c r="C94" s="131">
        <v>43738</v>
      </c>
      <c r="D94" s="136">
        <v>4.5598238618250004</v>
      </c>
      <c r="E94" s="136">
        <v>1.8863930294944165</v>
      </c>
      <c r="F94" s="132">
        <v>0.93833250000000001</v>
      </c>
      <c r="G94" s="132">
        <v>0.92854499999999995</v>
      </c>
      <c r="H94" s="132">
        <v>1.4581376515502424</v>
      </c>
      <c r="I94" s="132">
        <v>352.49399338812725</v>
      </c>
      <c r="J94" s="132" t="s">
        <v>200</v>
      </c>
      <c r="K94" s="132">
        <v>10.284799722324999</v>
      </c>
      <c r="L94" s="132">
        <v>14.5953125</v>
      </c>
      <c r="M94" s="132">
        <v>8.4511729636322475E-2</v>
      </c>
      <c r="N94" s="132">
        <v>48.092459914999999</v>
      </c>
      <c r="O94" s="132">
        <v>20.395702310600001</v>
      </c>
      <c r="P94" s="132">
        <v>11.64925</v>
      </c>
      <c r="Q94" s="133">
        <v>1.0132113474580051</v>
      </c>
      <c r="R94" s="134">
        <v>952.74051399999996</v>
      </c>
      <c r="S94" s="133">
        <v>1.3239800147224337</v>
      </c>
      <c r="T94" s="135">
        <v>2.8765548485177344</v>
      </c>
      <c r="U94" s="149">
        <v>6.0369641866666672</v>
      </c>
      <c r="V94" s="133">
        <v>0.8107969318598014</v>
      </c>
      <c r="W94" s="60" t="s">
        <v>56</v>
      </c>
    </row>
    <row r="95" spans="1:23" x14ac:dyDescent="0.25">
      <c r="A95" t="s">
        <v>21</v>
      </c>
      <c r="B95">
        <v>1</v>
      </c>
      <c r="C95" s="131">
        <v>43738</v>
      </c>
      <c r="D95" s="132">
        <v>126.38133920915</v>
      </c>
      <c r="E95" s="132">
        <v>3.3814247301452518</v>
      </c>
      <c r="F95" s="132">
        <v>1.36409</v>
      </c>
      <c r="G95" s="132">
        <v>1.2247650000000001</v>
      </c>
      <c r="H95" s="132">
        <v>0.57996103915868935</v>
      </c>
      <c r="I95" s="132">
        <v>18.121406578237703</v>
      </c>
      <c r="J95" s="132">
        <v>29.5714975</v>
      </c>
      <c r="K95" s="132">
        <v>27.378714407775</v>
      </c>
      <c r="L95" s="132">
        <v>31.2320125</v>
      </c>
      <c r="M95" s="132">
        <v>0.24338384832382076</v>
      </c>
      <c r="N95" s="132">
        <v>86.851032448400005</v>
      </c>
      <c r="O95" s="132">
        <v>23.2859975995</v>
      </c>
      <c r="P95" s="132">
        <v>25.387499999999999</v>
      </c>
      <c r="Q95" s="133">
        <v>-0.52663030865630078</v>
      </c>
      <c r="R95" s="134">
        <v>8684</v>
      </c>
      <c r="S95" s="133">
        <v>0.67323866795986098</v>
      </c>
      <c r="T95" s="135">
        <v>68.5923960580147</v>
      </c>
      <c r="U95" s="149">
        <v>39.316403415000003</v>
      </c>
      <c r="V95" s="133">
        <v>0.83195543427298846</v>
      </c>
      <c r="W95" s="60" t="s">
        <v>21</v>
      </c>
    </row>
    <row r="96" spans="1:23" x14ac:dyDescent="0.25">
      <c r="A96" t="s">
        <v>46</v>
      </c>
      <c r="B96">
        <v>1</v>
      </c>
      <c r="C96" s="131">
        <v>43738</v>
      </c>
      <c r="D96" s="132">
        <v>23.899994729675001</v>
      </c>
      <c r="E96" s="132">
        <v>2.2359241575441775</v>
      </c>
      <c r="F96" s="132">
        <v>0.74041000000000001</v>
      </c>
      <c r="G96" s="132">
        <v>0.66816750000000003</v>
      </c>
      <c r="H96" s="132">
        <v>0.80618981405213586</v>
      </c>
      <c r="I96" s="132">
        <v>36.368905283661306</v>
      </c>
      <c r="J96" s="132" t="s">
        <v>200</v>
      </c>
      <c r="K96" s="132">
        <v>2.8702131522749998</v>
      </c>
      <c r="L96" s="132">
        <v>17.700365000000001</v>
      </c>
      <c r="M96" s="132">
        <v>0.1385614319882725</v>
      </c>
      <c r="N96" s="132">
        <v>51.416594908599997</v>
      </c>
      <c r="O96" s="132">
        <v>19.341928379399999</v>
      </c>
      <c r="P96" s="132">
        <v>15.11758</v>
      </c>
      <c r="Q96" s="133">
        <v>-0.97582876903431792</v>
      </c>
      <c r="R96" s="134">
        <v>3826.3784000000001</v>
      </c>
      <c r="S96" s="133">
        <v>0.37738072049836058</v>
      </c>
      <c r="T96" s="135">
        <v>3.1238132486735175</v>
      </c>
      <c r="U96" s="149">
        <v>19.770399000000001</v>
      </c>
      <c r="V96" s="133">
        <v>0.74992203379092692</v>
      </c>
      <c r="W96" s="60" t="s">
        <v>46</v>
      </c>
    </row>
    <row r="97" spans="1:23" x14ac:dyDescent="0.25">
      <c r="A97" t="s">
        <v>50</v>
      </c>
      <c r="B97">
        <v>1</v>
      </c>
      <c r="C97" s="131">
        <v>43830</v>
      </c>
      <c r="D97" s="132">
        <v>34.190372140925</v>
      </c>
      <c r="E97" s="132">
        <v>1.7686095738045746</v>
      </c>
      <c r="F97" s="132">
        <v>2.6375500000000001</v>
      </c>
      <c r="G97" s="132">
        <v>2.6375500000000001</v>
      </c>
      <c r="H97" s="132">
        <v>0.55222743570432409</v>
      </c>
      <c r="I97" s="134" t="s">
        <v>200</v>
      </c>
      <c r="J97" s="132">
        <v>58.047647499999997</v>
      </c>
      <c r="K97" s="132">
        <v>54.831344851700003</v>
      </c>
      <c r="L97" s="132">
        <v>27.037434999999999</v>
      </c>
      <c r="M97" s="132">
        <v>6.5535512615884986E-2</v>
      </c>
      <c r="N97" s="132">
        <v>23.409968342700001</v>
      </c>
      <c r="O97" s="132">
        <v>13.3352570618</v>
      </c>
      <c r="P97" s="132">
        <v>8.4687400000000004</v>
      </c>
      <c r="Q97" s="133">
        <v>2.0254983958755646</v>
      </c>
      <c r="R97" s="134">
        <v>2909.7887999999998</v>
      </c>
      <c r="S97" s="133">
        <v>0.93950121357895333</v>
      </c>
      <c r="T97" s="135">
        <v>31.047955815358424</v>
      </c>
      <c r="U97" s="149">
        <v>7.4968346333333331</v>
      </c>
      <c r="V97" s="133">
        <v>0.57862707596768259</v>
      </c>
      <c r="W97" s="60" t="s">
        <v>50</v>
      </c>
    </row>
    <row r="98" spans="1:23" x14ac:dyDescent="0.25">
      <c r="A98" t="s">
        <v>31</v>
      </c>
      <c r="B98">
        <v>1</v>
      </c>
      <c r="C98" s="131">
        <v>43830</v>
      </c>
      <c r="D98" s="136">
        <v>60.105024924825003</v>
      </c>
      <c r="E98" s="136">
        <v>3.054552222382072</v>
      </c>
      <c r="F98" s="132">
        <v>0.73792000000000002</v>
      </c>
      <c r="G98" s="132">
        <v>0.73777250000000005</v>
      </c>
      <c r="H98" s="132">
        <v>0.60871516305329776</v>
      </c>
      <c r="I98" s="134">
        <v>14320.769997839236</v>
      </c>
      <c r="J98" s="132" t="s">
        <v>200</v>
      </c>
      <c r="K98" s="132">
        <v>10.06375643905</v>
      </c>
      <c r="L98" s="132">
        <v>1.5828949999999999</v>
      </c>
      <c r="M98" s="132">
        <v>-5.7956957606213701E-2</v>
      </c>
      <c r="N98" s="132">
        <v>5.4554499765999998</v>
      </c>
      <c r="O98" s="132">
        <v>1.9517278146999999</v>
      </c>
      <c r="P98" s="132">
        <v>5.0000000000000001E-9</v>
      </c>
      <c r="Q98" s="133">
        <v>2.4297353327344346</v>
      </c>
      <c r="R98" s="134">
        <v>925.61300000000006</v>
      </c>
      <c r="S98" s="133">
        <v>-2.1207161503889802</v>
      </c>
      <c r="T98" s="135">
        <v>55.303563867038591</v>
      </c>
      <c r="U98" s="149">
        <v>16.320884166666666</v>
      </c>
      <c r="V98" s="133">
        <v>0.61157963912009206</v>
      </c>
      <c r="W98" s="60" t="s">
        <v>31</v>
      </c>
    </row>
    <row r="99" spans="1:23" x14ac:dyDescent="0.25">
      <c r="A99" t="s">
        <v>62</v>
      </c>
      <c r="B99">
        <v>1</v>
      </c>
      <c r="C99" s="131">
        <v>43830</v>
      </c>
      <c r="D99" s="136">
        <v>2.320813062075</v>
      </c>
      <c r="E99" s="136">
        <v>4.1130974431990017</v>
      </c>
      <c r="F99" s="132">
        <v>0.96733999999999998</v>
      </c>
      <c r="G99" s="132">
        <v>0.93851249999999997</v>
      </c>
      <c r="H99" s="132">
        <v>1.1464162356676648</v>
      </c>
      <c r="I99" s="132">
        <v>132.33662428826247</v>
      </c>
      <c r="J99" s="132">
        <v>-3.1454575</v>
      </c>
      <c r="K99" s="132">
        <v>-16.4266869466</v>
      </c>
      <c r="L99" s="132">
        <v>-16.925190000000001</v>
      </c>
      <c r="M99" s="132">
        <v>-0.1755116269779349</v>
      </c>
      <c r="N99" s="132">
        <v>-67.063064126699999</v>
      </c>
      <c r="O99" s="132">
        <v>-15.8712090406</v>
      </c>
      <c r="P99" s="132">
        <v>-12.852969999999999</v>
      </c>
      <c r="Q99" s="133" t="s">
        <v>200</v>
      </c>
      <c r="R99" s="134">
        <v>-572.85484399999996</v>
      </c>
      <c r="S99" s="133">
        <v>1.1774456402112903</v>
      </c>
      <c r="T99" s="135">
        <v>4.2710404748300421</v>
      </c>
      <c r="U99" s="149">
        <v>12.604282143333334</v>
      </c>
      <c r="V99" s="133">
        <v>0.88011806404922033</v>
      </c>
      <c r="W99" s="60" t="s">
        <v>62</v>
      </c>
    </row>
    <row r="100" spans="1:23" x14ac:dyDescent="0.25">
      <c r="A100" t="s">
        <v>37</v>
      </c>
      <c r="B100">
        <v>1</v>
      </c>
      <c r="C100" s="131">
        <v>43769</v>
      </c>
      <c r="D100" s="136">
        <v>99.349313126949994</v>
      </c>
      <c r="E100" s="136">
        <v>2.5654266453440773</v>
      </c>
      <c r="F100" s="132">
        <v>3.2383625</v>
      </c>
      <c r="G100" s="132">
        <v>3.1320625</v>
      </c>
      <c r="H100" s="132">
        <v>0.45888241589296247</v>
      </c>
      <c r="I100" s="149">
        <v>36.473443280934404</v>
      </c>
      <c r="J100" s="132" t="s">
        <v>200</v>
      </c>
      <c r="K100" s="132">
        <v>30.81149671835</v>
      </c>
      <c r="L100" s="132">
        <v>14.837142500000001</v>
      </c>
      <c r="M100" s="132">
        <v>0.19835583183572461</v>
      </c>
      <c r="N100" s="132">
        <v>20.3193628999</v>
      </c>
      <c r="O100" s="132">
        <v>7.3781228823999996</v>
      </c>
      <c r="P100" s="132">
        <v>13.9727</v>
      </c>
      <c r="Q100" s="133">
        <v>-1.1748900437794141</v>
      </c>
      <c r="R100" s="134">
        <v>986.84953800000005</v>
      </c>
      <c r="S100" s="133">
        <v>-2.4382637571121961</v>
      </c>
      <c r="T100" s="135">
        <v>1.5724117446842305</v>
      </c>
      <c r="U100" s="149">
        <v>4.6369383866666674</v>
      </c>
      <c r="V100" s="133">
        <v>0.75815991267197935</v>
      </c>
      <c r="W100" s="60" t="s">
        <v>37</v>
      </c>
    </row>
    <row r="101" spans="1:23" x14ac:dyDescent="0.25">
      <c r="A101" t="s">
        <v>51</v>
      </c>
      <c r="B101">
        <v>1</v>
      </c>
      <c r="C101" s="131">
        <v>43830</v>
      </c>
      <c r="D101" s="136">
        <v>0</v>
      </c>
      <c r="E101" s="136">
        <v>1.7045329046111175</v>
      </c>
      <c r="F101" s="132">
        <v>1.2954125000000001</v>
      </c>
      <c r="G101" s="132">
        <v>1.2911025</v>
      </c>
      <c r="H101" s="132">
        <v>1.1018508418790043</v>
      </c>
      <c r="I101" s="149">
        <v>739.41201543725083</v>
      </c>
      <c r="J101" s="132">
        <v>27.1104275</v>
      </c>
      <c r="K101" s="132">
        <v>13.97164653345</v>
      </c>
      <c r="L101" s="132">
        <v>8.8729674999999997</v>
      </c>
      <c r="M101" s="132">
        <v>5.9207073708888301E-2</v>
      </c>
      <c r="N101" s="132">
        <v>16.131959362300002</v>
      </c>
      <c r="O101" s="132">
        <v>9.9061017848000006</v>
      </c>
      <c r="P101" s="132">
        <v>5.9391999999999996</v>
      </c>
      <c r="Q101" s="133">
        <v>-0.54566231939649668</v>
      </c>
      <c r="R101" s="134">
        <v>982.39559999999994</v>
      </c>
      <c r="S101" s="133">
        <v>1.0990071425599752</v>
      </c>
      <c r="T101" s="135">
        <v>4.1279233968195568</v>
      </c>
      <c r="U101" s="149">
        <v>5.5261171666666673</v>
      </c>
      <c r="V101" s="133">
        <v>0.93028447910957124</v>
      </c>
      <c r="W101" s="60" t="s">
        <v>51</v>
      </c>
    </row>
    <row r="102" spans="1:23" x14ac:dyDescent="0.25">
      <c r="A102" t="s">
        <v>45</v>
      </c>
      <c r="B102">
        <v>1</v>
      </c>
      <c r="C102" s="131">
        <v>43830</v>
      </c>
      <c r="D102" s="136">
        <v>54.058527433800002</v>
      </c>
      <c r="E102" s="136">
        <v>1.9669376035242121</v>
      </c>
      <c r="F102" s="132">
        <v>1.3239325</v>
      </c>
      <c r="G102" s="132">
        <v>1.2946949999999999</v>
      </c>
      <c r="H102" s="132">
        <v>0.36818786241812185</v>
      </c>
      <c r="I102" s="132">
        <v>47.547933973175738</v>
      </c>
      <c r="J102" s="132" t="s">
        <v>200</v>
      </c>
      <c r="K102" s="149">
        <v>39.998568597549998</v>
      </c>
      <c r="L102" s="132">
        <v>26.633437499999999</v>
      </c>
      <c r="M102" s="132">
        <v>-0.43409109788514916</v>
      </c>
      <c r="N102" s="132">
        <v>16.268064101</v>
      </c>
      <c r="O102" s="132">
        <v>8.3728214438999995</v>
      </c>
      <c r="P102" s="132">
        <v>5.6413799999999998</v>
      </c>
      <c r="Q102" s="133">
        <v>-0.57122203915987591</v>
      </c>
      <c r="R102" s="134">
        <v>9157.6491999999998</v>
      </c>
      <c r="S102" s="133">
        <v>0.94344198126696299</v>
      </c>
      <c r="T102" s="135">
        <v>2.3003283368448537</v>
      </c>
      <c r="U102" s="149">
        <v>12.606842666666665</v>
      </c>
      <c r="V102" s="133">
        <v>0.94273746793580981</v>
      </c>
      <c r="W102" s="60" t="s">
        <v>45</v>
      </c>
    </row>
    <row r="103" spans="1:23" x14ac:dyDescent="0.25">
      <c r="A103" t="s">
        <v>30</v>
      </c>
      <c r="B103">
        <v>1</v>
      </c>
      <c r="C103" s="131">
        <v>43830</v>
      </c>
      <c r="D103" s="136">
        <v>38.318115264625</v>
      </c>
      <c r="E103" s="136">
        <v>2.3762975244737001</v>
      </c>
      <c r="F103" s="132">
        <v>1.0257425</v>
      </c>
      <c r="G103" s="132">
        <v>0.95791499999999996</v>
      </c>
      <c r="H103" s="132">
        <v>0.62784509347967288</v>
      </c>
      <c r="I103" s="132">
        <v>24.495501828984672</v>
      </c>
      <c r="J103" s="132">
        <v>32.020957500000002</v>
      </c>
      <c r="K103" s="132">
        <v>29.933071587425001</v>
      </c>
      <c r="L103" s="132">
        <v>28.0578875</v>
      </c>
      <c r="M103" s="132">
        <v>0.21867526828100528</v>
      </c>
      <c r="N103" s="132">
        <v>44.8144150591</v>
      </c>
      <c r="O103" s="132">
        <v>17.8029674611</v>
      </c>
      <c r="P103" s="132">
        <v>5.4775</v>
      </c>
      <c r="Q103" s="133">
        <v>-0.34877987503647645</v>
      </c>
      <c r="R103" s="134">
        <v>2220.8022120000001</v>
      </c>
      <c r="S103" s="133">
        <v>0.46686884037683063</v>
      </c>
      <c r="T103" s="135">
        <v>2.954167229798617</v>
      </c>
      <c r="U103" s="149">
        <v>5.087472543333333</v>
      </c>
      <c r="V103" s="133">
        <v>0.65823705378528086</v>
      </c>
      <c r="W103" s="60" t="s">
        <v>30</v>
      </c>
    </row>
    <row r="104" spans="1:23" x14ac:dyDescent="0.25">
      <c r="A104" s="62" t="s">
        <v>119</v>
      </c>
      <c r="B104" s="63"/>
      <c r="C104" s="150"/>
      <c r="D104" s="138">
        <v>44.318332375384998</v>
      </c>
      <c r="E104" s="138">
        <v>2.5053195834522599</v>
      </c>
      <c r="F104" s="139">
        <v>1.42690925</v>
      </c>
      <c r="G104" s="139">
        <v>1.3811087500000003</v>
      </c>
      <c r="H104" s="139">
        <v>0.7708413552856116</v>
      </c>
      <c r="I104" s="158">
        <v>1745.3355357664298</v>
      </c>
      <c r="J104" s="139">
        <v>28.721014500000003</v>
      </c>
      <c r="K104" s="139">
        <v>20.37169250633</v>
      </c>
      <c r="L104" s="139">
        <v>15.362426500000002</v>
      </c>
      <c r="M104" s="139">
        <v>3.4067101392062114E-2</v>
      </c>
      <c r="N104" s="139">
        <v>24.569624288690001</v>
      </c>
      <c r="O104" s="139">
        <v>10.589941769759999</v>
      </c>
      <c r="P104" s="139">
        <v>7.8800880004999998</v>
      </c>
      <c r="Q104" s="140">
        <v>0.14727019122279136</v>
      </c>
      <c r="R104" s="141">
        <v>3007.3362419999994</v>
      </c>
      <c r="S104" s="140">
        <v>0.24418843136734916</v>
      </c>
      <c r="T104" s="142">
        <v>17.617015502058024</v>
      </c>
      <c r="U104" s="158">
        <v>12.940313830833336</v>
      </c>
      <c r="V104" s="140">
        <v>0.77524180925633523</v>
      </c>
      <c r="W104" s="71" t="s">
        <v>120</v>
      </c>
    </row>
    <row r="105" spans="1:23" x14ac:dyDescent="0.25">
      <c r="C105" s="131"/>
      <c r="D105" s="136"/>
      <c r="E105" s="136"/>
      <c r="F105" s="132"/>
      <c r="G105" s="132"/>
      <c r="H105" s="132"/>
      <c r="I105" s="132"/>
      <c r="J105" s="132"/>
      <c r="K105" s="132"/>
      <c r="L105" s="132"/>
      <c r="M105" s="132"/>
      <c r="N105" s="132"/>
      <c r="O105" s="132"/>
      <c r="P105" s="132"/>
      <c r="Q105" s="135"/>
      <c r="R105" s="134"/>
      <c r="S105" s="135"/>
      <c r="T105" s="135"/>
      <c r="U105" s="149"/>
      <c r="V105" s="133"/>
      <c r="W105" s="60"/>
    </row>
    <row r="106" spans="1:23" x14ac:dyDescent="0.25">
      <c r="A106" s="50" t="s">
        <v>136</v>
      </c>
      <c r="B106" s="75"/>
      <c r="C106" s="151"/>
      <c r="D106" s="144"/>
      <c r="E106" s="144"/>
      <c r="F106" s="145"/>
      <c r="G106" s="145"/>
      <c r="H106" s="145"/>
      <c r="I106" s="145"/>
      <c r="J106" s="145"/>
      <c r="K106" s="145"/>
      <c r="L106" s="145"/>
      <c r="M106" s="145"/>
      <c r="N106" s="145"/>
      <c r="O106" s="145"/>
      <c r="P106" s="145"/>
      <c r="Q106" s="148"/>
      <c r="R106" s="147"/>
      <c r="S106" s="148"/>
      <c r="T106" s="148"/>
      <c r="U106" s="160"/>
      <c r="V106" s="146"/>
      <c r="W106" s="81"/>
    </row>
    <row r="107" spans="1:23" x14ac:dyDescent="0.25">
      <c r="A107" t="s">
        <v>76</v>
      </c>
      <c r="B107">
        <v>1</v>
      </c>
      <c r="C107" s="131">
        <v>43861</v>
      </c>
      <c r="D107" s="136">
        <v>5.4555576283749998</v>
      </c>
      <c r="E107" s="136">
        <v>1.2291970920933868</v>
      </c>
      <c r="F107" s="132">
        <v>4.23027</v>
      </c>
      <c r="G107" s="132">
        <v>4.0931575000000002</v>
      </c>
      <c r="H107" s="132">
        <v>0.4556426517139282</v>
      </c>
      <c r="I107" s="132">
        <v>15.326423794940627</v>
      </c>
      <c r="J107" s="132">
        <v>38.837994999999999</v>
      </c>
      <c r="K107" s="132">
        <v>13.336962085450001</v>
      </c>
      <c r="L107" s="132">
        <v>2.9004175000000001</v>
      </c>
      <c r="M107" s="132">
        <v>-1.7156180514460526E-2</v>
      </c>
      <c r="N107" s="132">
        <v>1.8384489691000001</v>
      </c>
      <c r="O107" s="132">
        <v>1.2297490818000001</v>
      </c>
      <c r="P107" s="132">
        <v>5.1720000000000002E-2</v>
      </c>
      <c r="Q107" s="133">
        <v>-0.56642304195749327</v>
      </c>
      <c r="R107" s="134">
        <v>143.38826800000001</v>
      </c>
      <c r="S107" s="133">
        <v>5.8550602780651495E-2</v>
      </c>
      <c r="T107" s="135">
        <v>1.6576258662417562</v>
      </c>
      <c r="U107" s="149">
        <v>1.6475856966666667</v>
      </c>
      <c r="V107" s="133">
        <v>0.42578854665554888</v>
      </c>
      <c r="W107" s="60" t="s">
        <v>76</v>
      </c>
    </row>
    <row r="108" spans="1:23" x14ac:dyDescent="0.25">
      <c r="A108" s="62" t="s">
        <v>119</v>
      </c>
      <c r="B108" s="63"/>
      <c r="C108" s="150"/>
      <c r="D108" s="139">
        <v>5.4555576283749998</v>
      </c>
      <c r="E108" s="139">
        <v>1.2291970920933868</v>
      </c>
      <c r="F108" s="139">
        <v>4.23027</v>
      </c>
      <c r="G108" s="139">
        <v>4.0931575000000002</v>
      </c>
      <c r="H108" s="139">
        <v>0.4556426517139282</v>
      </c>
      <c r="I108" s="139">
        <v>15.326423794940627</v>
      </c>
      <c r="J108" s="139">
        <v>38.837994999999999</v>
      </c>
      <c r="K108" s="139">
        <v>13.336962085450001</v>
      </c>
      <c r="L108" s="139">
        <v>2.9004175000000001</v>
      </c>
      <c r="M108" s="139">
        <v>-1.7156180514460526E-2</v>
      </c>
      <c r="N108" s="139">
        <v>1.8384489691000001</v>
      </c>
      <c r="O108" s="139">
        <v>1.2297490818000001</v>
      </c>
      <c r="P108" s="139">
        <v>5.1720000000000002E-2</v>
      </c>
      <c r="Q108" s="140">
        <v>-0.56642304195749327</v>
      </c>
      <c r="R108" s="141">
        <v>143.38826800000001</v>
      </c>
      <c r="S108" s="142">
        <v>5.8550602780651495E-2</v>
      </c>
      <c r="T108" s="142">
        <v>1.6576258662417562</v>
      </c>
      <c r="U108" s="158">
        <v>1.6475856966666667</v>
      </c>
      <c r="V108" s="140">
        <v>0.42578854665554888</v>
      </c>
      <c r="W108" s="71" t="s">
        <v>120</v>
      </c>
    </row>
    <row r="109" spans="1:23" x14ac:dyDescent="0.25">
      <c r="C109" s="131"/>
      <c r="D109" s="132"/>
      <c r="E109" s="132"/>
      <c r="F109" s="132"/>
      <c r="G109" s="132"/>
      <c r="H109" s="132"/>
      <c r="I109" s="132"/>
      <c r="J109" s="132"/>
      <c r="K109" s="132"/>
      <c r="L109" s="132"/>
      <c r="M109" s="132"/>
      <c r="N109" s="132"/>
      <c r="O109" s="132"/>
      <c r="P109" s="132"/>
      <c r="Q109" s="135"/>
      <c r="R109" s="134"/>
      <c r="S109" s="135"/>
      <c r="T109" s="135"/>
      <c r="U109" s="149"/>
      <c r="V109" s="133"/>
      <c r="W109" s="60"/>
    </row>
    <row r="110" spans="1:23" x14ac:dyDescent="0.25">
      <c r="A110" s="50" t="s">
        <v>137</v>
      </c>
      <c r="B110" s="75"/>
      <c r="C110" s="151"/>
      <c r="D110" s="145"/>
      <c r="E110" s="145"/>
      <c r="F110" s="145"/>
      <c r="G110" s="145"/>
      <c r="H110" s="145"/>
      <c r="I110" s="145"/>
      <c r="J110" s="145"/>
      <c r="K110" s="145"/>
      <c r="L110" s="145"/>
      <c r="M110" s="145"/>
      <c r="N110" s="145"/>
      <c r="O110" s="145"/>
      <c r="P110" s="145"/>
      <c r="Q110" s="148"/>
      <c r="R110" s="147"/>
      <c r="S110" s="148"/>
      <c r="T110" s="148"/>
      <c r="U110" s="160"/>
      <c r="V110" s="146"/>
      <c r="W110" s="81"/>
    </row>
    <row r="111" spans="1:23" hidden="1" x14ac:dyDescent="0.25">
      <c r="A111" t="s">
        <v>301</v>
      </c>
      <c r="B111">
        <v>1</v>
      </c>
      <c r="C111" s="131">
        <v>43830</v>
      </c>
      <c r="D111" s="136">
        <v>354.60209421232503</v>
      </c>
      <c r="E111" s="136">
        <v>6.8653293522295584</v>
      </c>
      <c r="F111" s="132">
        <v>0.84697500000000003</v>
      </c>
      <c r="G111" s="132">
        <v>0.78518750000000004</v>
      </c>
      <c r="H111" s="132">
        <v>22.434032432307209</v>
      </c>
      <c r="I111" s="132">
        <v>10.05106136491759</v>
      </c>
      <c r="J111" s="132">
        <v>73.691432500000005</v>
      </c>
      <c r="K111" s="132">
        <v>9.6357424347999991</v>
      </c>
      <c r="L111" s="132">
        <v>1.7964275000000001</v>
      </c>
      <c r="M111" s="132">
        <v>4.5097324059970773E-2</v>
      </c>
      <c r="N111" s="132">
        <v>6.5136175673999999</v>
      </c>
      <c r="O111" s="132">
        <v>1.4287922241</v>
      </c>
      <c r="P111" s="132">
        <v>3.7293798328788501</v>
      </c>
      <c r="Q111" s="133" t="s">
        <v>200</v>
      </c>
      <c r="R111" s="134" t="s">
        <v>200</v>
      </c>
      <c r="S111" s="133" t="s">
        <v>200</v>
      </c>
      <c r="T111" s="135" t="s">
        <v>200</v>
      </c>
      <c r="U111" s="149" t="s">
        <v>200</v>
      </c>
      <c r="V111" s="133" t="s">
        <v>200</v>
      </c>
      <c r="W111" s="60" t="s">
        <v>301</v>
      </c>
    </row>
    <row r="112" spans="1:23" x14ac:dyDescent="0.25">
      <c r="A112" t="s">
        <v>41</v>
      </c>
      <c r="B112">
        <v>1</v>
      </c>
      <c r="C112" s="131">
        <v>43830</v>
      </c>
      <c r="D112" s="132">
        <v>42.4863095698</v>
      </c>
      <c r="E112" s="132">
        <v>1.7870838515838274</v>
      </c>
      <c r="F112" s="132">
        <v>0.716055</v>
      </c>
      <c r="G112" s="132">
        <v>0.66791</v>
      </c>
      <c r="H112" s="132">
        <v>0.45232033439891856</v>
      </c>
      <c r="I112" s="132">
        <v>27.943525270835593</v>
      </c>
      <c r="J112" s="132">
        <v>73.663387499999999</v>
      </c>
      <c r="K112" s="132">
        <v>7.7714049612249996</v>
      </c>
      <c r="L112" s="132">
        <v>-3.2899349999999998</v>
      </c>
      <c r="M112" s="132">
        <v>-0.11815069253553713</v>
      </c>
      <c r="N112" s="132">
        <v>-1.3479204738999999</v>
      </c>
      <c r="O112" s="132">
        <v>-0.67616038980000004</v>
      </c>
      <c r="P112" s="132">
        <v>-2.4370799999999999</v>
      </c>
      <c r="Q112" s="133">
        <v>1.4195924380063836</v>
      </c>
      <c r="R112" s="134">
        <v>1379.6</v>
      </c>
      <c r="S112" s="133">
        <v>-2.0365908024624271</v>
      </c>
      <c r="T112" s="135">
        <v>1.5899856211326502</v>
      </c>
      <c r="U112" s="149">
        <v>120.88733333333333</v>
      </c>
      <c r="V112" s="133">
        <v>0.47992730683812534</v>
      </c>
      <c r="W112" s="60" t="s">
        <v>41</v>
      </c>
    </row>
    <row r="113" spans="1:23" x14ac:dyDescent="0.25">
      <c r="A113" t="s">
        <v>43</v>
      </c>
      <c r="B113">
        <v>1</v>
      </c>
      <c r="C113" s="131">
        <v>43830</v>
      </c>
      <c r="D113" s="132">
        <v>115.06321761037501</v>
      </c>
      <c r="E113" s="132">
        <v>4.56756165709327</v>
      </c>
      <c r="F113" s="132">
        <v>0.71192750000000005</v>
      </c>
      <c r="G113" s="132">
        <v>0.66499249999999999</v>
      </c>
      <c r="H113" s="132">
        <v>0.45879121298910464</v>
      </c>
      <c r="I113" s="132">
        <v>20.527636696653438</v>
      </c>
      <c r="J113" s="132">
        <v>84.239675000000005</v>
      </c>
      <c r="K113" s="132">
        <v>8.8110758464250001</v>
      </c>
      <c r="L113" s="132">
        <v>-2.0512049999999999</v>
      </c>
      <c r="M113" s="132">
        <v>-7.2015702505029158E-2</v>
      </c>
      <c r="N113" s="132">
        <v>-2.3831000784</v>
      </c>
      <c r="O113" s="132">
        <v>-0.91492115529999996</v>
      </c>
      <c r="P113" s="132">
        <v>-18.246130000000001</v>
      </c>
      <c r="Q113" s="133">
        <v>1.4487450861808284</v>
      </c>
      <c r="R113" s="134">
        <v>-1533.4</v>
      </c>
      <c r="S113" s="133" t="s">
        <v>200</v>
      </c>
      <c r="T113" s="135">
        <v>1.0767481319506171</v>
      </c>
      <c r="U113" s="149">
        <v>180.065</v>
      </c>
      <c r="V113" s="133" t="s">
        <v>200</v>
      </c>
      <c r="W113" s="60" t="s">
        <v>43</v>
      </c>
    </row>
    <row r="114" spans="1:23" x14ac:dyDescent="0.25">
      <c r="A114" t="s">
        <v>16</v>
      </c>
      <c r="B114">
        <v>1</v>
      </c>
      <c r="C114" s="131">
        <v>43738</v>
      </c>
      <c r="D114" s="132">
        <v>17.666569140749999</v>
      </c>
      <c r="E114" s="132">
        <v>1.9857116132705566</v>
      </c>
      <c r="F114" s="132">
        <v>1.3441875000000001</v>
      </c>
      <c r="G114" s="132">
        <v>1.1475500000000001</v>
      </c>
      <c r="H114" s="132">
        <v>1.3517189727109156</v>
      </c>
      <c r="I114" s="132" t="s">
        <v>200</v>
      </c>
      <c r="J114" s="132">
        <v>33.155295000000002</v>
      </c>
      <c r="K114" s="132">
        <v>0.986648761125</v>
      </c>
      <c r="L114" s="132">
        <v>-7.3606024999999997</v>
      </c>
      <c r="M114" s="132">
        <v>-6.0897823056285792E-2</v>
      </c>
      <c r="N114" s="132">
        <v>-28.4582803809</v>
      </c>
      <c r="O114" s="132">
        <v>-13.771146810999999</v>
      </c>
      <c r="P114" s="132">
        <v>-19.371369999999999</v>
      </c>
      <c r="Q114" s="133">
        <v>-7.4312499559504488</v>
      </c>
      <c r="R114" s="134">
        <v>-832.33099800000002</v>
      </c>
      <c r="S114" s="133">
        <v>-2.1497353576633342</v>
      </c>
      <c r="T114" s="135">
        <v>1.372277301530606</v>
      </c>
      <c r="U114" s="149">
        <v>15.947032538333334</v>
      </c>
      <c r="V114" s="133">
        <v>6.4288295430916076E-2</v>
      </c>
      <c r="W114" s="60" t="s">
        <v>16</v>
      </c>
    </row>
    <row r="115" spans="1:23" x14ac:dyDescent="0.25">
      <c r="A115" s="103" t="s">
        <v>119</v>
      </c>
      <c r="B115" s="104"/>
      <c r="C115" s="104"/>
      <c r="D115" s="164">
        <v>132.4545476333125</v>
      </c>
      <c r="E115" s="164">
        <v>3.8014216185443028</v>
      </c>
      <c r="F115" s="165">
        <v>0.90478625000000013</v>
      </c>
      <c r="G115" s="165">
        <v>0.81641000000000008</v>
      </c>
      <c r="H115" s="165">
        <v>6.1742157381015375</v>
      </c>
      <c r="I115" s="165">
        <v>19.507407777468874</v>
      </c>
      <c r="J115" s="165">
        <v>66.187447500000005</v>
      </c>
      <c r="K115" s="165">
        <v>6.8012180008937504</v>
      </c>
      <c r="L115" s="165">
        <v>-2.72632875</v>
      </c>
      <c r="M115" s="165">
        <v>-5.1491723509220329E-2</v>
      </c>
      <c r="N115" s="165">
        <v>-6.4189208414499994</v>
      </c>
      <c r="O115" s="165">
        <v>-3.4833590329999997</v>
      </c>
      <c r="P115" s="165">
        <v>-9.0813000417802883</v>
      </c>
      <c r="Q115" s="166">
        <v>-1.5209708105877455</v>
      </c>
      <c r="R115" s="167">
        <v>-328.71033266666672</v>
      </c>
      <c r="S115" s="166">
        <v>-2.0931630800628804</v>
      </c>
      <c r="T115" s="168">
        <v>1.3463370182046246</v>
      </c>
      <c r="U115" s="169">
        <v>105.63312195722223</v>
      </c>
      <c r="V115" s="166">
        <v>0.27210780113452071</v>
      </c>
      <c r="W115" s="110" t="s">
        <v>120</v>
      </c>
    </row>
    <row r="116" spans="1:23" x14ac:dyDescent="0.25">
      <c r="A116" s="115"/>
      <c r="D116" s="170"/>
      <c r="E116" s="170"/>
      <c r="W116" s="115"/>
    </row>
    <row r="117" spans="1:23" x14ac:dyDescent="0.25">
      <c r="A117" s="115" t="s">
        <v>139</v>
      </c>
      <c r="D117" s="170"/>
      <c r="E117" s="170"/>
      <c r="W117" s="115"/>
    </row>
    <row r="118" spans="1:23" x14ac:dyDescent="0.25">
      <c r="D118" s="170"/>
      <c r="E118" s="170"/>
    </row>
  </sheetData>
  <mergeCells count="24">
    <mergeCell ref="J86:V86"/>
    <mergeCell ref="W86:W87"/>
    <mergeCell ref="A86:A87"/>
    <mergeCell ref="B86:B87"/>
    <mergeCell ref="C86:C87"/>
    <mergeCell ref="D86:E86"/>
    <mergeCell ref="F86:G86"/>
    <mergeCell ref="H86:I86"/>
    <mergeCell ref="J3:V3"/>
    <mergeCell ref="W3:W4"/>
    <mergeCell ref="A40:A41"/>
    <mergeCell ref="B40:B41"/>
    <mergeCell ref="C40:C41"/>
    <mergeCell ref="D40:E40"/>
    <mergeCell ref="F40:G40"/>
    <mergeCell ref="H40:I40"/>
    <mergeCell ref="J40:V40"/>
    <mergeCell ref="W40:W41"/>
    <mergeCell ref="A3:A4"/>
    <mergeCell ref="B3:B4"/>
    <mergeCell ref="C3:C4"/>
    <mergeCell ref="D3:E3"/>
    <mergeCell ref="F3:G3"/>
    <mergeCell ref="H3:I3"/>
  </mergeCells>
  <printOptions horizontalCentered="1" verticalCentered="1"/>
  <pageMargins left="0.25" right="0.25" top="0.4" bottom="0.5" header="0.3" footer="0.3"/>
  <pageSetup paperSize="9" scale="75" orientation="landscape" r:id="rId1"/>
  <headerFooter>
    <oddHeader>&amp;LReporte de Ratios Argentina&amp;R&amp;G</oddHeader>
    <oddFooter>&amp;Cwww.invertironline.com&amp;R&amp;P</oddFooter>
  </headerFooter>
  <rowBreaks count="2" manualBreakCount="2">
    <brk id="38" max="21" man="1"/>
    <brk id="84" max="21"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564585"/>
  </sheetPr>
  <dimension ref="A1:AF114"/>
  <sheetViews>
    <sheetView zoomScaleNormal="100" zoomScaleSheetLayoutView="100" workbookViewId="0"/>
  </sheetViews>
  <sheetFormatPr baseColWidth="10" defaultRowHeight="15" x14ac:dyDescent="0.25"/>
  <cols>
    <col min="1" max="1" width="9.7109375" customWidth="1"/>
    <col min="2" max="5" width="10.85546875" customWidth="1"/>
    <col min="6" max="6" width="1.140625" customWidth="1"/>
    <col min="7" max="10" width="10.85546875" customWidth="1"/>
    <col min="11" max="11" width="1.140625" style="31" customWidth="1"/>
    <col min="12" max="15" width="10.85546875" customWidth="1"/>
    <col min="16" max="16" width="1.5703125" style="31" customWidth="1"/>
    <col min="17" max="17" width="7.85546875" hidden="1" customWidth="1"/>
    <col min="18" max="18" width="8.28515625" hidden="1" customWidth="1"/>
    <col min="19" max="19" width="7.7109375" hidden="1" customWidth="1"/>
    <col min="20" max="20" width="8.28515625" hidden="1" customWidth="1"/>
    <col min="21" max="21" width="1.28515625" style="31" hidden="1" customWidth="1"/>
    <col min="22" max="22" width="9.140625" hidden="1" customWidth="1"/>
    <col min="23" max="25" width="7.7109375" hidden="1" customWidth="1"/>
    <col min="26" max="26" width="1.42578125" style="31" hidden="1" customWidth="1"/>
    <col min="27" max="27" width="9.28515625" hidden="1" customWidth="1"/>
    <col min="28" max="28" width="8.140625" hidden="1" customWidth="1"/>
    <col min="29" max="29" width="7.7109375" hidden="1" customWidth="1"/>
    <col min="30" max="30" width="7.5703125" hidden="1" customWidth="1"/>
    <col min="31" max="31" width="0.42578125" style="31" customWidth="1"/>
    <col min="32" max="32" width="7.85546875" style="60" customWidth="1"/>
  </cols>
  <sheetData>
    <row r="1" spans="1:32" ht="26.25" x14ac:dyDescent="0.4">
      <c r="A1" s="171" t="s">
        <v>167</v>
      </c>
      <c r="B1" s="171"/>
      <c r="C1" s="171"/>
      <c r="D1" s="171"/>
      <c r="E1" s="171"/>
      <c r="F1" s="171"/>
      <c r="G1" s="171"/>
    </row>
    <row r="2" spans="1:32" x14ac:dyDescent="0.25">
      <c r="A2" s="172" t="s">
        <v>168</v>
      </c>
      <c r="B2" s="172"/>
      <c r="C2" s="172"/>
      <c r="D2" s="172"/>
      <c r="E2" s="172"/>
      <c r="F2" s="172"/>
      <c r="G2" s="172"/>
    </row>
    <row r="3" spans="1:32" ht="26.25" customHeight="1" x14ac:dyDescent="0.25">
      <c r="B3" s="173" t="s">
        <v>169</v>
      </c>
      <c r="C3" s="173" t="s">
        <v>170</v>
      </c>
      <c r="D3" s="173" t="s">
        <v>171</v>
      </c>
      <c r="E3" s="173" t="s">
        <v>172</v>
      </c>
      <c r="G3" s="173" t="s">
        <v>173</v>
      </c>
      <c r="H3" s="173" t="s">
        <v>174</v>
      </c>
      <c r="I3" s="173" t="s">
        <v>175</v>
      </c>
      <c r="J3" s="173" t="s">
        <v>176</v>
      </c>
      <c r="K3" s="174"/>
      <c r="L3" s="173" t="s">
        <v>177</v>
      </c>
      <c r="M3" s="174" t="s">
        <v>178</v>
      </c>
      <c r="N3" s="173" t="s">
        <v>179</v>
      </c>
      <c r="O3" s="173" t="s">
        <v>180</v>
      </c>
      <c r="P3" s="174"/>
      <c r="Q3" s="173" t="s">
        <v>181</v>
      </c>
      <c r="R3" s="173" t="s">
        <v>182</v>
      </c>
      <c r="S3" s="174" t="s">
        <v>183</v>
      </c>
      <c r="T3" s="173" t="s">
        <v>184</v>
      </c>
      <c r="U3" s="174"/>
      <c r="V3" s="173" t="s">
        <v>185</v>
      </c>
      <c r="W3" s="173" t="s">
        <v>186</v>
      </c>
      <c r="X3" s="173" t="s">
        <v>187</v>
      </c>
      <c r="Y3" s="174" t="s">
        <v>188</v>
      </c>
      <c r="Z3" s="174"/>
      <c r="AA3" s="173" t="s">
        <v>189</v>
      </c>
      <c r="AB3" s="173" t="s">
        <v>190</v>
      </c>
      <c r="AC3" s="173" t="s">
        <v>191</v>
      </c>
      <c r="AD3" s="173" t="s">
        <v>192</v>
      </c>
      <c r="AE3" s="175"/>
      <c r="AF3" s="176"/>
    </row>
    <row r="4" spans="1:32" ht="15.75" customHeight="1" x14ac:dyDescent="0.25">
      <c r="A4" s="177" t="s">
        <v>3</v>
      </c>
      <c r="B4" s="178">
        <v>2019</v>
      </c>
      <c r="C4" s="178"/>
      <c r="D4" s="178"/>
      <c r="E4" s="178"/>
      <c r="G4" s="178">
        <v>2018</v>
      </c>
      <c r="H4" s="178"/>
      <c r="I4" s="178"/>
      <c r="J4" s="178"/>
      <c r="K4" s="179"/>
      <c r="L4" s="178">
        <v>2017</v>
      </c>
      <c r="M4" s="178"/>
      <c r="N4" s="178"/>
      <c r="O4" s="178"/>
      <c r="P4" s="179"/>
      <c r="Q4" s="178">
        <v>2016</v>
      </c>
      <c r="R4" s="178"/>
      <c r="S4" s="178"/>
      <c r="T4" s="178"/>
      <c r="U4" s="179"/>
      <c r="V4" s="178">
        <v>2015</v>
      </c>
      <c r="W4" s="178"/>
      <c r="X4" s="178"/>
      <c r="Y4" s="178"/>
      <c r="Z4" s="179"/>
      <c r="AA4" s="178">
        <v>2014</v>
      </c>
      <c r="AB4" s="178"/>
      <c r="AC4" s="178"/>
      <c r="AD4" s="178"/>
      <c r="AE4" s="179"/>
      <c r="AF4" s="180" t="s">
        <v>3</v>
      </c>
    </row>
    <row r="5" spans="1:32" ht="17.25" customHeight="1" x14ac:dyDescent="0.25">
      <c r="A5" s="181"/>
      <c r="B5" s="182" t="s">
        <v>193</v>
      </c>
      <c r="C5" s="182" t="s">
        <v>194</v>
      </c>
      <c r="D5" s="182" t="s">
        <v>195</v>
      </c>
      <c r="E5" s="182" t="s">
        <v>196</v>
      </c>
      <c r="G5" s="182" t="s">
        <v>193</v>
      </c>
      <c r="H5" s="182" t="s">
        <v>194</v>
      </c>
      <c r="I5" s="182" t="s">
        <v>195</v>
      </c>
      <c r="J5" s="182" t="s">
        <v>196</v>
      </c>
      <c r="K5" s="183"/>
      <c r="L5" s="182" t="s">
        <v>193</v>
      </c>
      <c r="M5" s="182" t="s">
        <v>194</v>
      </c>
      <c r="N5" s="182" t="s">
        <v>195</v>
      </c>
      <c r="O5" s="182" t="s">
        <v>196</v>
      </c>
      <c r="P5" s="184"/>
      <c r="Q5" s="182" t="s">
        <v>197</v>
      </c>
      <c r="R5" s="182" t="s">
        <v>194</v>
      </c>
      <c r="S5" s="182" t="s">
        <v>195</v>
      </c>
      <c r="T5" s="182" t="s">
        <v>198</v>
      </c>
      <c r="U5" s="184"/>
      <c r="V5" s="182" t="s">
        <v>193</v>
      </c>
      <c r="W5" s="182" t="s">
        <v>194</v>
      </c>
      <c r="X5" s="182" t="s">
        <v>195</v>
      </c>
      <c r="Y5" s="182" t="s">
        <v>196</v>
      </c>
      <c r="Z5" s="184"/>
      <c r="AA5" s="182" t="s">
        <v>193</v>
      </c>
      <c r="AB5" s="182" t="s">
        <v>199</v>
      </c>
      <c r="AC5" s="182" t="s">
        <v>195</v>
      </c>
      <c r="AD5" s="182" t="s">
        <v>196</v>
      </c>
      <c r="AE5" s="184"/>
      <c r="AF5" s="185"/>
    </row>
    <row r="6" spans="1:32" x14ac:dyDescent="0.25">
      <c r="A6" s="186" t="s">
        <v>117</v>
      </c>
      <c r="B6" s="187"/>
      <c r="C6" s="187"/>
      <c r="D6" s="187"/>
      <c r="E6" s="187"/>
      <c r="G6" s="188"/>
      <c r="H6" s="188"/>
      <c r="I6" s="188"/>
      <c r="J6" s="189"/>
      <c r="K6" s="190"/>
      <c r="L6" s="191"/>
      <c r="M6" s="192"/>
      <c r="N6" s="192"/>
      <c r="O6" s="193"/>
      <c r="P6" s="190"/>
      <c r="Q6" s="191"/>
      <c r="R6" s="192"/>
      <c r="S6" s="192"/>
      <c r="T6" s="193"/>
      <c r="U6" s="190"/>
      <c r="V6" s="191"/>
      <c r="W6" s="192"/>
      <c r="X6" s="192"/>
      <c r="Y6" s="193"/>
      <c r="Z6" s="190"/>
      <c r="AA6" s="191"/>
      <c r="AB6" s="192"/>
      <c r="AC6" s="192"/>
      <c r="AD6" s="193"/>
      <c r="AE6" s="190"/>
      <c r="AF6" s="194"/>
    </row>
    <row r="7" spans="1:32" x14ac:dyDescent="0.25">
      <c r="A7" t="s">
        <v>67</v>
      </c>
      <c r="B7" s="195">
        <v>1289.0609999999999</v>
      </c>
      <c r="C7" s="196">
        <v>222.024</v>
      </c>
      <c r="D7" s="196">
        <v>-1094.9069999999999</v>
      </c>
      <c r="E7" s="196">
        <v>-40.511000000000003</v>
      </c>
      <c r="F7" s="197"/>
      <c r="G7" s="196">
        <v>656.36500000000001</v>
      </c>
      <c r="H7" s="196">
        <v>-256.94499999999999</v>
      </c>
      <c r="I7" s="196">
        <v>-460.97500000000002</v>
      </c>
      <c r="J7" s="196">
        <v>34.295000000000002</v>
      </c>
      <c r="K7" s="198"/>
      <c r="L7" s="196">
        <v>362.62799999999999</v>
      </c>
      <c r="M7" s="196">
        <v>-16.936</v>
      </c>
      <c r="N7" s="196">
        <v>-36.006999999999998</v>
      </c>
      <c r="O7" s="196">
        <v>129.28899999999999</v>
      </c>
      <c r="P7" s="196"/>
      <c r="Q7" s="196">
        <v>0</v>
      </c>
      <c r="R7" s="196">
        <v>0</v>
      </c>
      <c r="S7" s="196">
        <v>0</v>
      </c>
      <c r="T7" s="196">
        <v>0</v>
      </c>
      <c r="U7" s="196"/>
      <c r="V7" s="196">
        <v>0</v>
      </c>
      <c r="W7" s="196">
        <v>0</v>
      </c>
      <c r="X7" s="196">
        <v>0</v>
      </c>
      <c r="Y7" s="196">
        <v>0</v>
      </c>
      <c r="Z7" s="196"/>
      <c r="AA7" s="196">
        <v>0</v>
      </c>
      <c r="AB7" s="196">
        <v>0</v>
      </c>
      <c r="AC7" s="196">
        <v>0</v>
      </c>
      <c r="AD7" s="196">
        <v>0</v>
      </c>
      <c r="AF7" s="60" t="s">
        <v>67</v>
      </c>
    </row>
    <row r="8" spans="1:32" x14ac:dyDescent="0.25">
      <c r="A8" t="s">
        <v>65</v>
      </c>
      <c r="B8" s="195">
        <v>1903.0170000000001</v>
      </c>
      <c r="C8" s="196">
        <v>161.733</v>
      </c>
      <c r="D8" s="196">
        <v>663.86099999999999</v>
      </c>
      <c r="E8" s="196">
        <v>823.79600000000005</v>
      </c>
      <c r="F8" s="197"/>
      <c r="G8" s="196">
        <v>125.39</v>
      </c>
      <c r="H8" s="196">
        <v>494.50700000000001</v>
      </c>
      <c r="I8" s="196">
        <v>652.84699999999998</v>
      </c>
      <c r="J8" s="196">
        <v>511.82600000000002</v>
      </c>
      <c r="K8" s="198"/>
      <c r="L8" s="196">
        <v>62.875999999999998</v>
      </c>
      <c r="M8" s="196">
        <v>54.158999999999999</v>
      </c>
      <c r="N8" s="196">
        <v>137.15600000000001</v>
      </c>
      <c r="O8" s="196">
        <v>-87.914000000000001</v>
      </c>
      <c r="P8" s="198"/>
      <c r="Q8" s="196">
        <v>0</v>
      </c>
      <c r="R8" s="196">
        <v>0</v>
      </c>
      <c r="S8" s="196">
        <v>0</v>
      </c>
      <c r="T8" s="196">
        <v>0</v>
      </c>
      <c r="U8" s="198"/>
      <c r="V8" s="196">
        <v>0</v>
      </c>
      <c r="W8" s="196">
        <v>0</v>
      </c>
      <c r="X8" s="196">
        <v>0</v>
      </c>
      <c r="Y8" s="196">
        <v>0</v>
      </c>
      <c r="Z8" s="198"/>
      <c r="AA8" s="196">
        <v>0</v>
      </c>
      <c r="AB8" s="196">
        <v>0</v>
      </c>
      <c r="AC8" s="196">
        <v>0</v>
      </c>
      <c r="AD8" s="196">
        <v>0</v>
      </c>
      <c r="AF8" s="60" t="s">
        <v>65</v>
      </c>
    </row>
    <row r="9" spans="1:32" x14ac:dyDescent="0.25">
      <c r="A9" t="s">
        <v>34</v>
      </c>
      <c r="B9" s="195">
        <v>349.17399999999998</v>
      </c>
      <c r="C9" s="196">
        <v>-2485.527</v>
      </c>
      <c r="D9" s="196">
        <v>285.22800000000001</v>
      </c>
      <c r="E9" s="199">
        <v>719.25900000000001</v>
      </c>
      <c r="F9" s="197"/>
      <c r="G9" s="196">
        <v>452.666</v>
      </c>
      <c r="H9" s="196">
        <v>-1260.81</v>
      </c>
      <c r="I9" s="196">
        <v>-1661.1089999999999</v>
      </c>
      <c r="J9" s="199">
        <v>50.976999999999997</v>
      </c>
      <c r="K9" s="200"/>
      <c r="L9" s="196">
        <v>-745.49599999999998</v>
      </c>
      <c r="M9" s="196">
        <v>-8.3239999999999998</v>
      </c>
      <c r="N9" s="196">
        <v>-40.198</v>
      </c>
      <c r="O9" s="196">
        <v>39.457000000000001</v>
      </c>
      <c r="P9" s="198"/>
      <c r="Q9" s="196">
        <v>0</v>
      </c>
      <c r="R9" s="196">
        <v>0</v>
      </c>
      <c r="S9" s="196">
        <v>0</v>
      </c>
      <c r="T9" s="196">
        <v>0</v>
      </c>
      <c r="U9" s="198"/>
      <c r="V9" s="196">
        <v>0</v>
      </c>
      <c r="W9" s="196">
        <v>0</v>
      </c>
      <c r="X9" s="196">
        <v>0</v>
      </c>
      <c r="Y9" s="196">
        <v>0</v>
      </c>
      <c r="Z9" s="198"/>
      <c r="AA9" s="196">
        <v>0</v>
      </c>
      <c r="AB9" s="196">
        <v>0</v>
      </c>
      <c r="AC9" s="196">
        <v>0</v>
      </c>
      <c r="AD9" s="196">
        <v>0</v>
      </c>
      <c r="AF9" s="60" t="s">
        <v>34</v>
      </c>
    </row>
    <row r="10" spans="1:32" x14ac:dyDescent="0.25">
      <c r="A10" t="s">
        <v>48</v>
      </c>
      <c r="B10" s="195">
        <v>348.08577000000002</v>
      </c>
      <c r="C10" s="196">
        <v>649.64338999999995</v>
      </c>
      <c r="D10" s="196">
        <v>230.34845000000001</v>
      </c>
      <c r="E10" s="199">
        <v>76.615250000000003</v>
      </c>
      <c r="F10" s="197"/>
      <c r="G10" s="196">
        <v>-86.303169999999994</v>
      </c>
      <c r="H10" s="196">
        <v>388.66894000000002</v>
      </c>
      <c r="I10" s="196">
        <v>290.51648</v>
      </c>
      <c r="J10" s="199">
        <v>4.52745</v>
      </c>
      <c r="K10" s="200"/>
      <c r="L10" s="196">
        <v>52.826320000000003</v>
      </c>
      <c r="M10" s="196">
        <v>133.13142999999999</v>
      </c>
      <c r="N10" s="196">
        <v>79.73724</v>
      </c>
      <c r="O10" s="196">
        <v>-21.15429</v>
      </c>
      <c r="P10" s="198"/>
      <c r="Q10" s="196">
        <v>0</v>
      </c>
      <c r="R10" s="196">
        <v>0</v>
      </c>
      <c r="S10" s="196">
        <v>0</v>
      </c>
      <c r="T10" s="196">
        <v>0</v>
      </c>
      <c r="U10" s="198"/>
      <c r="V10" s="196">
        <v>0</v>
      </c>
      <c r="W10" s="196">
        <v>0</v>
      </c>
      <c r="X10" s="196">
        <v>0</v>
      </c>
      <c r="Y10" s="196">
        <v>0</v>
      </c>
      <c r="Z10" s="198"/>
      <c r="AA10" s="196">
        <v>0</v>
      </c>
      <c r="AB10" s="196">
        <v>0</v>
      </c>
      <c r="AC10" s="196">
        <v>0</v>
      </c>
      <c r="AD10" s="196">
        <v>0</v>
      </c>
      <c r="AF10" s="60" t="s">
        <v>48</v>
      </c>
    </row>
    <row r="11" spans="1:32" x14ac:dyDescent="0.25">
      <c r="A11" t="s">
        <v>71</v>
      </c>
      <c r="B11" s="195" t="s">
        <v>200</v>
      </c>
      <c r="C11" s="196">
        <v>542.70899999999995</v>
      </c>
      <c r="D11" s="196">
        <v>-447.92700000000002</v>
      </c>
      <c r="E11" s="199">
        <v>321.04399999999998</v>
      </c>
      <c r="F11" s="197"/>
      <c r="G11" s="196">
        <v>799.72199999999998</v>
      </c>
      <c r="H11" s="196">
        <v>-879.255</v>
      </c>
      <c r="I11" s="196">
        <v>-1174.7190000000001</v>
      </c>
      <c r="J11" s="199">
        <v>-29.457999999999998</v>
      </c>
      <c r="K11" s="200"/>
      <c r="L11" s="196">
        <v>-81.150000000000006</v>
      </c>
      <c r="M11" s="196">
        <v>240.60900000000001</v>
      </c>
      <c r="N11" s="196">
        <v>-25.324000000000002</v>
      </c>
      <c r="O11" s="196">
        <v>-84.292000000000002</v>
      </c>
      <c r="P11" s="198"/>
      <c r="Q11" s="196">
        <v>0</v>
      </c>
      <c r="R11" s="196">
        <v>0</v>
      </c>
      <c r="S11" s="196">
        <v>0</v>
      </c>
      <c r="T11" s="196">
        <v>0</v>
      </c>
      <c r="U11" s="198"/>
      <c r="V11" s="196">
        <v>0</v>
      </c>
      <c r="W11" s="196">
        <v>0</v>
      </c>
      <c r="X11" s="196">
        <v>0</v>
      </c>
      <c r="Y11" s="196">
        <v>0</v>
      </c>
      <c r="Z11" s="198"/>
      <c r="AA11" s="196">
        <v>0</v>
      </c>
      <c r="AB11" s="196">
        <v>0</v>
      </c>
      <c r="AC11" s="196">
        <v>0</v>
      </c>
      <c r="AD11" s="196">
        <v>0</v>
      </c>
      <c r="AF11" s="60" t="s">
        <v>71</v>
      </c>
    </row>
    <row r="12" spans="1:32" x14ac:dyDescent="0.25">
      <c r="A12" t="s">
        <v>54</v>
      </c>
      <c r="B12" s="196">
        <v>1078.0139999999999</v>
      </c>
      <c r="C12" s="196">
        <v>-1262.873</v>
      </c>
      <c r="D12" s="196">
        <v>-449.60899999999998</v>
      </c>
      <c r="E12" s="199">
        <v>-289.22800000000001</v>
      </c>
      <c r="F12" s="197"/>
      <c r="G12" s="196">
        <v>-248.74700000000001</v>
      </c>
      <c r="H12" s="196">
        <v>-1821.8679999999999</v>
      </c>
      <c r="I12" s="196">
        <v>-859.44500000000005</v>
      </c>
      <c r="J12" s="199">
        <v>-307.72300000000001</v>
      </c>
      <c r="K12" s="200"/>
      <c r="L12" s="196">
        <v>164.93199999999999</v>
      </c>
      <c r="M12" s="196">
        <v>-197.78200000000001</v>
      </c>
      <c r="N12" s="196">
        <v>-42.975999999999999</v>
      </c>
      <c r="O12" s="196">
        <v>-25.33</v>
      </c>
      <c r="P12" s="198"/>
      <c r="Q12" s="196">
        <v>0</v>
      </c>
      <c r="R12" s="196">
        <v>0</v>
      </c>
      <c r="S12" s="196">
        <v>0</v>
      </c>
      <c r="T12" s="196">
        <v>0</v>
      </c>
      <c r="U12" s="198"/>
      <c r="V12" s="196">
        <v>0</v>
      </c>
      <c r="W12" s="196">
        <v>0</v>
      </c>
      <c r="X12" s="196">
        <v>0</v>
      </c>
      <c r="Y12" s="196">
        <v>0</v>
      </c>
      <c r="Z12" s="198"/>
      <c r="AA12" s="196">
        <v>0</v>
      </c>
      <c r="AB12" s="196">
        <v>0</v>
      </c>
      <c r="AC12" s="196">
        <v>0</v>
      </c>
      <c r="AD12" s="196">
        <v>0</v>
      </c>
      <c r="AF12" s="60" t="s">
        <v>54</v>
      </c>
    </row>
    <row r="13" spans="1:32" x14ac:dyDescent="0.25">
      <c r="A13" t="s">
        <v>12</v>
      </c>
      <c r="B13" s="196">
        <v>-83.821690000000004</v>
      </c>
      <c r="C13" s="196">
        <v>-83.017340000000004</v>
      </c>
      <c r="D13" s="196">
        <v>-167.99549999999999</v>
      </c>
      <c r="E13" s="199">
        <v>-23.319669999999999</v>
      </c>
      <c r="F13" s="197"/>
      <c r="G13" s="196">
        <v>-157.32098999999999</v>
      </c>
      <c r="H13" s="196">
        <v>145.37484000000001</v>
      </c>
      <c r="I13" s="196">
        <v>-284.53644000000003</v>
      </c>
      <c r="J13" s="199">
        <v>-7.4970400000000001</v>
      </c>
      <c r="K13" s="200"/>
      <c r="L13" s="196">
        <v>-3.78729</v>
      </c>
      <c r="M13" s="196">
        <v>35.43862</v>
      </c>
      <c r="N13" s="196">
        <v>6.9365899999999998</v>
      </c>
      <c r="O13" s="196">
        <v>38.456409999999998</v>
      </c>
      <c r="P13" s="198"/>
      <c r="Q13" s="196">
        <v>0</v>
      </c>
      <c r="R13" s="196">
        <v>0</v>
      </c>
      <c r="S13" s="196">
        <v>0</v>
      </c>
      <c r="T13" s="196">
        <v>0</v>
      </c>
      <c r="U13" s="198"/>
      <c r="V13" s="196">
        <v>0</v>
      </c>
      <c r="W13" s="196">
        <v>0</v>
      </c>
      <c r="X13" s="196">
        <v>0</v>
      </c>
      <c r="Y13" s="196">
        <v>0</v>
      </c>
      <c r="Z13" s="198"/>
      <c r="AA13" s="196">
        <v>0</v>
      </c>
      <c r="AB13" s="196">
        <v>0</v>
      </c>
      <c r="AC13" s="196">
        <v>0</v>
      </c>
      <c r="AD13" s="196">
        <v>0</v>
      </c>
      <c r="AF13" s="60" t="s">
        <v>12</v>
      </c>
    </row>
    <row r="14" spans="1:32" x14ac:dyDescent="0.25">
      <c r="A14" t="s">
        <v>11</v>
      </c>
      <c r="B14" s="195" t="s">
        <v>200</v>
      </c>
      <c r="C14" s="196">
        <v>-85.504000000000005</v>
      </c>
      <c r="D14" s="196">
        <v>19.451000000000001</v>
      </c>
      <c r="E14" s="199">
        <v>-300.81099999999998</v>
      </c>
      <c r="F14" s="197"/>
      <c r="G14" s="196">
        <v>-12.343999999999999</v>
      </c>
      <c r="H14" s="196">
        <v>290.37900000000002</v>
      </c>
      <c r="I14" s="196">
        <v>-68.704999999999998</v>
      </c>
      <c r="J14" s="199">
        <v>-113.276</v>
      </c>
      <c r="K14" s="200"/>
      <c r="L14" s="196">
        <v>-552.04200000000003</v>
      </c>
      <c r="M14" s="196">
        <v>-95.385000000000005</v>
      </c>
      <c r="N14" s="196">
        <v>-120.789</v>
      </c>
      <c r="O14" s="196">
        <v>-183.864</v>
      </c>
      <c r="P14" s="198"/>
      <c r="Q14" s="196">
        <v>0</v>
      </c>
      <c r="R14" s="196">
        <v>0</v>
      </c>
      <c r="S14" s="196">
        <v>0</v>
      </c>
      <c r="T14" s="196">
        <v>0</v>
      </c>
      <c r="U14" s="198"/>
      <c r="V14" s="196">
        <v>0</v>
      </c>
      <c r="W14" s="196">
        <v>0</v>
      </c>
      <c r="X14" s="196">
        <v>0</v>
      </c>
      <c r="Y14" s="196">
        <v>0</v>
      </c>
      <c r="Z14" s="198"/>
      <c r="AA14" s="196">
        <v>0</v>
      </c>
      <c r="AB14" s="196">
        <v>0</v>
      </c>
      <c r="AC14" s="196">
        <v>0</v>
      </c>
      <c r="AD14" s="196">
        <v>0</v>
      </c>
      <c r="AF14" s="60" t="s">
        <v>11</v>
      </c>
    </row>
    <row r="15" spans="1:32" x14ac:dyDescent="0.25">
      <c r="A15" t="s">
        <v>24</v>
      </c>
      <c r="B15" s="196">
        <v>25.528849999999998</v>
      </c>
      <c r="C15" s="196">
        <v>0.68715999999999999</v>
      </c>
      <c r="D15" s="196">
        <v>43.036999999999999</v>
      </c>
      <c r="E15" s="199">
        <v>10.477919999999999</v>
      </c>
      <c r="F15" s="197"/>
      <c r="G15" s="196">
        <v>30.587620000000001</v>
      </c>
      <c r="H15" s="196">
        <v>15.99396</v>
      </c>
      <c r="I15" s="196">
        <v>0.89453000000000005</v>
      </c>
      <c r="J15" s="199">
        <v>8.4385200000000005</v>
      </c>
      <c r="K15" s="200"/>
      <c r="L15" s="196">
        <v>27.749459999999999</v>
      </c>
      <c r="M15" s="196">
        <v>12.045170000000001</v>
      </c>
      <c r="N15" s="196">
        <v>20.70468</v>
      </c>
      <c r="O15" s="196">
        <v>22.670179999999998</v>
      </c>
      <c r="P15" s="198"/>
      <c r="Q15" s="196">
        <v>0</v>
      </c>
      <c r="R15" s="196">
        <v>0</v>
      </c>
      <c r="S15" s="196">
        <v>0</v>
      </c>
      <c r="T15" s="196">
        <v>0</v>
      </c>
      <c r="U15" s="198"/>
      <c r="V15" s="196">
        <v>0</v>
      </c>
      <c r="W15" s="196">
        <v>0</v>
      </c>
      <c r="X15" s="196">
        <v>0</v>
      </c>
      <c r="Y15" s="196">
        <v>0</v>
      </c>
      <c r="Z15" s="198"/>
      <c r="AA15" s="196">
        <v>0</v>
      </c>
      <c r="AB15" s="196">
        <v>0</v>
      </c>
      <c r="AC15" s="196">
        <v>0</v>
      </c>
      <c r="AD15" s="196">
        <v>0</v>
      </c>
      <c r="AF15" s="60" t="s">
        <v>24</v>
      </c>
    </row>
    <row r="16" spans="1:32" x14ac:dyDescent="0.25">
      <c r="A16" t="s">
        <v>36</v>
      </c>
      <c r="B16" s="196">
        <v>1.7673399999999999</v>
      </c>
      <c r="C16" s="196">
        <v>8.8970900000000004</v>
      </c>
      <c r="D16" s="196">
        <v>40.610280000000003</v>
      </c>
      <c r="E16" s="199">
        <v>-38.046230000000001</v>
      </c>
      <c r="F16" s="197"/>
      <c r="G16" s="196">
        <v>10.201180000000001</v>
      </c>
      <c r="H16" s="196">
        <v>29.538979999999999</v>
      </c>
      <c r="I16" s="196">
        <v>-3.8166099999999998</v>
      </c>
      <c r="J16" s="199">
        <v>8.8888599999999993</v>
      </c>
      <c r="K16" s="200"/>
      <c r="L16" s="196">
        <v>1.2430000000000001</v>
      </c>
      <c r="M16" s="196">
        <v>3.25502</v>
      </c>
      <c r="N16" s="196">
        <v>7.0986599999999997</v>
      </c>
      <c r="O16" s="196">
        <v>4.6051000000000002</v>
      </c>
      <c r="P16" s="198"/>
      <c r="Q16" s="196">
        <v>0</v>
      </c>
      <c r="R16" s="196">
        <v>0</v>
      </c>
      <c r="S16" s="196">
        <v>0</v>
      </c>
      <c r="T16" s="196">
        <v>0</v>
      </c>
      <c r="U16" s="198"/>
      <c r="V16" s="196">
        <v>0</v>
      </c>
      <c r="W16" s="196">
        <v>0</v>
      </c>
      <c r="X16" s="196">
        <v>0</v>
      </c>
      <c r="Y16" s="196">
        <v>0</v>
      </c>
      <c r="Z16" s="198"/>
      <c r="AA16" s="196">
        <v>0</v>
      </c>
      <c r="AB16" s="196">
        <v>0</v>
      </c>
      <c r="AC16" s="196">
        <v>0</v>
      </c>
      <c r="AD16" s="196">
        <v>0</v>
      </c>
      <c r="AF16" s="60" t="s">
        <v>36</v>
      </c>
    </row>
    <row r="17" spans="1:32" x14ac:dyDescent="0.25">
      <c r="A17" t="s">
        <v>49</v>
      </c>
      <c r="B17" s="196">
        <v>0.41614000000000001</v>
      </c>
      <c r="C17" s="196">
        <v>-21.425249999999998</v>
      </c>
      <c r="D17" s="196">
        <v>102.59744000000001</v>
      </c>
      <c r="E17" s="199">
        <v>5.1213800000000003</v>
      </c>
      <c r="F17" s="197"/>
      <c r="G17" s="196">
        <v>-21.672540000000001</v>
      </c>
      <c r="H17" s="196">
        <v>-76.687240000000003</v>
      </c>
      <c r="I17" s="196">
        <v>-81.668710000000004</v>
      </c>
      <c r="J17" s="199">
        <v>-24.82808</v>
      </c>
      <c r="K17" s="200"/>
      <c r="L17" s="196">
        <v>-10.47104</v>
      </c>
      <c r="M17" s="196">
        <v>-19.097660000000001</v>
      </c>
      <c r="N17" s="196">
        <v>-34.04139</v>
      </c>
      <c r="O17" s="196">
        <v>-11.84224</v>
      </c>
      <c r="P17" s="198"/>
      <c r="Q17" s="196">
        <v>0</v>
      </c>
      <c r="R17" s="196">
        <v>0</v>
      </c>
      <c r="S17" s="196">
        <v>0</v>
      </c>
      <c r="T17" s="196">
        <v>0</v>
      </c>
      <c r="U17" s="198"/>
      <c r="V17" s="196">
        <v>0</v>
      </c>
      <c r="W17" s="196">
        <v>0</v>
      </c>
      <c r="X17" s="196">
        <v>0</v>
      </c>
      <c r="Y17" s="196">
        <v>0</v>
      </c>
      <c r="Z17" s="198"/>
      <c r="AA17" s="196">
        <v>0</v>
      </c>
      <c r="AB17" s="196">
        <v>0</v>
      </c>
      <c r="AC17" s="196">
        <v>0</v>
      </c>
      <c r="AD17" s="196">
        <v>0</v>
      </c>
      <c r="AF17" s="60" t="s">
        <v>49</v>
      </c>
    </row>
    <row r="18" spans="1:32" x14ac:dyDescent="0.25">
      <c r="A18" s="62" t="s">
        <v>119</v>
      </c>
      <c r="B18" s="201">
        <v>545.69360111111121</v>
      </c>
      <c r="C18" s="201">
        <v>-213.87754090909087</v>
      </c>
      <c r="D18" s="201">
        <v>-70.48230272727271</v>
      </c>
      <c r="E18" s="201">
        <v>114.94524090909091</v>
      </c>
      <c r="F18" s="197"/>
      <c r="G18" s="202">
        <v>140.77673636363636</v>
      </c>
      <c r="H18" s="202">
        <v>-266.4638654545455</v>
      </c>
      <c r="I18" s="202">
        <v>-331.88334090909086</v>
      </c>
      <c r="J18" s="201">
        <v>12.379155454545453</v>
      </c>
      <c r="K18" s="201"/>
      <c r="L18" s="202">
        <v>-65.517413636363642</v>
      </c>
      <c r="M18" s="202">
        <v>12.828507272727274</v>
      </c>
      <c r="N18" s="202">
        <v>-4.3365654545454539</v>
      </c>
      <c r="O18" s="202">
        <v>-16.356258181818188</v>
      </c>
      <c r="P18" s="202"/>
      <c r="Q18" s="202">
        <v>0</v>
      </c>
      <c r="R18" s="202">
        <v>0</v>
      </c>
      <c r="S18" s="202">
        <v>0</v>
      </c>
      <c r="T18" s="202">
        <v>0</v>
      </c>
      <c r="U18" s="202"/>
      <c r="V18" s="202">
        <v>0</v>
      </c>
      <c r="W18" s="202">
        <v>0</v>
      </c>
      <c r="X18" s="202">
        <v>0</v>
      </c>
      <c r="Y18" s="202">
        <v>0</v>
      </c>
      <c r="Z18" s="202"/>
      <c r="AA18" s="202">
        <v>0</v>
      </c>
      <c r="AB18" s="202">
        <v>0</v>
      </c>
      <c r="AC18" s="202">
        <v>0</v>
      </c>
      <c r="AD18" s="202">
        <v>0</v>
      </c>
      <c r="AE18" s="203"/>
      <c r="AF18" s="71" t="s">
        <v>120</v>
      </c>
    </row>
    <row r="19" spans="1:32" x14ac:dyDescent="0.25">
      <c r="B19" s="197"/>
      <c r="C19" s="197"/>
      <c r="D19" s="197"/>
      <c r="E19" s="197"/>
      <c r="F19" s="197"/>
      <c r="G19" s="197"/>
      <c r="H19" s="196"/>
      <c r="I19" s="196"/>
      <c r="J19" s="199"/>
      <c r="K19" s="200"/>
      <c r="L19" s="196"/>
      <c r="M19" s="196"/>
      <c r="N19" s="196"/>
      <c r="O19" s="196"/>
      <c r="P19" s="198"/>
      <c r="Q19" s="196"/>
      <c r="R19" s="196"/>
      <c r="S19" s="196"/>
      <c r="T19" s="196"/>
      <c r="U19" s="198"/>
      <c r="V19" s="196"/>
      <c r="W19" s="196"/>
      <c r="X19" s="196"/>
      <c r="Y19" s="196"/>
      <c r="Z19" s="198"/>
      <c r="AA19" s="196"/>
      <c r="AB19" s="196"/>
      <c r="AC19" s="196"/>
      <c r="AD19" s="196"/>
    </row>
    <row r="20" spans="1:32" x14ac:dyDescent="0.25">
      <c r="A20" s="50" t="s">
        <v>121</v>
      </c>
      <c r="B20" s="204"/>
      <c r="C20" s="204"/>
      <c r="D20" s="204"/>
      <c r="E20" s="204"/>
      <c r="F20" s="197"/>
      <c r="G20" s="204"/>
      <c r="H20" s="205"/>
      <c r="I20" s="205"/>
      <c r="J20" s="205"/>
      <c r="K20" s="206"/>
      <c r="L20" s="205"/>
      <c r="M20" s="205"/>
      <c r="N20" s="205"/>
      <c r="O20" s="205"/>
      <c r="P20" s="206"/>
      <c r="Q20" s="205"/>
      <c r="R20" s="205"/>
      <c r="S20" s="205"/>
      <c r="T20" s="205"/>
      <c r="U20" s="206"/>
      <c r="V20" s="205"/>
      <c r="W20" s="205"/>
      <c r="X20" s="205"/>
      <c r="Y20" s="205"/>
      <c r="Z20" s="206"/>
      <c r="AA20" s="205"/>
      <c r="AB20" s="205"/>
      <c r="AC20" s="205"/>
      <c r="AD20" s="205"/>
      <c r="AE20" s="207"/>
      <c r="AF20" s="81"/>
    </row>
    <row r="21" spans="1:32" x14ac:dyDescent="0.25">
      <c r="A21" t="s">
        <v>70</v>
      </c>
      <c r="B21" s="195" t="s">
        <v>200</v>
      </c>
      <c r="C21" s="196">
        <v>-245.762</v>
      </c>
      <c r="D21" s="196">
        <v>1114.4670000000001</v>
      </c>
      <c r="E21" s="196">
        <v>550.42999999999995</v>
      </c>
      <c r="F21" s="197"/>
      <c r="G21" s="196">
        <v>550.42999999999995</v>
      </c>
      <c r="H21" s="196">
        <v>-1729.35</v>
      </c>
      <c r="I21" s="196">
        <v>-317.05900000000003</v>
      </c>
      <c r="J21" s="196">
        <v>-59.158999999999999</v>
      </c>
      <c r="K21" s="198"/>
      <c r="L21" s="196">
        <v>76.040999999999997</v>
      </c>
      <c r="M21" s="196">
        <v>311.322</v>
      </c>
      <c r="N21" s="196">
        <v>209.68600000000001</v>
      </c>
      <c r="O21" s="196">
        <v>115.605</v>
      </c>
      <c r="P21" s="198"/>
      <c r="Q21" s="196">
        <v>0</v>
      </c>
      <c r="R21" s="196">
        <v>0</v>
      </c>
      <c r="S21" s="196">
        <v>0</v>
      </c>
      <c r="T21" s="196">
        <v>0</v>
      </c>
      <c r="U21" s="198"/>
      <c r="V21" s="196">
        <v>0</v>
      </c>
      <c r="W21" s="196">
        <v>0</v>
      </c>
      <c r="X21" s="196">
        <v>0</v>
      </c>
      <c r="Y21" s="196">
        <v>0</v>
      </c>
      <c r="Z21" s="198"/>
      <c r="AA21" s="196">
        <v>0</v>
      </c>
      <c r="AB21" s="196">
        <v>0</v>
      </c>
      <c r="AC21" s="196">
        <v>0</v>
      </c>
      <c r="AD21" s="196">
        <v>0</v>
      </c>
      <c r="AF21" s="60" t="s">
        <v>70</v>
      </c>
    </row>
    <row r="22" spans="1:32" x14ac:dyDescent="0.25">
      <c r="A22" t="s">
        <v>64</v>
      </c>
      <c r="B22" s="195" t="s">
        <v>200</v>
      </c>
      <c r="C22" s="196">
        <v>-25.54984</v>
      </c>
      <c r="D22" s="196">
        <v>87.731999999999999</v>
      </c>
      <c r="E22" s="196">
        <v>56.189779999999999</v>
      </c>
      <c r="F22" s="197"/>
      <c r="G22" s="196">
        <v>70.833150000000003</v>
      </c>
      <c r="H22" s="196">
        <v>8.1778200000000005</v>
      </c>
      <c r="I22" s="196">
        <v>-8.3234999999999992</v>
      </c>
      <c r="J22" s="196">
        <v>66.791830000000004</v>
      </c>
      <c r="K22" s="198"/>
      <c r="L22" s="196">
        <v>11.862120000000001</v>
      </c>
      <c r="M22" s="196">
        <v>11.58013</v>
      </c>
      <c r="N22" s="196">
        <v>7.8194499999999998</v>
      </c>
      <c r="O22" s="196">
        <v>38.13991</v>
      </c>
      <c r="P22" s="198"/>
      <c r="Q22" s="196">
        <v>0</v>
      </c>
      <c r="R22" s="196">
        <v>0</v>
      </c>
      <c r="S22" s="196">
        <v>0</v>
      </c>
      <c r="T22" s="196">
        <v>0</v>
      </c>
      <c r="U22" s="198"/>
      <c r="V22" s="196">
        <v>0</v>
      </c>
      <c r="W22" s="196">
        <v>0</v>
      </c>
      <c r="X22" s="196">
        <v>0</v>
      </c>
      <c r="Y22" s="196">
        <v>0</v>
      </c>
      <c r="Z22" s="198"/>
      <c r="AA22" s="196">
        <v>0</v>
      </c>
      <c r="AB22" s="196">
        <v>0</v>
      </c>
      <c r="AC22" s="196">
        <v>0</v>
      </c>
      <c r="AD22" s="196">
        <v>0</v>
      </c>
      <c r="AF22" s="60" t="s">
        <v>64</v>
      </c>
    </row>
    <row r="23" spans="1:32" x14ac:dyDescent="0.25">
      <c r="A23" t="s">
        <v>29</v>
      </c>
      <c r="B23" s="195" t="s">
        <v>200</v>
      </c>
      <c r="C23" s="196">
        <v>-118.6943</v>
      </c>
      <c r="D23" s="196">
        <v>-68.782319999999999</v>
      </c>
      <c r="E23" s="199">
        <v>-91.486350000000002</v>
      </c>
      <c r="F23" s="197"/>
      <c r="G23" s="196">
        <v>-224.91506000000001</v>
      </c>
      <c r="H23" s="196">
        <v>-183.23218</v>
      </c>
      <c r="I23" s="196">
        <v>-187.73514</v>
      </c>
      <c r="J23" s="199">
        <v>104.88337</v>
      </c>
      <c r="K23" s="200"/>
      <c r="L23" s="196">
        <v>-76.061859999999996</v>
      </c>
      <c r="M23" s="196">
        <v>32.380650000000003</v>
      </c>
      <c r="N23" s="196">
        <v>-4.4762700000000004</v>
      </c>
      <c r="O23" s="196">
        <v>17.712129999999998</v>
      </c>
      <c r="P23" s="198"/>
      <c r="Q23" s="196">
        <v>0</v>
      </c>
      <c r="R23" s="196">
        <v>0</v>
      </c>
      <c r="S23" s="196">
        <v>0</v>
      </c>
      <c r="T23" s="196">
        <v>0</v>
      </c>
      <c r="U23" s="198"/>
      <c r="V23" s="196">
        <v>0</v>
      </c>
      <c r="W23" s="196">
        <v>0</v>
      </c>
      <c r="X23" s="196">
        <v>0</v>
      </c>
      <c r="Y23" s="196">
        <v>0</v>
      </c>
      <c r="Z23" s="198"/>
      <c r="AA23" s="196">
        <v>0</v>
      </c>
      <c r="AB23" s="196">
        <v>0</v>
      </c>
      <c r="AC23" s="196">
        <v>0</v>
      </c>
      <c r="AD23" s="196">
        <v>0</v>
      </c>
      <c r="AF23" s="60" t="s">
        <v>29</v>
      </c>
    </row>
    <row r="24" spans="1:32" x14ac:dyDescent="0.25">
      <c r="A24" t="s">
        <v>73</v>
      </c>
      <c r="B24" s="195" t="s">
        <v>200</v>
      </c>
      <c r="C24" s="196">
        <v>-1638.8140000000001</v>
      </c>
      <c r="D24" s="196">
        <v>731.01800000000003</v>
      </c>
      <c r="E24" s="199">
        <v>-552.43700000000001</v>
      </c>
      <c r="F24" s="197"/>
      <c r="G24" s="196">
        <v>38.411000000000001</v>
      </c>
      <c r="H24" s="196">
        <v>-1647.1510000000001</v>
      </c>
      <c r="I24" s="196">
        <v>-479.95100000000002</v>
      </c>
      <c r="J24" s="199">
        <v>-120.545</v>
      </c>
      <c r="K24" s="200"/>
      <c r="L24" s="196">
        <v>-250.25399999999999</v>
      </c>
      <c r="M24" s="196">
        <v>-158.41900000000001</v>
      </c>
      <c r="N24" s="196">
        <v>-6.5730000000000004</v>
      </c>
      <c r="O24" s="196">
        <v>-40.228999999999999</v>
      </c>
      <c r="P24" s="198"/>
      <c r="Q24" s="196">
        <v>0</v>
      </c>
      <c r="R24" s="196">
        <v>0</v>
      </c>
      <c r="S24" s="196">
        <v>0</v>
      </c>
      <c r="T24" s="196">
        <v>0</v>
      </c>
      <c r="U24" s="198"/>
      <c r="V24" s="196">
        <v>0</v>
      </c>
      <c r="W24" s="196">
        <v>0</v>
      </c>
      <c r="X24" s="196">
        <v>0</v>
      </c>
      <c r="Y24" s="196">
        <v>0</v>
      </c>
      <c r="Z24" s="198"/>
      <c r="AA24" s="196">
        <v>0</v>
      </c>
      <c r="AB24" s="196">
        <v>0</v>
      </c>
      <c r="AC24" s="196">
        <v>0</v>
      </c>
      <c r="AD24" s="196">
        <v>0</v>
      </c>
      <c r="AF24" s="60" t="s">
        <v>73</v>
      </c>
    </row>
    <row r="25" spans="1:32" x14ac:dyDescent="0.25">
      <c r="A25" t="s">
        <v>72</v>
      </c>
      <c r="B25" s="195" t="s">
        <v>200</v>
      </c>
      <c r="C25" s="196">
        <v>10.97888</v>
      </c>
      <c r="D25" s="196">
        <v>-38.049219999999998</v>
      </c>
      <c r="E25" s="199">
        <v>-31.11675</v>
      </c>
      <c r="F25" s="197"/>
      <c r="G25" s="196">
        <v>-147.40969000000001</v>
      </c>
      <c r="H25" s="196">
        <v>-27.37932</v>
      </c>
      <c r="I25" s="196">
        <v>6.7940399999999999</v>
      </c>
      <c r="J25" s="199">
        <v>-45.012560000000001</v>
      </c>
      <c r="K25" s="200"/>
      <c r="L25" s="196">
        <v>-91.535960000000003</v>
      </c>
      <c r="M25" s="196">
        <v>-13.05484</v>
      </c>
      <c r="N25" s="196">
        <v>23.1599</v>
      </c>
      <c r="O25" s="196">
        <v>4.6884100000000002</v>
      </c>
      <c r="P25" s="198"/>
      <c r="Q25" s="196">
        <v>0</v>
      </c>
      <c r="R25" s="196">
        <v>0</v>
      </c>
      <c r="S25" s="196">
        <v>0</v>
      </c>
      <c r="T25" s="196">
        <v>0</v>
      </c>
      <c r="U25" s="198"/>
      <c r="V25" s="196">
        <v>0</v>
      </c>
      <c r="W25" s="196">
        <v>0</v>
      </c>
      <c r="X25" s="196">
        <v>0</v>
      </c>
      <c r="Y25" s="196">
        <v>0</v>
      </c>
      <c r="Z25" s="198"/>
      <c r="AA25" s="196">
        <v>0</v>
      </c>
      <c r="AB25" s="196">
        <v>0</v>
      </c>
      <c r="AC25" s="196">
        <v>0</v>
      </c>
      <c r="AD25" s="196">
        <v>0</v>
      </c>
      <c r="AF25" s="60" t="s">
        <v>72</v>
      </c>
    </row>
    <row r="26" spans="1:32" x14ac:dyDescent="0.25">
      <c r="A26" s="31" t="s">
        <v>78</v>
      </c>
      <c r="B26" s="195" t="s">
        <v>200</v>
      </c>
      <c r="C26" s="196">
        <v>2.6991399999999999</v>
      </c>
      <c r="D26" s="196">
        <v>9.6478699999999993</v>
      </c>
      <c r="E26" s="199">
        <v>6.6449999999999996</v>
      </c>
      <c r="F26" s="197"/>
      <c r="G26" s="196">
        <v>-23.641100000000002</v>
      </c>
      <c r="H26" s="196">
        <v>15.214</v>
      </c>
      <c r="I26" s="196">
        <v>-21.532599999999999</v>
      </c>
      <c r="J26" s="199">
        <v>-3.8780000000000001</v>
      </c>
      <c r="K26" s="200"/>
      <c r="L26" s="196">
        <v>-8.5893499999999996</v>
      </c>
      <c r="M26" s="196">
        <v>6.3529900000000001</v>
      </c>
      <c r="N26" s="196">
        <v>3.0487000000000002</v>
      </c>
      <c r="O26" s="196">
        <v>-1.93221</v>
      </c>
      <c r="P26" s="198"/>
      <c r="Q26" s="196">
        <v>0</v>
      </c>
      <c r="R26" s="196">
        <v>0</v>
      </c>
      <c r="S26" s="196">
        <v>0</v>
      </c>
      <c r="T26" s="196">
        <v>0</v>
      </c>
      <c r="U26" s="198"/>
      <c r="V26" s="196">
        <v>0</v>
      </c>
      <c r="W26" s="196">
        <v>0</v>
      </c>
      <c r="X26" s="196">
        <v>0</v>
      </c>
      <c r="Y26" s="196">
        <v>0</v>
      </c>
      <c r="Z26" s="198"/>
      <c r="AA26" s="196">
        <v>0</v>
      </c>
      <c r="AB26" s="196">
        <v>0</v>
      </c>
      <c r="AC26" s="196">
        <v>0</v>
      </c>
      <c r="AD26" s="196">
        <v>0</v>
      </c>
      <c r="AF26" s="60" t="s">
        <v>78</v>
      </c>
    </row>
    <row r="27" spans="1:32" x14ac:dyDescent="0.25">
      <c r="A27" s="62" t="s">
        <v>119</v>
      </c>
      <c r="B27" s="208" t="s">
        <v>200</v>
      </c>
      <c r="C27" s="201">
        <v>-335.85702000000003</v>
      </c>
      <c r="D27" s="201">
        <v>306.00555500000002</v>
      </c>
      <c r="E27" s="201">
        <v>-10.295886666666673</v>
      </c>
      <c r="F27" s="197"/>
      <c r="G27" s="202">
        <v>43.951383333333325</v>
      </c>
      <c r="H27" s="202">
        <v>-593.95344666666665</v>
      </c>
      <c r="I27" s="202">
        <v>-167.96786666666668</v>
      </c>
      <c r="J27" s="201">
        <v>-9.4865600000000008</v>
      </c>
      <c r="K27" s="201"/>
      <c r="L27" s="202">
        <v>-56.423008333333335</v>
      </c>
      <c r="M27" s="202">
        <v>31.693654999999996</v>
      </c>
      <c r="N27" s="202">
        <v>38.77746333333333</v>
      </c>
      <c r="O27" s="202">
        <v>22.330706666666671</v>
      </c>
      <c r="P27" s="202"/>
      <c r="Q27" s="202">
        <v>0</v>
      </c>
      <c r="R27" s="202">
        <v>0</v>
      </c>
      <c r="S27" s="202">
        <v>0</v>
      </c>
      <c r="T27" s="202">
        <v>0</v>
      </c>
      <c r="U27" s="202"/>
      <c r="V27" s="202">
        <v>0</v>
      </c>
      <c r="W27" s="202">
        <v>0</v>
      </c>
      <c r="X27" s="202">
        <v>0</v>
      </c>
      <c r="Y27" s="202">
        <v>0</v>
      </c>
      <c r="Z27" s="202"/>
      <c r="AA27" s="202">
        <v>0</v>
      </c>
      <c r="AB27" s="202">
        <v>0</v>
      </c>
      <c r="AC27" s="202">
        <v>0</v>
      </c>
      <c r="AD27" s="202">
        <v>0</v>
      </c>
      <c r="AE27" s="203"/>
      <c r="AF27" s="71" t="s">
        <v>120</v>
      </c>
    </row>
    <row r="28" spans="1:32" x14ac:dyDescent="0.25">
      <c r="B28" s="197"/>
      <c r="C28" s="197"/>
      <c r="D28" s="197"/>
      <c r="E28" s="197"/>
      <c r="F28" s="197"/>
      <c r="G28" s="197"/>
      <c r="H28" s="196"/>
      <c r="I28" s="196"/>
      <c r="J28" s="199"/>
      <c r="K28" s="200"/>
      <c r="L28" s="196"/>
      <c r="M28" s="196"/>
      <c r="N28" s="196"/>
      <c r="O28" s="196"/>
      <c r="P28" s="198"/>
      <c r="Q28" s="196"/>
      <c r="R28" s="196"/>
      <c r="S28" s="196"/>
      <c r="T28" s="196"/>
      <c r="U28" s="198"/>
      <c r="V28" s="196"/>
      <c r="W28" s="196"/>
      <c r="X28" s="196"/>
      <c r="Y28" s="196"/>
      <c r="Z28" s="198"/>
      <c r="AA28" s="196"/>
      <c r="AB28" s="196"/>
      <c r="AC28" s="196"/>
      <c r="AD28" s="196"/>
    </row>
    <row r="29" spans="1:32" x14ac:dyDescent="0.25">
      <c r="A29" s="50" t="s">
        <v>122</v>
      </c>
      <c r="B29" s="204"/>
      <c r="C29" s="204"/>
      <c r="D29" s="204"/>
      <c r="E29" s="204"/>
      <c r="F29" s="197"/>
      <c r="G29" s="204"/>
      <c r="H29" s="205"/>
      <c r="I29" s="205"/>
      <c r="J29" s="205"/>
      <c r="K29" s="206"/>
      <c r="L29" s="205"/>
      <c r="M29" s="205"/>
      <c r="N29" s="205"/>
      <c r="O29" s="205"/>
      <c r="P29" s="206"/>
      <c r="Q29" s="205"/>
      <c r="R29" s="205"/>
      <c r="S29" s="205"/>
      <c r="T29" s="205"/>
      <c r="U29" s="206"/>
      <c r="V29" s="205"/>
      <c r="W29" s="205"/>
      <c r="X29" s="205"/>
      <c r="Y29" s="205"/>
      <c r="Z29" s="206"/>
      <c r="AA29" s="205"/>
      <c r="AB29" s="205"/>
      <c r="AC29" s="205"/>
      <c r="AD29" s="205"/>
      <c r="AE29" s="207"/>
      <c r="AF29" s="81"/>
    </row>
    <row r="30" spans="1:32" hidden="1" x14ac:dyDescent="0.25">
      <c r="A30" t="s">
        <v>7</v>
      </c>
      <c r="B30" s="196">
        <v>151.773</v>
      </c>
      <c r="C30" s="196">
        <v>106.548</v>
      </c>
      <c r="D30" s="196">
        <v>241.48599999999999</v>
      </c>
      <c r="E30" s="196">
        <v>242.87899999999999</v>
      </c>
      <c r="F30" s="197"/>
      <c r="G30" s="196">
        <v>225.82499999999999</v>
      </c>
      <c r="H30" s="196">
        <v>246.92699999999999</v>
      </c>
      <c r="I30" s="196">
        <v>168.328</v>
      </c>
      <c r="J30" s="196">
        <v>234.983</v>
      </c>
      <c r="K30" s="198"/>
      <c r="L30" s="196">
        <v>160.232</v>
      </c>
      <c r="M30" s="196">
        <v>104.854</v>
      </c>
      <c r="N30" s="196">
        <v>74.524000000000001</v>
      </c>
      <c r="O30" s="196">
        <v>113.58499999999999</v>
      </c>
      <c r="P30" s="198"/>
      <c r="Q30" s="196">
        <v>0</v>
      </c>
      <c r="R30" s="196">
        <v>0</v>
      </c>
      <c r="S30" s="196">
        <v>0</v>
      </c>
      <c r="T30" s="196">
        <v>0</v>
      </c>
      <c r="U30" s="198"/>
      <c r="V30" s="196">
        <v>0</v>
      </c>
      <c r="W30" s="196">
        <v>0</v>
      </c>
      <c r="X30" s="196">
        <v>0</v>
      </c>
      <c r="Y30" s="196">
        <v>0</v>
      </c>
      <c r="Z30" s="198"/>
      <c r="AA30" s="196">
        <v>0</v>
      </c>
      <c r="AB30" s="196">
        <v>0</v>
      </c>
      <c r="AC30" s="196">
        <v>0</v>
      </c>
      <c r="AD30" s="196">
        <v>0</v>
      </c>
      <c r="AF30" s="60" t="s">
        <v>7</v>
      </c>
    </row>
    <row r="31" spans="1:32" x14ac:dyDescent="0.25">
      <c r="A31" t="s">
        <v>77</v>
      </c>
      <c r="B31" s="195" t="s">
        <v>200</v>
      </c>
      <c r="C31" s="196">
        <v>-12688</v>
      </c>
      <c r="D31" s="196">
        <v>-2684</v>
      </c>
      <c r="E31" s="199">
        <v>-3623</v>
      </c>
      <c r="F31" s="197"/>
      <c r="G31" s="196">
        <v>17350</v>
      </c>
      <c r="H31" s="196">
        <v>13203</v>
      </c>
      <c r="I31" s="196">
        <v>1993</v>
      </c>
      <c r="J31" s="199">
        <v>6067</v>
      </c>
      <c r="K31" s="200"/>
      <c r="L31" s="196">
        <v>12010</v>
      </c>
      <c r="M31" s="196">
        <v>93</v>
      </c>
      <c r="N31" s="196">
        <v>212</v>
      </c>
      <c r="O31" s="196">
        <v>25</v>
      </c>
      <c r="P31" s="198"/>
      <c r="Q31" s="196">
        <v>0</v>
      </c>
      <c r="R31" s="196">
        <v>0</v>
      </c>
      <c r="S31" s="196">
        <v>0</v>
      </c>
      <c r="T31" s="196">
        <v>0</v>
      </c>
      <c r="U31" s="198"/>
      <c r="V31" s="196">
        <v>0</v>
      </c>
      <c r="W31" s="196">
        <v>0</v>
      </c>
      <c r="X31" s="196">
        <v>0</v>
      </c>
      <c r="Y31" s="196">
        <v>0</v>
      </c>
      <c r="Z31" s="198"/>
      <c r="AA31" s="196">
        <v>0</v>
      </c>
      <c r="AB31" s="196">
        <v>0</v>
      </c>
      <c r="AC31" s="196">
        <v>0</v>
      </c>
      <c r="AD31" s="196">
        <v>0</v>
      </c>
      <c r="AF31" s="60" t="s">
        <v>77</v>
      </c>
    </row>
    <row r="32" spans="1:32" x14ac:dyDescent="0.25">
      <c r="A32" t="s">
        <v>35</v>
      </c>
      <c r="B32" s="195" t="s">
        <v>200</v>
      </c>
      <c r="C32" s="196">
        <v>40.86</v>
      </c>
      <c r="D32" s="196">
        <v>4053.9369999999999</v>
      </c>
      <c r="E32" s="199">
        <v>2624.7939999999999</v>
      </c>
      <c r="F32" s="197"/>
      <c r="G32" s="196">
        <v>7796.6220000000003</v>
      </c>
      <c r="H32" s="196">
        <v>551.274</v>
      </c>
      <c r="I32" s="196">
        <v>1370.9359999999999</v>
      </c>
      <c r="J32" s="199">
        <v>2537.6559999999999</v>
      </c>
      <c r="K32" s="200"/>
      <c r="L32" s="196">
        <v>3932.636</v>
      </c>
      <c r="M32" s="196">
        <v>518.10199999999998</v>
      </c>
      <c r="N32" s="196">
        <v>635.64</v>
      </c>
      <c r="O32" s="196">
        <v>664.81500000000005</v>
      </c>
      <c r="P32" s="198"/>
      <c r="Q32" s="196">
        <v>0</v>
      </c>
      <c r="R32" s="196">
        <v>0</v>
      </c>
      <c r="S32" s="196">
        <v>0</v>
      </c>
      <c r="T32" s="196">
        <v>0</v>
      </c>
      <c r="U32" s="198"/>
      <c r="V32" s="196">
        <v>0</v>
      </c>
      <c r="W32" s="196">
        <v>0</v>
      </c>
      <c r="X32" s="196">
        <v>0</v>
      </c>
      <c r="Y32" s="196">
        <v>0</v>
      </c>
      <c r="Z32" s="198"/>
      <c r="AA32" s="196">
        <v>0</v>
      </c>
      <c r="AB32" s="196">
        <v>0</v>
      </c>
      <c r="AC32" s="196">
        <v>0</v>
      </c>
      <c r="AD32" s="196">
        <v>0</v>
      </c>
      <c r="AF32" s="60" t="s">
        <v>35</v>
      </c>
    </row>
    <row r="33" spans="1:32" x14ac:dyDescent="0.25">
      <c r="A33" t="s">
        <v>57</v>
      </c>
      <c r="B33" s="195" t="s">
        <v>200</v>
      </c>
      <c r="C33" s="196">
        <v>1360.9860000000001</v>
      </c>
      <c r="D33" s="196">
        <v>559.23900000000003</v>
      </c>
      <c r="E33" s="199">
        <v>664.47699999999998</v>
      </c>
      <c r="F33" s="197"/>
      <c r="G33" s="196">
        <v>2841.0859999999998</v>
      </c>
      <c r="H33" s="196">
        <v>792.53</v>
      </c>
      <c r="I33" s="196">
        <v>551.60299999999995</v>
      </c>
      <c r="J33" s="199">
        <v>309.517</v>
      </c>
      <c r="K33" s="200"/>
      <c r="L33" s="196">
        <v>1557.008</v>
      </c>
      <c r="M33" s="196">
        <v>300.29000000000002</v>
      </c>
      <c r="N33" s="196">
        <v>100.449</v>
      </c>
      <c r="O33" s="196">
        <v>202.37100000000001</v>
      </c>
      <c r="P33" s="198"/>
      <c r="Q33" s="196">
        <v>0</v>
      </c>
      <c r="R33" s="196">
        <v>0</v>
      </c>
      <c r="S33" s="196">
        <v>0</v>
      </c>
      <c r="T33" s="196">
        <v>0</v>
      </c>
      <c r="U33" s="198"/>
      <c r="V33" s="196">
        <v>0</v>
      </c>
      <c r="W33" s="196">
        <v>0</v>
      </c>
      <c r="X33" s="196">
        <v>0</v>
      </c>
      <c r="Y33" s="196">
        <v>0</v>
      </c>
      <c r="Z33" s="198"/>
      <c r="AA33" s="196">
        <v>0</v>
      </c>
      <c r="AB33" s="196">
        <v>0</v>
      </c>
      <c r="AC33" s="196">
        <v>0</v>
      </c>
      <c r="AD33" s="196">
        <v>0</v>
      </c>
      <c r="AF33" s="60" t="s">
        <v>57</v>
      </c>
    </row>
    <row r="34" spans="1:32" x14ac:dyDescent="0.25">
      <c r="A34" t="s">
        <v>407</v>
      </c>
      <c r="B34" s="195" t="s">
        <v>200</v>
      </c>
      <c r="C34" s="195" t="s">
        <v>200</v>
      </c>
      <c r="D34" s="195">
        <v>-34.923999999999999</v>
      </c>
      <c r="E34" s="209" t="s">
        <v>200</v>
      </c>
      <c r="F34" s="210"/>
      <c r="G34" s="195">
        <v>-34.426000000000002</v>
      </c>
      <c r="H34" s="195" t="s">
        <v>200</v>
      </c>
      <c r="I34" s="195">
        <v>-41.887</v>
      </c>
      <c r="J34" s="209" t="s">
        <v>200</v>
      </c>
      <c r="K34" s="211"/>
      <c r="L34" s="195">
        <v>-263.10700000000003</v>
      </c>
      <c r="M34" s="195" t="s">
        <v>200</v>
      </c>
      <c r="N34" s="195">
        <v>-6.9880000000000004</v>
      </c>
      <c r="O34" s="195" t="s">
        <v>200</v>
      </c>
      <c r="P34" s="198"/>
      <c r="Q34" s="196">
        <v>0</v>
      </c>
      <c r="R34" s="196">
        <v>0</v>
      </c>
      <c r="S34" s="196">
        <v>0</v>
      </c>
      <c r="T34" s="196">
        <v>0</v>
      </c>
      <c r="U34" s="198"/>
      <c r="V34" s="196">
        <v>0</v>
      </c>
      <c r="W34" s="196">
        <v>0</v>
      </c>
      <c r="X34" s="196">
        <v>0</v>
      </c>
      <c r="Y34" s="196">
        <v>0</v>
      </c>
      <c r="Z34" s="198"/>
      <c r="AA34" s="196">
        <v>0</v>
      </c>
      <c r="AB34" s="196">
        <v>0</v>
      </c>
      <c r="AC34" s="196">
        <v>0</v>
      </c>
      <c r="AD34" s="196">
        <v>0</v>
      </c>
      <c r="AF34" s="60" t="s">
        <v>407</v>
      </c>
    </row>
    <row r="35" spans="1:32" x14ac:dyDescent="0.25">
      <c r="A35" t="s">
        <v>69</v>
      </c>
      <c r="B35" s="195" t="s">
        <v>200</v>
      </c>
      <c r="C35" s="196">
        <v>-957.60299999999995</v>
      </c>
      <c r="D35" s="196">
        <v>724.11900000000003</v>
      </c>
      <c r="E35" s="199">
        <v>139.43</v>
      </c>
      <c r="F35" s="197"/>
      <c r="G35" s="196">
        <v>861.16099999999994</v>
      </c>
      <c r="H35" s="196">
        <v>1194.1610000000001</v>
      </c>
      <c r="I35" s="196">
        <v>-111.407</v>
      </c>
      <c r="J35" s="199">
        <v>-61.448999999999998</v>
      </c>
      <c r="K35" s="200"/>
      <c r="L35" s="196">
        <v>-187.18299999999999</v>
      </c>
      <c r="M35" s="196">
        <v>-85.909000000000006</v>
      </c>
      <c r="N35" s="196">
        <v>-170.08099999999999</v>
      </c>
      <c r="O35" s="196">
        <v>-52.32</v>
      </c>
      <c r="P35" s="198"/>
      <c r="Q35" s="196">
        <v>0</v>
      </c>
      <c r="R35" s="196">
        <v>0</v>
      </c>
      <c r="S35" s="196">
        <v>0</v>
      </c>
      <c r="T35" s="196">
        <v>0</v>
      </c>
      <c r="U35" s="198"/>
      <c r="V35" s="196">
        <v>0</v>
      </c>
      <c r="W35" s="196">
        <v>0</v>
      </c>
      <c r="X35" s="196">
        <v>0</v>
      </c>
      <c r="Y35" s="196">
        <v>0</v>
      </c>
      <c r="Z35" s="198"/>
      <c r="AA35" s="196">
        <v>0</v>
      </c>
      <c r="AB35" s="196">
        <v>0</v>
      </c>
      <c r="AC35" s="196">
        <v>0</v>
      </c>
      <c r="AD35" s="196">
        <v>0</v>
      </c>
      <c r="AF35" s="60" t="s">
        <v>69</v>
      </c>
    </row>
    <row r="36" spans="1:32" x14ac:dyDescent="0.25">
      <c r="A36" t="s">
        <v>63</v>
      </c>
      <c r="B36" s="195">
        <v>7.5514799999999997</v>
      </c>
      <c r="C36" s="196">
        <v>47.87932</v>
      </c>
      <c r="D36" s="196">
        <v>12.020350000000001</v>
      </c>
      <c r="E36" s="199">
        <v>27.088239999999999</v>
      </c>
      <c r="F36" s="197"/>
      <c r="G36" s="196">
        <v>34.337649999999996</v>
      </c>
      <c r="H36" s="196">
        <v>14.47462</v>
      </c>
      <c r="I36" s="196">
        <v>3.1401699999999999</v>
      </c>
      <c r="J36" s="199">
        <v>-31.378450000000001</v>
      </c>
      <c r="K36" s="200"/>
      <c r="L36" s="196">
        <v>-42.19952</v>
      </c>
      <c r="M36" s="196">
        <v>-32.569020000000002</v>
      </c>
      <c r="N36" s="196">
        <v>4.8068099999999996</v>
      </c>
      <c r="O36" s="196">
        <v>0.75758999999999999</v>
      </c>
      <c r="P36" s="198"/>
      <c r="Q36" s="196">
        <v>0</v>
      </c>
      <c r="R36" s="196">
        <v>0</v>
      </c>
      <c r="S36" s="196">
        <v>0</v>
      </c>
      <c r="T36" s="196">
        <v>0</v>
      </c>
      <c r="U36" s="198"/>
      <c r="V36" s="196">
        <v>0</v>
      </c>
      <c r="W36" s="196">
        <v>0</v>
      </c>
      <c r="X36" s="196">
        <v>0</v>
      </c>
      <c r="Y36" s="196">
        <v>0</v>
      </c>
      <c r="Z36" s="198"/>
      <c r="AA36" s="196">
        <v>0</v>
      </c>
      <c r="AB36" s="196">
        <v>0</v>
      </c>
      <c r="AC36" s="196">
        <v>0</v>
      </c>
      <c r="AD36" s="196">
        <v>0</v>
      </c>
      <c r="AF36" s="60" t="s">
        <v>63</v>
      </c>
    </row>
    <row r="37" spans="1:32" x14ac:dyDescent="0.25">
      <c r="A37" s="62" t="s">
        <v>119</v>
      </c>
      <c r="B37" s="201">
        <v>79.662239999999997</v>
      </c>
      <c r="C37" s="201">
        <v>-2014.8882799999994</v>
      </c>
      <c r="D37" s="201">
        <v>410.26819285714282</v>
      </c>
      <c r="E37" s="201">
        <v>12.611373333333292</v>
      </c>
      <c r="F37" s="197"/>
      <c r="G37" s="202">
        <v>4153.5150928571429</v>
      </c>
      <c r="H37" s="202">
        <v>2667.0611033333334</v>
      </c>
      <c r="I37" s="202">
        <v>561.95902428571424</v>
      </c>
      <c r="J37" s="201">
        <v>1509.3880916666665</v>
      </c>
      <c r="K37" s="212"/>
      <c r="L37" s="202">
        <v>2452.4837828571431</v>
      </c>
      <c r="M37" s="202">
        <v>149.62799666666663</v>
      </c>
      <c r="N37" s="202">
        <v>121.47868714285713</v>
      </c>
      <c r="O37" s="202">
        <v>159.03476500000002</v>
      </c>
      <c r="P37" s="213"/>
      <c r="Q37" s="202">
        <v>0</v>
      </c>
      <c r="R37" s="202">
        <v>0</v>
      </c>
      <c r="S37" s="202">
        <v>0</v>
      </c>
      <c r="T37" s="202">
        <v>0</v>
      </c>
      <c r="U37" s="213"/>
      <c r="V37" s="202">
        <v>0</v>
      </c>
      <c r="W37" s="202">
        <v>0</v>
      </c>
      <c r="X37" s="202">
        <v>0</v>
      </c>
      <c r="Y37" s="202">
        <v>0</v>
      </c>
      <c r="Z37" s="213"/>
      <c r="AA37" s="202">
        <v>0</v>
      </c>
      <c r="AB37" s="202">
        <v>0</v>
      </c>
      <c r="AC37" s="202">
        <v>0</v>
      </c>
      <c r="AD37" s="202">
        <v>0</v>
      </c>
      <c r="AE37" s="203"/>
      <c r="AF37" s="71" t="s">
        <v>120</v>
      </c>
    </row>
    <row r="38" spans="1:32" x14ac:dyDescent="0.25">
      <c r="A38" s="111" t="s">
        <v>201</v>
      </c>
      <c r="B38" s="197"/>
      <c r="C38" s="197"/>
      <c r="D38" s="197"/>
      <c r="E38" s="197"/>
      <c r="F38" s="197"/>
      <c r="G38" s="197"/>
      <c r="H38" s="196"/>
      <c r="I38" s="196"/>
      <c r="J38" s="199"/>
      <c r="K38" s="200"/>
      <c r="L38" s="196"/>
      <c r="M38" s="196"/>
      <c r="N38" s="196"/>
      <c r="O38" s="196"/>
      <c r="P38" s="198"/>
      <c r="Q38" s="196"/>
      <c r="R38" s="196"/>
      <c r="S38" s="196"/>
      <c r="T38" s="196"/>
      <c r="U38" s="198"/>
      <c r="V38" s="196"/>
      <c r="W38" s="196"/>
      <c r="X38" s="196"/>
      <c r="Y38" s="196"/>
      <c r="Z38" s="198"/>
      <c r="AA38" s="196"/>
      <c r="AB38" s="196"/>
      <c r="AC38" s="196"/>
      <c r="AD38" s="196"/>
    </row>
    <row r="39" spans="1:32" ht="26.25" customHeight="1" x14ac:dyDescent="0.25">
      <c r="B39" s="197"/>
      <c r="C39" s="197"/>
      <c r="D39" s="197"/>
      <c r="E39" s="197"/>
      <c r="F39" s="197"/>
      <c r="G39" s="197"/>
      <c r="H39" s="196"/>
      <c r="I39" s="196"/>
      <c r="J39" s="196"/>
      <c r="K39" s="198"/>
      <c r="L39" s="196"/>
      <c r="M39" s="196"/>
      <c r="N39" s="196"/>
      <c r="O39" s="196"/>
      <c r="P39" s="198"/>
      <c r="Q39" s="196"/>
      <c r="R39" s="196"/>
      <c r="S39" s="196"/>
      <c r="T39" s="196"/>
      <c r="U39" s="198"/>
      <c r="V39" s="196"/>
      <c r="W39" s="196"/>
      <c r="X39" s="196"/>
      <c r="Y39" s="196"/>
      <c r="Z39" s="198"/>
      <c r="AA39" s="196"/>
      <c r="AB39" s="196"/>
      <c r="AC39" s="196"/>
      <c r="AD39" s="196"/>
    </row>
    <row r="40" spans="1:32" ht="13.5" customHeight="1" x14ac:dyDescent="0.25">
      <c r="A40" s="177" t="s">
        <v>3</v>
      </c>
      <c r="B40" s="178">
        <v>2019</v>
      </c>
      <c r="C40" s="178"/>
      <c r="D40" s="178"/>
      <c r="E40" s="178"/>
      <c r="G40" s="178">
        <v>2018</v>
      </c>
      <c r="H40" s="178"/>
      <c r="I40" s="178"/>
      <c r="J40" s="178"/>
      <c r="K40" s="179"/>
      <c r="L40" s="178">
        <v>2017</v>
      </c>
      <c r="M40" s="178"/>
      <c r="N40" s="178"/>
      <c r="O40" s="178"/>
      <c r="P40" s="179"/>
      <c r="Q40" s="178">
        <v>2016</v>
      </c>
      <c r="R40" s="178"/>
      <c r="S40" s="178"/>
      <c r="T40" s="178"/>
      <c r="U40" s="179"/>
      <c r="V40" s="178">
        <v>2015</v>
      </c>
      <c r="W40" s="178"/>
      <c r="X40" s="178"/>
      <c r="Y40" s="178"/>
      <c r="Z40" s="179"/>
      <c r="AA40" s="178">
        <v>2014</v>
      </c>
      <c r="AB40" s="178"/>
      <c r="AC40" s="178"/>
      <c r="AD40" s="178"/>
      <c r="AE40" s="179"/>
      <c r="AF40" s="180" t="s">
        <v>3</v>
      </c>
    </row>
    <row r="41" spans="1:32" x14ac:dyDescent="0.25">
      <c r="A41" s="181"/>
      <c r="B41" s="214" t="s">
        <v>193</v>
      </c>
      <c r="C41" s="214" t="s">
        <v>194</v>
      </c>
      <c r="D41" s="214" t="s">
        <v>195</v>
      </c>
      <c r="E41" s="214" t="s">
        <v>196</v>
      </c>
      <c r="F41" s="197"/>
      <c r="G41" s="214" t="s">
        <v>193</v>
      </c>
      <c r="H41" s="214" t="s">
        <v>194</v>
      </c>
      <c r="I41" s="214" t="s">
        <v>195</v>
      </c>
      <c r="J41" s="214" t="s">
        <v>196</v>
      </c>
      <c r="K41" s="215"/>
      <c r="L41" s="214" t="s">
        <v>193</v>
      </c>
      <c r="M41" s="214" t="s">
        <v>194</v>
      </c>
      <c r="N41" s="214" t="s">
        <v>195</v>
      </c>
      <c r="O41" s="214" t="s">
        <v>196</v>
      </c>
      <c r="P41" s="184"/>
      <c r="Q41" s="182" t="s">
        <v>197</v>
      </c>
      <c r="R41" s="182" t="s">
        <v>194</v>
      </c>
      <c r="S41" s="182" t="s">
        <v>195</v>
      </c>
      <c r="T41" s="182" t="s">
        <v>198</v>
      </c>
      <c r="U41" s="184"/>
      <c r="V41" s="182" t="s">
        <v>193</v>
      </c>
      <c r="W41" s="182" t="s">
        <v>194</v>
      </c>
      <c r="X41" s="182" t="s">
        <v>195</v>
      </c>
      <c r="Y41" s="182" t="s">
        <v>196</v>
      </c>
      <c r="Z41" s="184"/>
      <c r="AA41" s="182" t="s">
        <v>193</v>
      </c>
      <c r="AB41" s="182" t="s">
        <v>199</v>
      </c>
      <c r="AC41" s="182" t="s">
        <v>195</v>
      </c>
      <c r="AD41" s="182" t="s">
        <v>196</v>
      </c>
      <c r="AE41" s="184"/>
      <c r="AF41" s="185"/>
    </row>
    <row r="42" spans="1:32" x14ac:dyDescent="0.25">
      <c r="A42" s="50" t="s">
        <v>130</v>
      </c>
      <c r="B42" s="204"/>
      <c r="C42" s="204"/>
      <c r="D42" s="204"/>
      <c r="E42" s="204"/>
      <c r="F42" s="197"/>
      <c r="G42" s="204"/>
      <c r="H42" s="205"/>
      <c r="I42" s="205"/>
      <c r="J42" s="205"/>
      <c r="K42" s="206"/>
      <c r="L42" s="205"/>
      <c r="M42" s="205"/>
      <c r="N42" s="205"/>
      <c r="O42" s="205"/>
      <c r="P42" s="206"/>
      <c r="Q42" s="205"/>
      <c r="R42" s="205"/>
      <c r="S42" s="205"/>
      <c r="T42" s="205"/>
      <c r="U42" s="206"/>
      <c r="V42" s="205"/>
      <c r="W42" s="205"/>
      <c r="X42" s="205"/>
      <c r="Y42" s="205"/>
      <c r="Z42" s="206"/>
      <c r="AA42" s="205"/>
      <c r="AB42" s="205"/>
      <c r="AC42" s="205"/>
      <c r="AD42" s="205"/>
      <c r="AE42" s="207"/>
      <c r="AF42" s="81"/>
    </row>
    <row r="43" spans="1:32" x14ac:dyDescent="0.25">
      <c r="A43" t="s">
        <v>75</v>
      </c>
      <c r="B43" s="195" t="s">
        <v>200</v>
      </c>
      <c r="C43" s="196">
        <v>11580.933999999999</v>
      </c>
      <c r="D43" s="196">
        <v>11579.33</v>
      </c>
      <c r="E43" s="196">
        <v>9037.3590000000004</v>
      </c>
      <c r="F43" s="197"/>
      <c r="G43" s="196">
        <v>4427.8209999999999</v>
      </c>
      <c r="H43" s="196">
        <v>4212.4080000000004</v>
      </c>
      <c r="I43" s="196">
        <v>2781.636</v>
      </c>
      <c r="J43" s="196">
        <v>2953.277</v>
      </c>
      <c r="K43" s="198"/>
      <c r="L43" s="196">
        <v>2851.3310000000001</v>
      </c>
      <c r="M43" s="196">
        <v>2124.1770000000001</v>
      </c>
      <c r="N43" s="196">
        <v>2228.2109999999998</v>
      </c>
      <c r="O43" s="196">
        <v>1612.548</v>
      </c>
      <c r="P43" s="198"/>
      <c r="Q43" s="196">
        <v>0</v>
      </c>
      <c r="R43" s="196">
        <v>0</v>
      </c>
      <c r="S43" s="196">
        <v>0</v>
      </c>
      <c r="T43" s="196">
        <v>0</v>
      </c>
      <c r="U43" s="198"/>
      <c r="V43" s="196">
        <v>0</v>
      </c>
      <c r="W43" s="196">
        <v>0</v>
      </c>
      <c r="X43" s="196">
        <v>0</v>
      </c>
      <c r="Y43" s="196">
        <v>0</v>
      </c>
      <c r="Z43" s="198"/>
      <c r="AA43" s="196">
        <v>0</v>
      </c>
      <c r="AB43" s="196">
        <v>0</v>
      </c>
      <c r="AC43" s="196">
        <v>0</v>
      </c>
      <c r="AD43" s="196">
        <v>0</v>
      </c>
      <c r="AF43" s="60" t="s">
        <v>75</v>
      </c>
    </row>
    <row r="44" spans="1:32" x14ac:dyDescent="0.25">
      <c r="A44" t="s">
        <v>68</v>
      </c>
      <c r="B44" s="195">
        <v>13265.654</v>
      </c>
      <c r="C44" s="196">
        <v>13158.383</v>
      </c>
      <c r="D44" s="196">
        <v>7032.3069999999998</v>
      </c>
      <c r="E44" s="196">
        <v>7343.4319999999998</v>
      </c>
      <c r="F44" s="197"/>
      <c r="G44" s="196">
        <v>5243.2640000000001</v>
      </c>
      <c r="H44" s="196">
        <v>3828.1469999999999</v>
      </c>
      <c r="I44" s="196">
        <v>3115.65</v>
      </c>
      <c r="J44" s="196">
        <v>3542.1819999999998</v>
      </c>
      <c r="K44" s="198"/>
      <c r="L44" s="196">
        <v>3102.982</v>
      </c>
      <c r="M44" s="196">
        <v>2733.6190000000001</v>
      </c>
      <c r="N44" s="196">
        <v>2223.509</v>
      </c>
      <c r="O44" s="196">
        <v>2005.248</v>
      </c>
      <c r="P44" s="198"/>
      <c r="Q44" s="196">
        <v>0</v>
      </c>
      <c r="R44" s="196">
        <v>0</v>
      </c>
      <c r="S44" s="196">
        <v>0</v>
      </c>
      <c r="T44" s="196">
        <v>0</v>
      </c>
      <c r="U44" s="198"/>
      <c r="V44" s="196">
        <v>0</v>
      </c>
      <c r="W44" s="196">
        <v>0</v>
      </c>
      <c r="X44" s="196">
        <v>0</v>
      </c>
      <c r="Y44" s="196">
        <v>0</v>
      </c>
      <c r="Z44" s="198"/>
      <c r="AA44" s="196">
        <v>0</v>
      </c>
      <c r="AB44" s="196">
        <v>0</v>
      </c>
      <c r="AC44" s="196">
        <v>0</v>
      </c>
      <c r="AD44" s="196">
        <v>0</v>
      </c>
      <c r="AF44" s="60" t="s">
        <v>68</v>
      </c>
    </row>
    <row r="45" spans="1:32" x14ac:dyDescent="0.25">
      <c r="A45" t="s">
        <v>26</v>
      </c>
      <c r="B45" s="195">
        <v>7480.7269999999999</v>
      </c>
      <c r="C45" s="196">
        <v>10739.731</v>
      </c>
      <c r="D45" s="196">
        <v>6780.1229999999996</v>
      </c>
      <c r="E45" s="199">
        <v>6007.6189999999997</v>
      </c>
      <c r="F45" s="197"/>
      <c r="G45" s="196">
        <v>2936.6280000000002</v>
      </c>
      <c r="H45" s="196">
        <v>3007.8409999999999</v>
      </c>
      <c r="I45" s="196">
        <v>2123.92</v>
      </c>
      <c r="J45" s="199">
        <v>1545.298</v>
      </c>
      <c r="K45" s="200"/>
      <c r="L45" s="196">
        <v>1420.91</v>
      </c>
      <c r="M45" s="196">
        <v>1134.58</v>
      </c>
      <c r="N45" s="196">
        <v>-282.995</v>
      </c>
      <c r="O45" s="196">
        <v>1605.77</v>
      </c>
      <c r="P45" s="198"/>
      <c r="Q45" s="196">
        <v>0</v>
      </c>
      <c r="R45" s="196">
        <v>0</v>
      </c>
      <c r="S45" s="196">
        <v>0</v>
      </c>
      <c r="T45" s="196">
        <v>0</v>
      </c>
      <c r="U45" s="198"/>
      <c r="V45" s="196">
        <v>0</v>
      </c>
      <c r="W45" s="196">
        <v>0</v>
      </c>
      <c r="X45" s="196">
        <v>0</v>
      </c>
      <c r="Y45" s="196">
        <v>0</v>
      </c>
      <c r="Z45" s="198"/>
      <c r="AA45" s="196">
        <v>0</v>
      </c>
      <c r="AB45" s="196">
        <v>0</v>
      </c>
      <c r="AC45" s="196">
        <v>0</v>
      </c>
      <c r="AD45" s="196">
        <v>0</v>
      </c>
      <c r="AF45" s="60" t="s">
        <v>26</v>
      </c>
    </row>
    <row r="46" spans="1:32" x14ac:dyDescent="0.25">
      <c r="A46" t="s">
        <v>53</v>
      </c>
      <c r="B46" s="195">
        <v>4069.3989999999999</v>
      </c>
      <c r="C46" s="196">
        <v>6753.732</v>
      </c>
      <c r="D46" s="196">
        <v>5488.5219999999999</v>
      </c>
      <c r="E46" s="199">
        <v>6346.5450000000001</v>
      </c>
      <c r="F46" s="197"/>
      <c r="G46" s="196">
        <v>2913.2629999999999</v>
      </c>
      <c r="H46" s="196">
        <v>3262.0830000000001</v>
      </c>
      <c r="I46" s="196">
        <v>2269.4520000000002</v>
      </c>
      <c r="J46" s="199">
        <v>1683.9110000000001</v>
      </c>
      <c r="K46" s="200"/>
      <c r="L46" s="196">
        <v>2750.7950000000001</v>
      </c>
      <c r="M46" s="196">
        <v>930.83699999999999</v>
      </c>
      <c r="N46" s="196">
        <v>1165.037</v>
      </c>
      <c r="O46" s="196">
        <v>1530.663</v>
      </c>
      <c r="P46" s="198"/>
      <c r="Q46" s="196">
        <v>0</v>
      </c>
      <c r="R46" s="196">
        <v>0</v>
      </c>
      <c r="S46" s="196">
        <v>0</v>
      </c>
      <c r="T46" s="196">
        <v>0</v>
      </c>
      <c r="U46" s="198"/>
      <c r="V46" s="196">
        <v>0</v>
      </c>
      <c r="W46" s="196">
        <v>0</v>
      </c>
      <c r="X46" s="196">
        <v>0</v>
      </c>
      <c r="Y46" s="196">
        <v>0</v>
      </c>
      <c r="Z46" s="198"/>
      <c r="AA46" s="196">
        <v>0</v>
      </c>
      <c r="AB46" s="196">
        <v>0</v>
      </c>
      <c r="AC46" s="196">
        <v>0</v>
      </c>
      <c r="AD46" s="196">
        <v>0</v>
      </c>
      <c r="AF46" s="60" t="s">
        <v>53</v>
      </c>
    </row>
    <row r="47" spans="1:32" x14ac:dyDescent="0.25">
      <c r="A47" t="s">
        <v>40</v>
      </c>
      <c r="B47" s="195">
        <v>4952.2809999999999</v>
      </c>
      <c r="C47" s="196">
        <v>5643.7889999999998</v>
      </c>
      <c r="D47" s="196">
        <v>4418.5690000000004</v>
      </c>
      <c r="E47" s="199">
        <v>2617.0100000000002</v>
      </c>
      <c r="F47" s="197"/>
      <c r="G47" s="196">
        <v>1272.5609999999999</v>
      </c>
      <c r="H47" s="196">
        <v>1760.7539999999999</v>
      </c>
      <c r="I47" s="196">
        <v>1147.3620000000001</v>
      </c>
      <c r="J47" s="199">
        <v>990.27800000000002</v>
      </c>
      <c r="K47" s="200"/>
      <c r="L47" s="196">
        <v>-158.79499999999999</v>
      </c>
      <c r="M47" s="196">
        <v>1639.558</v>
      </c>
      <c r="N47" s="196">
        <v>884.78499999999997</v>
      </c>
      <c r="O47" s="196">
        <v>752.24900000000002</v>
      </c>
      <c r="P47" s="198"/>
      <c r="Q47" s="196">
        <v>0</v>
      </c>
      <c r="R47" s="196">
        <v>0</v>
      </c>
      <c r="S47" s="196">
        <v>0</v>
      </c>
      <c r="T47" s="196">
        <v>0</v>
      </c>
      <c r="U47" s="198"/>
      <c r="V47" s="196">
        <v>0</v>
      </c>
      <c r="W47" s="196">
        <v>0</v>
      </c>
      <c r="X47" s="196">
        <v>0</v>
      </c>
      <c r="Y47" s="196">
        <v>0</v>
      </c>
      <c r="Z47" s="198"/>
      <c r="AA47" s="196">
        <v>0</v>
      </c>
      <c r="AB47" s="196">
        <v>0</v>
      </c>
      <c r="AC47" s="196">
        <v>0</v>
      </c>
      <c r="AD47" s="196">
        <v>0</v>
      </c>
      <c r="AF47" s="60" t="s">
        <v>40</v>
      </c>
    </row>
    <row r="48" spans="1:32" x14ac:dyDescent="0.25">
      <c r="A48" t="s">
        <v>17</v>
      </c>
      <c r="B48" s="195" t="s">
        <v>200</v>
      </c>
      <c r="C48" s="196">
        <v>1299.47624</v>
      </c>
      <c r="D48" s="196">
        <v>28.689050000000002</v>
      </c>
      <c r="E48" s="199">
        <v>162.01510999999999</v>
      </c>
      <c r="F48" s="197"/>
      <c r="G48" s="196">
        <v>43.588720000000002</v>
      </c>
      <c r="H48" s="196">
        <v>1298.90698</v>
      </c>
      <c r="I48" s="196">
        <v>917.31277999999998</v>
      </c>
      <c r="J48" s="199">
        <v>420.42514</v>
      </c>
      <c r="K48" s="200"/>
      <c r="L48" s="196">
        <v>136.73988</v>
      </c>
      <c r="M48" s="196">
        <v>302.29617000000002</v>
      </c>
      <c r="N48" s="196">
        <v>262.25869999999998</v>
      </c>
      <c r="O48" s="196">
        <v>135.98909</v>
      </c>
      <c r="P48" s="198"/>
      <c r="Q48" s="196">
        <v>0</v>
      </c>
      <c r="R48" s="196">
        <v>0</v>
      </c>
      <c r="S48" s="196">
        <v>0</v>
      </c>
      <c r="T48" s="196">
        <v>0</v>
      </c>
      <c r="U48" s="198"/>
      <c r="V48" s="196">
        <v>0</v>
      </c>
      <c r="W48" s="196">
        <v>0</v>
      </c>
      <c r="X48" s="196">
        <v>0</v>
      </c>
      <c r="Y48" s="196">
        <v>0</v>
      </c>
      <c r="Z48" s="198"/>
      <c r="AA48" s="196">
        <v>0</v>
      </c>
      <c r="AB48" s="196">
        <v>0</v>
      </c>
      <c r="AC48" s="196">
        <v>0</v>
      </c>
      <c r="AD48" s="196">
        <v>0</v>
      </c>
      <c r="AF48" s="60" t="s">
        <v>17</v>
      </c>
    </row>
    <row r="49" spans="1:32" x14ac:dyDescent="0.25">
      <c r="A49" t="s">
        <v>60</v>
      </c>
      <c r="B49" s="195">
        <v>89.311000000000007</v>
      </c>
      <c r="C49" s="196">
        <v>1039.867</v>
      </c>
      <c r="D49" s="196">
        <v>615.78700000000003</v>
      </c>
      <c r="E49" s="199">
        <v>36.566000000000003</v>
      </c>
      <c r="F49" s="197"/>
      <c r="G49" s="196">
        <v>503.77199999999999</v>
      </c>
      <c r="H49" s="196">
        <v>542.16800000000001</v>
      </c>
      <c r="I49" s="196">
        <v>486.053</v>
      </c>
      <c r="J49" s="199">
        <v>519.41899999999998</v>
      </c>
      <c r="K49" s="200"/>
      <c r="L49" s="196">
        <v>64.69</v>
      </c>
      <c r="M49" s="196">
        <v>436.14699999999999</v>
      </c>
      <c r="N49" s="196">
        <v>408.02699999999999</v>
      </c>
      <c r="O49" s="196">
        <v>221.626</v>
      </c>
      <c r="P49" s="198"/>
      <c r="Q49" s="196">
        <v>0</v>
      </c>
      <c r="R49" s="196">
        <v>0</v>
      </c>
      <c r="S49" s="196">
        <v>0</v>
      </c>
      <c r="T49" s="196">
        <v>0</v>
      </c>
      <c r="U49" s="198"/>
      <c r="V49" s="196">
        <v>0</v>
      </c>
      <c r="W49" s="196">
        <v>0</v>
      </c>
      <c r="X49" s="196">
        <v>0</v>
      </c>
      <c r="Y49" s="196">
        <v>0</v>
      </c>
      <c r="Z49" s="198"/>
      <c r="AA49" s="196">
        <v>0</v>
      </c>
      <c r="AB49" s="196">
        <v>0</v>
      </c>
      <c r="AC49" s="196">
        <v>0</v>
      </c>
      <c r="AD49" s="196">
        <v>0</v>
      </c>
      <c r="AF49" s="60" t="s">
        <v>60</v>
      </c>
    </row>
    <row r="50" spans="1:32" x14ac:dyDescent="0.25">
      <c r="A50" t="s">
        <v>47</v>
      </c>
      <c r="B50" s="195" t="s">
        <v>200</v>
      </c>
      <c r="C50" s="196">
        <v>761.02700000000004</v>
      </c>
      <c r="D50" s="196">
        <v>481.48</v>
      </c>
      <c r="E50" s="199">
        <v>348.79399999999998</v>
      </c>
      <c r="F50" s="197"/>
      <c r="G50" s="196">
        <v>378.16018000000003</v>
      </c>
      <c r="H50" s="196">
        <v>295.13029</v>
      </c>
      <c r="I50" s="196">
        <v>184.61172999999999</v>
      </c>
      <c r="J50" s="199">
        <v>132.62880000000001</v>
      </c>
      <c r="K50" s="200"/>
      <c r="L50" s="196">
        <v>109.28223</v>
      </c>
      <c r="M50" s="196">
        <v>225.96592000000001</v>
      </c>
      <c r="N50" s="196">
        <v>126.50736999999999</v>
      </c>
      <c r="O50" s="196">
        <v>58.993490000000001</v>
      </c>
      <c r="P50" s="198"/>
      <c r="Q50" s="196">
        <v>0</v>
      </c>
      <c r="R50" s="196">
        <v>0</v>
      </c>
      <c r="S50" s="196">
        <v>0</v>
      </c>
      <c r="T50" s="196">
        <v>0</v>
      </c>
      <c r="U50" s="198"/>
      <c r="V50" s="196">
        <v>0</v>
      </c>
      <c r="W50" s="196">
        <v>0</v>
      </c>
      <c r="X50" s="196">
        <v>0</v>
      </c>
      <c r="Y50" s="196">
        <v>0</v>
      </c>
      <c r="Z50" s="198"/>
      <c r="AA50" s="196">
        <v>0</v>
      </c>
      <c r="AB50" s="196">
        <v>0</v>
      </c>
      <c r="AC50" s="196">
        <v>0</v>
      </c>
      <c r="AD50" s="196">
        <v>0</v>
      </c>
      <c r="AF50" s="60" t="s">
        <v>47</v>
      </c>
    </row>
    <row r="51" spans="1:32" x14ac:dyDescent="0.25">
      <c r="A51" s="62" t="s">
        <v>119</v>
      </c>
      <c r="B51" s="201">
        <v>5971.474400000001</v>
      </c>
      <c r="C51" s="201">
        <v>6372.1174049999991</v>
      </c>
      <c r="D51" s="201">
        <v>4553.1008812500004</v>
      </c>
      <c r="E51" s="201">
        <v>3987.4175137500006</v>
      </c>
      <c r="F51" s="197"/>
      <c r="G51" s="202">
        <v>2214.8822375</v>
      </c>
      <c r="H51" s="202">
        <v>2275.9297837500003</v>
      </c>
      <c r="I51" s="202">
        <v>1628.2496887500001</v>
      </c>
      <c r="J51" s="201">
        <v>1473.4273674999999</v>
      </c>
      <c r="K51" s="201"/>
      <c r="L51" s="202">
        <v>1284.74188875</v>
      </c>
      <c r="M51" s="202">
        <v>1190.8975112500002</v>
      </c>
      <c r="N51" s="202">
        <v>876.91750875000002</v>
      </c>
      <c r="O51" s="202">
        <v>990.38582250000013</v>
      </c>
      <c r="P51" s="202"/>
      <c r="Q51" s="202">
        <v>0</v>
      </c>
      <c r="R51" s="202">
        <v>0</v>
      </c>
      <c r="S51" s="202">
        <v>0</v>
      </c>
      <c r="T51" s="202">
        <v>0</v>
      </c>
      <c r="U51" s="202"/>
      <c r="V51" s="202">
        <v>0</v>
      </c>
      <c r="W51" s="202">
        <v>0</v>
      </c>
      <c r="X51" s="202">
        <v>0</v>
      </c>
      <c r="Y51" s="202">
        <v>0</v>
      </c>
      <c r="Z51" s="202"/>
      <c r="AA51" s="202">
        <v>0</v>
      </c>
      <c r="AB51" s="202">
        <v>0</v>
      </c>
      <c r="AC51" s="202">
        <v>0</v>
      </c>
      <c r="AD51" s="202">
        <v>0</v>
      </c>
      <c r="AE51" s="203"/>
      <c r="AF51" s="71" t="s">
        <v>120</v>
      </c>
    </row>
    <row r="52" spans="1:32" ht="7.5" customHeight="1" x14ac:dyDescent="0.25">
      <c r="B52" s="197"/>
      <c r="C52" s="197"/>
      <c r="D52" s="197"/>
      <c r="E52" s="197"/>
      <c r="F52" s="197"/>
      <c r="G52" s="197"/>
      <c r="H52" s="196"/>
      <c r="I52" s="196"/>
      <c r="J52" s="199"/>
      <c r="K52" s="200"/>
      <c r="L52" s="196"/>
      <c r="M52" s="196"/>
      <c r="N52" s="196"/>
      <c r="O52" s="196"/>
      <c r="P52" s="198"/>
      <c r="Q52" s="196"/>
      <c r="R52" s="196"/>
      <c r="S52" s="196"/>
      <c r="T52" s="196"/>
      <c r="U52" s="198"/>
      <c r="V52" s="196"/>
      <c r="W52" s="196"/>
      <c r="X52" s="196"/>
      <c r="Y52" s="196"/>
      <c r="Z52" s="198"/>
      <c r="AA52" s="196"/>
      <c r="AB52" s="196"/>
      <c r="AC52" s="196"/>
      <c r="AD52" s="196"/>
    </row>
    <row r="53" spans="1:32" x14ac:dyDescent="0.25">
      <c r="A53" s="50" t="s">
        <v>131</v>
      </c>
      <c r="B53" s="204"/>
      <c r="C53" s="204"/>
      <c r="D53" s="204"/>
      <c r="E53" s="204"/>
      <c r="F53" s="197"/>
      <c r="G53" s="204"/>
      <c r="H53" s="205"/>
      <c r="I53" s="205"/>
      <c r="J53" s="205"/>
      <c r="K53" s="206"/>
      <c r="L53" s="205"/>
      <c r="M53" s="205"/>
      <c r="N53" s="205"/>
      <c r="O53" s="205"/>
      <c r="P53" s="206"/>
      <c r="Q53" s="205"/>
      <c r="R53" s="205"/>
      <c r="S53" s="205"/>
      <c r="T53" s="205"/>
      <c r="U53" s="206"/>
      <c r="V53" s="205"/>
      <c r="W53" s="205"/>
      <c r="X53" s="205"/>
      <c r="Y53" s="205"/>
      <c r="Z53" s="206"/>
      <c r="AA53" s="205"/>
      <c r="AB53" s="205"/>
      <c r="AC53" s="205"/>
      <c r="AD53" s="205"/>
      <c r="AE53" s="207"/>
      <c r="AF53" s="81"/>
    </row>
    <row r="54" spans="1:32" x14ac:dyDescent="0.25">
      <c r="A54" t="s">
        <v>32</v>
      </c>
      <c r="B54" s="195" t="s">
        <v>200</v>
      </c>
      <c r="C54" s="196">
        <v>-2560.6454199999998</v>
      </c>
      <c r="D54" s="196">
        <v>-1676.9090100000001</v>
      </c>
      <c r="E54" s="196">
        <v>902.68727999999999</v>
      </c>
      <c r="F54" s="197"/>
      <c r="G54" s="196">
        <v>-19463.877270000001</v>
      </c>
      <c r="H54" s="196">
        <v>26660.569220000001</v>
      </c>
      <c r="I54" s="196">
        <v>81.397980000000004</v>
      </c>
      <c r="J54" s="196">
        <v>-15.174799999999999</v>
      </c>
      <c r="K54" s="198"/>
      <c r="L54" s="196">
        <v>-29.659459999999999</v>
      </c>
      <c r="M54" s="196">
        <v>100.93375</v>
      </c>
      <c r="N54" s="196">
        <v>74.424319999999994</v>
      </c>
      <c r="O54" s="196">
        <v>74.631479999999996</v>
      </c>
      <c r="P54" s="198"/>
      <c r="Q54" s="196">
        <v>0</v>
      </c>
      <c r="R54" s="196">
        <v>0</v>
      </c>
      <c r="S54" s="216">
        <v>0</v>
      </c>
      <c r="T54" s="216">
        <v>0</v>
      </c>
      <c r="U54" s="198"/>
      <c r="V54" s="196">
        <v>0</v>
      </c>
      <c r="W54" s="196">
        <v>0</v>
      </c>
      <c r="X54" s="196">
        <v>0</v>
      </c>
      <c r="Y54" s="196">
        <v>0</v>
      </c>
      <c r="Z54" s="198"/>
      <c r="AA54" s="196">
        <v>0</v>
      </c>
      <c r="AB54" s="196">
        <v>0</v>
      </c>
      <c r="AC54" s="196">
        <v>0</v>
      </c>
      <c r="AD54" s="196">
        <v>0</v>
      </c>
      <c r="AF54" s="60" t="s">
        <v>32</v>
      </c>
    </row>
    <row r="55" spans="1:32" x14ac:dyDescent="0.25">
      <c r="A55" t="s">
        <v>22</v>
      </c>
      <c r="B55" s="195" t="s">
        <v>200</v>
      </c>
      <c r="C55" s="196">
        <v>-631.45883000000003</v>
      </c>
      <c r="D55" s="196">
        <v>-844.70228999999995</v>
      </c>
      <c r="E55" s="196">
        <v>453.81328999999999</v>
      </c>
      <c r="F55" s="197"/>
      <c r="G55" s="196">
        <v>-2533.4236999999998</v>
      </c>
      <c r="H55" s="196">
        <v>12293.31474</v>
      </c>
      <c r="I55" s="196">
        <v>252.71700000000001</v>
      </c>
      <c r="J55" s="196">
        <v>175.89608999999999</v>
      </c>
      <c r="K55" s="198"/>
      <c r="L55" s="196">
        <v>-110.28769</v>
      </c>
      <c r="M55" s="196">
        <v>98.566590000000005</v>
      </c>
      <c r="N55" s="196">
        <v>87.49324</v>
      </c>
      <c r="O55" s="196">
        <v>74.819190000000006</v>
      </c>
      <c r="P55" s="198"/>
      <c r="Q55" s="196">
        <v>0</v>
      </c>
      <c r="R55" s="196">
        <v>0</v>
      </c>
      <c r="S55" s="196">
        <v>0</v>
      </c>
      <c r="T55" s="196">
        <v>0</v>
      </c>
      <c r="U55" s="198"/>
      <c r="V55" s="196">
        <v>0</v>
      </c>
      <c r="W55" s="196">
        <v>0</v>
      </c>
      <c r="X55" s="196">
        <v>0</v>
      </c>
      <c r="Y55" s="196">
        <v>0</v>
      </c>
      <c r="Z55" s="198"/>
      <c r="AA55" s="196">
        <v>0</v>
      </c>
      <c r="AB55" s="196">
        <v>0</v>
      </c>
      <c r="AC55" s="196">
        <v>0</v>
      </c>
      <c r="AD55" s="196">
        <v>0</v>
      </c>
      <c r="AF55" s="60" t="s">
        <v>22</v>
      </c>
    </row>
    <row r="56" spans="1:32" x14ac:dyDescent="0.25">
      <c r="A56" t="s">
        <v>20</v>
      </c>
      <c r="B56" s="195" t="s">
        <v>200</v>
      </c>
      <c r="C56" s="196">
        <v>23.015470000000001</v>
      </c>
      <c r="D56" s="196">
        <v>55.589190000000002</v>
      </c>
      <c r="E56" s="199">
        <v>69.843999999999994</v>
      </c>
      <c r="F56" s="197"/>
      <c r="G56" s="196">
        <v>-70.914400000000001</v>
      </c>
      <c r="H56" s="196">
        <v>52.657179999999997</v>
      </c>
      <c r="I56" s="196">
        <v>150.51616000000001</v>
      </c>
      <c r="J56" s="199">
        <v>81.911850000000001</v>
      </c>
      <c r="K56" s="200"/>
      <c r="L56" s="196">
        <v>19.08182</v>
      </c>
      <c r="M56" s="196">
        <v>0.76742999999999995</v>
      </c>
      <c r="N56" s="196">
        <v>14.430580000000001</v>
      </c>
      <c r="O56" s="196">
        <v>-0.71997999999999995</v>
      </c>
      <c r="P56" s="198"/>
      <c r="Q56" s="196">
        <v>0</v>
      </c>
      <c r="R56" s="196">
        <v>0</v>
      </c>
      <c r="S56" s="196">
        <v>0</v>
      </c>
      <c r="T56" s="196">
        <v>0</v>
      </c>
      <c r="U56" s="198"/>
      <c r="V56" s="196">
        <v>0</v>
      </c>
      <c r="W56" s="196">
        <v>0</v>
      </c>
      <c r="X56" s="196">
        <v>0</v>
      </c>
      <c r="Y56" s="196">
        <v>0</v>
      </c>
      <c r="Z56" s="198"/>
      <c r="AA56" s="196">
        <v>0</v>
      </c>
      <c r="AB56" s="196">
        <v>0</v>
      </c>
      <c r="AC56" s="196">
        <v>0</v>
      </c>
      <c r="AD56" s="196">
        <v>0</v>
      </c>
      <c r="AF56" s="60" t="s">
        <v>20</v>
      </c>
    </row>
    <row r="57" spans="1:32" x14ac:dyDescent="0.25">
      <c r="A57" t="s">
        <v>39</v>
      </c>
      <c r="B57" s="195">
        <v>27.442789999999999</v>
      </c>
      <c r="C57" s="196">
        <v>1.5303100000000001</v>
      </c>
      <c r="D57" s="196">
        <v>73.545000000000002</v>
      </c>
      <c r="E57" s="199">
        <v>-9.6587200000000006</v>
      </c>
      <c r="F57" s="197"/>
      <c r="G57" s="196">
        <v>-8.6660699999999995</v>
      </c>
      <c r="H57" s="196">
        <v>-23.527750000000001</v>
      </c>
      <c r="I57" s="196">
        <v>-38.810319999999997</v>
      </c>
      <c r="J57" s="199">
        <v>-27.286090000000002</v>
      </c>
      <c r="K57" s="200"/>
      <c r="L57" s="196">
        <v>53.615389999999998</v>
      </c>
      <c r="M57" s="196">
        <v>-21.856079999999999</v>
      </c>
      <c r="N57" s="196">
        <v>7.51539</v>
      </c>
      <c r="O57" s="196">
        <v>7.4249999999999998</v>
      </c>
      <c r="P57" s="198"/>
      <c r="Q57" s="196">
        <v>0</v>
      </c>
      <c r="R57" s="196">
        <v>0</v>
      </c>
      <c r="S57" s="196">
        <v>0</v>
      </c>
      <c r="T57" s="196">
        <v>0</v>
      </c>
      <c r="U57" s="198"/>
      <c r="V57" s="196">
        <v>0</v>
      </c>
      <c r="W57" s="196">
        <v>0</v>
      </c>
      <c r="X57" s="196">
        <v>0</v>
      </c>
      <c r="Y57" s="196">
        <v>0</v>
      </c>
      <c r="Z57" s="198"/>
      <c r="AA57" s="196">
        <v>0</v>
      </c>
      <c r="AB57" s="196">
        <v>0</v>
      </c>
      <c r="AC57" s="196">
        <v>0</v>
      </c>
      <c r="AD57" s="196">
        <v>0</v>
      </c>
      <c r="AF57" s="60" t="s">
        <v>39</v>
      </c>
    </row>
    <row r="58" spans="1:32" x14ac:dyDescent="0.25">
      <c r="A58" t="s">
        <v>44</v>
      </c>
      <c r="B58" s="195" t="s">
        <v>200</v>
      </c>
      <c r="C58" s="196" t="s">
        <v>200</v>
      </c>
      <c r="D58" s="196">
        <v>15.20124</v>
      </c>
      <c r="E58" s="199">
        <v>5.0247299999999999</v>
      </c>
      <c r="F58" s="197"/>
      <c r="G58" s="196">
        <v>-88.671139999999994</v>
      </c>
      <c r="H58" s="196">
        <v>10.66722</v>
      </c>
      <c r="I58" s="196">
        <v>12.21838</v>
      </c>
      <c r="J58" s="199">
        <v>4.6187899999999997</v>
      </c>
      <c r="K58" s="200"/>
      <c r="L58" s="196">
        <v>16.74428</v>
      </c>
      <c r="M58" s="196">
        <v>3.6675800000000001</v>
      </c>
      <c r="N58" s="196">
        <v>16.72148</v>
      </c>
      <c r="O58" s="196">
        <v>7.43574</v>
      </c>
      <c r="P58" s="198"/>
      <c r="Q58" s="196">
        <v>0</v>
      </c>
      <c r="R58" s="196">
        <v>0</v>
      </c>
      <c r="S58" s="196">
        <v>0</v>
      </c>
      <c r="T58" s="196">
        <v>0</v>
      </c>
      <c r="U58" s="198"/>
      <c r="V58" s="196">
        <v>0</v>
      </c>
      <c r="W58" s="196">
        <v>0</v>
      </c>
      <c r="X58" s="196">
        <v>0</v>
      </c>
      <c r="Y58" s="196">
        <v>0</v>
      </c>
      <c r="Z58" s="198"/>
      <c r="AA58" s="196">
        <v>0</v>
      </c>
      <c r="AB58" s="196">
        <v>0</v>
      </c>
      <c r="AC58" s="196">
        <v>0</v>
      </c>
      <c r="AD58" s="196">
        <v>0</v>
      </c>
      <c r="AF58" s="60" t="s">
        <v>44</v>
      </c>
    </row>
    <row r="59" spans="1:32" x14ac:dyDescent="0.25">
      <c r="A59" t="s">
        <v>52</v>
      </c>
      <c r="B59" s="195" t="s">
        <v>200</v>
      </c>
      <c r="C59" s="196">
        <v>7.7278700000000002</v>
      </c>
      <c r="D59" s="196">
        <v>-30.607780000000002</v>
      </c>
      <c r="E59" s="199">
        <v>-69.804239999999993</v>
      </c>
      <c r="F59" s="197"/>
      <c r="G59" s="196">
        <v>-36.026649999999997</v>
      </c>
      <c r="H59" s="196">
        <v>13.53857</v>
      </c>
      <c r="I59" s="196">
        <v>-22.87088</v>
      </c>
      <c r="J59" s="199">
        <v>-40.713999999999999</v>
      </c>
      <c r="K59" s="200"/>
      <c r="L59" s="196">
        <v>3.5590299999999999</v>
      </c>
      <c r="M59" s="196">
        <v>43.843609999999998</v>
      </c>
      <c r="N59" s="196">
        <v>28.593679999999999</v>
      </c>
      <c r="O59" s="196">
        <v>-8.7820599999999995</v>
      </c>
      <c r="P59" s="198"/>
      <c r="Q59" s="196">
        <v>0</v>
      </c>
      <c r="R59" s="196">
        <v>0</v>
      </c>
      <c r="S59" s="196">
        <v>0</v>
      </c>
      <c r="T59" s="196">
        <v>0</v>
      </c>
      <c r="U59" s="198"/>
      <c r="V59" s="196">
        <v>0</v>
      </c>
      <c r="W59" s="196">
        <v>0</v>
      </c>
      <c r="X59" s="196">
        <v>0</v>
      </c>
      <c r="Y59" s="196">
        <v>0</v>
      </c>
      <c r="Z59" s="198"/>
      <c r="AA59" s="196">
        <v>0</v>
      </c>
      <c r="AB59" s="196">
        <v>0</v>
      </c>
      <c r="AC59" s="196">
        <v>0</v>
      </c>
      <c r="AD59" s="196">
        <v>0</v>
      </c>
      <c r="AF59" s="60" t="s">
        <v>52</v>
      </c>
    </row>
    <row r="60" spans="1:32" x14ac:dyDescent="0.25">
      <c r="A60" t="s">
        <v>23</v>
      </c>
      <c r="B60" s="195">
        <v>15.803750000000001</v>
      </c>
      <c r="C60" s="196">
        <v>-113.86799000000001</v>
      </c>
      <c r="D60" s="198">
        <v>-160.65100000000001</v>
      </c>
      <c r="E60" s="200">
        <v>-40.625999999999998</v>
      </c>
      <c r="F60" s="197"/>
      <c r="G60" s="196">
        <v>-20.686019999999999</v>
      </c>
      <c r="H60" s="196">
        <v>-101.29510000000001</v>
      </c>
      <c r="I60" s="196">
        <v>-18.83737</v>
      </c>
      <c r="J60" s="199">
        <v>4.0327900000000003</v>
      </c>
      <c r="K60" s="200"/>
      <c r="L60" s="196">
        <v>-33.19135</v>
      </c>
      <c r="M60" s="196">
        <v>-0.72835000000000005</v>
      </c>
      <c r="N60" s="196">
        <v>11.44408</v>
      </c>
      <c r="O60" s="196">
        <v>-13.20166</v>
      </c>
      <c r="P60" s="198"/>
      <c r="Q60" s="196">
        <v>0</v>
      </c>
      <c r="R60" s="196">
        <v>0</v>
      </c>
      <c r="S60" s="196">
        <v>0</v>
      </c>
      <c r="T60" s="196">
        <v>0</v>
      </c>
      <c r="U60" s="198"/>
      <c r="V60" s="196">
        <v>0</v>
      </c>
      <c r="W60" s="196">
        <v>0</v>
      </c>
      <c r="X60" s="196">
        <v>0</v>
      </c>
      <c r="Y60" s="196">
        <v>0</v>
      </c>
      <c r="Z60" s="198"/>
      <c r="AA60" s="196">
        <v>0</v>
      </c>
      <c r="AB60" s="196">
        <v>0</v>
      </c>
      <c r="AC60" s="196">
        <v>0</v>
      </c>
      <c r="AD60" s="196">
        <v>0</v>
      </c>
      <c r="AF60" s="60" t="s">
        <v>23</v>
      </c>
    </row>
    <row r="61" spans="1:32" x14ac:dyDescent="0.25">
      <c r="A61" t="s">
        <v>14</v>
      </c>
      <c r="B61" s="195">
        <v>27.259679999999999</v>
      </c>
      <c r="C61" s="196">
        <v>29.65934</v>
      </c>
      <c r="D61" s="196">
        <v>14.85145</v>
      </c>
      <c r="E61" s="199">
        <v>6.6855000000000002</v>
      </c>
      <c r="F61" s="197"/>
      <c r="G61" s="196">
        <v>7.66256</v>
      </c>
      <c r="H61" s="196">
        <v>5.8318000000000003</v>
      </c>
      <c r="I61" s="196">
        <v>-1.8260700000000001</v>
      </c>
      <c r="J61" s="199">
        <v>4.9677600000000002</v>
      </c>
      <c r="K61" s="200"/>
      <c r="L61" s="196">
        <v>1.4291199999999999</v>
      </c>
      <c r="M61" s="196">
        <v>5.5140000000000002</v>
      </c>
      <c r="N61" s="196">
        <v>-2.9079999999999999</v>
      </c>
      <c r="O61" s="196">
        <v>2.9470000000000001</v>
      </c>
      <c r="P61" s="198"/>
      <c r="Q61" s="196">
        <v>0</v>
      </c>
      <c r="R61" s="196">
        <v>0</v>
      </c>
      <c r="S61" s="196">
        <v>0</v>
      </c>
      <c r="T61" s="196">
        <v>0</v>
      </c>
      <c r="U61" s="198"/>
      <c r="V61" s="196">
        <v>0</v>
      </c>
      <c r="W61" s="196">
        <v>0</v>
      </c>
      <c r="X61" s="196">
        <v>0</v>
      </c>
      <c r="Y61" s="196">
        <v>0</v>
      </c>
      <c r="Z61" s="198"/>
      <c r="AA61" s="196">
        <v>0</v>
      </c>
      <c r="AB61" s="196">
        <v>0</v>
      </c>
      <c r="AC61" s="196">
        <v>0</v>
      </c>
      <c r="AD61" s="196">
        <v>0</v>
      </c>
      <c r="AF61" s="60" t="s">
        <v>14</v>
      </c>
    </row>
    <row r="62" spans="1:32" x14ac:dyDescent="0.25">
      <c r="A62" t="s">
        <v>38</v>
      </c>
      <c r="B62" s="195" t="s">
        <v>200</v>
      </c>
      <c r="C62" s="196">
        <v>-0.29147000000000001</v>
      </c>
      <c r="D62" s="196">
        <v>0.23815</v>
      </c>
      <c r="E62" s="199">
        <v>1.5450699999999999</v>
      </c>
      <c r="F62" s="197"/>
      <c r="G62" s="196">
        <v>10.475429999999999</v>
      </c>
      <c r="H62" s="196">
        <v>3.7863199999999999</v>
      </c>
      <c r="I62" s="196">
        <v>-0.61316999999999999</v>
      </c>
      <c r="J62" s="199">
        <v>0.37195</v>
      </c>
      <c r="K62" s="200"/>
      <c r="L62" s="196">
        <v>-2.9218899999999999</v>
      </c>
      <c r="M62" s="196">
        <v>-1.1521600000000001</v>
      </c>
      <c r="N62" s="196">
        <v>-1.21644</v>
      </c>
      <c r="O62" s="196">
        <v>-3.52461</v>
      </c>
      <c r="P62" s="198"/>
      <c r="Q62" s="196">
        <v>0</v>
      </c>
      <c r="R62" s="196">
        <v>0</v>
      </c>
      <c r="S62" s="196">
        <v>0</v>
      </c>
      <c r="T62" s="196">
        <v>0</v>
      </c>
      <c r="U62" s="198"/>
      <c r="V62" s="196">
        <v>0</v>
      </c>
      <c r="W62" s="196">
        <v>0</v>
      </c>
      <c r="X62" s="196">
        <v>0</v>
      </c>
      <c r="Y62" s="196">
        <v>0</v>
      </c>
      <c r="Z62" s="198"/>
      <c r="AA62" s="196">
        <v>0</v>
      </c>
      <c r="AB62" s="196">
        <v>0</v>
      </c>
      <c r="AC62" s="196">
        <v>0</v>
      </c>
      <c r="AD62" s="196">
        <v>0</v>
      </c>
      <c r="AF62" s="60" t="s">
        <v>38</v>
      </c>
    </row>
    <row r="63" spans="1:32" x14ac:dyDescent="0.25">
      <c r="A63" s="62" t="s">
        <v>119</v>
      </c>
      <c r="B63" s="201">
        <v>23.502073333333332</v>
      </c>
      <c r="C63" s="201">
        <v>-405.54133999999999</v>
      </c>
      <c r="D63" s="201">
        <v>-283.71611666666661</v>
      </c>
      <c r="E63" s="201">
        <v>146.61232333333336</v>
      </c>
      <c r="F63" s="197"/>
      <c r="G63" s="202">
        <v>-2467.1252511111111</v>
      </c>
      <c r="H63" s="202">
        <v>4323.9491333333326</v>
      </c>
      <c r="I63" s="202">
        <v>45.987967777777776</v>
      </c>
      <c r="J63" s="201">
        <v>20.958259999999996</v>
      </c>
      <c r="K63" s="212"/>
      <c r="L63" s="202">
        <v>-9.0700833333333346</v>
      </c>
      <c r="M63" s="202">
        <v>25.50626333333333</v>
      </c>
      <c r="N63" s="202">
        <v>26.277592222222218</v>
      </c>
      <c r="O63" s="202">
        <v>15.670011111111116</v>
      </c>
      <c r="P63" s="213"/>
      <c r="Q63" s="202">
        <v>0</v>
      </c>
      <c r="R63" s="202">
        <v>0</v>
      </c>
      <c r="S63" s="202">
        <v>0</v>
      </c>
      <c r="T63" s="202">
        <v>0</v>
      </c>
      <c r="U63" s="213"/>
      <c r="V63" s="202">
        <v>0</v>
      </c>
      <c r="W63" s="202">
        <v>0</v>
      </c>
      <c r="X63" s="202">
        <v>0</v>
      </c>
      <c r="Y63" s="202">
        <v>0</v>
      </c>
      <c r="Z63" s="213"/>
      <c r="AA63" s="202">
        <v>0</v>
      </c>
      <c r="AB63" s="202">
        <v>0</v>
      </c>
      <c r="AC63" s="202">
        <v>0</v>
      </c>
      <c r="AD63" s="202">
        <v>0</v>
      </c>
      <c r="AE63" s="203"/>
      <c r="AF63" s="71" t="s">
        <v>120</v>
      </c>
    </row>
    <row r="64" spans="1:32" ht="8.25" customHeight="1" x14ac:dyDescent="0.25">
      <c r="B64" s="197"/>
      <c r="C64" s="197"/>
      <c r="D64" s="197"/>
      <c r="E64" s="197"/>
      <c r="F64" s="197"/>
      <c r="G64" s="197"/>
      <c r="H64" s="196"/>
      <c r="I64" s="196"/>
      <c r="J64" s="199"/>
      <c r="K64" s="200"/>
      <c r="L64" s="196"/>
      <c r="M64" s="196"/>
      <c r="N64" s="196"/>
      <c r="O64" s="196"/>
      <c r="P64" s="198"/>
      <c r="Q64" s="196"/>
      <c r="R64" s="196"/>
      <c r="S64" s="196"/>
      <c r="T64" s="196"/>
      <c r="U64" s="198"/>
      <c r="V64" s="196"/>
      <c r="W64" s="196"/>
      <c r="X64" s="196"/>
      <c r="Y64" s="196"/>
      <c r="Z64" s="198"/>
      <c r="AA64" s="196"/>
      <c r="AB64" s="196"/>
      <c r="AC64" s="196"/>
      <c r="AD64" s="196"/>
    </row>
    <row r="65" spans="1:32" x14ac:dyDescent="0.25">
      <c r="A65" s="50" t="s">
        <v>132</v>
      </c>
      <c r="B65" s="204"/>
      <c r="C65" s="204"/>
      <c r="D65" s="204"/>
      <c r="E65" s="204"/>
      <c r="F65" s="197"/>
      <c r="G65" s="204"/>
      <c r="H65" s="205"/>
      <c r="I65" s="205"/>
      <c r="J65" s="205"/>
      <c r="K65" s="206"/>
      <c r="L65" s="205"/>
      <c r="M65" s="205"/>
      <c r="N65" s="205"/>
      <c r="O65" s="205"/>
      <c r="P65" s="206"/>
      <c r="Q65" s="205"/>
      <c r="R65" s="205"/>
      <c r="S65" s="205"/>
      <c r="T65" s="205"/>
      <c r="U65" s="206"/>
      <c r="V65" s="205"/>
      <c r="W65" s="205"/>
      <c r="X65" s="205"/>
      <c r="Y65" s="205"/>
      <c r="Z65" s="206"/>
      <c r="AA65" s="205"/>
      <c r="AB65" s="205"/>
      <c r="AC65" s="205"/>
      <c r="AD65" s="205"/>
      <c r="AE65" s="207"/>
      <c r="AF65" s="81"/>
    </row>
    <row r="66" spans="1:32" x14ac:dyDescent="0.25">
      <c r="A66" t="s">
        <v>42</v>
      </c>
      <c r="B66" s="195">
        <v>-4869</v>
      </c>
      <c r="C66" s="196">
        <v>-13187</v>
      </c>
      <c r="D66" s="196">
        <v>-16985</v>
      </c>
      <c r="E66" s="196">
        <v>-2425</v>
      </c>
      <c r="F66" s="197"/>
      <c r="G66" s="196">
        <v>-19595</v>
      </c>
      <c r="H66" s="196">
        <v>8460</v>
      </c>
      <c r="I66" s="196">
        <v>-12107</v>
      </c>
      <c r="J66" s="196">
        <v>-3000</v>
      </c>
      <c r="K66" s="198"/>
      <c r="L66" s="196">
        <v>2212</v>
      </c>
      <c r="M66" s="196">
        <v>6259</v>
      </c>
      <c r="N66" s="196">
        <v>-10683</v>
      </c>
      <c r="O66" s="196">
        <v>1166</v>
      </c>
      <c r="P66" s="198"/>
      <c r="Q66" s="196">
        <v>0</v>
      </c>
      <c r="R66" s="196">
        <v>0</v>
      </c>
      <c r="S66" s="196">
        <v>0</v>
      </c>
      <c r="T66" s="196">
        <v>0</v>
      </c>
      <c r="U66" s="198"/>
      <c r="V66" s="196">
        <v>0</v>
      </c>
      <c r="W66" s="196">
        <v>0</v>
      </c>
      <c r="X66" s="196">
        <v>0</v>
      </c>
      <c r="Y66" s="196">
        <v>0</v>
      </c>
      <c r="Z66" s="198"/>
      <c r="AA66" s="196">
        <v>0</v>
      </c>
      <c r="AB66" s="196">
        <v>0</v>
      </c>
      <c r="AC66" s="196">
        <v>0</v>
      </c>
      <c r="AD66" s="196">
        <v>0</v>
      </c>
      <c r="AF66" s="60" t="s">
        <v>42</v>
      </c>
    </row>
    <row r="67" spans="1:32" x14ac:dyDescent="0.25">
      <c r="A67" t="s">
        <v>18</v>
      </c>
      <c r="B67" s="196">
        <v>-2620.4850000000001</v>
      </c>
      <c r="C67" s="196">
        <v>2239.0610000000001</v>
      </c>
      <c r="D67" s="196">
        <v>-13421.407999999999</v>
      </c>
      <c r="E67" s="196">
        <v>255.63800000000001</v>
      </c>
      <c r="F67" s="197"/>
      <c r="G67" s="196">
        <v>-9830.1569999999992</v>
      </c>
      <c r="H67" s="196">
        <v>3135.8719999999998</v>
      </c>
      <c r="I67" s="196">
        <v>1625.759</v>
      </c>
      <c r="J67" s="196">
        <v>-2369.473</v>
      </c>
      <c r="K67" s="198"/>
      <c r="L67" s="196">
        <v>11630.066000000001</v>
      </c>
      <c r="M67" s="196">
        <v>1335.549</v>
      </c>
      <c r="N67" s="196">
        <v>901.93499999999995</v>
      </c>
      <c r="O67" s="196">
        <v>355.61700000000002</v>
      </c>
      <c r="P67" s="198"/>
      <c r="Q67" s="196">
        <v>0</v>
      </c>
      <c r="R67" s="196">
        <v>0</v>
      </c>
      <c r="S67" s="196">
        <v>0</v>
      </c>
      <c r="T67" s="196">
        <v>0</v>
      </c>
      <c r="U67" s="198"/>
      <c r="V67" s="196">
        <v>0</v>
      </c>
      <c r="W67" s="196">
        <v>0</v>
      </c>
      <c r="X67" s="196">
        <v>0</v>
      </c>
      <c r="Y67" s="196">
        <v>0</v>
      </c>
      <c r="Z67" s="198"/>
      <c r="AA67" s="196">
        <v>0</v>
      </c>
      <c r="AB67" s="196">
        <v>0</v>
      </c>
      <c r="AC67" s="196">
        <v>0</v>
      </c>
      <c r="AD67" s="196">
        <v>0</v>
      </c>
      <c r="AF67" s="60" t="s">
        <v>18</v>
      </c>
    </row>
    <row r="68" spans="1:32" x14ac:dyDescent="0.25">
      <c r="A68" t="s">
        <v>59</v>
      </c>
      <c r="B68" s="196">
        <v>-1897</v>
      </c>
      <c r="C68" s="196">
        <v>-19488</v>
      </c>
      <c r="D68" s="196">
        <v>-12125</v>
      </c>
      <c r="E68" s="199">
        <v>-2005</v>
      </c>
      <c r="F68" s="197"/>
      <c r="G68" s="196">
        <v>-4360</v>
      </c>
      <c r="H68" s="196">
        <v>503</v>
      </c>
      <c r="I68" s="196">
        <v>-18842</v>
      </c>
      <c r="J68" s="199">
        <v>-1900</v>
      </c>
      <c r="K68" s="200"/>
      <c r="L68" s="196">
        <v>5024</v>
      </c>
      <c r="M68" s="196">
        <v>-961</v>
      </c>
      <c r="N68" s="196">
        <v>-8645</v>
      </c>
      <c r="O68" s="196">
        <v>1262</v>
      </c>
      <c r="P68" s="198"/>
      <c r="Q68" s="196">
        <v>0</v>
      </c>
      <c r="R68" s="196">
        <v>0</v>
      </c>
      <c r="S68" s="196">
        <v>0</v>
      </c>
      <c r="T68" s="196">
        <v>0</v>
      </c>
      <c r="U68" s="198"/>
      <c r="V68" s="196">
        <v>0</v>
      </c>
      <c r="W68" s="196">
        <v>0</v>
      </c>
      <c r="X68" s="196">
        <v>0</v>
      </c>
      <c r="Y68" s="196">
        <v>0</v>
      </c>
      <c r="Z68" s="198"/>
      <c r="AA68" s="196">
        <v>0</v>
      </c>
      <c r="AB68" s="196">
        <v>0</v>
      </c>
      <c r="AC68" s="196">
        <v>0</v>
      </c>
      <c r="AD68" s="196">
        <v>0</v>
      </c>
      <c r="AF68" s="60" t="s">
        <v>59</v>
      </c>
    </row>
    <row r="69" spans="1:32" x14ac:dyDescent="0.25">
      <c r="A69" t="s">
        <v>55</v>
      </c>
      <c r="B69" s="195" t="s">
        <v>200</v>
      </c>
      <c r="C69" s="196">
        <v>1740.31</v>
      </c>
      <c r="D69" s="196">
        <v>-1199.1099999999999</v>
      </c>
      <c r="E69" s="199">
        <v>475.04399999999998</v>
      </c>
      <c r="F69" s="197"/>
      <c r="G69" s="196">
        <v>-2619.52</v>
      </c>
      <c r="H69" s="196">
        <v>3404.0259999999998</v>
      </c>
      <c r="I69" s="196">
        <v>2048.6689999999999</v>
      </c>
      <c r="J69" s="199">
        <v>60.079000000000001</v>
      </c>
      <c r="K69" s="200"/>
      <c r="L69" s="196">
        <v>1221.126</v>
      </c>
      <c r="M69" s="196">
        <v>310.11900000000003</v>
      </c>
      <c r="N69" s="196">
        <v>267.52199999999999</v>
      </c>
      <c r="O69" s="196">
        <v>860.48599999999999</v>
      </c>
      <c r="P69" s="198"/>
      <c r="Q69" s="196">
        <v>0</v>
      </c>
      <c r="R69" s="196">
        <v>0</v>
      </c>
      <c r="S69" s="196">
        <v>0</v>
      </c>
      <c r="T69" s="196">
        <v>0</v>
      </c>
      <c r="U69" s="198"/>
      <c r="V69" s="196">
        <v>0</v>
      </c>
      <c r="W69" s="196">
        <v>0</v>
      </c>
      <c r="X69" s="196">
        <v>0</v>
      </c>
      <c r="Y69" s="196">
        <v>0</v>
      </c>
      <c r="Z69" s="198"/>
      <c r="AA69" s="196">
        <v>0</v>
      </c>
      <c r="AB69" s="196">
        <v>0</v>
      </c>
      <c r="AC69" s="196">
        <v>0</v>
      </c>
      <c r="AD69" s="196">
        <v>0</v>
      </c>
      <c r="AF69" s="60" t="s">
        <v>55</v>
      </c>
    </row>
    <row r="70" spans="1:32" x14ac:dyDescent="0.25">
      <c r="A70" s="62" t="s">
        <v>119</v>
      </c>
      <c r="B70" s="201">
        <v>-3128.8283333333334</v>
      </c>
      <c r="C70" s="201">
        <v>-7173.9072499999993</v>
      </c>
      <c r="D70" s="201">
        <v>-10932.629499999999</v>
      </c>
      <c r="E70" s="201">
        <v>-924.82950000000005</v>
      </c>
      <c r="F70" s="197"/>
      <c r="G70" s="202">
        <v>-9101.169249999999</v>
      </c>
      <c r="H70" s="202">
        <v>3875.7244999999998</v>
      </c>
      <c r="I70" s="202">
        <v>-6818.643</v>
      </c>
      <c r="J70" s="201">
        <v>-1802.3485000000001</v>
      </c>
      <c r="K70" s="201"/>
      <c r="L70" s="202">
        <v>5021.7979999999998</v>
      </c>
      <c r="M70" s="202">
        <v>1735.9169999999999</v>
      </c>
      <c r="N70" s="202">
        <v>-4539.6357500000004</v>
      </c>
      <c r="O70" s="202">
        <v>911.02575000000002</v>
      </c>
      <c r="P70" s="202"/>
      <c r="Q70" s="202">
        <v>0</v>
      </c>
      <c r="R70" s="202">
        <v>0</v>
      </c>
      <c r="S70" s="202">
        <v>0</v>
      </c>
      <c r="T70" s="202">
        <v>0</v>
      </c>
      <c r="U70" s="202"/>
      <c r="V70" s="202">
        <v>0</v>
      </c>
      <c r="W70" s="202">
        <v>0</v>
      </c>
      <c r="X70" s="202">
        <v>0</v>
      </c>
      <c r="Y70" s="202">
        <v>0</v>
      </c>
      <c r="Z70" s="202"/>
      <c r="AA70" s="202">
        <v>0</v>
      </c>
      <c r="AB70" s="202">
        <v>0</v>
      </c>
      <c r="AC70" s="202">
        <v>0</v>
      </c>
      <c r="AD70" s="202">
        <v>0</v>
      </c>
      <c r="AE70" s="203"/>
      <c r="AF70" s="71" t="s">
        <v>120</v>
      </c>
    </row>
    <row r="71" spans="1:32" ht="8.25" customHeight="1" x14ac:dyDescent="0.25">
      <c r="B71" s="197"/>
      <c r="C71" s="197"/>
      <c r="D71" s="197"/>
      <c r="E71" s="197"/>
      <c r="F71" s="197"/>
      <c r="G71" s="197"/>
      <c r="H71" s="196"/>
      <c r="I71" s="196"/>
      <c r="J71" s="199"/>
      <c r="K71" s="200"/>
      <c r="L71" s="196"/>
      <c r="M71" s="196"/>
      <c r="N71" s="196"/>
      <c r="O71" s="196"/>
      <c r="P71" s="198"/>
      <c r="Q71" s="196"/>
      <c r="R71" s="196"/>
      <c r="S71" s="196"/>
      <c r="T71" s="196"/>
      <c r="U71" s="198"/>
      <c r="V71" s="196"/>
      <c r="W71" s="196"/>
      <c r="X71" s="196"/>
      <c r="Y71" s="196"/>
      <c r="Z71" s="198"/>
      <c r="AA71" s="196"/>
      <c r="AB71" s="196"/>
      <c r="AC71" s="196"/>
      <c r="AD71" s="196"/>
    </row>
    <row r="72" spans="1:32" x14ac:dyDescent="0.25">
      <c r="A72" s="50" t="s">
        <v>133</v>
      </c>
      <c r="B72" s="204"/>
      <c r="C72" s="204"/>
      <c r="D72" s="204"/>
      <c r="E72" s="204"/>
      <c r="F72" s="197"/>
      <c r="G72" s="204"/>
      <c r="H72" s="205"/>
      <c r="I72" s="205"/>
      <c r="J72" s="205"/>
      <c r="K72" s="206"/>
      <c r="L72" s="205"/>
      <c r="M72" s="205"/>
      <c r="N72" s="205"/>
      <c r="O72" s="205"/>
      <c r="P72" s="206"/>
      <c r="Q72" s="205"/>
      <c r="R72" s="205"/>
      <c r="S72" s="205"/>
      <c r="T72" s="205"/>
      <c r="U72" s="206"/>
      <c r="V72" s="205"/>
      <c r="W72" s="205"/>
      <c r="X72" s="205"/>
      <c r="Y72" s="205"/>
      <c r="Z72" s="206"/>
      <c r="AA72" s="205"/>
      <c r="AB72" s="205"/>
      <c r="AC72" s="205"/>
      <c r="AD72" s="205"/>
      <c r="AE72" s="207"/>
      <c r="AF72" s="81"/>
    </row>
    <row r="73" spans="1:32" x14ac:dyDescent="0.25">
      <c r="A73" t="s">
        <v>33</v>
      </c>
      <c r="B73" s="195">
        <v>3952.0430000000001</v>
      </c>
      <c r="C73" s="196">
        <v>2418.0100000000002</v>
      </c>
      <c r="D73" s="196">
        <v>3028.5369999999998</v>
      </c>
      <c r="E73" s="196">
        <v>1173.402</v>
      </c>
      <c r="F73" s="197"/>
      <c r="G73" s="196">
        <v>13272.089</v>
      </c>
      <c r="H73" s="196">
        <v>3034.56</v>
      </c>
      <c r="I73" s="196">
        <v>-718.53899999999999</v>
      </c>
      <c r="J73" s="196">
        <v>3518.8380000000002</v>
      </c>
      <c r="K73" s="198"/>
      <c r="L73" s="196">
        <v>4045.154</v>
      </c>
      <c r="M73" s="196">
        <v>1609.1369999999999</v>
      </c>
      <c r="N73" s="196">
        <v>1255.1110000000001</v>
      </c>
      <c r="O73" s="196">
        <v>1857.4259999999999</v>
      </c>
      <c r="P73" s="198"/>
      <c r="Q73" s="196">
        <v>0</v>
      </c>
      <c r="R73" s="196">
        <v>0</v>
      </c>
      <c r="S73" s="196">
        <v>0</v>
      </c>
      <c r="T73" s="196">
        <v>0</v>
      </c>
      <c r="U73" s="198"/>
      <c r="V73" s="196">
        <v>0</v>
      </c>
      <c r="W73" s="196">
        <v>0</v>
      </c>
      <c r="X73" s="196">
        <v>0</v>
      </c>
      <c r="Y73" s="196">
        <v>0</v>
      </c>
      <c r="Z73" s="198"/>
      <c r="AA73" s="196">
        <v>0</v>
      </c>
      <c r="AB73" s="196">
        <v>0</v>
      </c>
      <c r="AC73" s="196">
        <v>0</v>
      </c>
      <c r="AD73" s="196">
        <v>0</v>
      </c>
      <c r="AF73" s="60" t="s">
        <v>33</v>
      </c>
    </row>
    <row r="74" spans="1:32" x14ac:dyDescent="0.25">
      <c r="A74" t="s">
        <v>61</v>
      </c>
      <c r="B74" s="195" t="s">
        <v>200</v>
      </c>
      <c r="C74" s="196">
        <v>49.814</v>
      </c>
      <c r="D74" s="196">
        <v>1065.085</v>
      </c>
      <c r="E74" s="196">
        <v>1110.268</v>
      </c>
      <c r="F74" s="197"/>
      <c r="G74" s="196">
        <v>993.51324</v>
      </c>
      <c r="H74" s="196">
        <v>-182.36699999999999</v>
      </c>
      <c r="I74" s="196">
        <v>170.321</v>
      </c>
      <c r="J74" s="196">
        <v>734.64300000000003</v>
      </c>
      <c r="K74" s="198"/>
      <c r="L74" s="196">
        <v>2584.1805899999999</v>
      </c>
      <c r="M74" s="196">
        <v>295.33672999999999</v>
      </c>
      <c r="N74" s="196">
        <v>276.13099999999997</v>
      </c>
      <c r="O74" s="196">
        <v>354.13085000000001</v>
      </c>
      <c r="P74" s="198"/>
      <c r="Q74" s="196">
        <v>0</v>
      </c>
      <c r="R74" s="196">
        <v>0</v>
      </c>
      <c r="S74" s="196">
        <v>0</v>
      </c>
      <c r="T74" s="196">
        <v>0</v>
      </c>
      <c r="U74" s="198"/>
      <c r="V74" s="196">
        <v>0</v>
      </c>
      <c r="W74" s="196">
        <v>0</v>
      </c>
      <c r="X74" s="196">
        <v>0</v>
      </c>
      <c r="Y74" s="196">
        <v>0</v>
      </c>
      <c r="Z74" s="198"/>
      <c r="AA74" s="196">
        <v>0</v>
      </c>
      <c r="AB74" s="196">
        <v>0</v>
      </c>
      <c r="AC74" s="196">
        <v>0</v>
      </c>
      <c r="AD74" s="196">
        <v>0</v>
      </c>
      <c r="AF74" s="60" t="s">
        <v>61</v>
      </c>
    </row>
    <row r="75" spans="1:32" x14ac:dyDescent="0.25">
      <c r="A75" t="s">
        <v>66</v>
      </c>
      <c r="B75" s="195">
        <v>1837.83017</v>
      </c>
      <c r="C75" s="196">
        <v>-3435.2957099999999</v>
      </c>
      <c r="D75" s="196">
        <v>1683.3471099999999</v>
      </c>
      <c r="E75" s="199">
        <v>1918.68219</v>
      </c>
      <c r="F75" s="197"/>
      <c r="G75" s="196">
        <v>2541.03757</v>
      </c>
      <c r="H75" s="196">
        <v>1770.31565</v>
      </c>
      <c r="I75" s="196">
        <v>447.72035</v>
      </c>
      <c r="J75" s="199">
        <v>1214.0632900000001</v>
      </c>
      <c r="K75" s="200"/>
      <c r="L75" s="196">
        <v>409.63450999999998</v>
      </c>
      <c r="M75" s="196">
        <v>406.53073999999998</v>
      </c>
      <c r="N75" s="196">
        <v>573.65854999999999</v>
      </c>
      <c r="O75" s="196">
        <v>535.10389999999995</v>
      </c>
      <c r="P75" s="198"/>
      <c r="Q75" s="196">
        <v>0</v>
      </c>
      <c r="R75" s="196">
        <v>0</v>
      </c>
      <c r="S75" s="196">
        <v>0</v>
      </c>
      <c r="T75" s="196">
        <v>0</v>
      </c>
      <c r="U75" s="198"/>
      <c r="V75" s="196">
        <v>0</v>
      </c>
      <c r="W75" s="196">
        <v>0</v>
      </c>
      <c r="X75" s="196">
        <v>0</v>
      </c>
      <c r="Y75" s="196">
        <v>0</v>
      </c>
      <c r="Z75" s="198"/>
      <c r="AA75" s="196">
        <v>0</v>
      </c>
      <c r="AB75" s="196">
        <v>0</v>
      </c>
      <c r="AC75" s="196">
        <v>0</v>
      </c>
      <c r="AD75" s="196">
        <v>0</v>
      </c>
      <c r="AF75" s="60" t="s">
        <v>66</v>
      </c>
    </row>
    <row r="76" spans="1:32" x14ac:dyDescent="0.25">
      <c r="A76" t="s">
        <v>58</v>
      </c>
      <c r="B76" s="195" t="s">
        <v>200</v>
      </c>
      <c r="C76" s="196">
        <v>342.44630000000001</v>
      </c>
      <c r="D76" s="196">
        <v>238.1148</v>
      </c>
      <c r="E76" s="199">
        <v>989.59702000000004</v>
      </c>
      <c r="F76" s="197"/>
      <c r="G76" s="196">
        <v>636.88824</v>
      </c>
      <c r="H76" s="196">
        <v>447.05318999999997</v>
      </c>
      <c r="I76" s="196">
        <v>576.82254999999998</v>
      </c>
      <c r="J76" s="199">
        <v>356.63288</v>
      </c>
      <c r="K76" s="200"/>
      <c r="L76" s="196">
        <v>1215.8760299999999</v>
      </c>
      <c r="M76" s="196">
        <v>331.26825000000002</v>
      </c>
      <c r="N76" s="196">
        <v>194.64167</v>
      </c>
      <c r="O76" s="196">
        <v>200.70214000000001</v>
      </c>
      <c r="P76" s="198"/>
      <c r="Q76" s="196">
        <v>0</v>
      </c>
      <c r="R76" s="196">
        <v>0</v>
      </c>
      <c r="S76" s="196">
        <v>0</v>
      </c>
      <c r="T76" s="196">
        <v>0</v>
      </c>
      <c r="U76" s="198"/>
      <c r="V76" s="196">
        <v>0</v>
      </c>
      <c r="W76" s="196">
        <v>0</v>
      </c>
      <c r="X76" s="196">
        <v>0</v>
      </c>
      <c r="Y76" s="196">
        <v>0</v>
      </c>
      <c r="Z76" s="198"/>
      <c r="AA76" s="196">
        <v>0</v>
      </c>
      <c r="AB76" s="196">
        <v>0</v>
      </c>
      <c r="AC76" s="196">
        <v>0</v>
      </c>
      <c r="AD76" s="196">
        <v>0</v>
      </c>
      <c r="AF76" s="60" t="s">
        <v>58</v>
      </c>
    </row>
    <row r="77" spans="1:32" x14ac:dyDescent="0.25">
      <c r="A77" t="s">
        <v>19</v>
      </c>
      <c r="B77" s="195" t="s">
        <v>200</v>
      </c>
      <c r="C77" s="196">
        <v>-78.307460000000006</v>
      </c>
      <c r="D77" s="196">
        <v>-47.500999999999998</v>
      </c>
      <c r="E77" s="199">
        <v>25.31156</v>
      </c>
      <c r="F77" s="197"/>
      <c r="G77" s="196">
        <v>7.9751300000000001</v>
      </c>
      <c r="H77" s="196">
        <v>-74.421000000000006</v>
      </c>
      <c r="I77" s="196">
        <v>100.754</v>
      </c>
      <c r="J77" s="199">
        <v>56.693510000000003</v>
      </c>
      <c r="K77" s="200"/>
      <c r="L77" s="196">
        <v>19.825050000000001</v>
      </c>
      <c r="M77" s="196">
        <v>29.99222</v>
      </c>
      <c r="N77" s="196">
        <v>11.328569999999999</v>
      </c>
      <c r="O77" s="196">
        <v>9.9432100000000005</v>
      </c>
      <c r="P77" s="198"/>
      <c r="Q77" s="196">
        <v>0</v>
      </c>
      <c r="R77" s="196">
        <v>0</v>
      </c>
      <c r="S77" s="196">
        <v>0</v>
      </c>
      <c r="T77" s="196">
        <v>0</v>
      </c>
      <c r="U77" s="198"/>
      <c r="V77" s="196">
        <v>0</v>
      </c>
      <c r="W77" s="196">
        <v>0</v>
      </c>
      <c r="X77" s="196">
        <v>0</v>
      </c>
      <c r="Y77" s="196">
        <v>0</v>
      </c>
      <c r="Z77" s="198"/>
      <c r="AA77" s="196">
        <v>0</v>
      </c>
      <c r="AB77" s="196">
        <v>0</v>
      </c>
      <c r="AC77" s="196">
        <v>0</v>
      </c>
      <c r="AD77" s="196">
        <v>0</v>
      </c>
      <c r="AF77" s="60" t="s">
        <v>19</v>
      </c>
    </row>
    <row r="78" spans="1:32" x14ac:dyDescent="0.25">
      <c r="A78" t="s">
        <v>28</v>
      </c>
      <c r="B78" s="195">
        <v>605.10299999999995</v>
      </c>
      <c r="C78" s="196">
        <v>-1607.6679999999999</v>
      </c>
      <c r="D78" s="196">
        <v>-766.20600000000002</v>
      </c>
      <c r="E78" s="199">
        <v>762.85599999999999</v>
      </c>
      <c r="F78" s="197"/>
      <c r="G78" s="196">
        <v>870.39599999999996</v>
      </c>
      <c r="H78" s="196">
        <v>-1687.9369999999999</v>
      </c>
      <c r="I78" s="196">
        <v>-657.52300000000002</v>
      </c>
      <c r="J78" s="199">
        <v>-369.35199999999998</v>
      </c>
      <c r="K78" s="200"/>
      <c r="L78" s="196">
        <v>-49.487000000000002</v>
      </c>
      <c r="M78" s="196">
        <v>-115.904</v>
      </c>
      <c r="N78" s="196">
        <v>-834.52700000000004</v>
      </c>
      <c r="O78" s="196">
        <v>-81.245000000000005</v>
      </c>
      <c r="P78" s="198"/>
      <c r="Q78" s="196">
        <v>0</v>
      </c>
      <c r="R78" s="196">
        <v>0</v>
      </c>
      <c r="S78" s="196">
        <v>0</v>
      </c>
      <c r="T78" s="196">
        <v>0</v>
      </c>
      <c r="U78" s="198"/>
      <c r="V78" s="196">
        <v>0</v>
      </c>
      <c r="W78" s="196">
        <v>0</v>
      </c>
      <c r="X78" s="196">
        <v>0</v>
      </c>
      <c r="Y78" s="196">
        <v>0</v>
      </c>
      <c r="Z78" s="198"/>
      <c r="AA78" s="196">
        <v>0</v>
      </c>
      <c r="AB78" s="196">
        <v>0</v>
      </c>
      <c r="AC78" s="196">
        <v>0</v>
      </c>
      <c r="AD78" s="196">
        <v>0</v>
      </c>
      <c r="AF78" s="60" t="s">
        <v>28</v>
      </c>
    </row>
    <row r="79" spans="1:32" hidden="1" x14ac:dyDescent="0.25">
      <c r="A79" t="s">
        <v>10</v>
      </c>
      <c r="B79" s="195" t="s">
        <v>200</v>
      </c>
      <c r="C79" s="198" t="s">
        <v>200</v>
      </c>
      <c r="D79" s="198" t="s">
        <v>200</v>
      </c>
      <c r="E79" s="199" t="s">
        <v>200</v>
      </c>
      <c r="F79" s="197"/>
      <c r="G79" s="196" t="s">
        <v>200</v>
      </c>
      <c r="H79" s="198" t="s">
        <v>200</v>
      </c>
      <c r="I79" s="198" t="s">
        <v>200</v>
      </c>
      <c r="J79" s="199" t="s">
        <v>200</v>
      </c>
      <c r="K79" s="200"/>
      <c r="L79" s="196" t="s">
        <v>200</v>
      </c>
      <c r="M79" s="196" t="s">
        <v>200</v>
      </c>
      <c r="N79" s="196" t="s">
        <v>200</v>
      </c>
      <c r="O79" s="196" t="s">
        <v>200</v>
      </c>
      <c r="P79" s="198"/>
      <c r="Q79" s="196" t="s">
        <v>200</v>
      </c>
      <c r="R79" s="196" t="s">
        <v>200</v>
      </c>
      <c r="S79" s="196" t="s">
        <v>200</v>
      </c>
      <c r="T79" s="196" t="s">
        <v>200</v>
      </c>
      <c r="U79" s="198"/>
      <c r="V79" s="196" t="s">
        <v>200</v>
      </c>
      <c r="W79" s="196" t="s">
        <v>200</v>
      </c>
      <c r="X79" s="196" t="s">
        <v>200</v>
      </c>
      <c r="Y79" s="196" t="s">
        <v>200</v>
      </c>
      <c r="Z79" s="198"/>
      <c r="AA79" s="196" t="s">
        <v>200</v>
      </c>
      <c r="AB79" s="196" t="s">
        <v>200</v>
      </c>
      <c r="AC79" s="196" t="s">
        <v>200</v>
      </c>
      <c r="AD79" s="196" t="s">
        <v>200</v>
      </c>
      <c r="AF79" s="60" t="s">
        <v>10</v>
      </c>
    </row>
    <row r="80" spans="1:32" x14ac:dyDescent="0.25">
      <c r="A80" t="s">
        <v>15</v>
      </c>
      <c r="B80" s="195">
        <v>-1.2780100000000001</v>
      </c>
      <c r="C80" s="196">
        <v>-34.316519999999997</v>
      </c>
      <c r="D80" s="196">
        <v>-20.590340000000001</v>
      </c>
      <c r="E80" s="199">
        <v>-1.022</v>
      </c>
      <c r="F80" s="197"/>
      <c r="G80" s="196">
        <v>-55.718130000000002</v>
      </c>
      <c r="H80" s="196">
        <v>-36.852530000000002</v>
      </c>
      <c r="I80" s="196">
        <v>-34.26014</v>
      </c>
      <c r="J80" s="199">
        <v>-16.21827</v>
      </c>
      <c r="K80" s="200"/>
      <c r="L80" s="196">
        <v>10.01291</v>
      </c>
      <c r="M80" s="196">
        <v>-7.6809000000000003</v>
      </c>
      <c r="N80" s="196">
        <v>-11.005000000000001</v>
      </c>
      <c r="O80" s="196">
        <v>9.9198000000000004</v>
      </c>
      <c r="P80" s="198"/>
      <c r="Q80" s="196">
        <v>0</v>
      </c>
      <c r="R80" s="196">
        <v>0</v>
      </c>
      <c r="S80" s="196">
        <v>0</v>
      </c>
      <c r="T80" s="196">
        <v>0</v>
      </c>
      <c r="U80" s="198"/>
      <c r="V80" s="196">
        <v>0</v>
      </c>
      <c r="W80" s="196">
        <v>0</v>
      </c>
      <c r="X80" s="196">
        <v>0</v>
      </c>
      <c r="Y80" s="196">
        <v>0</v>
      </c>
      <c r="Z80" s="198"/>
      <c r="AA80" s="196">
        <v>0</v>
      </c>
      <c r="AB80" s="196">
        <v>0</v>
      </c>
      <c r="AC80" s="196">
        <v>0</v>
      </c>
      <c r="AD80" s="196">
        <v>0</v>
      </c>
      <c r="AF80" s="60" t="s">
        <v>15</v>
      </c>
    </row>
    <row r="81" spans="1:32" x14ac:dyDescent="0.25">
      <c r="A81" t="s">
        <v>9</v>
      </c>
      <c r="B81" s="195" t="s">
        <v>200</v>
      </c>
      <c r="C81" s="196" t="s">
        <v>200</v>
      </c>
      <c r="D81" s="196" t="s">
        <v>200</v>
      </c>
      <c r="E81" s="199">
        <v>-30.273</v>
      </c>
      <c r="F81" s="197"/>
      <c r="G81" s="196">
        <v>20.010000000000002</v>
      </c>
      <c r="H81" s="196">
        <v>5.4560000000000004</v>
      </c>
      <c r="I81" s="196">
        <v>-9.5640000000000001</v>
      </c>
      <c r="J81" s="199">
        <v>-11.449</v>
      </c>
      <c r="K81" s="200"/>
      <c r="L81" s="196">
        <v>-2.6579999999999999</v>
      </c>
      <c r="M81" s="196">
        <v>-51.651000000000003</v>
      </c>
      <c r="N81" s="196">
        <v>-21.317</v>
      </c>
      <c r="O81" s="196">
        <v>-17.53</v>
      </c>
      <c r="P81" s="198"/>
      <c r="Q81" s="196">
        <v>0</v>
      </c>
      <c r="R81" s="196">
        <v>0</v>
      </c>
      <c r="S81" s="196">
        <v>0</v>
      </c>
      <c r="T81" s="196">
        <v>0</v>
      </c>
      <c r="U81" s="198"/>
      <c r="V81" s="196">
        <v>0</v>
      </c>
      <c r="W81" s="196">
        <v>0</v>
      </c>
      <c r="X81" s="196">
        <v>0</v>
      </c>
      <c r="Y81" s="196">
        <v>0</v>
      </c>
      <c r="Z81" s="198"/>
      <c r="AA81" s="196">
        <v>0</v>
      </c>
      <c r="AB81" s="196">
        <v>0</v>
      </c>
      <c r="AC81" s="196">
        <v>0</v>
      </c>
      <c r="AD81" s="196">
        <v>0</v>
      </c>
      <c r="AF81" s="60" t="s">
        <v>9</v>
      </c>
    </row>
    <row r="82" spans="1:32" x14ac:dyDescent="0.25">
      <c r="A82" s="62" t="s">
        <v>119</v>
      </c>
      <c r="B82" s="201">
        <v>1598.42454</v>
      </c>
      <c r="C82" s="201">
        <v>-335.04534142857136</v>
      </c>
      <c r="D82" s="201">
        <v>740.11236714285712</v>
      </c>
      <c r="E82" s="201">
        <v>743.60272124999995</v>
      </c>
      <c r="F82" s="197"/>
      <c r="G82" s="202">
        <v>2285.7738812499997</v>
      </c>
      <c r="H82" s="202">
        <v>409.4759137499999</v>
      </c>
      <c r="I82" s="202">
        <v>-15.533530000000006</v>
      </c>
      <c r="J82" s="201">
        <v>685.48142625000003</v>
      </c>
      <c r="K82" s="201"/>
      <c r="L82" s="202">
        <v>1029.06726125</v>
      </c>
      <c r="M82" s="202">
        <v>312.12863000000004</v>
      </c>
      <c r="N82" s="202">
        <v>180.50272375000003</v>
      </c>
      <c r="O82" s="202">
        <v>358.55636249999998</v>
      </c>
      <c r="P82" s="202"/>
      <c r="Q82" s="202">
        <v>0</v>
      </c>
      <c r="R82" s="202">
        <v>0</v>
      </c>
      <c r="S82" s="202">
        <v>0</v>
      </c>
      <c r="T82" s="202">
        <v>0</v>
      </c>
      <c r="U82" s="202"/>
      <c r="V82" s="202">
        <v>0</v>
      </c>
      <c r="W82" s="202">
        <v>0</v>
      </c>
      <c r="X82" s="202">
        <v>0</v>
      </c>
      <c r="Y82" s="202">
        <v>0</v>
      </c>
      <c r="Z82" s="202"/>
      <c r="AA82" s="202">
        <v>0</v>
      </c>
      <c r="AB82" s="202">
        <v>0</v>
      </c>
      <c r="AC82" s="202">
        <v>0</v>
      </c>
      <c r="AD82" s="202">
        <v>0</v>
      </c>
      <c r="AE82" s="203"/>
      <c r="AF82" s="71" t="s">
        <v>120</v>
      </c>
    </row>
    <row r="83" spans="1:32" ht="26.25" customHeight="1" x14ac:dyDescent="0.25">
      <c r="A83" s="90"/>
      <c r="B83" s="217"/>
      <c r="C83" s="217"/>
      <c r="D83" s="217"/>
      <c r="E83" s="217"/>
      <c r="F83" s="197"/>
      <c r="G83" s="217"/>
      <c r="H83" s="218"/>
      <c r="I83" s="218"/>
      <c r="J83" s="219"/>
      <c r="K83" s="220"/>
      <c r="L83" s="218"/>
      <c r="M83" s="218"/>
      <c r="N83" s="218"/>
      <c r="O83" s="218"/>
      <c r="P83" s="221"/>
      <c r="Q83" s="218"/>
      <c r="R83" s="218"/>
      <c r="S83" s="218"/>
      <c r="T83" s="218"/>
      <c r="U83" s="221"/>
      <c r="V83" s="218"/>
      <c r="W83" s="218"/>
      <c r="X83" s="218"/>
      <c r="Y83" s="218"/>
      <c r="Z83" s="221"/>
      <c r="AA83" s="218"/>
      <c r="AB83" s="218"/>
      <c r="AC83" s="218"/>
      <c r="AD83" s="218"/>
      <c r="AE83" s="222"/>
      <c r="AF83" s="96"/>
    </row>
    <row r="84" spans="1:32" x14ac:dyDescent="0.25">
      <c r="A84" s="177" t="s">
        <v>3</v>
      </c>
      <c r="B84" s="178">
        <v>2019</v>
      </c>
      <c r="C84" s="178"/>
      <c r="D84" s="178"/>
      <c r="E84" s="178"/>
      <c r="G84" s="178">
        <v>2018</v>
      </c>
      <c r="H84" s="178"/>
      <c r="I84" s="178"/>
      <c r="J84" s="178"/>
      <c r="K84" s="179"/>
      <c r="L84" s="178">
        <v>2017</v>
      </c>
      <c r="M84" s="178"/>
      <c r="N84" s="178"/>
      <c r="O84" s="178"/>
      <c r="P84" s="179"/>
      <c r="Q84" s="178">
        <v>2016</v>
      </c>
      <c r="R84" s="178"/>
      <c r="S84" s="178"/>
      <c r="T84" s="178"/>
      <c r="U84" s="179"/>
      <c r="V84" s="178">
        <v>2015</v>
      </c>
      <c r="W84" s="178"/>
      <c r="X84" s="178"/>
      <c r="Y84" s="178"/>
      <c r="Z84" s="179"/>
      <c r="AA84" s="178">
        <v>2014</v>
      </c>
      <c r="AB84" s="178"/>
      <c r="AC84" s="178"/>
      <c r="AD84" s="178"/>
      <c r="AE84" s="179"/>
      <c r="AF84" s="180" t="s">
        <v>3</v>
      </c>
    </row>
    <row r="85" spans="1:32" x14ac:dyDescent="0.25">
      <c r="A85" s="181"/>
      <c r="B85" s="214" t="s">
        <v>193</v>
      </c>
      <c r="C85" s="214" t="s">
        <v>194</v>
      </c>
      <c r="D85" s="214" t="s">
        <v>195</v>
      </c>
      <c r="E85" s="214" t="s">
        <v>196</v>
      </c>
      <c r="F85" s="197"/>
      <c r="G85" s="214" t="s">
        <v>193</v>
      </c>
      <c r="H85" s="214" t="s">
        <v>194</v>
      </c>
      <c r="I85" s="214" t="s">
        <v>195</v>
      </c>
      <c r="J85" s="214" t="s">
        <v>196</v>
      </c>
      <c r="K85" s="215"/>
      <c r="L85" s="214" t="s">
        <v>193</v>
      </c>
      <c r="M85" s="214" t="s">
        <v>194</v>
      </c>
      <c r="N85" s="214" t="s">
        <v>195</v>
      </c>
      <c r="O85" s="214" t="s">
        <v>196</v>
      </c>
      <c r="P85" s="184"/>
      <c r="Q85" s="182" t="s">
        <v>197</v>
      </c>
      <c r="R85" s="182" t="s">
        <v>194</v>
      </c>
      <c r="S85" s="182" t="s">
        <v>195</v>
      </c>
      <c r="T85" s="182" t="s">
        <v>198</v>
      </c>
      <c r="U85" s="184"/>
      <c r="V85" s="182" t="s">
        <v>193</v>
      </c>
      <c r="W85" s="182" t="s">
        <v>194</v>
      </c>
      <c r="X85" s="182" t="s">
        <v>195</v>
      </c>
      <c r="Y85" s="182" t="s">
        <v>196</v>
      </c>
      <c r="Z85" s="184"/>
      <c r="AA85" s="182" t="s">
        <v>193</v>
      </c>
      <c r="AB85" s="182" t="s">
        <v>199</v>
      </c>
      <c r="AC85" s="182" t="s">
        <v>195</v>
      </c>
      <c r="AD85" s="182" t="s">
        <v>196</v>
      </c>
      <c r="AE85" s="184"/>
      <c r="AF85" s="185"/>
    </row>
    <row r="86" spans="1:32" x14ac:dyDescent="0.25">
      <c r="A86" s="50" t="s">
        <v>134</v>
      </c>
      <c r="B86" s="204"/>
      <c r="C86" s="204"/>
      <c r="D86" s="204"/>
      <c r="E86" s="204"/>
      <c r="F86" s="197"/>
      <c r="G86" s="204"/>
      <c r="H86" s="205"/>
      <c r="I86" s="205"/>
      <c r="J86" s="205"/>
      <c r="K86" s="206"/>
      <c r="L86" s="205"/>
      <c r="M86" s="205"/>
      <c r="N86" s="205"/>
      <c r="O86" s="205"/>
      <c r="P86" s="206"/>
      <c r="Q86" s="205"/>
      <c r="R86" s="205"/>
      <c r="S86" s="205"/>
      <c r="T86" s="205"/>
      <c r="U86" s="206"/>
      <c r="V86" s="205"/>
      <c r="W86" s="205"/>
      <c r="X86" s="205"/>
      <c r="Y86" s="205"/>
      <c r="Z86" s="206"/>
      <c r="AA86" s="205"/>
      <c r="AB86" s="205"/>
      <c r="AC86" s="205"/>
      <c r="AD86" s="205"/>
      <c r="AE86" s="207"/>
      <c r="AF86" s="81"/>
    </row>
    <row r="87" spans="1:32" x14ac:dyDescent="0.25">
      <c r="A87" t="s">
        <v>13</v>
      </c>
      <c r="B87" s="195" t="s">
        <v>200</v>
      </c>
      <c r="C87" s="196">
        <v>26.625440000000001</v>
      </c>
      <c r="D87" s="196">
        <v>8.3808299999999996</v>
      </c>
      <c r="E87" s="196">
        <v>-75.711699999999993</v>
      </c>
      <c r="F87" s="197"/>
      <c r="G87" s="196">
        <v>-216.37526</v>
      </c>
      <c r="H87" s="196">
        <v>-153.42075</v>
      </c>
      <c r="I87" s="196">
        <v>-116.85739</v>
      </c>
      <c r="J87" s="196">
        <v>-24.848749999999999</v>
      </c>
      <c r="K87" s="198"/>
      <c r="L87" s="196">
        <v>18.053650000000001</v>
      </c>
      <c r="M87" s="196">
        <v>17.650919999999999</v>
      </c>
      <c r="N87" s="196">
        <v>2.3791699999999998</v>
      </c>
      <c r="O87" s="196">
        <v>10.63012</v>
      </c>
      <c r="P87" s="198"/>
      <c r="Q87" s="196">
        <v>0</v>
      </c>
      <c r="R87" s="196">
        <v>0</v>
      </c>
      <c r="S87" s="196">
        <v>0</v>
      </c>
      <c r="T87" s="196">
        <v>0</v>
      </c>
      <c r="U87" s="198"/>
      <c r="V87" s="196">
        <v>0</v>
      </c>
      <c r="W87" s="196">
        <v>0</v>
      </c>
      <c r="X87" s="196">
        <v>0</v>
      </c>
      <c r="Y87" s="196">
        <v>0</v>
      </c>
      <c r="Z87" s="198"/>
      <c r="AA87" s="196">
        <v>0</v>
      </c>
      <c r="AB87" s="196">
        <v>0</v>
      </c>
      <c r="AC87" s="196">
        <v>0</v>
      </c>
      <c r="AD87" s="196">
        <v>0</v>
      </c>
      <c r="AF87" s="60" t="s">
        <v>13</v>
      </c>
    </row>
    <row r="88" spans="1:32" x14ac:dyDescent="0.25">
      <c r="A88" t="s">
        <v>25</v>
      </c>
      <c r="B88" s="195" t="s">
        <v>200</v>
      </c>
      <c r="C88" s="196">
        <v>-34.766750000000002</v>
      </c>
      <c r="D88" s="196">
        <v>-23.62415</v>
      </c>
      <c r="E88" s="196">
        <v>-4.7902500000000003</v>
      </c>
      <c r="F88" s="197"/>
      <c r="G88" s="196">
        <v>-143.60301999999999</v>
      </c>
      <c r="H88" s="196">
        <v>31.673279999999998</v>
      </c>
      <c r="I88" s="196">
        <v>5.1558700000000002</v>
      </c>
      <c r="J88" s="196">
        <v>-3.1739000000000002</v>
      </c>
      <c r="K88" s="198"/>
      <c r="L88" s="196">
        <v>-65.936340000000001</v>
      </c>
      <c r="M88" s="196">
        <v>-0.92839000000000005</v>
      </c>
      <c r="N88" s="196">
        <v>2.0605099999999998</v>
      </c>
      <c r="O88" s="196">
        <v>2.00379</v>
      </c>
      <c r="P88" s="198"/>
      <c r="Q88" s="196">
        <v>0</v>
      </c>
      <c r="R88" s="196">
        <v>0</v>
      </c>
      <c r="S88" s="196">
        <v>0</v>
      </c>
      <c r="T88" s="196">
        <v>0</v>
      </c>
      <c r="U88" s="198"/>
      <c r="V88" s="196">
        <v>0</v>
      </c>
      <c r="W88" s="196">
        <v>0</v>
      </c>
      <c r="X88" s="196">
        <v>0</v>
      </c>
      <c r="Y88" s="196">
        <v>0</v>
      </c>
      <c r="Z88" s="198"/>
      <c r="AA88" s="196">
        <v>0</v>
      </c>
      <c r="AB88" s="196">
        <v>0</v>
      </c>
      <c r="AC88" s="196">
        <v>0</v>
      </c>
      <c r="AD88" s="196">
        <v>0</v>
      </c>
      <c r="AF88" s="60" t="s">
        <v>25</v>
      </c>
    </row>
    <row r="89" spans="1:32" x14ac:dyDescent="0.25">
      <c r="A89" s="62" t="s">
        <v>119</v>
      </c>
      <c r="B89" s="208" t="s">
        <v>200</v>
      </c>
      <c r="C89" s="201">
        <v>-4.0706550000000004</v>
      </c>
      <c r="D89" s="201">
        <v>-7.6216600000000003</v>
      </c>
      <c r="E89" s="201">
        <v>-40.250974999999997</v>
      </c>
      <c r="F89" s="197"/>
      <c r="G89" s="202">
        <v>-179.98913999999999</v>
      </c>
      <c r="H89" s="202">
        <v>-60.873734999999996</v>
      </c>
      <c r="I89" s="202">
        <v>-55.850759999999994</v>
      </c>
      <c r="J89" s="201">
        <v>-14.011324999999999</v>
      </c>
      <c r="K89" s="212"/>
      <c r="L89" s="202">
        <v>-23.941344999999998</v>
      </c>
      <c r="M89" s="202">
        <v>8.3612649999999995</v>
      </c>
      <c r="N89" s="202">
        <v>2.2198399999999996</v>
      </c>
      <c r="O89" s="202">
        <v>6.3169550000000001</v>
      </c>
      <c r="P89" s="213"/>
      <c r="Q89" s="202">
        <v>0</v>
      </c>
      <c r="R89" s="202">
        <v>0</v>
      </c>
      <c r="S89" s="202">
        <v>0</v>
      </c>
      <c r="T89" s="202">
        <v>0</v>
      </c>
      <c r="U89" s="213"/>
      <c r="V89" s="202">
        <v>0</v>
      </c>
      <c r="W89" s="202">
        <v>0</v>
      </c>
      <c r="X89" s="202">
        <v>0</v>
      </c>
      <c r="Y89" s="202">
        <v>0</v>
      </c>
      <c r="Z89" s="213"/>
      <c r="AA89" s="202">
        <v>0</v>
      </c>
      <c r="AB89" s="202">
        <v>0</v>
      </c>
      <c r="AC89" s="202">
        <v>0</v>
      </c>
      <c r="AD89" s="202">
        <v>0</v>
      </c>
      <c r="AE89" s="203"/>
      <c r="AF89" s="71" t="s">
        <v>120</v>
      </c>
    </row>
    <row r="90" spans="1:32" x14ac:dyDescent="0.25">
      <c r="B90" s="197"/>
      <c r="C90" s="197"/>
      <c r="D90" s="197"/>
      <c r="E90" s="197"/>
      <c r="F90" s="197"/>
      <c r="G90" s="197"/>
      <c r="H90" s="196"/>
      <c r="I90" s="196"/>
      <c r="J90" s="199"/>
      <c r="K90" s="200"/>
      <c r="L90" s="196"/>
      <c r="M90" s="196"/>
      <c r="N90" s="196"/>
      <c r="O90" s="196"/>
      <c r="P90" s="198"/>
      <c r="Q90" s="196"/>
      <c r="R90" s="196"/>
      <c r="S90" s="196"/>
      <c r="T90" s="196"/>
      <c r="U90" s="198"/>
      <c r="V90" s="196"/>
      <c r="W90" s="196"/>
      <c r="X90" s="196"/>
      <c r="Y90" s="196"/>
      <c r="Z90" s="198"/>
      <c r="AA90" s="196"/>
      <c r="AB90" s="196"/>
      <c r="AC90" s="196"/>
      <c r="AD90" s="196"/>
    </row>
    <row r="91" spans="1:32" x14ac:dyDescent="0.25">
      <c r="A91" s="50" t="s">
        <v>135</v>
      </c>
      <c r="B91" s="204"/>
      <c r="C91" s="204"/>
      <c r="D91" s="204"/>
      <c r="E91" s="204"/>
      <c r="F91" s="197"/>
      <c r="G91" s="204"/>
      <c r="H91" s="205"/>
      <c r="I91" s="205"/>
      <c r="J91" s="205"/>
      <c r="K91" s="206"/>
      <c r="L91" s="205"/>
      <c r="M91" s="205"/>
      <c r="N91" s="205"/>
      <c r="O91" s="205"/>
      <c r="P91" s="206"/>
      <c r="Q91" s="205"/>
      <c r="R91" s="205"/>
      <c r="S91" s="205"/>
      <c r="T91" s="205"/>
      <c r="U91" s="206"/>
      <c r="V91" s="205"/>
      <c r="W91" s="205"/>
      <c r="X91" s="205"/>
      <c r="Y91" s="205"/>
      <c r="Z91" s="206"/>
      <c r="AA91" s="205"/>
      <c r="AB91" s="205"/>
      <c r="AC91" s="205"/>
      <c r="AD91" s="205"/>
      <c r="AE91" s="207"/>
      <c r="AF91" s="81"/>
    </row>
    <row r="92" spans="1:32" x14ac:dyDescent="0.25">
      <c r="A92" t="s">
        <v>56</v>
      </c>
      <c r="B92" s="195" t="s">
        <v>200</v>
      </c>
      <c r="C92" s="196">
        <v>1073.8678500000001</v>
      </c>
      <c r="D92" s="196">
        <v>533.41039000000001</v>
      </c>
      <c r="E92" s="196">
        <v>1211.5376699999999</v>
      </c>
      <c r="F92" s="197"/>
      <c r="G92" s="196">
        <v>973.48299999999995</v>
      </c>
      <c r="H92" s="196">
        <v>1408.0355500000001</v>
      </c>
      <c r="I92" s="196">
        <v>728.18137000000002</v>
      </c>
      <c r="J92" s="196">
        <v>-14.78899</v>
      </c>
      <c r="K92" s="198"/>
      <c r="L92" s="196">
        <v>149.26545999999999</v>
      </c>
      <c r="M92" s="196">
        <v>245.37494000000001</v>
      </c>
      <c r="N92" s="196">
        <v>174.26070000000001</v>
      </c>
      <c r="O92" s="196">
        <v>-25.925999999999998</v>
      </c>
      <c r="P92" s="198"/>
      <c r="Q92" s="196">
        <v>0</v>
      </c>
      <c r="R92" s="196">
        <v>0</v>
      </c>
      <c r="S92" s="196">
        <v>0</v>
      </c>
      <c r="T92" s="196">
        <v>0</v>
      </c>
      <c r="U92" s="198"/>
      <c r="V92" s="196">
        <v>0</v>
      </c>
      <c r="W92" s="196">
        <v>0</v>
      </c>
      <c r="X92" s="196">
        <v>0</v>
      </c>
      <c r="Y92" s="196">
        <v>0</v>
      </c>
      <c r="Z92" s="198"/>
      <c r="AA92" s="196">
        <v>0</v>
      </c>
      <c r="AB92" s="196">
        <v>0</v>
      </c>
      <c r="AC92" s="196">
        <v>0</v>
      </c>
      <c r="AD92" s="196">
        <v>0</v>
      </c>
      <c r="AF92" s="60" t="s">
        <v>56</v>
      </c>
    </row>
    <row r="93" spans="1:32" x14ac:dyDescent="0.25">
      <c r="A93" t="s">
        <v>21</v>
      </c>
      <c r="B93" s="195" t="s">
        <v>200</v>
      </c>
      <c r="C93" s="196">
        <v>8159</v>
      </c>
      <c r="D93" s="196">
        <v>17236</v>
      </c>
      <c r="E93" s="196">
        <v>6468</v>
      </c>
      <c r="F93" s="197"/>
      <c r="G93" s="196">
        <v>15245</v>
      </c>
      <c r="H93" s="196">
        <v>-3756</v>
      </c>
      <c r="I93" s="196">
        <v>-6061</v>
      </c>
      <c r="J93" s="196">
        <v>4328</v>
      </c>
      <c r="K93" s="198"/>
      <c r="L93" s="196">
        <v>9886</v>
      </c>
      <c r="M93" s="196">
        <v>1184</v>
      </c>
      <c r="N93" s="196">
        <v>15</v>
      </c>
      <c r="O93" s="196">
        <v>1607</v>
      </c>
      <c r="P93" s="198"/>
      <c r="Q93" s="196">
        <v>0</v>
      </c>
      <c r="R93" s="196">
        <v>0</v>
      </c>
      <c r="S93" s="196">
        <v>0</v>
      </c>
      <c r="T93" s="196">
        <v>0</v>
      </c>
      <c r="U93" s="198"/>
      <c r="V93" s="196">
        <v>0</v>
      </c>
      <c r="W93" s="196">
        <v>0</v>
      </c>
      <c r="X93" s="196">
        <v>0</v>
      </c>
      <c r="Y93" s="196">
        <v>0</v>
      </c>
      <c r="Z93" s="198"/>
      <c r="AA93" s="196">
        <v>0</v>
      </c>
      <c r="AB93" s="196">
        <v>0</v>
      </c>
      <c r="AC93" s="196">
        <v>0</v>
      </c>
      <c r="AD93" s="196">
        <v>0</v>
      </c>
      <c r="AF93" s="60" t="s">
        <v>21</v>
      </c>
    </row>
    <row r="94" spans="1:32" x14ac:dyDescent="0.25">
      <c r="A94" t="s">
        <v>46</v>
      </c>
      <c r="B94" s="195" t="s">
        <v>200</v>
      </c>
      <c r="C94" s="196">
        <v>258.25</v>
      </c>
      <c r="D94" s="196">
        <v>10684.189</v>
      </c>
      <c r="E94" s="199">
        <v>143.898</v>
      </c>
      <c r="F94" s="197"/>
      <c r="G94" s="196">
        <v>2196.8270000000002</v>
      </c>
      <c r="H94" s="196">
        <v>3422.14</v>
      </c>
      <c r="I94" s="196">
        <v>149.17500000000001</v>
      </c>
      <c r="J94" s="199">
        <v>3118.1390000000001</v>
      </c>
      <c r="K94" s="200"/>
      <c r="L94" s="196">
        <v>4420.6850000000004</v>
      </c>
      <c r="M94" s="196">
        <v>291.17599999999999</v>
      </c>
      <c r="N94" s="196">
        <v>-52.609000000000002</v>
      </c>
      <c r="O94" s="196">
        <v>421.38299999999998</v>
      </c>
      <c r="P94" s="198"/>
      <c r="Q94" s="196">
        <v>0</v>
      </c>
      <c r="R94" s="196">
        <v>0</v>
      </c>
      <c r="S94" s="196">
        <v>0</v>
      </c>
      <c r="T94" s="196">
        <v>0</v>
      </c>
      <c r="U94" s="198"/>
      <c r="V94" s="196" t="s">
        <v>200</v>
      </c>
      <c r="W94" s="196">
        <v>0</v>
      </c>
      <c r="X94" s="196">
        <v>0</v>
      </c>
      <c r="Y94" s="196">
        <v>0</v>
      </c>
      <c r="Z94" s="198"/>
      <c r="AA94" s="196">
        <v>0</v>
      </c>
      <c r="AB94" s="196">
        <v>0</v>
      </c>
      <c r="AC94" s="196">
        <v>0</v>
      </c>
      <c r="AD94" s="196">
        <v>0</v>
      </c>
      <c r="AF94" s="60" t="s">
        <v>46</v>
      </c>
    </row>
    <row r="95" spans="1:32" x14ac:dyDescent="0.25">
      <c r="A95" t="s">
        <v>50</v>
      </c>
      <c r="B95" s="195" t="s">
        <v>200</v>
      </c>
      <c r="C95" s="196">
        <v>501.20800000000003</v>
      </c>
      <c r="D95" s="196">
        <v>917.35799999999995</v>
      </c>
      <c r="E95" s="199">
        <v>830.85500000000002</v>
      </c>
      <c r="F95" s="197"/>
      <c r="G95" s="196">
        <v>657.40800000000002</v>
      </c>
      <c r="H95" s="196">
        <v>812.81899999999996</v>
      </c>
      <c r="I95" s="196">
        <v>802.77</v>
      </c>
      <c r="J95" s="199">
        <v>1059.8230000000001</v>
      </c>
      <c r="K95" s="200"/>
      <c r="L95" s="196">
        <v>2461.9900200000002</v>
      </c>
      <c r="M95" s="196">
        <v>510.19472999999999</v>
      </c>
      <c r="N95" s="196">
        <v>452.71800000000002</v>
      </c>
      <c r="O95" s="196">
        <v>423.21499999999997</v>
      </c>
      <c r="P95" s="198"/>
      <c r="Q95" s="196">
        <v>0</v>
      </c>
      <c r="R95" s="196">
        <v>0</v>
      </c>
      <c r="S95" s="196">
        <v>0</v>
      </c>
      <c r="T95" s="196">
        <v>0</v>
      </c>
      <c r="U95" s="198"/>
      <c r="V95" s="196">
        <v>0</v>
      </c>
      <c r="W95" s="196">
        <v>0</v>
      </c>
      <c r="X95" s="196">
        <v>0</v>
      </c>
      <c r="Y95" s="196">
        <v>0</v>
      </c>
      <c r="Z95" s="198"/>
      <c r="AA95" s="196">
        <v>0</v>
      </c>
      <c r="AB95" s="196">
        <v>0</v>
      </c>
      <c r="AC95" s="196">
        <v>0</v>
      </c>
      <c r="AD95" s="196">
        <v>0</v>
      </c>
      <c r="AF95" s="60" t="s">
        <v>50</v>
      </c>
    </row>
    <row r="96" spans="1:32" x14ac:dyDescent="0.25">
      <c r="A96" t="s">
        <v>31</v>
      </c>
      <c r="B96" s="195" t="s">
        <v>200</v>
      </c>
      <c r="C96" s="196">
        <v>-289.42</v>
      </c>
      <c r="D96" s="196">
        <v>1137.96</v>
      </c>
      <c r="E96" s="199">
        <v>-256.13400000000001</v>
      </c>
      <c r="F96" s="197"/>
      <c r="G96" s="196">
        <v>2408.9850000000001</v>
      </c>
      <c r="H96" s="196">
        <v>1138.2850000000001</v>
      </c>
      <c r="I96" s="196">
        <v>-2515.8209999999999</v>
      </c>
      <c r="J96" s="199">
        <v>-551.50900000000001</v>
      </c>
      <c r="K96" s="200"/>
      <c r="L96" s="196">
        <v>2365.29</v>
      </c>
      <c r="M96" s="196">
        <v>312.70499999999998</v>
      </c>
      <c r="N96" s="196">
        <v>201.446</v>
      </c>
      <c r="O96" s="196">
        <v>516.91999999999996</v>
      </c>
      <c r="P96" s="198"/>
      <c r="Q96" s="196">
        <v>0</v>
      </c>
      <c r="R96" s="196">
        <v>0</v>
      </c>
      <c r="S96" s="196">
        <v>0</v>
      </c>
      <c r="T96" s="216">
        <v>0</v>
      </c>
      <c r="U96" s="198"/>
      <c r="V96" s="196">
        <v>0</v>
      </c>
      <c r="W96" s="196">
        <v>0</v>
      </c>
      <c r="X96" s="196">
        <v>0</v>
      </c>
      <c r="Y96" s="195">
        <v>0</v>
      </c>
      <c r="Z96" s="223"/>
      <c r="AA96" s="195">
        <v>0</v>
      </c>
      <c r="AB96" s="195">
        <v>0</v>
      </c>
      <c r="AC96" s="195">
        <v>0</v>
      </c>
      <c r="AD96" s="195">
        <v>0</v>
      </c>
      <c r="AF96" s="60" t="s">
        <v>31</v>
      </c>
    </row>
    <row r="97" spans="1:32" x14ac:dyDescent="0.25">
      <c r="A97" t="s">
        <v>62</v>
      </c>
      <c r="B97" s="195" t="s">
        <v>200</v>
      </c>
      <c r="C97" s="196">
        <v>-44.695050000000002</v>
      </c>
      <c r="D97" s="196">
        <v>233.4359</v>
      </c>
      <c r="E97" s="199">
        <v>-230.98795000000001</v>
      </c>
      <c r="F97" s="197"/>
      <c r="G97" s="196">
        <v>2448.0288500000001</v>
      </c>
      <c r="H97" s="196">
        <v>120.761</v>
      </c>
      <c r="I97" s="196">
        <v>441.47726999999998</v>
      </c>
      <c r="J97" s="199">
        <v>-356.98523</v>
      </c>
      <c r="K97" s="200"/>
      <c r="L97" s="196">
        <v>468.46733999999998</v>
      </c>
      <c r="M97" s="196">
        <v>379.83377000000002</v>
      </c>
      <c r="N97" s="196">
        <v>263.86640999999997</v>
      </c>
      <c r="O97" s="196">
        <v>258.82616999999999</v>
      </c>
      <c r="P97" s="198"/>
      <c r="Q97" s="196">
        <v>0</v>
      </c>
      <c r="R97" s="196">
        <v>0</v>
      </c>
      <c r="S97" s="196">
        <v>0</v>
      </c>
      <c r="T97" s="196">
        <v>0</v>
      </c>
      <c r="U97" s="198"/>
      <c r="V97" s="196">
        <v>0</v>
      </c>
      <c r="W97" s="196">
        <v>0</v>
      </c>
      <c r="X97" s="196">
        <v>0</v>
      </c>
      <c r="Y97" s="196">
        <v>0</v>
      </c>
      <c r="Z97" s="198"/>
      <c r="AA97" s="196">
        <v>0</v>
      </c>
      <c r="AB97" s="196">
        <v>0</v>
      </c>
      <c r="AC97" s="196">
        <v>0</v>
      </c>
      <c r="AD97" s="196">
        <v>0</v>
      </c>
      <c r="AF97" s="60" t="s">
        <v>62</v>
      </c>
    </row>
    <row r="98" spans="1:32" x14ac:dyDescent="0.25">
      <c r="A98" t="s">
        <v>37</v>
      </c>
      <c r="B98" s="195" t="s">
        <v>200</v>
      </c>
      <c r="C98" s="196">
        <v>-206.691</v>
      </c>
      <c r="D98" s="196">
        <v>743.72799999999995</v>
      </c>
      <c r="E98" s="199">
        <v>793.44500000000005</v>
      </c>
      <c r="F98" s="197"/>
      <c r="G98" s="196">
        <v>38.999000000000002</v>
      </c>
      <c r="H98" s="196">
        <v>-250.54300000000001</v>
      </c>
      <c r="I98" s="196">
        <v>400.00200000000001</v>
      </c>
      <c r="J98" s="199">
        <v>70.334999999999994</v>
      </c>
      <c r="K98" s="200"/>
      <c r="L98" s="196">
        <v>1540.675</v>
      </c>
      <c r="M98" s="196">
        <v>-18.656890000000001</v>
      </c>
      <c r="N98" s="196">
        <v>227.57400000000001</v>
      </c>
      <c r="O98" s="196">
        <v>94.910049999999998</v>
      </c>
      <c r="P98" s="198"/>
      <c r="Q98" s="196">
        <v>0</v>
      </c>
      <c r="R98" s="196">
        <v>0</v>
      </c>
      <c r="S98" s="196">
        <v>0</v>
      </c>
      <c r="T98" s="196">
        <v>0</v>
      </c>
      <c r="U98" s="198"/>
      <c r="V98" s="196">
        <v>0</v>
      </c>
      <c r="W98" s="196">
        <v>0</v>
      </c>
      <c r="X98" s="196">
        <v>0</v>
      </c>
      <c r="Y98" s="196">
        <v>0</v>
      </c>
      <c r="Z98" s="198"/>
      <c r="AA98" s="196">
        <v>0</v>
      </c>
      <c r="AB98" s="196">
        <v>0</v>
      </c>
      <c r="AC98" s="196">
        <v>0</v>
      </c>
      <c r="AD98" s="196">
        <v>0</v>
      </c>
      <c r="AF98" s="60" t="s">
        <v>37</v>
      </c>
    </row>
    <row r="99" spans="1:32" x14ac:dyDescent="0.25">
      <c r="A99" t="s">
        <v>51</v>
      </c>
      <c r="B99" s="195" t="s">
        <v>200</v>
      </c>
      <c r="C99" s="196">
        <v>563.11199999999997</v>
      </c>
      <c r="D99" s="196">
        <v>430.762</v>
      </c>
      <c r="E99" s="199">
        <v>108.708</v>
      </c>
      <c r="F99" s="197"/>
      <c r="G99" s="196">
        <v>174.88399999999999</v>
      </c>
      <c r="H99" s="196">
        <v>591.25900000000001</v>
      </c>
      <c r="I99" s="196">
        <v>803.08</v>
      </c>
      <c r="J99" s="199">
        <v>209.32499999999999</v>
      </c>
      <c r="K99" s="200"/>
      <c r="L99" s="196">
        <v>780.577</v>
      </c>
      <c r="M99" s="196">
        <v>159.74799999999999</v>
      </c>
      <c r="N99" s="196">
        <v>81.995999999999995</v>
      </c>
      <c r="O99" s="196">
        <v>-22.224</v>
      </c>
      <c r="P99" s="198"/>
      <c r="Q99" s="196">
        <v>0</v>
      </c>
      <c r="R99" s="196">
        <v>0</v>
      </c>
      <c r="S99" s="196">
        <v>0</v>
      </c>
      <c r="T99" s="196">
        <v>0</v>
      </c>
      <c r="U99" s="198"/>
      <c r="V99" s="196">
        <v>0</v>
      </c>
      <c r="W99" s="196">
        <v>0</v>
      </c>
      <c r="X99" s="196">
        <v>0</v>
      </c>
      <c r="Y99" s="196">
        <v>0</v>
      </c>
      <c r="Z99" s="198"/>
      <c r="AA99" s="196">
        <v>0</v>
      </c>
      <c r="AB99" s="196">
        <v>0</v>
      </c>
      <c r="AC99" s="196">
        <v>0</v>
      </c>
      <c r="AD99" s="196">
        <v>0</v>
      </c>
      <c r="AF99" s="60" t="s">
        <v>51</v>
      </c>
    </row>
    <row r="100" spans="1:32" x14ac:dyDescent="0.25">
      <c r="A100" t="s">
        <v>45</v>
      </c>
      <c r="B100" s="195" t="s">
        <v>200</v>
      </c>
      <c r="C100" s="196">
        <v>4166.7650000000003</v>
      </c>
      <c r="D100" s="196">
        <v>1158.508</v>
      </c>
      <c r="E100" s="199">
        <v>1379.8440000000001</v>
      </c>
      <c r="F100" s="197"/>
      <c r="G100" s="196">
        <v>413.642</v>
      </c>
      <c r="H100" s="196">
        <v>5892.9340000000002</v>
      </c>
      <c r="I100" s="196">
        <v>5066.8909999999996</v>
      </c>
      <c r="J100" s="199">
        <v>11671.049000000001</v>
      </c>
      <c r="K100" s="200"/>
      <c r="L100" s="196">
        <v>2840.491</v>
      </c>
      <c r="M100" s="196">
        <v>639.26599999999996</v>
      </c>
      <c r="N100" s="196">
        <v>609.87</v>
      </c>
      <c r="O100" s="196">
        <v>410.45400000000001</v>
      </c>
      <c r="P100" s="198"/>
      <c r="Q100" s="196">
        <v>0</v>
      </c>
      <c r="R100" s="196">
        <v>0</v>
      </c>
      <c r="S100" s="196">
        <v>0</v>
      </c>
      <c r="T100" s="196">
        <v>0</v>
      </c>
      <c r="U100" s="198"/>
      <c r="V100" s="196">
        <v>0</v>
      </c>
      <c r="W100" s="196">
        <v>0</v>
      </c>
      <c r="X100" s="196">
        <v>0</v>
      </c>
      <c r="Y100" s="196">
        <v>0</v>
      </c>
      <c r="Z100" s="198"/>
      <c r="AA100" s="196">
        <v>0</v>
      </c>
      <c r="AB100" s="196">
        <v>0</v>
      </c>
      <c r="AC100" s="196">
        <v>0</v>
      </c>
      <c r="AD100" s="196">
        <v>0</v>
      </c>
      <c r="AF100" s="60" t="s">
        <v>45</v>
      </c>
    </row>
    <row r="101" spans="1:32" x14ac:dyDescent="0.25">
      <c r="A101" t="s">
        <v>30</v>
      </c>
      <c r="B101" s="195">
        <v>753.98283000000004</v>
      </c>
      <c r="C101" s="196">
        <v>1157.80026</v>
      </c>
      <c r="D101" s="196">
        <v>-16.4758</v>
      </c>
      <c r="E101" s="199">
        <v>1949.8261299999999</v>
      </c>
      <c r="F101" s="197"/>
      <c r="G101" s="196">
        <v>2825.5221099999999</v>
      </c>
      <c r="H101" s="196">
        <v>843.38162</v>
      </c>
      <c r="I101" s="196">
        <v>285.31817000000001</v>
      </c>
      <c r="J101" s="199">
        <v>395.827</v>
      </c>
      <c r="K101" s="200"/>
      <c r="L101" s="196">
        <v>686.97050000000002</v>
      </c>
      <c r="M101" s="196">
        <v>38.43694</v>
      </c>
      <c r="N101" s="196">
        <v>37.549849999999999</v>
      </c>
      <c r="O101" s="196">
        <v>-100.64673999999999</v>
      </c>
      <c r="P101" s="198"/>
      <c r="Q101" s="196">
        <v>0</v>
      </c>
      <c r="R101" s="196">
        <v>0</v>
      </c>
      <c r="S101" s="196">
        <v>0</v>
      </c>
      <c r="T101" s="196">
        <v>0</v>
      </c>
      <c r="U101" s="198"/>
      <c r="V101" s="196">
        <v>0</v>
      </c>
      <c r="W101" s="196">
        <v>0</v>
      </c>
      <c r="X101" s="196">
        <v>0</v>
      </c>
      <c r="Y101" s="196">
        <v>0</v>
      </c>
      <c r="Z101" s="198"/>
      <c r="AA101" s="196">
        <v>0</v>
      </c>
      <c r="AB101" s="196">
        <v>0</v>
      </c>
      <c r="AC101" s="196">
        <v>0</v>
      </c>
      <c r="AD101" s="196">
        <v>0</v>
      </c>
      <c r="AF101" s="60" t="s">
        <v>30</v>
      </c>
    </row>
    <row r="102" spans="1:32" x14ac:dyDescent="0.25">
      <c r="A102" s="62" t="s">
        <v>119</v>
      </c>
      <c r="B102" s="201">
        <v>753.98283000000004</v>
      </c>
      <c r="C102" s="201">
        <v>1533.9197059999999</v>
      </c>
      <c r="D102" s="201">
        <v>3305.887549</v>
      </c>
      <c r="E102" s="201">
        <v>1239.899185</v>
      </c>
      <c r="F102" s="197"/>
      <c r="G102" s="202">
        <v>2738.2778959999996</v>
      </c>
      <c r="H102" s="202">
        <v>1022.3072169999999</v>
      </c>
      <c r="I102" s="202">
        <v>10.007381000000033</v>
      </c>
      <c r="J102" s="201">
        <v>1992.9214780000002</v>
      </c>
      <c r="K102" s="201"/>
      <c r="L102" s="202">
        <v>2560.0411320000003</v>
      </c>
      <c r="M102" s="202">
        <v>374.20784900000001</v>
      </c>
      <c r="N102" s="202">
        <v>201.16719600000005</v>
      </c>
      <c r="O102" s="202">
        <v>358.39114799999999</v>
      </c>
      <c r="P102" s="202"/>
      <c r="Q102" s="202">
        <v>0</v>
      </c>
      <c r="R102" s="202">
        <v>0</v>
      </c>
      <c r="S102" s="202">
        <v>0</v>
      </c>
      <c r="T102" s="202">
        <v>0</v>
      </c>
      <c r="U102" s="202"/>
      <c r="V102" s="202">
        <v>0</v>
      </c>
      <c r="W102" s="202">
        <v>0</v>
      </c>
      <c r="X102" s="202">
        <v>0</v>
      </c>
      <c r="Y102" s="202">
        <v>0</v>
      </c>
      <c r="Z102" s="202"/>
      <c r="AA102" s="202">
        <v>0</v>
      </c>
      <c r="AB102" s="202">
        <v>0</v>
      </c>
      <c r="AC102" s="202">
        <v>0</v>
      </c>
      <c r="AD102" s="202">
        <v>0</v>
      </c>
      <c r="AE102" s="203"/>
      <c r="AF102" s="71" t="s">
        <v>120</v>
      </c>
    </row>
    <row r="103" spans="1:32" x14ac:dyDescent="0.25">
      <c r="B103" s="197"/>
      <c r="C103" s="197"/>
      <c r="D103" s="197"/>
      <c r="E103" s="197"/>
      <c r="F103" s="197"/>
      <c r="G103" s="197"/>
      <c r="H103" s="196"/>
      <c r="I103" s="196"/>
      <c r="J103" s="199"/>
      <c r="K103" s="200"/>
      <c r="L103" s="196"/>
      <c r="M103" s="196"/>
      <c r="N103" s="196"/>
      <c r="O103" s="196"/>
      <c r="P103" s="198"/>
      <c r="Q103" s="196"/>
      <c r="R103" s="196"/>
      <c r="S103" s="196"/>
      <c r="T103" s="196"/>
      <c r="U103" s="198"/>
      <c r="V103" s="196"/>
      <c r="W103" s="196"/>
      <c r="X103" s="196"/>
      <c r="Y103" s="196"/>
      <c r="Z103" s="198"/>
      <c r="AA103" s="196"/>
      <c r="AB103" s="196"/>
      <c r="AC103" s="196"/>
      <c r="AD103" s="196"/>
    </row>
    <row r="104" spans="1:32" x14ac:dyDescent="0.25">
      <c r="A104" s="50" t="s">
        <v>136</v>
      </c>
      <c r="B104" s="204"/>
      <c r="C104" s="204"/>
      <c r="D104" s="204"/>
      <c r="E104" s="204"/>
      <c r="F104" s="197"/>
      <c r="G104" s="204"/>
      <c r="H104" s="205"/>
      <c r="I104" s="205"/>
      <c r="J104" s="205"/>
      <c r="K104" s="205"/>
      <c r="L104" s="205"/>
      <c r="M104" s="205"/>
      <c r="N104" s="205"/>
      <c r="O104" s="205"/>
      <c r="P104" s="206"/>
      <c r="Q104" s="205"/>
      <c r="R104" s="205"/>
      <c r="S104" s="205"/>
      <c r="T104" s="205"/>
      <c r="U104" s="206"/>
      <c r="V104" s="205"/>
      <c r="W104" s="205"/>
      <c r="X104" s="205"/>
      <c r="Y104" s="205"/>
      <c r="Z104" s="206"/>
      <c r="AA104" s="205"/>
      <c r="AB104" s="205"/>
      <c r="AC104" s="205"/>
      <c r="AD104" s="205"/>
      <c r="AE104" s="207"/>
      <c r="AF104" s="81"/>
    </row>
    <row r="105" spans="1:32" x14ac:dyDescent="0.25">
      <c r="A105" t="s">
        <v>76</v>
      </c>
      <c r="B105" s="195">
        <v>46.518270000000001</v>
      </c>
      <c r="C105" s="196">
        <v>-61.58323</v>
      </c>
      <c r="D105" s="196">
        <v>147.53800000000001</v>
      </c>
      <c r="E105" s="196">
        <v>85.133920000000003</v>
      </c>
      <c r="F105" s="197"/>
      <c r="G105" s="196">
        <v>51.23921</v>
      </c>
      <c r="H105" s="196">
        <v>-59.238</v>
      </c>
      <c r="I105" s="196">
        <v>-81.385329999999996</v>
      </c>
      <c r="J105" s="196">
        <v>172.107</v>
      </c>
      <c r="K105" s="198"/>
      <c r="L105" s="196">
        <v>128.0796</v>
      </c>
      <c r="M105" s="196">
        <v>66.531000000000006</v>
      </c>
      <c r="N105" s="196">
        <v>99.971299999999999</v>
      </c>
      <c r="O105" s="196">
        <v>81.080590000000001</v>
      </c>
      <c r="P105" s="198"/>
      <c r="Q105" s="196">
        <v>0</v>
      </c>
      <c r="R105" s="196">
        <v>0</v>
      </c>
      <c r="S105" s="196">
        <v>0</v>
      </c>
      <c r="T105" s="196">
        <v>0</v>
      </c>
      <c r="U105" s="198"/>
      <c r="V105" s="196">
        <v>0</v>
      </c>
      <c r="W105" s="196">
        <v>0</v>
      </c>
      <c r="X105" s="196">
        <v>0</v>
      </c>
      <c r="Y105" s="196">
        <v>0</v>
      </c>
      <c r="Z105" s="198"/>
      <c r="AA105" s="196">
        <v>0</v>
      </c>
      <c r="AB105" s="196">
        <v>0</v>
      </c>
      <c r="AC105" s="196">
        <v>0</v>
      </c>
      <c r="AD105" s="196">
        <v>0</v>
      </c>
      <c r="AF105" s="60" t="s">
        <v>76</v>
      </c>
    </row>
    <row r="106" spans="1:32" x14ac:dyDescent="0.25">
      <c r="A106" s="62" t="s">
        <v>119</v>
      </c>
      <c r="B106" s="202">
        <v>46.518270000000001</v>
      </c>
      <c r="C106" s="202">
        <v>-61.58323</v>
      </c>
      <c r="D106" s="202">
        <v>147.53800000000001</v>
      </c>
      <c r="E106" s="202">
        <v>85.133920000000003</v>
      </c>
      <c r="F106" s="197"/>
      <c r="G106" s="202">
        <v>51.23921</v>
      </c>
      <c r="H106" s="202">
        <v>-59.238</v>
      </c>
      <c r="I106" s="202">
        <v>-81.385329999999996</v>
      </c>
      <c r="J106" s="202">
        <v>172.107</v>
      </c>
      <c r="K106" s="202"/>
      <c r="L106" s="202">
        <v>128.0796</v>
      </c>
      <c r="M106" s="202">
        <v>66.531000000000006</v>
      </c>
      <c r="N106" s="202">
        <v>99.971299999999999</v>
      </c>
      <c r="O106" s="202">
        <v>81.080590000000001</v>
      </c>
      <c r="P106" s="202"/>
      <c r="Q106" s="202">
        <v>0</v>
      </c>
      <c r="R106" s="202">
        <v>0</v>
      </c>
      <c r="S106" s="202">
        <v>0</v>
      </c>
      <c r="T106" s="202">
        <v>0</v>
      </c>
      <c r="U106" s="202"/>
      <c r="V106" s="202">
        <v>0</v>
      </c>
      <c r="W106" s="202">
        <v>0</v>
      </c>
      <c r="X106" s="202">
        <v>0</v>
      </c>
      <c r="Y106" s="202">
        <v>0</v>
      </c>
      <c r="Z106" s="202"/>
      <c r="AA106" s="202">
        <v>0</v>
      </c>
      <c r="AB106" s="202">
        <v>0</v>
      </c>
      <c r="AC106" s="202">
        <v>0</v>
      </c>
      <c r="AD106" s="202">
        <v>0</v>
      </c>
      <c r="AE106" s="203"/>
      <c r="AF106" s="71" t="s">
        <v>120</v>
      </c>
    </row>
    <row r="107" spans="1:32" x14ac:dyDescent="0.25">
      <c r="B107" s="197"/>
      <c r="C107" s="197"/>
      <c r="D107" s="197"/>
      <c r="E107" s="197"/>
      <c r="F107" s="197"/>
      <c r="G107" s="197"/>
      <c r="H107" s="196"/>
      <c r="I107" s="196"/>
      <c r="J107" s="199"/>
      <c r="K107" s="200"/>
      <c r="L107" s="196"/>
      <c r="M107" s="196"/>
      <c r="N107" s="196"/>
      <c r="O107" s="196"/>
      <c r="P107" s="198"/>
      <c r="Q107" s="196"/>
      <c r="R107" s="196"/>
      <c r="S107" s="196"/>
      <c r="T107" s="196"/>
      <c r="U107" s="198"/>
      <c r="V107" s="196"/>
      <c r="W107" s="196"/>
      <c r="X107" s="196"/>
      <c r="Y107" s="196"/>
      <c r="Z107" s="198"/>
      <c r="AA107" s="196"/>
      <c r="AB107" s="196"/>
      <c r="AC107" s="196"/>
      <c r="AD107" s="196"/>
    </row>
    <row r="108" spans="1:32" x14ac:dyDescent="0.25">
      <c r="A108" s="50" t="s">
        <v>137</v>
      </c>
      <c r="B108" s="204"/>
      <c r="C108" s="204"/>
      <c r="D108" s="204"/>
      <c r="E108" s="204"/>
      <c r="F108" s="197"/>
      <c r="G108" s="204"/>
      <c r="H108" s="205"/>
      <c r="I108" s="205"/>
      <c r="J108" s="205"/>
      <c r="K108" s="206"/>
      <c r="L108" s="205"/>
      <c r="M108" s="205"/>
      <c r="N108" s="205"/>
      <c r="O108" s="205"/>
      <c r="P108" s="206"/>
      <c r="Q108" s="205"/>
      <c r="R108" s="205"/>
      <c r="S108" s="205"/>
      <c r="T108" s="205"/>
      <c r="U108" s="206"/>
      <c r="V108" s="205"/>
      <c r="W108" s="205"/>
      <c r="X108" s="205"/>
      <c r="Y108" s="205"/>
      <c r="Z108" s="206"/>
      <c r="AA108" s="205"/>
      <c r="AB108" s="205"/>
      <c r="AC108" s="205"/>
      <c r="AD108" s="205"/>
      <c r="AE108" s="207"/>
      <c r="AF108" s="81"/>
    </row>
    <row r="109" spans="1:32" x14ac:dyDescent="0.25">
      <c r="A109" t="s">
        <v>41</v>
      </c>
      <c r="B109" s="195" t="s">
        <v>200</v>
      </c>
      <c r="C109" s="196">
        <v>-20365</v>
      </c>
      <c r="D109" s="196">
        <v>5250</v>
      </c>
      <c r="E109" s="196">
        <v>1350</v>
      </c>
      <c r="F109" s="197"/>
      <c r="G109" s="196">
        <v>23883</v>
      </c>
      <c r="H109" s="196">
        <v>-15476</v>
      </c>
      <c r="I109" s="196">
        <v>-9143</v>
      </c>
      <c r="J109" s="196">
        <v>12448</v>
      </c>
      <c r="K109" s="198"/>
      <c r="L109" s="196">
        <v>1989</v>
      </c>
      <c r="M109" s="196">
        <v>2026</v>
      </c>
      <c r="N109" s="196">
        <v>1660</v>
      </c>
      <c r="O109" s="196">
        <v>1955</v>
      </c>
      <c r="P109" s="198"/>
      <c r="Q109" s="196">
        <v>0</v>
      </c>
      <c r="R109" s="196">
        <v>0</v>
      </c>
      <c r="S109" s="196">
        <v>0</v>
      </c>
      <c r="T109" s="196">
        <v>0</v>
      </c>
      <c r="U109" s="198"/>
      <c r="V109" s="196">
        <v>0</v>
      </c>
      <c r="W109" s="196">
        <v>0</v>
      </c>
      <c r="X109" s="196">
        <v>0</v>
      </c>
      <c r="Y109" s="196">
        <v>0</v>
      </c>
      <c r="Z109" s="198"/>
      <c r="AA109" s="196">
        <v>0</v>
      </c>
      <c r="AB109" s="196">
        <v>0</v>
      </c>
      <c r="AC109" s="196">
        <v>0</v>
      </c>
      <c r="AD109" s="196">
        <v>0</v>
      </c>
      <c r="AF109" s="60" t="s">
        <v>41</v>
      </c>
    </row>
    <row r="110" spans="1:32" x14ac:dyDescent="0.25">
      <c r="A110" t="s">
        <v>43</v>
      </c>
      <c r="B110" s="195" t="s">
        <v>200</v>
      </c>
      <c r="C110" s="196">
        <v>-9921</v>
      </c>
      <c r="D110" s="196">
        <v>2362</v>
      </c>
      <c r="E110" s="199">
        <v>-189</v>
      </c>
      <c r="F110" s="197"/>
      <c r="G110" s="196">
        <v>10956</v>
      </c>
      <c r="H110" s="196">
        <v>-8780</v>
      </c>
      <c r="I110" s="196">
        <v>-5776</v>
      </c>
      <c r="J110" s="199">
        <v>3486</v>
      </c>
      <c r="K110" s="200"/>
      <c r="L110" s="196">
        <v>2146</v>
      </c>
      <c r="M110" s="196">
        <v>717</v>
      </c>
      <c r="N110" s="195" t="s">
        <v>200</v>
      </c>
      <c r="O110" s="195" t="s">
        <v>200</v>
      </c>
      <c r="P110" s="198"/>
      <c r="Q110" s="196">
        <v>0</v>
      </c>
      <c r="R110" s="196">
        <v>0</v>
      </c>
      <c r="S110" s="196">
        <v>0</v>
      </c>
      <c r="T110" s="196">
        <v>0</v>
      </c>
      <c r="U110" s="198"/>
      <c r="V110" s="196">
        <v>0</v>
      </c>
      <c r="W110" s="196">
        <v>0</v>
      </c>
      <c r="X110" s="196">
        <v>0</v>
      </c>
      <c r="Y110" s="196">
        <v>0</v>
      </c>
      <c r="Z110" s="198"/>
      <c r="AA110" s="196">
        <v>0</v>
      </c>
      <c r="AB110" s="196">
        <v>0</v>
      </c>
      <c r="AC110" s="196">
        <v>0</v>
      </c>
      <c r="AD110" s="196">
        <v>0</v>
      </c>
      <c r="AF110" s="60" t="s">
        <v>43</v>
      </c>
    </row>
    <row r="111" spans="1:32" x14ac:dyDescent="0.25">
      <c r="A111" t="s">
        <v>16</v>
      </c>
      <c r="B111" s="195" t="s">
        <v>200</v>
      </c>
      <c r="C111" s="196">
        <v>-438.00105000000002</v>
      </c>
      <c r="D111" s="196">
        <v>68.105119999999999</v>
      </c>
      <c r="E111" s="199">
        <v>-242.13901000000001</v>
      </c>
      <c r="F111" s="197"/>
      <c r="G111" s="196">
        <v>-1456.3340599999999</v>
      </c>
      <c r="H111" s="196">
        <v>-691.34005999999999</v>
      </c>
      <c r="I111" s="196">
        <v>634.69659999999999</v>
      </c>
      <c r="J111" s="199">
        <v>-38.927219999999998</v>
      </c>
      <c r="K111" s="200"/>
      <c r="L111" s="196">
        <v>-852.47654999999997</v>
      </c>
      <c r="M111" s="196">
        <v>214.5795</v>
      </c>
      <c r="N111" s="196">
        <v>-16.969809999999999</v>
      </c>
      <c r="O111" s="196">
        <v>-855.41684999999995</v>
      </c>
      <c r="P111" s="198"/>
      <c r="Q111" s="196">
        <v>0</v>
      </c>
      <c r="R111" s="196">
        <v>0</v>
      </c>
      <c r="S111" s="196">
        <v>0</v>
      </c>
      <c r="T111" s="196">
        <v>0</v>
      </c>
      <c r="U111" s="198"/>
      <c r="V111" s="196">
        <v>0</v>
      </c>
      <c r="W111" s="196">
        <v>0</v>
      </c>
      <c r="X111" s="196">
        <v>0</v>
      </c>
      <c r="Y111" s="196">
        <v>0</v>
      </c>
      <c r="Z111" s="198"/>
      <c r="AA111" s="196">
        <v>0</v>
      </c>
      <c r="AB111" s="196">
        <v>0</v>
      </c>
      <c r="AC111" s="196">
        <v>0</v>
      </c>
      <c r="AD111" s="196">
        <v>0</v>
      </c>
      <c r="AF111" s="60" t="s">
        <v>16</v>
      </c>
    </row>
    <row r="112" spans="1:32" x14ac:dyDescent="0.25">
      <c r="A112" s="103" t="s">
        <v>119</v>
      </c>
      <c r="B112" s="224" t="s">
        <v>200</v>
      </c>
      <c r="C112" s="225">
        <v>-10241.333683333332</v>
      </c>
      <c r="D112" s="225">
        <v>2560.0350400000002</v>
      </c>
      <c r="E112" s="225">
        <v>306.28699666666665</v>
      </c>
      <c r="F112" s="197"/>
      <c r="G112" s="226">
        <v>11127.555313333332</v>
      </c>
      <c r="H112" s="226">
        <v>-8315.7800200000001</v>
      </c>
      <c r="I112" s="226">
        <v>-4761.4344666666666</v>
      </c>
      <c r="J112" s="225">
        <v>5298.3575933333332</v>
      </c>
      <c r="K112" s="225"/>
      <c r="L112" s="226">
        <v>1094.1744833333335</v>
      </c>
      <c r="M112" s="226">
        <v>985.85983333333331</v>
      </c>
      <c r="N112" s="226">
        <v>821.51509499999997</v>
      </c>
      <c r="O112" s="226">
        <v>549.79157499999997</v>
      </c>
      <c r="P112" s="226"/>
      <c r="Q112" s="226">
        <v>0</v>
      </c>
      <c r="R112" s="226">
        <v>0</v>
      </c>
      <c r="S112" s="226">
        <v>0</v>
      </c>
      <c r="T112" s="226">
        <v>0</v>
      </c>
      <c r="U112" s="226"/>
      <c r="V112" s="226">
        <v>0</v>
      </c>
      <c r="W112" s="226">
        <v>0</v>
      </c>
      <c r="X112" s="226">
        <v>0</v>
      </c>
      <c r="Y112" s="226">
        <v>0</v>
      </c>
      <c r="Z112" s="226"/>
      <c r="AA112" s="226">
        <v>0</v>
      </c>
      <c r="AB112" s="226">
        <v>0</v>
      </c>
      <c r="AC112" s="226">
        <v>0</v>
      </c>
      <c r="AD112" s="226">
        <v>0</v>
      </c>
      <c r="AE112" s="227"/>
      <c r="AF112" s="110" t="s">
        <v>120</v>
      </c>
    </row>
    <row r="113" spans="1:32" x14ac:dyDescent="0.25">
      <c r="A113" s="115" t="s">
        <v>202</v>
      </c>
      <c r="B113" s="115"/>
      <c r="C113" s="115"/>
      <c r="D113" s="115"/>
      <c r="E113" s="115"/>
      <c r="G113" s="115"/>
      <c r="H113" s="196"/>
      <c r="I113" s="196"/>
      <c r="J113" s="228"/>
      <c r="K113" s="229"/>
      <c r="L113" s="196"/>
      <c r="M113" s="196"/>
      <c r="N113" s="196"/>
      <c r="O113" s="196"/>
      <c r="P113" s="198"/>
      <c r="Q113" s="196"/>
      <c r="R113" s="196"/>
      <c r="S113" s="196"/>
      <c r="T113" s="196"/>
      <c r="U113" s="198"/>
      <c r="V113" s="196"/>
      <c r="W113" s="196"/>
      <c r="X113" s="196"/>
      <c r="Y113" s="196"/>
      <c r="Z113" s="198"/>
      <c r="AA113" s="196"/>
      <c r="AB113" s="196"/>
      <c r="AC113" s="196"/>
      <c r="AD113" s="196"/>
      <c r="AF113" s="113"/>
    </row>
    <row r="114" spans="1:32" x14ac:dyDescent="0.25">
      <c r="A114" s="115" t="s">
        <v>139</v>
      </c>
      <c r="B114" s="115"/>
      <c r="C114" s="115"/>
      <c r="D114" s="115"/>
      <c r="E114" s="115"/>
      <c r="G114" s="115"/>
      <c r="H114" s="196"/>
      <c r="I114" s="196"/>
      <c r="J114" s="196"/>
      <c r="K114" s="198"/>
      <c r="L114" s="196"/>
      <c r="M114" s="196"/>
      <c r="N114" s="196"/>
      <c r="O114" s="196"/>
      <c r="P114" s="198"/>
      <c r="Q114" s="196"/>
      <c r="R114" s="196"/>
      <c r="S114" s="196"/>
      <c r="T114" s="196"/>
      <c r="U114" s="198"/>
      <c r="V114" s="196"/>
      <c r="W114" s="196"/>
      <c r="X114" s="196"/>
      <c r="Y114" s="196"/>
      <c r="Z114" s="198"/>
      <c r="AA114" s="196"/>
      <c r="AB114" s="196"/>
      <c r="AC114" s="196"/>
      <c r="AD114" s="196"/>
      <c r="AF114" s="113"/>
    </row>
  </sheetData>
  <mergeCells count="25">
    <mergeCell ref="AF40:AF41"/>
    <mergeCell ref="A84:A85"/>
    <mergeCell ref="B84:E84"/>
    <mergeCell ref="G84:J84"/>
    <mergeCell ref="L84:O84"/>
    <mergeCell ref="Q84:T84"/>
    <mergeCell ref="V84:Y84"/>
    <mergeCell ref="AA84:AD84"/>
    <mergeCell ref="AF84:AF85"/>
    <mergeCell ref="AA4:AD4"/>
    <mergeCell ref="AF4:AF5"/>
    <mergeCell ref="A6:E6"/>
    <mergeCell ref="A40:A41"/>
    <mergeCell ref="B40:E40"/>
    <mergeCell ref="G40:J40"/>
    <mergeCell ref="L40:O40"/>
    <mergeCell ref="Q40:T40"/>
    <mergeCell ref="V40:Y40"/>
    <mergeCell ref="AA40:AD40"/>
    <mergeCell ref="A4:A5"/>
    <mergeCell ref="B4:E4"/>
    <mergeCell ref="G4:J4"/>
    <mergeCell ref="L4:O4"/>
    <mergeCell ref="Q4:T4"/>
    <mergeCell ref="V4:Y4"/>
  </mergeCells>
  <printOptions horizontalCentered="1"/>
  <pageMargins left="0.6" right="0" top="0.65" bottom="0.5" header="0.3" footer="0.3"/>
  <pageSetup paperSize="9" scale="75" orientation="landscape" r:id="rId1"/>
  <headerFooter>
    <oddHeader>&amp;LReporte de Ratios Argentina&amp;R&amp;G</oddHeader>
    <oddFooter>&amp;Cwww.invertironline.com&amp;R&amp;P</oddFooter>
  </headerFooter>
  <rowBreaks count="2" manualBreakCount="2">
    <brk id="38" max="25" man="1"/>
    <brk id="82" max="25" man="1"/>
  </rowBreaks>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564585"/>
  </sheetPr>
  <dimension ref="A1:BD152"/>
  <sheetViews>
    <sheetView topLeftCell="A2" zoomScaleNormal="100" zoomScaleSheetLayoutView="80" workbookViewId="0">
      <selection activeCell="A13" sqref="A1:XFD1048576"/>
    </sheetView>
  </sheetViews>
  <sheetFormatPr baseColWidth="10" defaultRowHeight="15" x14ac:dyDescent="0.25"/>
  <cols>
    <col min="1" max="1" width="9.42578125" customWidth="1"/>
    <col min="2" max="2" width="14.85546875" customWidth="1"/>
    <col min="6" max="6" width="29.42578125" bestFit="1" customWidth="1"/>
    <col min="11" max="11" width="32.28515625" customWidth="1"/>
    <col min="27" max="28" width="11.42578125" style="23"/>
  </cols>
  <sheetData>
    <row r="1" spans="1:11" ht="26.25" x14ac:dyDescent="0.4">
      <c r="A1" s="171" t="s">
        <v>203</v>
      </c>
      <c r="B1" s="171"/>
    </row>
    <row r="2" spans="1:11" ht="9.75" customHeight="1" x14ac:dyDescent="0.25"/>
    <row r="3" spans="1:11" x14ac:dyDescent="0.25">
      <c r="A3" s="230" t="s">
        <v>92</v>
      </c>
      <c r="B3" s="230"/>
    </row>
    <row r="4" spans="1:11" ht="7.5" customHeight="1" x14ac:dyDescent="0.25"/>
    <row r="5" spans="1:11" ht="19.5" customHeight="1" x14ac:dyDescent="0.25">
      <c r="A5" s="231" t="s">
        <v>204</v>
      </c>
      <c r="B5" s="231"/>
      <c r="C5" s="232" t="s">
        <v>205</v>
      </c>
      <c r="D5" s="232"/>
      <c r="E5" s="232"/>
      <c r="F5" s="232"/>
      <c r="G5" s="232"/>
      <c r="H5" s="232"/>
      <c r="I5" s="232"/>
      <c r="J5" s="232"/>
      <c r="K5" s="232"/>
    </row>
    <row r="6" spans="1:11" ht="18.75" customHeight="1" x14ac:dyDescent="0.25">
      <c r="A6" s="231" t="s">
        <v>206</v>
      </c>
      <c r="B6" s="231"/>
      <c r="C6" s="232" t="s">
        <v>207</v>
      </c>
      <c r="D6" s="232"/>
      <c r="E6" s="232"/>
      <c r="F6" s="232"/>
      <c r="G6" s="232"/>
      <c r="H6" s="232"/>
      <c r="I6" s="232"/>
      <c r="J6" s="232"/>
      <c r="K6" s="232"/>
    </row>
    <row r="7" spans="1:11" ht="33" customHeight="1" x14ac:dyDescent="0.25">
      <c r="A7" s="231" t="s">
        <v>208</v>
      </c>
      <c r="B7" s="231"/>
      <c r="C7" s="233" t="s">
        <v>209</v>
      </c>
      <c r="D7" s="233"/>
      <c r="E7" s="233"/>
      <c r="F7" s="233"/>
      <c r="G7" s="233"/>
      <c r="H7" s="233"/>
      <c r="I7" s="233"/>
      <c r="J7" s="233"/>
      <c r="K7" s="233"/>
    </row>
    <row r="8" spans="1:11" ht="33.75" customHeight="1" x14ac:dyDescent="0.25">
      <c r="A8" s="231" t="s">
        <v>210</v>
      </c>
      <c r="B8" s="231"/>
      <c r="C8" s="233" t="s">
        <v>211</v>
      </c>
      <c r="D8" s="233"/>
      <c r="E8" s="233"/>
      <c r="F8" s="233"/>
      <c r="G8" s="233"/>
      <c r="H8" s="233"/>
      <c r="I8" s="233"/>
      <c r="J8" s="233"/>
      <c r="K8" s="233"/>
    </row>
    <row r="9" spans="1:11" ht="48" customHeight="1" x14ac:dyDescent="0.25">
      <c r="A9" s="231" t="s">
        <v>212</v>
      </c>
      <c r="B9" s="231"/>
      <c r="C9" s="233" t="s">
        <v>213</v>
      </c>
      <c r="D9" s="234"/>
      <c r="E9" s="234"/>
      <c r="F9" s="233"/>
      <c r="G9" s="233"/>
      <c r="H9" s="233"/>
      <c r="I9" s="233"/>
      <c r="J9" s="233"/>
      <c r="K9" s="233"/>
    </row>
    <row r="10" spans="1:11" ht="63" customHeight="1" x14ac:dyDescent="0.25">
      <c r="A10" s="231" t="s">
        <v>214</v>
      </c>
      <c r="B10" s="231"/>
      <c r="C10" s="233" t="s">
        <v>215</v>
      </c>
      <c r="D10" s="234"/>
      <c r="E10" s="234"/>
      <c r="F10" s="233"/>
      <c r="G10" s="233"/>
      <c r="H10" s="233"/>
      <c r="I10" s="233"/>
      <c r="J10" s="233"/>
      <c r="K10" s="233"/>
    </row>
    <row r="11" spans="1:11" ht="47.25" customHeight="1" x14ac:dyDescent="0.25">
      <c r="A11" s="231" t="s">
        <v>99</v>
      </c>
      <c r="B11" s="231"/>
      <c r="C11" s="233" t="s">
        <v>216</v>
      </c>
      <c r="D11" s="234"/>
      <c r="E11" s="234"/>
      <c r="F11" s="233"/>
      <c r="G11" s="233"/>
      <c r="H11" s="233"/>
      <c r="I11" s="233"/>
      <c r="J11" s="233"/>
      <c r="K11" s="233"/>
    </row>
    <row r="12" spans="1:11" ht="18.75" customHeight="1" x14ac:dyDescent="0.25">
      <c r="A12" s="231" t="s">
        <v>217</v>
      </c>
      <c r="B12" s="231"/>
      <c r="C12" s="232" t="s">
        <v>218</v>
      </c>
      <c r="D12" s="170"/>
      <c r="E12" s="170"/>
      <c r="F12" s="232"/>
      <c r="G12" s="232"/>
      <c r="H12" s="232"/>
      <c r="I12" s="232"/>
      <c r="J12" s="232"/>
      <c r="K12" s="232"/>
    </row>
    <row r="13" spans="1:11" ht="33" customHeight="1" x14ac:dyDescent="0.25">
      <c r="A13" s="231" t="s">
        <v>219</v>
      </c>
      <c r="B13" s="231"/>
      <c r="C13" s="233" t="s">
        <v>220</v>
      </c>
      <c r="D13" s="234"/>
      <c r="E13" s="234"/>
      <c r="F13" s="233"/>
      <c r="G13" s="233"/>
      <c r="H13" s="233"/>
      <c r="I13" s="233"/>
      <c r="J13" s="233"/>
      <c r="K13" s="233"/>
    </row>
    <row r="14" spans="1:11" ht="48" customHeight="1" x14ac:dyDescent="0.25">
      <c r="A14" s="231" t="s">
        <v>221</v>
      </c>
      <c r="B14" s="231"/>
      <c r="C14" s="233" t="s">
        <v>222</v>
      </c>
      <c r="D14" s="234"/>
      <c r="E14" s="234"/>
      <c r="F14" s="233"/>
      <c r="G14" s="233"/>
      <c r="H14" s="233"/>
      <c r="I14" s="233"/>
      <c r="J14" s="233"/>
      <c r="K14" s="233"/>
    </row>
    <row r="15" spans="1:11" ht="47.25" customHeight="1" x14ac:dyDescent="0.25">
      <c r="A15" s="231" t="s">
        <v>111</v>
      </c>
      <c r="B15" s="231"/>
      <c r="C15" s="233" t="s">
        <v>223</v>
      </c>
      <c r="D15" s="234"/>
      <c r="E15" s="234"/>
      <c r="F15" s="233"/>
      <c r="G15" s="233"/>
      <c r="H15" s="233"/>
      <c r="I15" s="233"/>
      <c r="J15" s="233"/>
      <c r="K15" s="233"/>
    </row>
    <row r="16" spans="1:11" ht="33" customHeight="1" x14ac:dyDescent="0.25">
      <c r="A16" s="231" t="s">
        <v>102</v>
      </c>
      <c r="B16" s="231"/>
      <c r="C16" s="233" t="s">
        <v>224</v>
      </c>
      <c r="D16" s="234"/>
      <c r="E16" s="234"/>
      <c r="F16" s="233"/>
      <c r="G16" s="233"/>
      <c r="H16" s="233"/>
      <c r="I16" s="233"/>
      <c r="J16" s="233"/>
      <c r="K16" s="233"/>
    </row>
    <row r="17" spans="1:56" ht="32.25" customHeight="1" x14ac:dyDescent="0.25">
      <c r="A17" s="231" t="s">
        <v>112</v>
      </c>
      <c r="B17" s="231"/>
      <c r="C17" s="235" t="s">
        <v>225</v>
      </c>
      <c r="D17" s="236"/>
      <c r="E17" s="236"/>
      <c r="F17" s="235"/>
      <c r="G17" s="235"/>
      <c r="H17" s="235"/>
      <c r="I17" s="235"/>
      <c r="J17" s="235"/>
      <c r="K17" s="235"/>
    </row>
    <row r="18" spans="1:56" ht="47.25" customHeight="1" x14ac:dyDescent="0.25">
      <c r="A18" s="231" t="s">
        <v>113</v>
      </c>
      <c r="B18" s="231"/>
      <c r="C18" s="233" t="s">
        <v>226</v>
      </c>
      <c r="D18" s="234"/>
      <c r="E18" s="234"/>
      <c r="F18" s="233"/>
      <c r="G18" s="233"/>
      <c r="H18" s="233"/>
      <c r="I18" s="233"/>
      <c r="J18" s="233"/>
      <c r="K18" s="233"/>
    </row>
    <row r="19" spans="1:56" ht="35.25" customHeight="1" x14ac:dyDescent="0.25">
      <c r="A19" s="231" t="s">
        <v>114</v>
      </c>
      <c r="B19" s="231"/>
      <c r="C19" s="233" t="s">
        <v>227</v>
      </c>
      <c r="D19" s="237"/>
      <c r="E19" s="237"/>
      <c r="F19" s="238"/>
      <c r="G19" s="238"/>
      <c r="H19" s="238"/>
      <c r="I19" s="238"/>
      <c r="J19" s="238"/>
      <c r="K19" s="238"/>
    </row>
    <row r="20" spans="1:56" ht="34.5" customHeight="1" x14ac:dyDescent="0.25">
      <c r="A20" s="231" t="s">
        <v>115</v>
      </c>
      <c r="B20" s="231"/>
      <c r="C20" s="233" t="s">
        <v>228</v>
      </c>
      <c r="D20" s="233"/>
      <c r="E20" s="233"/>
      <c r="F20" s="233"/>
      <c r="G20" s="233"/>
      <c r="H20" s="233"/>
      <c r="I20" s="233"/>
      <c r="J20" s="233"/>
      <c r="K20" s="233"/>
    </row>
    <row r="21" spans="1:56" ht="35.25" customHeight="1" x14ac:dyDescent="0.25">
      <c r="A21" s="231" t="s">
        <v>116</v>
      </c>
      <c r="B21" s="231"/>
      <c r="C21" s="233" t="s">
        <v>229</v>
      </c>
      <c r="D21" s="233"/>
      <c r="E21" s="233"/>
      <c r="F21" s="233"/>
      <c r="G21" s="233"/>
      <c r="H21" s="233"/>
      <c r="I21" s="233"/>
      <c r="J21" s="233"/>
      <c r="K21" s="233"/>
    </row>
    <row r="22" spans="1:56" x14ac:dyDescent="0.25">
      <c r="A22" s="230" t="s">
        <v>230</v>
      </c>
      <c r="B22" s="230"/>
    </row>
    <row r="23" spans="1:56" ht="9" customHeight="1" x14ac:dyDescent="0.25">
      <c r="D23" s="170"/>
      <c r="E23" s="170"/>
    </row>
    <row r="24" spans="1:56" ht="21" customHeight="1" x14ac:dyDescent="0.25">
      <c r="A24" s="239" t="s">
        <v>142</v>
      </c>
      <c r="B24" s="239"/>
      <c r="C24" s="232" t="s">
        <v>231</v>
      </c>
      <c r="D24" s="170"/>
      <c r="E24" s="170"/>
      <c r="F24" s="232"/>
      <c r="G24" s="232"/>
      <c r="H24" s="232"/>
      <c r="I24" s="232"/>
      <c r="J24" s="232"/>
      <c r="K24" s="232"/>
    </row>
    <row r="25" spans="1:56" ht="23.25" customHeight="1" x14ac:dyDescent="0.25">
      <c r="A25" s="239" t="s">
        <v>143</v>
      </c>
      <c r="B25" s="239"/>
      <c r="C25" s="232" t="s">
        <v>232</v>
      </c>
      <c r="D25" s="170"/>
      <c r="E25" s="170"/>
      <c r="F25" s="232"/>
      <c r="G25" s="232"/>
      <c r="H25" s="232"/>
      <c r="I25" s="232"/>
      <c r="J25" s="232"/>
      <c r="K25" s="232"/>
    </row>
    <row r="26" spans="1:56" ht="21" customHeight="1" x14ac:dyDescent="0.25">
      <c r="A26" s="231" t="s">
        <v>148</v>
      </c>
      <c r="B26" s="231"/>
      <c r="C26" s="232" t="s">
        <v>233</v>
      </c>
      <c r="D26" s="170"/>
      <c r="E26" s="170"/>
      <c r="F26" s="232"/>
      <c r="G26" s="232"/>
      <c r="H26" s="232"/>
      <c r="I26" s="232"/>
      <c r="J26" s="232"/>
      <c r="K26" s="232"/>
    </row>
    <row r="27" spans="1:56" ht="39" customHeight="1" x14ac:dyDescent="0.25">
      <c r="A27" s="240" t="s">
        <v>234</v>
      </c>
      <c r="B27" s="240"/>
      <c r="C27" s="233" t="s">
        <v>235</v>
      </c>
      <c r="D27" s="234"/>
      <c r="E27" s="234"/>
      <c r="F27" s="233"/>
      <c r="G27" s="233"/>
      <c r="H27" s="233"/>
      <c r="I27" s="233"/>
      <c r="J27" s="233"/>
      <c r="K27" s="233"/>
    </row>
    <row r="28" spans="1:56" ht="38.25" customHeight="1" x14ac:dyDescent="0.25">
      <c r="A28" s="231" t="s">
        <v>236</v>
      </c>
      <c r="B28" s="231"/>
      <c r="C28" s="233" t="s">
        <v>237</v>
      </c>
      <c r="D28" s="234"/>
      <c r="E28" s="234"/>
      <c r="F28" s="233"/>
      <c r="G28" s="233"/>
      <c r="H28" s="233"/>
      <c r="I28" s="233"/>
      <c r="J28" s="233"/>
      <c r="K28" s="233"/>
    </row>
    <row r="29" spans="1:56" ht="38.25" customHeight="1" x14ac:dyDescent="0.25">
      <c r="A29" s="231" t="s">
        <v>238</v>
      </c>
      <c r="B29" s="231"/>
      <c r="C29" s="233" t="s">
        <v>239</v>
      </c>
      <c r="D29" s="234"/>
      <c r="E29" s="234"/>
      <c r="F29" s="233"/>
      <c r="G29" s="233"/>
      <c r="H29" s="233"/>
      <c r="I29" s="233"/>
      <c r="J29" s="233"/>
      <c r="K29" s="233"/>
    </row>
    <row r="30" spans="1:56" ht="37.5" customHeight="1" x14ac:dyDescent="0.25">
      <c r="A30" s="231" t="s">
        <v>240</v>
      </c>
      <c r="B30" s="231"/>
      <c r="C30" s="241" t="s">
        <v>241</v>
      </c>
      <c r="D30" s="241"/>
      <c r="E30" s="241"/>
      <c r="F30" s="241"/>
      <c r="G30" s="241"/>
      <c r="H30" s="241"/>
      <c r="I30" s="241"/>
      <c r="J30" s="241"/>
      <c r="K30" s="241"/>
      <c r="L30" s="242" t="s">
        <v>242</v>
      </c>
      <c r="M30" s="242"/>
      <c r="N30" s="242"/>
      <c r="O30" s="242"/>
      <c r="P30" s="242"/>
      <c r="Q30" s="242"/>
      <c r="R30" s="242"/>
      <c r="S30" s="242"/>
      <c r="T30" s="242"/>
      <c r="U30" s="242"/>
      <c r="V30" s="242"/>
      <c r="W30" s="242"/>
      <c r="X30" s="242"/>
      <c r="Y30" s="242"/>
      <c r="Z30" s="242"/>
      <c r="AA30" s="242"/>
      <c r="AB30" s="242"/>
      <c r="AC30" s="242"/>
      <c r="AD30" s="242"/>
      <c r="AE30" s="242"/>
      <c r="AF30" s="242"/>
      <c r="AG30" s="242"/>
      <c r="AH30" s="242"/>
      <c r="AI30" s="242"/>
      <c r="AJ30" s="242"/>
      <c r="AK30" s="242"/>
      <c r="AL30" s="242"/>
      <c r="AM30" s="242"/>
      <c r="AN30" s="242"/>
      <c r="AO30" s="242"/>
      <c r="AP30" s="242"/>
      <c r="AQ30" s="242"/>
      <c r="AR30" s="242"/>
      <c r="AS30" s="242"/>
      <c r="AT30" s="242"/>
      <c r="AU30" s="242"/>
      <c r="AV30" s="242"/>
      <c r="AW30" s="242"/>
      <c r="AX30" s="242"/>
      <c r="AY30" s="242"/>
      <c r="AZ30" s="242"/>
      <c r="BA30" s="242"/>
      <c r="BB30" s="242"/>
      <c r="BC30" s="242"/>
      <c r="BD30" s="243"/>
    </row>
    <row r="31" spans="1:56" ht="36" customHeight="1" x14ac:dyDescent="0.25">
      <c r="A31" s="240" t="s">
        <v>243</v>
      </c>
      <c r="B31" s="240"/>
      <c r="C31" s="241" t="s">
        <v>244</v>
      </c>
      <c r="D31" s="241"/>
      <c r="E31" s="241"/>
      <c r="F31" s="241"/>
      <c r="G31" s="241"/>
      <c r="H31" s="241"/>
      <c r="I31" s="241"/>
      <c r="J31" s="241"/>
      <c r="K31" s="241"/>
      <c r="L31" s="242"/>
      <c r="M31" s="242"/>
      <c r="N31" s="242"/>
      <c r="O31" s="242"/>
      <c r="P31" s="242"/>
      <c r="Q31" s="242"/>
      <c r="R31" s="242"/>
      <c r="S31" s="242"/>
      <c r="T31" s="242"/>
      <c r="U31" s="242"/>
      <c r="V31" s="242"/>
      <c r="W31" s="242"/>
      <c r="X31" s="242"/>
      <c r="Y31" s="242"/>
      <c r="Z31" s="242"/>
      <c r="AA31" s="242"/>
      <c r="AB31" s="242"/>
      <c r="AC31" s="242"/>
      <c r="AD31" s="242"/>
      <c r="AE31" s="242"/>
      <c r="AF31" s="242"/>
      <c r="AG31" s="242"/>
      <c r="AH31" s="242"/>
      <c r="AI31" s="242"/>
      <c r="AJ31" s="242"/>
      <c r="AK31" s="242"/>
      <c r="AL31" s="242"/>
      <c r="AM31" s="242"/>
      <c r="AN31" s="242"/>
      <c r="AO31" s="242"/>
      <c r="AP31" s="242"/>
      <c r="AQ31" s="242"/>
      <c r="AR31" s="242"/>
      <c r="AS31" s="242"/>
      <c r="AT31" s="242"/>
      <c r="AU31" s="242"/>
      <c r="AV31" s="242"/>
      <c r="AW31" s="242"/>
      <c r="AX31" s="242"/>
      <c r="AY31" s="242"/>
      <c r="AZ31" s="242"/>
      <c r="BA31" s="242"/>
      <c r="BB31" s="242"/>
      <c r="BC31" s="242"/>
      <c r="BD31" s="244"/>
    </row>
    <row r="32" spans="1:56" ht="37.5" customHeight="1" x14ac:dyDescent="0.25">
      <c r="A32" s="231" t="s">
        <v>245</v>
      </c>
      <c r="B32" s="231"/>
      <c r="C32" s="245" t="s">
        <v>246</v>
      </c>
      <c r="D32" s="245"/>
      <c r="E32" s="245"/>
      <c r="F32" s="245"/>
      <c r="G32" s="245"/>
      <c r="H32" s="245"/>
      <c r="I32" s="245"/>
      <c r="J32" s="245"/>
      <c r="K32" s="245"/>
      <c r="L32" s="246"/>
      <c r="M32" s="246"/>
      <c r="N32" s="246"/>
      <c r="O32" s="246"/>
      <c r="P32" s="246"/>
      <c r="Q32" s="246"/>
      <c r="R32" s="246"/>
      <c r="S32" s="246"/>
      <c r="T32" s="246"/>
      <c r="U32" s="246"/>
      <c r="V32" s="246"/>
      <c r="W32" s="246"/>
      <c r="X32" s="246"/>
      <c r="Y32" s="246"/>
      <c r="Z32" s="246"/>
      <c r="AA32" s="247"/>
      <c r="AB32" s="247"/>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4"/>
    </row>
    <row r="33" spans="1:56" ht="37.5" customHeight="1" x14ac:dyDescent="0.25">
      <c r="A33" s="231" t="s">
        <v>247</v>
      </c>
      <c r="B33" s="231"/>
      <c r="C33" s="245" t="s">
        <v>248</v>
      </c>
      <c r="D33" s="234"/>
      <c r="E33" s="234"/>
      <c r="F33" s="245"/>
      <c r="G33" s="245"/>
      <c r="H33" s="245"/>
      <c r="I33" s="245"/>
      <c r="J33" s="245"/>
      <c r="K33" s="245"/>
      <c r="L33" s="246"/>
      <c r="M33" s="246"/>
      <c r="N33" s="246"/>
      <c r="O33" s="246"/>
      <c r="P33" s="246"/>
      <c r="Q33" s="246"/>
      <c r="R33" s="246"/>
      <c r="S33" s="246"/>
      <c r="T33" s="246"/>
      <c r="U33" s="246"/>
      <c r="V33" s="246"/>
      <c r="W33" s="246"/>
      <c r="X33" s="246"/>
      <c r="Y33" s="246"/>
      <c r="Z33" s="246"/>
      <c r="AA33" s="247"/>
      <c r="AB33" s="247"/>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4"/>
    </row>
    <row r="34" spans="1:56" ht="36.75" customHeight="1" x14ac:dyDescent="0.25">
      <c r="A34" s="231" t="s">
        <v>249</v>
      </c>
      <c r="B34" s="231"/>
      <c r="C34" s="245" t="s">
        <v>250</v>
      </c>
      <c r="D34" s="234"/>
      <c r="E34" s="234"/>
      <c r="F34" s="245"/>
      <c r="G34" s="245"/>
      <c r="H34" s="245"/>
      <c r="I34" s="245"/>
      <c r="J34" s="245"/>
      <c r="K34" s="245"/>
      <c r="L34" s="248"/>
      <c r="M34" s="248"/>
      <c r="N34" s="248"/>
      <c r="O34" s="248"/>
      <c r="P34" s="248"/>
      <c r="Q34" s="248"/>
      <c r="R34" s="248"/>
      <c r="S34" s="248"/>
      <c r="T34" s="248"/>
      <c r="U34" s="248"/>
      <c r="V34" s="248"/>
      <c r="W34" s="248"/>
      <c r="X34" s="248"/>
      <c r="Y34" s="248"/>
      <c r="Z34" s="248"/>
      <c r="AA34" s="249"/>
      <c r="AB34" s="249"/>
      <c r="AC34" s="248"/>
      <c r="AD34" s="248"/>
      <c r="AE34" s="248"/>
      <c r="AF34" s="248"/>
      <c r="AG34" s="248"/>
      <c r="AH34" s="248"/>
      <c r="AI34" s="248"/>
      <c r="AJ34" s="248"/>
      <c r="AK34" s="248"/>
      <c r="AL34" s="248"/>
      <c r="AM34" s="248"/>
      <c r="AN34" s="248"/>
      <c r="AO34" s="248"/>
      <c r="AP34" s="248"/>
      <c r="AQ34" s="248"/>
      <c r="AR34" s="248"/>
      <c r="AS34" s="248"/>
      <c r="AT34" s="248"/>
      <c r="AU34" s="248"/>
      <c r="AV34" s="248"/>
      <c r="AW34" s="248"/>
      <c r="AX34" s="248"/>
      <c r="AY34" s="248"/>
      <c r="AZ34" s="248"/>
      <c r="BA34" s="248"/>
      <c r="BB34" s="248"/>
      <c r="BC34" s="248"/>
      <c r="BD34" s="244"/>
    </row>
    <row r="35" spans="1:56" ht="37.5" customHeight="1" x14ac:dyDescent="0.25">
      <c r="A35" s="231" t="s">
        <v>157</v>
      </c>
      <c r="B35" s="231"/>
      <c r="C35" s="245" t="s">
        <v>251</v>
      </c>
      <c r="D35" s="234"/>
      <c r="E35" s="234"/>
      <c r="F35" s="245"/>
      <c r="G35" s="245"/>
      <c r="H35" s="245"/>
      <c r="I35" s="245"/>
      <c r="J35" s="245"/>
      <c r="K35" s="245"/>
      <c r="L35" s="246"/>
      <c r="M35" s="246"/>
      <c r="N35" s="246"/>
      <c r="O35" s="246"/>
      <c r="P35" s="246"/>
      <c r="Q35" s="246"/>
      <c r="R35" s="246"/>
      <c r="S35" s="246"/>
      <c r="T35" s="246"/>
      <c r="U35" s="246"/>
      <c r="V35" s="246"/>
      <c r="W35" s="246"/>
      <c r="X35" s="246"/>
      <c r="Y35" s="246"/>
      <c r="Z35" s="246"/>
      <c r="AA35" s="247"/>
      <c r="AB35" s="247"/>
      <c r="AC35" s="246"/>
      <c r="AD35" s="246"/>
      <c r="AE35" s="246"/>
      <c r="AF35" s="246"/>
      <c r="AG35" s="246"/>
      <c r="AH35" s="246"/>
      <c r="AI35" s="246"/>
      <c r="AJ35" s="246" t="s">
        <v>26</v>
      </c>
      <c r="AK35" s="250" t="s">
        <v>27</v>
      </c>
      <c r="AL35" s="246"/>
      <c r="AM35" s="246"/>
      <c r="AN35" s="246"/>
      <c r="AO35" s="246"/>
      <c r="AP35" s="246"/>
      <c r="AQ35" s="246"/>
      <c r="AR35" s="246"/>
      <c r="AS35" s="246"/>
      <c r="AT35" s="246"/>
      <c r="AU35" s="246"/>
      <c r="AV35" s="246"/>
      <c r="AW35" s="246"/>
      <c r="AX35" s="246"/>
      <c r="AY35" s="246"/>
      <c r="AZ35" s="246"/>
      <c r="BA35" s="246"/>
      <c r="BB35" s="246"/>
      <c r="BC35" s="246"/>
      <c r="BD35" s="244"/>
    </row>
    <row r="36" spans="1:56" ht="51" customHeight="1" x14ac:dyDescent="0.25">
      <c r="A36" s="240" t="s">
        <v>252</v>
      </c>
      <c r="B36" s="240"/>
      <c r="C36" s="245" t="s">
        <v>253</v>
      </c>
      <c r="D36" s="234"/>
      <c r="E36" s="234"/>
      <c r="F36" s="245"/>
      <c r="G36" s="245"/>
      <c r="H36" s="245"/>
      <c r="I36" s="245"/>
      <c r="J36" s="245"/>
      <c r="K36" s="245"/>
      <c r="L36" s="246"/>
      <c r="M36" s="246"/>
      <c r="N36" s="246"/>
      <c r="O36" s="246"/>
      <c r="P36" s="246"/>
      <c r="Q36" s="246"/>
      <c r="R36" s="246"/>
      <c r="S36" s="246"/>
      <c r="T36" s="246"/>
      <c r="U36" s="246"/>
      <c r="V36" s="246"/>
      <c r="W36" s="246"/>
      <c r="X36" s="246"/>
      <c r="Y36" s="246"/>
      <c r="Z36" s="246"/>
      <c r="AA36" s="247"/>
      <c r="AB36" s="247"/>
      <c r="AC36" s="246"/>
      <c r="AD36" s="246"/>
      <c r="AE36" s="246"/>
      <c r="AF36" s="246"/>
      <c r="AG36" s="246"/>
      <c r="AH36" s="246"/>
      <c r="AI36" s="246"/>
      <c r="AJ36" s="246"/>
      <c r="AK36" s="246"/>
      <c r="AL36" s="246"/>
      <c r="AM36" s="246"/>
      <c r="AN36" s="246"/>
      <c r="AO36" s="246"/>
      <c r="AP36" s="246"/>
      <c r="AQ36" s="246"/>
      <c r="AR36" s="246"/>
      <c r="AS36" s="246"/>
      <c r="AT36" s="246"/>
      <c r="AU36" s="246"/>
      <c r="AV36" s="246"/>
      <c r="AW36" s="246"/>
      <c r="AX36" s="246"/>
      <c r="AY36" s="246"/>
      <c r="AZ36" s="246"/>
      <c r="BA36" s="246"/>
      <c r="BB36" s="246"/>
      <c r="BC36" s="246"/>
      <c r="BD36" s="244"/>
    </row>
    <row r="37" spans="1:56" ht="45" customHeight="1" x14ac:dyDescent="0.25">
      <c r="A37" s="231" t="s">
        <v>254</v>
      </c>
      <c r="B37" s="231"/>
      <c r="C37" s="245" t="s">
        <v>255</v>
      </c>
      <c r="D37" s="234"/>
      <c r="E37" s="234"/>
      <c r="F37" s="245"/>
      <c r="G37" s="245"/>
      <c r="H37" s="245"/>
      <c r="I37" s="245"/>
      <c r="J37" s="245"/>
      <c r="K37" s="245"/>
      <c r="L37" s="246"/>
      <c r="M37" s="246"/>
      <c r="N37" s="246"/>
      <c r="O37" s="246"/>
      <c r="P37" s="246"/>
      <c r="Q37" s="246"/>
      <c r="R37" s="246"/>
      <c r="S37" s="246"/>
      <c r="T37" s="246"/>
      <c r="U37" s="246"/>
      <c r="V37" s="246"/>
      <c r="W37" s="246"/>
      <c r="X37" s="246"/>
      <c r="Y37" s="246"/>
      <c r="Z37" s="246"/>
      <c r="AA37" s="247"/>
      <c r="AB37" s="247"/>
      <c r="AC37" s="246"/>
      <c r="AD37" s="246"/>
      <c r="AE37" s="246"/>
      <c r="AF37" s="246"/>
      <c r="AG37" s="246"/>
      <c r="AH37" s="246"/>
      <c r="AI37" s="246"/>
      <c r="AJ37" s="246"/>
      <c r="AK37" s="246"/>
      <c r="AL37" s="246"/>
      <c r="AM37" s="246"/>
      <c r="AN37" s="246"/>
      <c r="AO37" s="246"/>
      <c r="AP37" s="246"/>
      <c r="AQ37" s="246"/>
      <c r="AR37" s="246"/>
      <c r="AS37" s="246"/>
      <c r="AT37" s="246"/>
      <c r="AU37" s="246"/>
      <c r="AV37" s="246"/>
      <c r="AW37" s="246"/>
      <c r="AX37" s="246"/>
      <c r="AY37" s="246"/>
      <c r="AZ37" s="246"/>
      <c r="BA37" s="246"/>
      <c r="BB37" s="246"/>
      <c r="BC37" s="246"/>
      <c r="BD37" s="244"/>
    </row>
    <row r="38" spans="1:56" ht="36.75" customHeight="1" x14ac:dyDescent="0.25">
      <c r="A38" s="231" t="s">
        <v>256</v>
      </c>
      <c r="B38" s="231"/>
      <c r="C38" s="245" t="s">
        <v>257</v>
      </c>
      <c r="D38" s="234"/>
      <c r="E38" s="234"/>
      <c r="F38" s="245"/>
      <c r="G38" s="245"/>
      <c r="H38" s="245"/>
      <c r="I38" s="245"/>
      <c r="J38" s="245"/>
      <c r="K38" s="245"/>
      <c r="L38" s="248"/>
      <c r="M38" s="248"/>
      <c r="N38" s="248"/>
      <c r="O38" s="248"/>
      <c r="P38" s="248"/>
      <c r="Q38" s="248"/>
      <c r="R38" s="248"/>
      <c r="S38" s="248"/>
      <c r="T38" s="248"/>
      <c r="U38" s="248"/>
      <c r="V38" s="248"/>
      <c r="W38" s="248"/>
      <c r="X38" s="248"/>
      <c r="Y38" s="248"/>
      <c r="Z38" s="248"/>
      <c r="AA38" s="249"/>
      <c r="AB38" s="249"/>
      <c r="AC38" s="248"/>
      <c r="AD38" s="248"/>
      <c r="AE38" s="248"/>
      <c r="AF38" s="248"/>
      <c r="AG38" s="248"/>
      <c r="AH38" s="248"/>
      <c r="AI38" s="248"/>
      <c r="AJ38" s="248"/>
      <c r="AK38" s="248"/>
      <c r="AL38" s="248"/>
      <c r="AM38" s="248"/>
      <c r="AN38" s="248"/>
      <c r="AO38" s="248"/>
      <c r="AP38" s="248"/>
      <c r="AQ38" s="248"/>
      <c r="AR38" s="248"/>
      <c r="AS38" s="248"/>
      <c r="AT38" s="248"/>
      <c r="AU38" s="248"/>
      <c r="AV38" s="248"/>
      <c r="AW38" s="248"/>
      <c r="AX38" s="248"/>
      <c r="AY38" s="248"/>
      <c r="AZ38" s="248"/>
      <c r="BA38" s="248"/>
      <c r="BB38" s="248"/>
      <c r="BC38" s="248"/>
      <c r="BD38" s="244"/>
    </row>
    <row r="39" spans="1:56" ht="36.75" customHeight="1" x14ac:dyDescent="0.25">
      <c r="A39" s="240" t="s">
        <v>258</v>
      </c>
      <c r="B39" s="240"/>
      <c r="C39" s="245" t="s">
        <v>259</v>
      </c>
      <c r="D39" s="234"/>
      <c r="E39" s="234"/>
      <c r="F39" s="245"/>
      <c r="G39" s="245"/>
      <c r="H39" s="245"/>
      <c r="I39" s="245"/>
      <c r="J39" s="245"/>
      <c r="K39" s="245"/>
      <c r="L39" s="251"/>
      <c r="M39" s="251"/>
      <c r="N39" s="251"/>
      <c r="O39" s="251"/>
      <c r="P39" s="251"/>
      <c r="Q39" s="251"/>
      <c r="R39" s="251"/>
      <c r="S39" s="251"/>
      <c r="T39" s="251"/>
      <c r="U39" s="251"/>
      <c r="V39" s="251"/>
      <c r="W39" s="251"/>
      <c r="X39" s="251"/>
      <c r="Y39" s="251"/>
      <c r="Z39" s="251"/>
      <c r="AA39" s="252"/>
      <c r="AB39" s="252"/>
      <c r="AC39" s="251"/>
      <c r="AD39" s="251"/>
      <c r="AE39" s="251"/>
      <c r="AF39" s="251"/>
      <c r="AG39" s="251"/>
      <c r="AH39" s="251"/>
      <c r="AI39" s="251"/>
      <c r="AJ39" s="251"/>
      <c r="AK39" s="251"/>
      <c r="AL39" s="251"/>
      <c r="AM39" s="251"/>
      <c r="AN39" s="251"/>
      <c r="AO39" s="251"/>
      <c r="AP39" s="251"/>
      <c r="AQ39" s="251"/>
      <c r="AR39" s="251"/>
      <c r="AS39" s="251"/>
      <c r="AT39" s="251"/>
      <c r="AU39" s="251"/>
      <c r="AV39" s="251"/>
      <c r="AW39" s="251"/>
      <c r="AX39" s="251"/>
      <c r="AY39" s="251"/>
      <c r="AZ39" s="251"/>
      <c r="BA39" s="251"/>
      <c r="BB39" s="251"/>
      <c r="BC39" s="251"/>
      <c r="BD39" s="244"/>
    </row>
    <row r="40" spans="1:56" ht="20.25" customHeight="1" x14ac:dyDescent="0.25">
      <c r="A40" s="240" t="s">
        <v>162</v>
      </c>
      <c r="B40" s="240"/>
      <c r="C40" s="253" t="s">
        <v>260</v>
      </c>
      <c r="D40" s="236"/>
      <c r="E40" s="236"/>
      <c r="F40" s="253"/>
      <c r="G40" s="253"/>
      <c r="H40" s="253"/>
      <c r="I40" s="253"/>
      <c r="J40" s="253"/>
      <c r="K40" s="253"/>
      <c r="L40" s="254"/>
      <c r="M40" s="254"/>
      <c r="N40" s="254"/>
      <c r="O40" s="254"/>
      <c r="P40" s="254"/>
      <c r="Q40" s="254"/>
      <c r="R40" s="254"/>
      <c r="S40" s="254"/>
      <c r="T40" s="254"/>
      <c r="U40" s="254"/>
      <c r="V40" s="254"/>
      <c r="W40" s="254"/>
      <c r="X40" s="254"/>
      <c r="Y40" s="254"/>
      <c r="Z40" s="254"/>
      <c r="AA40" s="255"/>
      <c r="AB40" s="255"/>
      <c r="AC40" s="254"/>
      <c r="AD40" s="254"/>
      <c r="AE40" s="254"/>
      <c r="AF40" s="254"/>
      <c r="AG40" s="254"/>
      <c r="AH40" s="254"/>
      <c r="AI40" s="254"/>
      <c r="AJ40" s="254"/>
      <c r="AK40" s="254"/>
      <c r="AL40" s="254"/>
      <c r="AM40" s="254"/>
      <c r="AN40" s="254"/>
      <c r="AO40" s="254"/>
      <c r="AP40" s="254"/>
      <c r="AQ40" s="254"/>
      <c r="AR40" s="254"/>
      <c r="AS40" s="254"/>
      <c r="AT40" s="254"/>
      <c r="AU40" s="254"/>
      <c r="AV40" s="254"/>
      <c r="AW40" s="254"/>
      <c r="AX40" s="254"/>
      <c r="AY40" s="254"/>
      <c r="AZ40" s="254"/>
      <c r="BA40" s="254"/>
      <c r="BB40" s="254"/>
      <c r="BC40" s="254"/>
      <c r="BD40" s="244"/>
    </row>
    <row r="41" spans="1:56" ht="21" customHeight="1" x14ac:dyDescent="0.25">
      <c r="A41" s="231" t="s">
        <v>163</v>
      </c>
      <c r="B41" s="231"/>
      <c r="C41" s="256" t="s">
        <v>261</v>
      </c>
      <c r="D41" s="256"/>
      <c r="E41" s="256"/>
      <c r="F41" s="256"/>
      <c r="G41" s="256"/>
      <c r="H41" s="256"/>
      <c r="I41" s="256"/>
      <c r="J41" s="256"/>
      <c r="K41" s="256"/>
      <c r="L41" s="248"/>
      <c r="M41" s="248"/>
      <c r="N41" s="248"/>
      <c r="O41" s="248"/>
      <c r="P41" s="248"/>
      <c r="Q41" s="248"/>
      <c r="R41" s="248"/>
      <c r="S41" s="248"/>
      <c r="T41" s="248"/>
      <c r="U41" s="248"/>
      <c r="V41" s="248"/>
      <c r="W41" s="248"/>
      <c r="X41" s="248"/>
      <c r="Y41" s="248"/>
      <c r="Z41" s="248"/>
      <c r="AA41" s="249"/>
      <c r="AB41" s="249"/>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4"/>
    </row>
    <row r="42" spans="1:56" ht="19.5" customHeight="1" x14ac:dyDescent="0.25">
      <c r="A42" s="231" t="s">
        <v>164</v>
      </c>
      <c r="B42" s="231"/>
      <c r="C42" s="256" t="s">
        <v>262</v>
      </c>
      <c r="D42" s="256"/>
      <c r="E42" s="256"/>
      <c r="F42" s="256"/>
      <c r="G42" s="256"/>
      <c r="H42" s="256"/>
      <c r="I42" s="256"/>
      <c r="J42" s="256"/>
      <c r="K42" s="256"/>
      <c r="L42" s="246"/>
      <c r="M42" s="246"/>
      <c r="N42" s="246"/>
      <c r="O42" s="246"/>
      <c r="P42" s="246"/>
      <c r="Q42" s="246"/>
      <c r="R42" s="246"/>
      <c r="S42" s="246"/>
      <c r="T42" s="246"/>
      <c r="U42" s="246"/>
      <c r="V42" s="246"/>
      <c r="W42" s="246"/>
      <c r="X42" s="246"/>
      <c r="Y42" s="246"/>
      <c r="Z42" s="246"/>
      <c r="AA42" s="247"/>
      <c r="AB42" s="247"/>
      <c r="AC42" s="246"/>
      <c r="AD42" s="246"/>
      <c r="AE42" s="246"/>
      <c r="AF42" s="246"/>
      <c r="AG42" s="246"/>
      <c r="AH42" s="246"/>
      <c r="AI42" s="246"/>
      <c r="AJ42" s="246"/>
      <c r="AK42" s="246"/>
      <c r="AL42" s="246"/>
      <c r="AM42" s="246"/>
      <c r="AN42" s="246"/>
      <c r="AO42" s="246"/>
      <c r="AP42" s="246"/>
      <c r="AQ42" s="246"/>
      <c r="AR42" s="246"/>
      <c r="AS42" s="246"/>
      <c r="AT42" s="246"/>
      <c r="AU42" s="246"/>
      <c r="AV42" s="246"/>
      <c r="AW42" s="246"/>
      <c r="AX42" s="246"/>
      <c r="AY42" s="246"/>
      <c r="AZ42" s="246"/>
      <c r="BA42" s="246"/>
      <c r="BB42" s="246"/>
      <c r="BC42" s="246"/>
      <c r="BD42" s="244"/>
    </row>
    <row r="43" spans="1:56" ht="21" customHeight="1" x14ac:dyDescent="0.25">
      <c r="A43" s="231" t="s">
        <v>263</v>
      </c>
      <c r="B43" s="231"/>
      <c r="C43" s="256" t="s">
        <v>264</v>
      </c>
      <c r="D43" s="256"/>
      <c r="E43" s="256"/>
      <c r="F43" s="256"/>
      <c r="G43" s="256"/>
      <c r="H43" s="256"/>
      <c r="I43" s="256"/>
      <c r="J43" s="256"/>
      <c r="K43" s="256"/>
      <c r="L43" s="246"/>
      <c r="M43" s="246"/>
      <c r="N43" s="246"/>
      <c r="O43" s="246"/>
      <c r="P43" s="246"/>
      <c r="Q43" s="246"/>
      <c r="R43" s="246"/>
      <c r="S43" s="246"/>
      <c r="T43" s="246"/>
      <c r="U43" s="246"/>
      <c r="V43" s="246"/>
      <c r="W43" s="246"/>
      <c r="X43" s="246"/>
      <c r="Y43" s="246"/>
      <c r="Z43" s="246"/>
      <c r="AA43" s="247"/>
      <c r="AB43" s="247"/>
      <c r="AC43" s="246"/>
      <c r="AD43" s="246"/>
      <c r="AE43" s="246"/>
      <c r="AF43" s="246"/>
      <c r="AG43" s="246"/>
      <c r="AH43" s="246"/>
      <c r="AI43" s="246"/>
      <c r="AJ43" s="246"/>
      <c r="AK43" s="246"/>
      <c r="AL43" s="246"/>
      <c r="AM43" s="246"/>
      <c r="AN43" s="246"/>
      <c r="AO43" s="246"/>
      <c r="AP43" s="246"/>
      <c r="AQ43" s="246"/>
      <c r="AR43" s="246"/>
      <c r="AS43" s="246"/>
      <c r="AT43" s="246"/>
      <c r="AU43" s="246"/>
      <c r="AV43" s="246"/>
      <c r="AW43" s="246"/>
      <c r="AX43" s="246"/>
      <c r="AY43" s="246"/>
      <c r="AZ43" s="246"/>
      <c r="BA43" s="246"/>
      <c r="BB43" s="246"/>
      <c r="BC43" s="246"/>
      <c r="BD43" s="244"/>
    </row>
    <row r="44" spans="1:56" ht="18.75" customHeight="1" x14ac:dyDescent="0.25">
      <c r="A44" s="231" t="s">
        <v>166</v>
      </c>
      <c r="B44" s="231"/>
      <c r="C44" s="256" t="s">
        <v>265</v>
      </c>
      <c r="D44" s="256"/>
      <c r="E44" s="256"/>
      <c r="F44" s="256"/>
      <c r="G44" s="256"/>
      <c r="H44" s="256"/>
      <c r="I44" s="256"/>
      <c r="J44" s="256"/>
      <c r="K44" s="256"/>
      <c r="L44" s="246"/>
      <c r="M44" s="246"/>
      <c r="N44" s="246"/>
      <c r="O44" s="246"/>
      <c r="P44" s="246"/>
      <c r="Q44" s="246"/>
      <c r="R44" s="246"/>
      <c r="S44" s="246"/>
      <c r="T44" s="246"/>
      <c r="U44" s="246"/>
      <c r="V44" s="246"/>
      <c r="W44" s="246"/>
      <c r="X44" s="246"/>
      <c r="Y44" s="246"/>
      <c r="Z44" s="246"/>
      <c r="AA44" s="247"/>
      <c r="AB44" s="247"/>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4"/>
    </row>
    <row r="45" spans="1:56" ht="18.75" customHeight="1" x14ac:dyDescent="0.25">
      <c r="A45" s="257"/>
      <c r="B45" s="257"/>
      <c r="C45" s="258"/>
      <c r="D45" s="258"/>
      <c r="E45" s="258"/>
      <c r="F45" s="258"/>
      <c r="G45" s="258"/>
      <c r="H45" s="258"/>
      <c r="I45" s="258"/>
      <c r="J45" s="258"/>
      <c r="K45" s="258"/>
      <c r="L45" s="246"/>
      <c r="M45" s="246"/>
      <c r="N45" s="246"/>
      <c r="O45" s="246"/>
      <c r="P45" s="246"/>
      <c r="Q45" s="246"/>
      <c r="R45" s="246"/>
      <c r="S45" s="246"/>
      <c r="T45" s="246"/>
      <c r="U45" s="246"/>
      <c r="V45" s="246"/>
      <c r="W45" s="246"/>
      <c r="X45" s="246"/>
      <c r="Y45" s="246"/>
      <c r="Z45" s="246"/>
      <c r="AA45" s="247"/>
      <c r="AB45" s="247"/>
      <c r="AC45" s="246"/>
      <c r="AD45" s="246"/>
      <c r="AE45" s="246"/>
      <c r="AF45" s="246"/>
      <c r="AG45" s="246"/>
      <c r="AH45" s="246"/>
      <c r="AI45" s="246"/>
      <c r="AJ45" s="246"/>
      <c r="AK45" s="246"/>
      <c r="AL45" s="246"/>
      <c r="AM45" s="246"/>
      <c r="AN45" s="246"/>
      <c r="AO45" s="246"/>
      <c r="AP45" s="246"/>
      <c r="AQ45" s="246"/>
      <c r="AR45" s="246"/>
      <c r="AS45" s="246"/>
      <c r="AT45" s="246"/>
      <c r="AU45" s="246"/>
      <c r="AV45" s="246"/>
      <c r="AW45" s="246"/>
      <c r="AX45" s="246"/>
      <c r="AY45" s="246"/>
      <c r="AZ45" s="246"/>
      <c r="BA45" s="246"/>
      <c r="BB45" s="246"/>
      <c r="BC45" s="246"/>
      <c r="BD45" s="244"/>
    </row>
    <row r="46" spans="1:56" ht="15.75" x14ac:dyDescent="0.25">
      <c r="A46" s="259" t="s">
        <v>266</v>
      </c>
      <c r="B46" s="260"/>
      <c r="C46" s="242"/>
      <c r="D46" s="242"/>
      <c r="E46" s="242"/>
      <c r="F46" s="242"/>
      <c r="G46" s="242"/>
      <c r="H46" s="242"/>
      <c r="I46" s="242"/>
      <c r="J46" s="242"/>
      <c r="K46" s="242"/>
      <c r="L46" s="242"/>
      <c r="M46" s="242"/>
      <c r="N46" s="242"/>
      <c r="O46" s="242"/>
      <c r="P46" s="242"/>
      <c r="Q46" s="242"/>
      <c r="R46" s="242"/>
      <c r="S46" s="242"/>
      <c r="T46" s="242"/>
      <c r="U46" s="242"/>
      <c r="V46" s="242"/>
      <c r="W46" s="242"/>
      <c r="X46" s="242"/>
      <c r="Y46" s="242"/>
      <c r="Z46" s="242"/>
      <c r="AA46" s="242"/>
      <c r="AB46" s="242"/>
      <c r="AC46" s="242"/>
      <c r="AD46" s="242"/>
      <c r="AE46" s="242"/>
      <c r="AF46" s="242"/>
      <c r="AG46" s="242"/>
      <c r="AH46" s="242"/>
      <c r="AI46" s="242"/>
      <c r="AJ46" s="242"/>
      <c r="AK46" s="242"/>
      <c r="AL46" s="242"/>
      <c r="AM46" s="242"/>
      <c r="AN46" s="242"/>
      <c r="AO46" s="242"/>
      <c r="AP46" s="242"/>
      <c r="AQ46" s="242"/>
      <c r="AR46" s="242"/>
      <c r="AS46" s="242"/>
      <c r="AT46" s="242"/>
      <c r="AU46" s="242"/>
      <c r="AV46" s="242"/>
      <c r="AW46" s="242"/>
      <c r="AX46" s="242"/>
      <c r="AY46" s="242"/>
      <c r="AZ46" s="242"/>
      <c r="BA46" s="242"/>
      <c r="BB46" s="242"/>
      <c r="BC46" s="242"/>
      <c r="BD46" s="244"/>
    </row>
    <row r="47" spans="1:56" x14ac:dyDescent="0.25">
      <c r="A47" s="261"/>
      <c r="B47" s="261"/>
      <c r="C47" s="261"/>
      <c r="D47" s="262"/>
      <c r="E47" s="262"/>
      <c r="F47" s="261"/>
      <c r="G47" s="261"/>
      <c r="H47" s="261"/>
      <c r="I47" s="261"/>
      <c r="J47" s="261"/>
      <c r="K47" s="261"/>
      <c r="L47" s="261"/>
      <c r="M47" s="261"/>
      <c r="N47" s="261"/>
      <c r="O47" s="261"/>
      <c r="P47" s="261"/>
      <c r="Q47" s="261"/>
      <c r="R47" s="261"/>
      <c r="S47" s="261"/>
      <c r="T47" s="261"/>
      <c r="U47" s="261"/>
      <c r="V47" s="261"/>
      <c r="W47" s="261"/>
      <c r="X47" s="261"/>
      <c r="Y47" s="261"/>
      <c r="Z47" s="261"/>
      <c r="AA47" s="261"/>
      <c r="AB47" s="261"/>
      <c r="AC47" s="261"/>
      <c r="AD47" s="261"/>
      <c r="AE47" s="261"/>
      <c r="AF47" s="261"/>
      <c r="AG47" s="261" t="e">
        <v>#N/A</v>
      </c>
      <c r="AH47" s="261"/>
      <c r="AI47" s="261"/>
      <c r="AJ47" s="261"/>
      <c r="AK47" s="261"/>
      <c r="AL47" s="261"/>
      <c r="AM47" s="261"/>
      <c r="AN47" s="261"/>
      <c r="AO47" s="261"/>
      <c r="AP47" s="261"/>
      <c r="AQ47" s="261"/>
      <c r="AR47" s="261"/>
      <c r="AS47" s="261"/>
      <c r="AT47" s="261"/>
      <c r="AU47" s="261"/>
      <c r="AV47" s="263"/>
      <c r="AW47" s="263"/>
      <c r="AX47" s="263"/>
      <c r="AY47" s="264"/>
      <c r="AZ47" s="264"/>
      <c r="BA47" s="264"/>
      <c r="BB47" s="264"/>
      <c r="BC47" s="264"/>
      <c r="BD47" s="265"/>
    </row>
    <row r="48" spans="1:56" s="23" customFormat="1" ht="18.75" x14ac:dyDescent="0.25">
      <c r="A48" s="266" t="s">
        <v>3</v>
      </c>
      <c r="B48" s="267" t="s">
        <v>267</v>
      </c>
      <c r="C48" s="30"/>
      <c r="D48" s="268"/>
      <c r="E48" s="269"/>
      <c r="F48" s="266" t="s">
        <v>3</v>
      </c>
      <c r="G48" s="267" t="s">
        <v>267</v>
      </c>
      <c r="H48" s="270"/>
      <c r="I48" s="270"/>
      <c r="J48" s="270"/>
      <c r="K48" s="270"/>
      <c r="L48" s="271"/>
      <c r="M48" s="271"/>
      <c r="N48" s="271"/>
      <c r="O48" s="271"/>
      <c r="P48" s="271"/>
      <c r="Q48" s="271"/>
      <c r="R48" s="271"/>
      <c r="S48" s="271"/>
      <c r="T48" s="271"/>
      <c r="U48" s="271"/>
      <c r="V48" s="272"/>
      <c r="W48" s="272"/>
      <c r="X48" s="272"/>
      <c r="Y48" s="272"/>
      <c r="AA48" s="271"/>
      <c r="AC48" s="271"/>
      <c r="AD48" s="271"/>
      <c r="AE48" s="271"/>
      <c r="AF48" s="271"/>
      <c r="AG48" s="271"/>
      <c r="AH48" s="271"/>
      <c r="AI48" s="271"/>
      <c r="AQ48" s="271"/>
      <c r="AR48" s="271"/>
      <c r="AS48" s="271"/>
      <c r="AT48" s="271"/>
      <c r="AU48" s="271"/>
      <c r="AV48" s="271"/>
      <c r="AW48" s="271"/>
      <c r="AX48" s="271"/>
      <c r="AY48" s="271"/>
      <c r="AZ48" s="273"/>
      <c r="BA48" s="274"/>
      <c r="BB48" s="274"/>
      <c r="BC48" s="274"/>
      <c r="BD48" s="275"/>
    </row>
    <row r="49" spans="1:56" ht="15.75" x14ac:dyDescent="0.25">
      <c r="A49" s="276" t="s">
        <v>52</v>
      </c>
      <c r="B49" s="277" t="s">
        <v>268</v>
      </c>
      <c r="D49" s="170"/>
      <c r="E49" s="278"/>
      <c r="F49" s="279" t="s">
        <v>14</v>
      </c>
      <c r="G49" s="280" t="s">
        <v>408</v>
      </c>
      <c r="H49" s="281"/>
      <c r="I49" s="281"/>
      <c r="J49" s="281"/>
      <c r="K49" s="281"/>
      <c r="L49" s="281"/>
      <c r="M49" s="281"/>
      <c r="N49" s="281"/>
      <c r="O49" s="281"/>
      <c r="P49" s="281"/>
      <c r="Q49" s="281"/>
      <c r="R49" s="281"/>
      <c r="S49" s="281"/>
      <c r="T49" s="281"/>
      <c r="U49" s="281"/>
      <c r="V49" s="281"/>
      <c r="W49" s="281"/>
      <c r="X49" s="281"/>
      <c r="Y49" s="281"/>
      <c r="AA49" s="282"/>
      <c r="AC49" s="283"/>
      <c r="AD49" s="283"/>
      <c r="AE49" s="283"/>
      <c r="AF49" s="283"/>
      <c r="AG49" s="281"/>
      <c r="AH49" s="281"/>
      <c r="AI49" s="281"/>
      <c r="AQ49" s="281"/>
      <c r="AR49" s="281"/>
      <c r="AS49" s="281"/>
      <c r="AT49" s="281"/>
      <c r="AU49" s="281"/>
      <c r="AV49" s="284"/>
      <c r="AW49" s="284"/>
      <c r="AX49" s="284"/>
      <c r="AY49" s="285"/>
      <c r="AZ49" s="285"/>
      <c r="BA49" s="264"/>
      <c r="BB49" s="264"/>
      <c r="BC49" s="264"/>
      <c r="BD49" s="265"/>
    </row>
    <row r="50" spans="1:56" ht="15.75" x14ac:dyDescent="0.25">
      <c r="A50" s="276" t="s">
        <v>66</v>
      </c>
      <c r="B50" s="286" t="s">
        <v>269</v>
      </c>
      <c r="D50" s="170"/>
      <c r="E50" s="278"/>
      <c r="F50" s="279" t="s">
        <v>270</v>
      </c>
      <c r="G50" s="277" t="s">
        <v>409</v>
      </c>
      <c r="H50" s="281"/>
      <c r="I50" s="281"/>
      <c r="J50" s="281"/>
      <c r="K50" s="281"/>
      <c r="L50" s="281"/>
      <c r="M50" s="281"/>
      <c r="N50" s="281"/>
      <c r="O50" s="281"/>
      <c r="P50" s="281"/>
      <c r="Q50" s="281"/>
      <c r="R50" s="281"/>
      <c r="S50" s="281"/>
      <c r="T50" s="281"/>
      <c r="U50" s="281"/>
      <c r="V50" s="281"/>
      <c r="W50" s="281"/>
      <c r="X50" s="281"/>
      <c r="Y50" s="281"/>
      <c r="AA50" s="282"/>
      <c r="AC50" s="283"/>
      <c r="AD50" s="281"/>
      <c r="AE50" s="281"/>
      <c r="AF50" s="281"/>
      <c r="AG50" s="281"/>
      <c r="AH50" s="281"/>
      <c r="AI50" s="281"/>
      <c r="AQ50" s="281"/>
      <c r="AR50" s="281"/>
      <c r="AS50" s="281"/>
      <c r="AT50" s="281"/>
      <c r="AU50" s="281"/>
      <c r="AV50" s="284"/>
      <c r="AW50" s="284"/>
      <c r="AX50" s="284"/>
      <c r="AY50" s="285"/>
      <c r="AZ50" s="285"/>
      <c r="BA50" s="264"/>
      <c r="BB50" s="264"/>
      <c r="BC50" s="264"/>
      <c r="BD50" s="265"/>
    </row>
    <row r="51" spans="1:56" ht="15.75" x14ac:dyDescent="0.25">
      <c r="A51" s="276" t="s">
        <v>8</v>
      </c>
      <c r="B51" s="286" t="s">
        <v>271</v>
      </c>
      <c r="D51" s="170"/>
      <c r="E51" s="278"/>
      <c r="F51" s="276" t="s">
        <v>24</v>
      </c>
      <c r="G51" s="277" t="s">
        <v>410</v>
      </c>
      <c r="H51" s="281"/>
      <c r="I51" s="281"/>
      <c r="J51" s="281"/>
      <c r="K51" s="281"/>
      <c r="L51" s="281"/>
      <c r="M51" s="281"/>
      <c r="N51" s="281"/>
      <c r="O51" s="281"/>
      <c r="P51" s="281"/>
      <c r="Q51" s="281"/>
      <c r="R51" s="281"/>
      <c r="S51" s="281"/>
      <c r="T51" s="281"/>
      <c r="U51" s="281"/>
      <c r="V51" s="281"/>
      <c r="W51" s="281"/>
      <c r="X51" s="281"/>
      <c r="Y51" s="281"/>
      <c r="AA51" s="287"/>
      <c r="AC51" s="281"/>
      <c r="AD51" s="281"/>
      <c r="AE51" s="281"/>
      <c r="AF51" s="281"/>
      <c r="AG51" s="281"/>
      <c r="AH51" s="281"/>
      <c r="AI51" s="281"/>
      <c r="AQ51" s="281"/>
      <c r="AR51" s="281"/>
      <c r="AS51" s="281"/>
      <c r="AT51" s="281"/>
      <c r="AU51" s="281"/>
      <c r="AV51" s="284"/>
      <c r="AW51" s="284"/>
      <c r="AX51" s="284"/>
      <c r="AY51" s="285"/>
      <c r="AZ51" s="285"/>
      <c r="BA51" s="264"/>
      <c r="BB51" s="264"/>
      <c r="BC51" s="264"/>
      <c r="BD51" s="265"/>
    </row>
    <row r="52" spans="1:56" ht="15.75" x14ac:dyDescent="0.25">
      <c r="A52" s="276" t="s">
        <v>32</v>
      </c>
      <c r="B52" s="286" t="s">
        <v>272</v>
      </c>
      <c r="D52" s="170"/>
      <c r="E52" s="278"/>
      <c r="F52" s="276" t="s">
        <v>12</v>
      </c>
      <c r="G52" s="277" t="s">
        <v>411</v>
      </c>
      <c r="H52" s="281"/>
      <c r="I52" s="281"/>
      <c r="J52" s="261"/>
      <c r="K52" s="261"/>
      <c r="L52" s="261"/>
      <c r="M52" s="261"/>
      <c r="N52" s="281"/>
      <c r="O52" s="281"/>
      <c r="P52" s="281"/>
      <c r="Q52" s="281"/>
      <c r="R52" s="281"/>
      <c r="S52" s="281"/>
      <c r="T52" s="281"/>
      <c r="U52" s="281"/>
      <c r="V52" s="281"/>
      <c r="W52" s="281"/>
      <c r="X52" s="281"/>
      <c r="Y52" s="281"/>
      <c r="AA52" s="287"/>
      <c r="AC52" s="281"/>
      <c r="AD52" s="281"/>
      <c r="AE52" s="281"/>
      <c r="AF52" s="281"/>
      <c r="AG52" s="281"/>
      <c r="AH52" s="281"/>
      <c r="AI52" s="281"/>
      <c r="AQ52" s="281"/>
      <c r="AR52" s="281"/>
      <c r="AS52" s="281"/>
      <c r="AT52" s="281"/>
      <c r="AU52" s="281"/>
      <c r="AV52" s="284"/>
      <c r="AW52" s="284"/>
      <c r="AX52" s="284"/>
      <c r="AY52" s="285"/>
      <c r="AZ52" s="285"/>
      <c r="BA52" s="264"/>
      <c r="BB52" s="264"/>
      <c r="BC52" s="264"/>
      <c r="BD52" s="265"/>
    </row>
    <row r="53" spans="1:56" ht="15.75" x14ac:dyDescent="0.25">
      <c r="A53" s="276" t="s">
        <v>60</v>
      </c>
      <c r="B53" s="286" t="s">
        <v>273</v>
      </c>
      <c r="D53" s="170"/>
      <c r="E53" s="278"/>
      <c r="F53" s="276" t="s">
        <v>18</v>
      </c>
      <c r="G53" s="277" t="s">
        <v>412</v>
      </c>
      <c r="H53" s="281"/>
      <c r="I53" s="281"/>
      <c r="J53" s="281"/>
      <c r="K53" s="281"/>
      <c r="L53" s="281"/>
      <c r="M53" s="281"/>
      <c r="N53" s="281"/>
      <c r="O53" s="281"/>
      <c r="P53" s="281"/>
      <c r="Q53" s="281"/>
      <c r="R53" s="281"/>
      <c r="S53" s="281"/>
      <c r="T53" s="281"/>
      <c r="U53" s="281"/>
      <c r="V53" s="281"/>
      <c r="W53" s="281"/>
      <c r="X53" s="281"/>
      <c r="Y53" s="281"/>
      <c r="AA53" s="287"/>
      <c r="AC53" s="281"/>
      <c r="AD53" s="281"/>
      <c r="AE53" s="281"/>
      <c r="AF53" s="281"/>
      <c r="AG53" s="281"/>
      <c r="AH53" s="281"/>
      <c r="AI53" s="281"/>
      <c r="AQ53" s="281"/>
      <c r="AR53" s="281"/>
      <c r="AS53" s="281"/>
      <c r="AT53" s="281"/>
      <c r="AU53" s="281"/>
      <c r="AV53" s="284"/>
      <c r="AW53" s="284"/>
      <c r="AX53" s="284"/>
      <c r="AY53" s="285"/>
      <c r="AZ53" s="285"/>
      <c r="BA53" s="264"/>
      <c r="BB53" s="264"/>
      <c r="BC53" s="264"/>
      <c r="BD53" s="265"/>
    </row>
    <row r="54" spans="1:56" ht="15.75" x14ac:dyDescent="0.25">
      <c r="A54" s="276" t="s">
        <v>68</v>
      </c>
      <c r="B54" s="286" t="s">
        <v>274</v>
      </c>
      <c r="D54" s="170"/>
      <c r="E54" s="278"/>
      <c r="F54" s="276" t="s">
        <v>42</v>
      </c>
      <c r="G54" s="277" t="s">
        <v>413</v>
      </c>
      <c r="H54" s="281"/>
      <c r="I54" s="281"/>
      <c r="J54" s="281"/>
      <c r="K54" s="281"/>
      <c r="L54" s="281"/>
      <c r="M54" s="281"/>
      <c r="N54" s="281"/>
      <c r="O54" s="281"/>
      <c r="P54" s="281"/>
      <c r="Q54" s="281"/>
      <c r="R54" s="281"/>
      <c r="S54" s="281"/>
      <c r="T54" s="281"/>
      <c r="U54" s="281"/>
      <c r="V54" s="281"/>
      <c r="W54" s="281"/>
      <c r="X54" s="281"/>
      <c r="Y54" s="281"/>
      <c r="AA54" s="287"/>
      <c r="AC54" s="281"/>
      <c r="AD54" s="281"/>
      <c r="AE54" s="281"/>
      <c r="AF54" s="281"/>
      <c r="AG54" s="281"/>
      <c r="AH54" s="281"/>
      <c r="AI54" s="281"/>
      <c r="AQ54" s="281"/>
      <c r="AR54" s="281"/>
      <c r="AS54" s="281"/>
      <c r="AT54" s="281"/>
      <c r="AU54" s="281"/>
      <c r="AV54" s="284"/>
      <c r="AW54" s="284"/>
      <c r="AX54" s="284"/>
      <c r="AY54" s="285"/>
      <c r="AZ54" s="285"/>
      <c r="BA54" s="264"/>
      <c r="BB54" s="264"/>
      <c r="BC54" s="264"/>
      <c r="BD54" s="265"/>
    </row>
    <row r="55" spans="1:56" ht="15.75" x14ac:dyDescent="0.25">
      <c r="A55" s="276" t="s">
        <v>76</v>
      </c>
      <c r="B55" s="286" t="s">
        <v>275</v>
      </c>
      <c r="E55" s="281"/>
      <c r="F55" s="276" t="s">
        <v>54</v>
      </c>
      <c r="G55" s="277" t="s">
        <v>414</v>
      </c>
      <c r="H55" s="281"/>
      <c r="I55" s="281"/>
      <c r="J55" s="281"/>
      <c r="K55" s="281"/>
      <c r="L55" s="281"/>
      <c r="M55" s="281"/>
      <c r="N55" s="281"/>
      <c r="O55" s="281"/>
      <c r="P55" s="281"/>
      <c r="Q55" s="281"/>
      <c r="R55" s="281"/>
      <c r="S55" s="281"/>
      <c r="T55" s="281"/>
      <c r="U55" s="281"/>
      <c r="V55" s="281"/>
      <c r="W55" s="281"/>
      <c r="X55" s="281"/>
      <c r="Y55" s="281"/>
      <c r="AA55" s="287"/>
      <c r="AC55" s="281"/>
      <c r="AD55" s="281"/>
      <c r="AE55" s="281"/>
      <c r="AF55" s="281"/>
      <c r="AG55" s="281"/>
      <c r="AH55" s="281"/>
      <c r="AI55" s="281"/>
      <c r="AQ55" s="281"/>
      <c r="AR55" s="281"/>
      <c r="AS55" s="281"/>
      <c r="AT55" s="281"/>
      <c r="AU55" s="281"/>
      <c r="AV55" s="284"/>
      <c r="AW55" s="284"/>
      <c r="AX55" s="284"/>
      <c r="AY55" s="285"/>
      <c r="AZ55" s="285"/>
      <c r="BA55" s="264"/>
      <c r="BB55" s="264"/>
      <c r="BC55" s="264"/>
      <c r="BD55" s="265"/>
    </row>
    <row r="56" spans="1:56" ht="15.75" x14ac:dyDescent="0.25">
      <c r="A56" s="276" t="s">
        <v>40</v>
      </c>
      <c r="B56" s="286" t="s">
        <v>276</v>
      </c>
      <c r="E56" s="281"/>
      <c r="F56" s="276" t="s">
        <v>61</v>
      </c>
      <c r="G56" s="277" t="s">
        <v>415</v>
      </c>
      <c r="H56" s="281"/>
      <c r="I56" s="281"/>
      <c r="J56" s="281"/>
      <c r="K56" s="281"/>
      <c r="L56" s="281"/>
      <c r="M56" s="281"/>
      <c r="N56" s="281"/>
      <c r="O56" s="281"/>
      <c r="P56" s="281"/>
      <c r="Q56" s="281"/>
      <c r="R56" s="281"/>
      <c r="S56" s="281"/>
      <c r="T56" s="281"/>
      <c r="U56" s="281"/>
      <c r="V56" s="281"/>
      <c r="W56" s="281"/>
      <c r="X56" s="281"/>
      <c r="Y56" s="281"/>
      <c r="AA56" s="287"/>
      <c r="AC56" s="281"/>
      <c r="AD56" s="281"/>
      <c r="AE56" s="281"/>
      <c r="AF56" s="281"/>
      <c r="AG56" s="281"/>
      <c r="AH56" s="281"/>
      <c r="AI56" s="281"/>
      <c r="AQ56" s="281"/>
      <c r="AR56" s="281"/>
      <c r="AS56" s="281"/>
      <c r="AT56" s="281"/>
      <c r="AU56" s="281"/>
      <c r="AV56" s="284"/>
      <c r="AW56" s="284"/>
      <c r="AX56" s="284"/>
      <c r="AY56" s="285"/>
      <c r="AZ56" s="285"/>
      <c r="BA56" s="264"/>
      <c r="BB56" s="264"/>
      <c r="BC56" s="264"/>
      <c r="BD56" s="265"/>
    </row>
    <row r="57" spans="1:56" ht="15.75" x14ac:dyDescent="0.25">
      <c r="A57" s="276" t="s">
        <v>53</v>
      </c>
      <c r="B57" s="286" t="s">
        <v>277</v>
      </c>
      <c r="E57" s="281"/>
      <c r="F57" s="288" t="s">
        <v>72</v>
      </c>
      <c r="G57" s="277" t="s">
        <v>416</v>
      </c>
      <c r="H57" s="281"/>
      <c r="I57" s="281"/>
      <c r="J57" s="281"/>
      <c r="K57" s="281"/>
      <c r="L57" s="281"/>
      <c r="M57" s="281"/>
      <c r="N57" s="281"/>
      <c r="O57" s="281"/>
      <c r="P57" s="281"/>
      <c r="Q57" s="281"/>
      <c r="R57" s="281"/>
      <c r="S57" s="281"/>
      <c r="T57" s="281"/>
      <c r="U57" s="281"/>
      <c r="V57" s="281"/>
      <c r="W57" s="281"/>
      <c r="X57" s="281"/>
      <c r="Y57" s="281"/>
      <c r="AA57" s="289"/>
      <c r="AC57" s="281"/>
      <c r="AD57" s="281"/>
      <c r="AE57" s="281"/>
      <c r="AF57" s="281"/>
      <c r="AG57" s="281"/>
      <c r="AH57" s="281"/>
      <c r="AI57" s="281"/>
      <c r="AQ57" s="281"/>
      <c r="AR57" s="281"/>
      <c r="AS57" s="281"/>
      <c r="AT57" s="281"/>
      <c r="AU57" s="281"/>
      <c r="AV57" s="284"/>
      <c r="AW57" s="284"/>
      <c r="AX57" s="284"/>
      <c r="AY57" s="285"/>
      <c r="AZ57" s="285"/>
      <c r="BA57" s="264"/>
      <c r="BB57" s="264"/>
      <c r="BC57" s="264"/>
      <c r="BD57" s="265"/>
    </row>
    <row r="58" spans="1:56" ht="15.75" x14ac:dyDescent="0.25">
      <c r="A58" s="276" t="s">
        <v>17</v>
      </c>
      <c r="B58" s="277" t="s">
        <v>278</v>
      </c>
      <c r="D58" s="170"/>
      <c r="E58" s="278"/>
      <c r="F58" s="276" t="s">
        <v>10</v>
      </c>
      <c r="G58" s="286" t="s">
        <v>279</v>
      </c>
      <c r="H58" s="281"/>
      <c r="I58" s="281"/>
      <c r="J58" s="281"/>
      <c r="K58" s="281"/>
      <c r="L58" s="281"/>
      <c r="M58" s="281"/>
      <c r="N58" s="281"/>
      <c r="O58" s="281"/>
      <c r="P58" s="281"/>
      <c r="Q58" s="281"/>
      <c r="R58" s="281"/>
      <c r="S58" s="281"/>
      <c r="T58" s="281"/>
      <c r="U58" s="281"/>
      <c r="V58" s="281"/>
      <c r="W58" s="281"/>
      <c r="X58" s="281"/>
      <c r="Y58" s="281"/>
      <c r="AA58" s="289"/>
      <c r="AC58" s="290"/>
      <c r="AD58" s="281"/>
      <c r="AE58" s="281"/>
      <c r="AF58" s="281"/>
      <c r="AG58" s="281"/>
      <c r="AH58" s="281"/>
      <c r="AI58" s="281"/>
      <c r="AQ58" s="281"/>
      <c r="AR58" s="281"/>
      <c r="AS58" s="281"/>
      <c r="AT58" s="281"/>
      <c r="AU58" s="281"/>
      <c r="AV58" s="284"/>
      <c r="AW58" s="284"/>
      <c r="AX58" s="284"/>
      <c r="AY58" s="285"/>
      <c r="AZ58" s="285"/>
      <c r="BA58" s="264"/>
      <c r="BB58" s="264"/>
      <c r="BC58" s="264"/>
      <c r="BD58" s="265"/>
    </row>
    <row r="59" spans="1:56" ht="15.75" x14ac:dyDescent="0.25">
      <c r="A59" s="276" t="s">
        <v>20</v>
      </c>
      <c r="B59" s="286" t="s">
        <v>280</v>
      </c>
      <c r="D59" s="170"/>
      <c r="E59" s="278"/>
      <c r="F59" s="288" t="s">
        <v>31</v>
      </c>
      <c r="G59" s="277" t="s">
        <v>417</v>
      </c>
      <c r="H59" s="281"/>
      <c r="I59" s="281"/>
      <c r="J59" s="281"/>
      <c r="K59" s="281"/>
      <c r="L59" s="281"/>
      <c r="M59" s="281"/>
      <c r="N59" s="281"/>
      <c r="O59" s="281"/>
      <c r="P59" s="281"/>
      <c r="Q59" s="281"/>
      <c r="R59" s="281"/>
      <c r="S59" s="281"/>
      <c r="T59" s="281"/>
      <c r="U59" s="281"/>
      <c r="V59" s="281"/>
      <c r="W59" s="281"/>
      <c r="X59" s="281"/>
      <c r="Y59" s="281"/>
      <c r="AA59" s="289"/>
      <c r="AC59" s="281"/>
      <c r="AD59" s="283"/>
      <c r="AE59" s="281"/>
      <c r="AF59" s="281"/>
      <c r="AG59" s="281"/>
      <c r="AH59" s="281"/>
      <c r="AI59" s="281"/>
      <c r="AQ59" s="281"/>
      <c r="AR59" s="281"/>
      <c r="AS59" s="281"/>
      <c r="AT59" s="281"/>
      <c r="AU59" s="281"/>
      <c r="AV59" s="284"/>
      <c r="AW59" s="284"/>
      <c r="AX59" s="284"/>
      <c r="AY59" s="285"/>
      <c r="AZ59" s="285"/>
      <c r="BA59" s="264"/>
      <c r="BB59" s="264"/>
      <c r="BC59" s="264"/>
      <c r="BD59" s="265"/>
    </row>
    <row r="60" spans="1:56" ht="15.75" x14ac:dyDescent="0.25">
      <c r="A60" s="276" t="s">
        <v>281</v>
      </c>
      <c r="B60" s="286" t="s">
        <v>282</v>
      </c>
      <c r="D60" s="170"/>
      <c r="E60" s="278"/>
      <c r="F60" s="288" t="s">
        <v>70</v>
      </c>
      <c r="G60" s="277" t="s">
        <v>418</v>
      </c>
      <c r="H60" s="281"/>
      <c r="I60" s="281"/>
      <c r="J60" s="281"/>
      <c r="K60" s="281"/>
      <c r="L60" s="281"/>
      <c r="M60" s="281"/>
      <c r="N60" s="281"/>
      <c r="O60" s="281"/>
      <c r="P60" s="281"/>
      <c r="Q60" s="281"/>
      <c r="R60" s="281"/>
      <c r="S60" s="281"/>
      <c r="T60" s="281"/>
      <c r="U60" s="281"/>
      <c r="V60" s="281"/>
      <c r="W60" s="281"/>
      <c r="X60" s="281"/>
      <c r="Y60" s="281"/>
      <c r="AA60" s="289"/>
      <c r="AC60" s="281"/>
      <c r="AD60" s="281"/>
      <c r="AE60" s="281"/>
      <c r="AF60" s="281"/>
      <c r="AG60" s="281"/>
      <c r="AH60" s="281"/>
      <c r="AI60" s="281"/>
      <c r="AQ60" s="281"/>
      <c r="AR60" s="281"/>
      <c r="AS60" s="281"/>
      <c r="AT60" s="281"/>
      <c r="AU60" s="281"/>
      <c r="AV60" s="284"/>
      <c r="AW60" s="284"/>
      <c r="AX60" s="284"/>
      <c r="AY60" s="285"/>
      <c r="AZ60" s="285"/>
      <c r="BA60" s="264"/>
      <c r="BB60" s="264"/>
      <c r="BC60" s="264"/>
      <c r="BD60" s="265"/>
    </row>
    <row r="61" spans="1:56" ht="15.75" x14ac:dyDescent="0.25">
      <c r="A61" s="276" t="s">
        <v>37</v>
      </c>
      <c r="B61" s="286" t="s">
        <v>283</v>
      </c>
      <c r="D61" s="170"/>
      <c r="E61" s="278"/>
      <c r="F61" s="288" t="s">
        <v>65</v>
      </c>
      <c r="G61" s="277" t="s">
        <v>419</v>
      </c>
      <c r="H61" s="281"/>
      <c r="I61" s="281"/>
      <c r="J61" s="281"/>
      <c r="K61" s="281"/>
      <c r="L61" s="281"/>
      <c r="M61" s="281"/>
      <c r="N61" s="281"/>
      <c r="O61" s="281"/>
      <c r="P61" s="281"/>
      <c r="Q61" s="281"/>
      <c r="R61" s="281"/>
      <c r="S61" s="281"/>
      <c r="T61" s="281"/>
      <c r="U61" s="281"/>
      <c r="V61" s="281"/>
      <c r="W61" s="281"/>
      <c r="X61" s="281"/>
      <c r="Y61" s="281"/>
      <c r="AA61" s="291"/>
      <c r="AC61" s="292"/>
      <c r="AD61" s="281"/>
      <c r="AE61" s="281"/>
      <c r="AF61" s="281"/>
      <c r="AG61" s="281"/>
      <c r="AH61" s="281"/>
      <c r="AI61" s="281"/>
      <c r="AQ61" s="281"/>
      <c r="AR61" s="281"/>
      <c r="AS61" s="281"/>
      <c r="AT61" s="281"/>
      <c r="AU61" s="281"/>
      <c r="AV61" s="284"/>
      <c r="AW61" s="284"/>
      <c r="AX61" s="284"/>
      <c r="AY61" s="285"/>
      <c r="AZ61" s="285"/>
      <c r="BA61" s="264"/>
      <c r="BB61" s="264"/>
      <c r="BC61" s="264"/>
      <c r="BD61" s="265"/>
    </row>
    <row r="62" spans="1:56" ht="15.75" x14ac:dyDescent="0.25">
      <c r="A62" s="276" t="s">
        <v>63</v>
      </c>
      <c r="B62" s="286" t="s">
        <v>284</v>
      </c>
      <c r="D62" s="170"/>
      <c r="E62" s="278"/>
      <c r="F62" s="293" t="s">
        <v>34</v>
      </c>
      <c r="G62" s="277" t="s">
        <v>420</v>
      </c>
      <c r="H62" s="281"/>
      <c r="I62" s="281"/>
      <c r="J62" s="281"/>
      <c r="K62" s="281"/>
      <c r="L62" s="281"/>
      <c r="M62" s="281"/>
      <c r="N62" s="281"/>
      <c r="O62" s="281"/>
      <c r="P62" s="281"/>
      <c r="Q62" s="281"/>
      <c r="R62" s="281"/>
      <c r="S62" s="281"/>
      <c r="T62" s="281"/>
      <c r="U62" s="281"/>
      <c r="V62" s="281"/>
      <c r="W62" s="281"/>
      <c r="X62" s="281"/>
      <c r="Y62" s="281"/>
      <c r="AA62" s="289"/>
      <c r="AC62" s="281"/>
      <c r="AD62" s="281"/>
      <c r="AE62" s="281"/>
      <c r="AF62" s="281"/>
      <c r="AG62" s="281"/>
      <c r="AH62" s="281"/>
      <c r="AI62" s="281"/>
      <c r="AQ62" s="281"/>
      <c r="AR62" s="281"/>
      <c r="AS62" s="281"/>
      <c r="AT62" s="281"/>
      <c r="AU62" s="281"/>
      <c r="AV62" s="284"/>
      <c r="AW62" s="284"/>
      <c r="AX62" s="284"/>
      <c r="AY62" s="285"/>
      <c r="AZ62" s="285"/>
      <c r="BA62" s="264"/>
      <c r="BB62" s="264"/>
      <c r="BC62" s="264"/>
      <c r="BD62" s="265"/>
    </row>
    <row r="63" spans="1:56" ht="15.75" x14ac:dyDescent="0.25">
      <c r="A63" s="276" t="s">
        <v>30</v>
      </c>
      <c r="B63" s="286" t="s">
        <v>285</v>
      </c>
      <c r="D63" s="170"/>
      <c r="E63" s="278"/>
      <c r="F63" s="288" t="s">
        <v>49</v>
      </c>
      <c r="G63" s="277" t="s">
        <v>421</v>
      </c>
      <c r="H63" s="281"/>
      <c r="I63" s="281"/>
      <c r="J63" s="281"/>
      <c r="K63" s="281"/>
      <c r="L63" s="281"/>
      <c r="M63" s="281"/>
      <c r="N63" s="281"/>
      <c r="O63" s="281"/>
      <c r="P63" s="281"/>
      <c r="Q63" s="281"/>
      <c r="R63" s="281"/>
      <c r="S63" s="281"/>
      <c r="T63" s="281"/>
      <c r="U63" s="281"/>
      <c r="V63" s="281"/>
      <c r="W63" s="281"/>
      <c r="X63" s="281"/>
      <c r="Y63" s="281"/>
      <c r="AA63" s="289"/>
      <c r="AC63" s="281"/>
      <c r="AD63" s="281"/>
      <c r="AE63" s="281"/>
      <c r="AF63" s="281"/>
      <c r="AG63" s="281"/>
      <c r="AH63" s="281"/>
      <c r="AI63" s="281"/>
      <c r="AQ63" s="281"/>
      <c r="AR63" s="281"/>
      <c r="AS63" s="281"/>
      <c r="AT63" s="281"/>
      <c r="AU63" s="281"/>
      <c r="AV63" s="284"/>
      <c r="AW63" s="284"/>
      <c r="AX63" s="284"/>
      <c r="AY63" s="285"/>
      <c r="AZ63" s="285"/>
      <c r="BA63" s="264"/>
      <c r="BB63" s="264"/>
      <c r="BC63" s="264"/>
      <c r="BD63" s="265"/>
    </row>
    <row r="64" spans="1:56" ht="15.75" x14ac:dyDescent="0.25">
      <c r="A64" s="276" t="s">
        <v>28</v>
      </c>
      <c r="B64" s="286" t="s">
        <v>286</v>
      </c>
      <c r="D64" s="170"/>
      <c r="E64" s="278"/>
      <c r="F64" s="288" t="s">
        <v>22</v>
      </c>
      <c r="G64" s="277" t="s">
        <v>422</v>
      </c>
      <c r="H64" s="281"/>
      <c r="I64" s="281"/>
      <c r="J64" s="281"/>
      <c r="K64" s="281"/>
      <c r="L64" s="281"/>
      <c r="M64" s="281"/>
      <c r="N64" s="281"/>
      <c r="O64" s="281"/>
      <c r="P64" s="281"/>
      <c r="Q64" s="281"/>
      <c r="R64" s="281"/>
      <c r="S64" s="281"/>
      <c r="T64" s="281"/>
      <c r="U64" s="281"/>
      <c r="V64" s="281"/>
      <c r="W64" s="281"/>
      <c r="X64" s="281"/>
      <c r="Y64" s="281"/>
      <c r="AA64" s="289"/>
      <c r="AC64" s="281"/>
      <c r="AD64" s="281"/>
      <c r="AE64" s="281"/>
      <c r="AF64" s="281"/>
      <c r="AG64" s="281"/>
      <c r="AH64" s="281"/>
      <c r="AI64" s="281"/>
      <c r="AQ64" s="281"/>
      <c r="AR64" s="281"/>
      <c r="AS64" s="281"/>
      <c r="AT64" s="281"/>
      <c r="AU64" s="281"/>
      <c r="AV64" s="284"/>
      <c r="AW64" s="284"/>
      <c r="AX64" s="284"/>
      <c r="AY64" s="285"/>
      <c r="AZ64" s="285"/>
      <c r="BA64" s="264"/>
      <c r="BB64" s="264"/>
      <c r="BC64" s="264"/>
      <c r="BD64" s="265"/>
    </row>
    <row r="65" spans="1:56" ht="15.75" x14ac:dyDescent="0.25">
      <c r="A65" s="276" t="s">
        <v>45</v>
      </c>
      <c r="B65" s="286" t="s">
        <v>287</v>
      </c>
      <c r="D65" s="170"/>
      <c r="E65" s="278"/>
      <c r="F65" s="288" t="s">
        <v>21</v>
      </c>
      <c r="G65" s="277" t="s">
        <v>423</v>
      </c>
      <c r="H65" s="281"/>
      <c r="I65" s="281"/>
      <c r="J65" s="281"/>
      <c r="K65" s="281"/>
      <c r="L65" s="281"/>
      <c r="M65" s="281"/>
      <c r="N65" s="281"/>
      <c r="O65" s="281"/>
      <c r="P65" s="281"/>
      <c r="Q65" s="281"/>
      <c r="R65" s="281"/>
      <c r="S65" s="281"/>
      <c r="T65" s="281"/>
      <c r="U65" s="281"/>
      <c r="V65" s="281"/>
      <c r="W65" s="281"/>
      <c r="X65" s="281"/>
      <c r="Y65" s="281"/>
      <c r="AA65" s="289"/>
      <c r="AC65" s="281"/>
      <c r="AD65" s="281"/>
      <c r="AE65" s="281"/>
      <c r="AF65" s="281"/>
      <c r="AG65" s="281"/>
      <c r="AH65" s="281"/>
      <c r="AI65" s="281"/>
      <c r="AQ65" s="281"/>
      <c r="AR65" s="281"/>
      <c r="AS65" s="281"/>
      <c r="AT65" s="281"/>
      <c r="AU65" s="281"/>
      <c r="AV65" s="284"/>
      <c r="AW65" s="284"/>
      <c r="AX65" s="284"/>
      <c r="AY65" s="285"/>
      <c r="AZ65" s="285"/>
      <c r="BA65" s="264"/>
      <c r="BB65" s="264"/>
      <c r="BC65" s="264"/>
      <c r="BD65" s="265"/>
    </row>
    <row r="66" spans="1:56" ht="15.75" x14ac:dyDescent="0.25">
      <c r="A66" s="276" t="s">
        <v>62</v>
      </c>
      <c r="B66" s="286" t="s">
        <v>288</v>
      </c>
      <c r="D66" s="170"/>
      <c r="E66" s="278"/>
      <c r="F66" s="288" t="s">
        <v>67</v>
      </c>
      <c r="G66" s="277" t="s">
        <v>424</v>
      </c>
      <c r="H66" s="281"/>
      <c r="I66" s="281"/>
      <c r="J66" s="281"/>
      <c r="K66" s="281"/>
      <c r="L66" s="281"/>
      <c r="M66" s="281"/>
      <c r="N66" s="281"/>
      <c r="O66" s="281"/>
      <c r="P66" s="281"/>
      <c r="Q66" s="281"/>
      <c r="R66" s="281"/>
      <c r="S66" s="281"/>
      <c r="T66" s="281"/>
      <c r="U66" s="281"/>
      <c r="V66" s="281"/>
      <c r="W66" s="281"/>
      <c r="X66" s="281"/>
      <c r="Y66" s="281"/>
      <c r="AA66" s="289"/>
      <c r="AC66" s="281"/>
      <c r="AD66" s="281"/>
      <c r="AE66" s="281"/>
      <c r="AF66" s="281"/>
      <c r="AG66" s="281"/>
      <c r="AH66" s="281"/>
      <c r="AI66" s="281"/>
      <c r="AQ66" s="281"/>
      <c r="AR66" s="281"/>
      <c r="AS66" s="281"/>
      <c r="AT66" s="281"/>
      <c r="AU66" s="281"/>
      <c r="AV66" s="284"/>
      <c r="AW66" s="284"/>
      <c r="AX66" s="284"/>
      <c r="AY66" s="285"/>
      <c r="AZ66" s="285"/>
      <c r="BA66" s="264"/>
      <c r="BB66" s="264"/>
      <c r="BC66" s="264"/>
      <c r="BD66" s="265"/>
    </row>
    <row r="67" spans="1:56" ht="15.75" x14ac:dyDescent="0.25">
      <c r="A67" s="276" t="s">
        <v>9</v>
      </c>
      <c r="B67" s="286" t="s">
        <v>289</v>
      </c>
      <c r="D67" s="170"/>
      <c r="E67" s="278"/>
      <c r="F67" s="288" t="s">
        <v>11</v>
      </c>
      <c r="G67" s="277" t="s">
        <v>425</v>
      </c>
      <c r="H67" s="281"/>
      <c r="I67" s="281"/>
      <c r="J67" s="281"/>
      <c r="K67" s="281"/>
      <c r="L67" s="281"/>
      <c r="M67" s="281"/>
      <c r="N67" s="281"/>
      <c r="O67" s="281"/>
      <c r="P67" s="281"/>
      <c r="Q67" s="281"/>
      <c r="R67" s="281"/>
      <c r="S67" s="281"/>
      <c r="T67" s="281"/>
      <c r="U67" s="281"/>
      <c r="V67" s="281"/>
      <c r="W67" s="281"/>
      <c r="X67" s="281"/>
      <c r="Y67" s="281"/>
      <c r="AA67" s="289"/>
      <c r="AC67" s="281"/>
      <c r="AD67" s="281"/>
      <c r="AE67" s="261"/>
      <c r="AF67" s="281"/>
      <c r="AG67" s="281"/>
      <c r="AH67" s="281"/>
      <c r="AI67" s="281"/>
      <c r="AQ67" s="281"/>
      <c r="AR67" s="281"/>
      <c r="AS67" s="281"/>
      <c r="AT67" s="281"/>
      <c r="AU67" s="281"/>
      <c r="AV67" s="284"/>
      <c r="AW67" s="284"/>
      <c r="AX67" s="284"/>
      <c r="AY67" s="285"/>
      <c r="AZ67" s="285"/>
      <c r="BA67" s="264"/>
      <c r="BB67" s="264"/>
      <c r="BC67" s="264"/>
      <c r="BD67" s="265"/>
    </row>
    <row r="68" spans="1:56" ht="15.75" x14ac:dyDescent="0.25">
      <c r="A68" s="276" t="s">
        <v>69</v>
      </c>
      <c r="B68" s="277" t="s">
        <v>290</v>
      </c>
      <c r="E68" s="281"/>
      <c r="F68" s="288" t="s">
        <v>74</v>
      </c>
      <c r="G68" s="277" t="s">
        <v>426</v>
      </c>
      <c r="H68" s="281"/>
      <c r="I68" s="281"/>
      <c r="J68" s="281"/>
      <c r="K68" s="281"/>
      <c r="L68" s="281"/>
      <c r="M68" s="281"/>
      <c r="N68" s="281"/>
      <c r="O68" s="281"/>
      <c r="P68" s="281"/>
      <c r="Q68" s="281"/>
      <c r="R68" s="281"/>
      <c r="S68" s="281"/>
      <c r="T68" s="281"/>
      <c r="U68" s="281"/>
      <c r="V68" s="281"/>
      <c r="W68" s="281"/>
      <c r="X68" s="281"/>
      <c r="Y68" s="281"/>
      <c r="AA68" s="289"/>
      <c r="AC68" s="281"/>
      <c r="AD68" s="281"/>
      <c r="AE68" s="281"/>
      <c r="AF68" s="281"/>
      <c r="AG68" s="261"/>
      <c r="AH68" s="261"/>
      <c r="AI68" s="281"/>
      <c r="AQ68" s="281"/>
      <c r="AR68" s="281"/>
      <c r="AS68" s="281"/>
      <c r="AT68" s="281"/>
      <c r="AU68" s="281"/>
      <c r="AV68" s="284"/>
      <c r="AW68" s="284"/>
      <c r="AX68" s="284"/>
      <c r="AY68" s="285"/>
      <c r="AZ68" s="285"/>
      <c r="BA68" s="264"/>
      <c r="BB68" s="264"/>
      <c r="BC68" s="264"/>
      <c r="BD68" s="265"/>
    </row>
    <row r="69" spans="1:56" ht="15.75" x14ac:dyDescent="0.25">
      <c r="A69" s="276" t="s">
        <v>59</v>
      </c>
      <c r="B69" s="277" t="s">
        <v>291</v>
      </c>
      <c r="E69" s="281"/>
      <c r="F69" s="288" t="s">
        <v>38</v>
      </c>
      <c r="G69" s="277" t="s">
        <v>427</v>
      </c>
      <c r="H69" s="281"/>
      <c r="I69" s="281"/>
      <c r="J69" s="281"/>
      <c r="K69" s="281"/>
      <c r="L69" s="281"/>
      <c r="M69" s="281"/>
      <c r="N69" s="281"/>
      <c r="O69" s="281"/>
      <c r="P69" s="281"/>
      <c r="Q69" s="281"/>
      <c r="R69" s="281"/>
      <c r="S69" s="281"/>
      <c r="T69" s="281"/>
      <c r="U69" s="281"/>
      <c r="V69" s="281"/>
      <c r="W69" s="281"/>
      <c r="X69" s="281"/>
      <c r="Y69" s="281"/>
      <c r="AA69" s="289"/>
      <c r="AC69" s="281"/>
      <c r="AD69" s="281"/>
      <c r="AE69" s="281"/>
      <c r="AF69" s="261"/>
      <c r="AG69" s="281"/>
      <c r="AH69" s="281"/>
      <c r="AI69" s="281"/>
      <c r="AQ69" s="281"/>
      <c r="AR69" s="281"/>
      <c r="AS69" s="281"/>
      <c r="AT69" s="281"/>
      <c r="AU69" s="281"/>
      <c r="AV69" s="284"/>
      <c r="AW69" s="284"/>
      <c r="AX69" s="284"/>
      <c r="AY69" s="285"/>
      <c r="AZ69" s="285"/>
      <c r="BA69" s="264"/>
      <c r="BB69" s="264"/>
      <c r="BC69" s="264"/>
      <c r="BD69" s="265"/>
    </row>
    <row r="70" spans="1:56" ht="15.75" x14ac:dyDescent="0.25">
      <c r="A70" s="276" t="s">
        <v>55</v>
      </c>
      <c r="B70" s="277" t="s">
        <v>292</v>
      </c>
      <c r="E70" s="281"/>
      <c r="F70" s="288" t="s">
        <v>293</v>
      </c>
      <c r="G70" s="277" t="s">
        <v>428</v>
      </c>
      <c r="H70" s="281"/>
      <c r="I70" s="281"/>
      <c r="J70" s="281"/>
      <c r="K70" s="281"/>
      <c r="L70" s="281"/>
      <c r="M70" s="281"/>
      <c r="N70" s="281"/>
      <c r="O70" s="281"/>
      <c r="P70" s="281"/>
      <c r="Q70" s="281"/>
      <c r="R70" s="281"/>
      <c r="S70" s="281"/>
      <c r="T70" s="281"/>
      <c r="U70" s="281"/>
      <c r="V70" s="281"/>
      <c r="W70" s="281"/>
      <c r="X70" s="281"/>
      <c r="Y70" s="281"/>
      <c r="AA70" s="289"/>
      <c r="AC70" s="281"/>
      <c r="AD70" s="281"/>
      <c r="AE70" s="281"/>
      <c r="AF70" s="281"/>
      <c r="AG70" s="281"/>
      <c r="AH70" s="281"/>
      <c r="AI70" s="281"/>
      <c r="AQ70" s="281"/>
      <c r="AR70" s="281"/>
      <c r="AS70" s="281"/>
      <c r="AT70" s="281"/>
      <c r="AU70" s="281"/>
      <c r="AV70" s="284"/>
      <c r="AW70" s="284"/>
      <c r="AX70" s="284"/>
      <c r="AY70" s="285"/>
      <c r="AZ70" s="285"/>
      <c r="BA70" s="264"/>
      <c r="BB70" s="264"/>
      <c r="BC70" s="264"/>
      <c r="BD70" s="265"/>
    </row>
    <row r="71" spans="1:56" ht="15.75" x14ac:dyDescent="0.25">
      <c r="A71" s="276" t="s">
        <v>43</v>
      </c>
      <c r="B71" s="277" t="s">
        <v>294</v>
      </c>
      <c r="D71" s="170"/>
      <c r="E71" s="278"/>
      <c r="F71" s="288" t="s">
        <v>13</v>
      </c>
      <c r="G71" s="277" t="s">
        <v>429</v>
      </c>
      <c r="H71" s="261"/>
      <c r="I71" s="261"/>
      <c r="J71" s="281"/>
      <c r="K71" s="281"/>
      <c r="L71" s="281"/>
      <c r="M71" s="281"/>
      <c r="N71" s="281"/>
      <c r="O71" s="281"/>
      <c r="P71" s="281"/>
      <c r="Q71" s="281"/>
      <c r="R71" s="281"/>
      <c r="S71" s="281"/>
      <c r="T71" s="281"/>
      <c r="U71" s="281"/>
      <c r="V71" s="281"/>
      <c r="W71" s="281"/>
      <c r="X71" s="281"/>
      <c r="Y71" s="281"/>
      <c r="AA71" s="289"/>
      <c r="AC71" s="281"/>
      <c r="AD71" s="281"/>
      <c r="AE71" s="281"/>
      <c r="AF71" s="281"/>
      <c r="AG71" s="281"/>
      <c r="AH71" s="281"/>
      <c r="AI71" s="281"/>
      <c r="AQ71" s="281"/>
      <c r="AR71" s="281"/>
      <c r="AS71" s="281"/>
      <c r="AT71" s="281"/>
      <c r="AU71" s="281"/>
      <c r="AV71" s="284"/>
      <c r="AW71" s="284"/>
      <c r="AX71" s="284"/>
      <c r="AY71" s="285"/>
      <c r="AZ71" s="285"/>
      <c r="BA71" s="264"/>
      <c r="BB71" s="264"/>
      <c r="BC71" s="264"/>
      <c r="BD71" s="265"/>
    </row>
    <row r="72" spans="1:56" ht="15.75" x14ac:dyDescent="0.25">
      <c r="A72" s="276" t="s">
        <v>51</v>
      </c>
      <c r="B72" s="277" t="s">
        <v>295</v>
      </c>
      <c r="D72" s="170"/>
      <c r="E72" s="278"/>
      <c r="F72" s="288" t="s">
        <v>19</v>
      </c>
      <c r="G72" s="277" t="s">
        <v>430</v>
      </c>
      <c r="H72" s="281"/>
      <c r="I72" s="281"/>
      <c r="J72" s="281"/>
      <c r="K72" s="281"/>
      <c r="L72" s="281"/>
      <c r="M72" s="281"/>
      <c r="N72" s="281"/>
      <c r="O72" s="281"/>
      <c r="P72" s="281"/>
      <c r="Q72" s="281"/>
      <c r="R72" s="281"/>
      <c r="S72" s="281"/>
      <c r="T72" s="281"/>
      <c r="U72" s="281"/>
      <c r="V72" s="281"/>
      <c r="W72" s="281"/>
      <c r="X72" s="281"/>
      <c r="Y72" s="281"/>
      <c r="AA72" s="289"/>
      <c r="AC72" s="281"/>
      <c r="AD72" s="281"/>
      <c r="AE72" s="281"/>
      <c r="AF72" s="281"/>
      <c r="AG72" s="281"/>
      <c r="AH72" s="281"/>
      <c r="AI72" s="281"/>
      <c r="AQ72" s="281"/>
      <c r="AR72" s="281"/>
      <c r="AS72" s="281"/>
      <c r="AT72" s="281"/>
      <c r="AU72" s="281"/>
      <c r="AV72" s="284"/>
      <c r="AW72" s="284"/>
      <c r="AX72" s="284"/>
      <c r="AY72" s="285"/>
      <c r="AZ72" s="285"/>
      <c r="BA72" s="264"/>
      <c r="BB72" s="264"/>
      <c r="BC72" s="264"/>
      <c r="BD72" s="265"/>
    </row>
    <row r="73" spans="1:56" ht="15.75" x14ac:dyDescent="0.25">
      <c r="A73" s="276" t="s">
        <v>78</v>
      </c>
      <c r="B73" s="277" t="s">
        <v>296</v>
      </c>
      <c r="D73" s="170"/>
      <c r="E73" s="278"/>
      <c r="F73" s="293" t="s">
        <v>25</v>
      </c>
      <c r="G73" s="277" t="s">
        <v>431</v>
      </c>
      <c r="H73" s="281"/>
      <c r="I73" s="281"/>
      <c r="J73" s="281"/>
      <c r="K73" s="281"/>
      <c r="L73" s="281"/>
      <c r="M73" s="281"/>
      <c r="N73" s="281"/>
      <c r="O73" s="281"/>
      <c r="P73" s="281"/>
      <c r="Q73" s="281"/>
      <c r="R73" s="281"/>
      <c r="S73" s="281"/>
      <c r="T73" s="281"/>
      <c r="U73" s="281"/>
      <c r="V73" s="281"/>
      <c r="W73" s="281"/>
      <c r="X73" s="281"/>
      <c r="Y73" s="281"/>
      <c r="AA73" s="291"/>
      <c r="AC73" s="281"/>
      <c r="AD73" s="281"/>
      <c r="AE73" s="281"/>
      <c r="AF73" s="281"/>
      <c r="AG73" s="281"/>
      <c r="AH73" s="281"/>
      <c r="AI73" s="281"/>
      <c r="AQ73" s="281"/>
      <c r="AR73" s="281"/>
      <c r="AS73" s="281"/>
      <c r="AT73" s="281"/>
      <c r="AU73" s="281"/>
      <c r="AV73" s="284"/>
      <c r="AW73" s="284"/>
      <c r="AX73" s="284"/>
      <c r="AY73" s="285"/>
      <c r="AZ73" s="285"/>
      <c r="BA73" s="264"/>
      <c r="BB73" s="264"/>
      <c r="BC73" s="264"/>
      <c r="BD73" s="265"/>
    </row>
    <row r="74" spans="1:56" ht="15.75" x14ac:dyDescent="0.25">
      <c r="A74" s="276" t="s">
        <v>44</v>
      </c>
      <c r="B74" s="277" t="s">
        <v>297</v>
      </c>
      <c r="D74" s="170"/>
      <c r="E74" s="278"/>
      <c r="F74" s="288" t="s">
        <v>71</v>
      </c>
      <c r="G74" s="277" t="s">
        <v>432</v>
      </c>
      <c r="H74" s="281"/>
      <c r="I74" s="281"/>
      <c r="J74" s="281"/>
      <c r="K74" s="281"/>
      <c r="L74" s="281"/>
      <c r="M74" s="281"/>
      <c r="N74" s="281"/>
      <c r="O74" s="281"/>
      <c r="P74" s="281"/>
      <c r="Q74" s="281"/>
      <c r="R74" s="281"/>
      <c r="S74" s="281"/>
      <c r="T74" s="281"/>
      <c r="U74" s="281"/>
      <c r="V74" s="281"/>
      <c r="W74" s="281"/>
      <c r="X74" s="281"/>
      <c r="Y74" s="281"/>
      <c r="AA74" s="289"/>
      <c r="AC74" s="281"/>
      <c r="AD74" s="281"/>
      <c r="AE74" s="281"/>
      <c r="AF74" s="281"/>
      <c r="AG74" s="281"/>
      <c r="AH74" s="281"/>
      <c r="AI74" s="281"/>
      <c r="AQ74" s="281"/>
      <c r="AR74" s="281"/>
      <c r="AS74" s="281"/>
      <c r="AT74" s="281"/>
      <c r="AU74" s="281"/>
      <c r="AV74" s="284"/>
      <c r="AW74" s="284"/>
      <c r="AX74" s="284"/>
      <c r="AY74" s="285"/>
      <c r="AZ74" s="285"/>
      <c r="BA74" s="264"/>
      <c r="BB74" s="264"/>
      <c r="BC74" s="264"/>
      <c r="BD74" s="265"/>
    </row>
    <row r="75" spans="1:56" ht="15.75" x14ac:dyDescent="0.25">
      <c r="A75" s="276" t="s">
        <v>46</v>
      </c>
      <c r="B75" s="277" t="s">
        <v>298</v>
      </c>
      <c r="E75" s="281"/>
      <c r="F75" s="288" t="s">
        <v>36</v>
      </c>
      <c r="G75" s="277" t="s">
        <v>433</v>
      </c>
      <c r="H75" s="281"/>
      <c r="I75" s="281"/>
      <c r="J75" s="281"/>
      <c r="K75" s="281"/>
      <c r="L75" s="281"/>
      <c r="M75" s="281"/>
      <c r="N75" s="281"/>
      <c r="O75" s="281"/>
      <c r="P75" s="281"/>
      <c r="Q75" s="281"/>
      <c r="R75" s="281"/>
      <c r="S75" s="281"/>
      <c r="T75" s="281"/>
      <c r="U75" s="281"/>
      <c r="V75" s="281"/>
      <c r="W75" s="281"/>
      <c r="X75" s="281"/>
      <c r="Y75" s="281"/>
      <c r="AA75" s="289"/>
      <c r="AC75" s="281"/>
      <c r="AD75" s="281"/>
      <c r="AE75" s="281"/>
      <c r="AF75" s="281"/>
      <c r="AG75" s="281"/>
      <c r="AH75" s="281"/>
      <c r="AI75" s="281"/>
      <c r="AQ75" s="281"/>
      <c r="AR75" s="281"/>
      <c r="AS75" s="281"/>
      <c r="AT75" s="281"/>
      <c r="AU75" s="281"/>
      <c r="AV75" s="284"/>
      <c r="AW75" s="284"/>
      <c r="AX75" s="284"/>
      <c r="AY75" s="285"/>
      <c r="AZ75" s="285"/>
      <c r="BA75" s="264"/>
      <c r="BB75" s="264"/>
      <c r="BC75" s="264"/>
      <c r="BD75" s="265"/>
    </row>
    <row r="76" spans="1:56" ht="15.75" x14ac:dyDescent="0.25">
      <c r="A76" s="276" t="s">
        <v>48</v>
      </c>
      <c r="B76" s="277" t="s">
        <v>299</v>
      </c>
      <c r="E76" s="281"/>
      <c r="F76" s="288" t="s">
        <v>41</v>
      </c>
      <c r="G76" s="277" t="s">
        <v>434</v>
      </c>
      <c r="H76" s="281"/>
      <c r="I76" s="281"/>
      <c r="J76" s="281"/>
      <c r="K76" s="281"/>
      <c r="L76" s="281"/>
      <c r="M76" s="281"/>
      <c r="N76" s="281"/>
      <c r="O76" s="281"/>
      <c r="P76" s="281"/>
      <c r="Q76" s="281"/>
      <c r="R76" s="281"/>
      <c r="S76" s="281"/>
      <c r="T76" s="281"/>
      <c r="U76" s="281"/>
      <c r="V76" s="281"/>
      <c r="W76" s="281"/>
      <c r="X76" s="281"/>
      <c r="Y76" s="281"/>
      <c r="AA76" s="289"/>
      <c r="AC76" s="281"/>
      <c r="AD76" s="281"/>
      <c r="AE76" s="281"/>
      <c r="AF76" s="281"/>
      <c r="AG76" s="281"/>
      <c r="AH76" s="281"/>
      <c r="AI76" s="281"/>
      <c r="AQ76" s="281"/>
      <c r="AR76" s="281"/>
      <c r="AS76" s="281"/>
      <c r="AT76" s="281"/>
      <c r="AU76" s="281"/>
      <c r="AV76" s="284"/>
      <c r="AW76" s="284"/>
      <c r="AX76" s="284"/>
      <c r="AY76" s="285"/>
      <c r="AZ76" s="285"/>
      <c r="BA76" s="264"/>
      <c r="BB76" s="264"/>
      <c r="BC76" s="264"/>
      <c r="BD76" s="265"/>
    </row>
    <row r="77" spans="1:56" ht="15.75" x14ac:dyDescent="0.25">
      <c r="A77" s="276" t="s">
        <v>39</v>
      </c>
      <c r="B77" s="277" t="s">
        <v>300</v>
      </c>
      <c r="E77" s="281"/>
      <c r="F77" s="288" t="s">
        <v>301</v>
      </c>
      <c r="G77" s="277" t="s">
        <v>435</v>
      </c>
      <c r="H77" s="281"/>
      <c r="I77" s="281"/>
      <c r="J77" s="281"/>
      <c r="K77" s="281"/>
      <c r="L77" s="281"/>
      <c r="M77" s="281"/>
      <c r="N77" s="281"/>
      <c r="O77" s="281"/>
      <c r="P77" s="281"/>
      <c r="Q77" s="281"/>
      <c r="R77" s="281"/>
      <c r="S77" s="281"/>
      <c r="T77" s="281"/>
      <c r="U77" s="281"/>
      <c r="V77" s="281"/>
      <c r="W77" s="281"/>
      <c r="X77" s="281"/>
      <c r="Y77" s="281"/>
      <c r="AA77" s="289"/>
      <c r="AC77" s="281"/>
      <c r="AD77" s="281"/>
      <c r="AE77" s="281"/>
      <c r="AF77" s="281"/>
      <c r="AG77" s="281"/>
      <c r="AH77" s="281"/>
      <c r="AI77" s="281"/>
      <c r="AQ77" s="281"/>
      <c r="AR77" s="281"/>
      <c r="AS77" s="281"/>
      <c r="AT77" s="281"/>
      <c r="AU77" s="281"/>
      <c r="AV77" s="284"/>
      <c r="AW77" s="284"/>
      <c r="AX77" s="284"/>
      <c r="AY77" s="285"/>
      <c r="AZ77" s="285"/>
      <c r="BA77" s="264"/>
      <c r="BB77" s="264"/>
      <c r="BC77" s="264"/>
      <c r="BD77" s="265"/>
    </row>
    <row r="78" spans="1:56" ht="15.75" x14ac:dyDescent="0.25">
      <c r="A78" s="276" t="s">
        <v>15</v>
      </c>
      <c r="B78" s="277" t="s">
        <v>302</v>
      </c>
      <c r="D78" s="170"/>
      <c r="E78" s="278"/>
      <c r="F78" s="288" t="s">
        <v>73</v>
      </c>
      <c r="G78" s="277" t="s">
        <v>436</v>
      </c>
      <c r="H78" s="281"/>
      <c r="I78" s="281"/>
      <c r="J78" s="281"/>
      <c r="K78" s="281"/>
      <c r="L78" s="281"/>
      <c r="M78" s="281"/>
      <c r="N78" s="281"/>
      <c r="O78" s="281"/>
      <c r="P78" s="281"/>
      <c r="Q78" s="281"/>
      <c r="R78" s="281"/>
      <c r="S78" s="281"/>
      <c r="T78" s="281"/>
      <c r="U78" s="281"/>
      <c r="V78" s="281"/>
      <c r="W78" s="281"/>
      <c r="X78" s="281"/>
      <c r="Y78" s="281"/>
      <c r="AA78" s="289"/>
      <c r="AC78" s="281"/>
      <c r="AD78" s="281"/>
      <c r="AE78" s="281"/>
      <c r="AF78" s="281"/>
      <c r="AG78" s="281"/>
      <c r="AH78" s="281"/>
      <c r="AI78" s="281"/>
      <c r="AQ78" s="281"/>
      <c r="AR78" s="281"/>
      <c r="AS78" s="281"/>
      <c r="AT78" s="281"/>
      <c r="AU78" s="281"/>
      <c r="AV78" s="284"/>
      <c r="AW78" s="284"/>
      <c r="AX78" s="284"/>
      <c r="AY78" s="285"/>
      <c r="AZ78" s="285"/>
      <c r="BA78" s="264"/>
      <c r="BB78" s="264"/>
      <c r="BC78" s="264"/>
      <c r="BD78" s="265"/>
    </row>
    <row r="79" spans="1:56" ht="15.75" x14ac:dyDescent="0.25">
      <c r="A79" s="276" t="s">
        <v>303</v>
      </c>
      <c r="B79" s="277" t="s">
        <v>304</v>
      </c>
      <c r="D79" s="170"/>
      <c r="E79" s="278"/>
      <c r="F79" s="288" t="s">
        <v>57</v>
      </c>
      <c r="G79" s="277" t="s">
        <v>437</v>
      </c>
      <c r="H79" s="281"/>
      <c r="I79" s="281"/>
      <c r="J79" s="281"/>
      <c r="K79" s="281"/>
      <c r="L79" s="281"/>
      <c r="M79" s="281"/>
      <c r="N79" s="281"/>
      <c r="O79" s="281"/>
      <c r="P79" s="281"/>
      <c r="Q79" s="281"/>
      <c r="R79" s="281"/>
      <c r="S79" s="281"/>
      <c r="T79" s="281"/>
      <c r="U79" s="281"/>
      <c r="V79" s="281"/>
      <c r="W79" s="281"/>
      <c r="X79" s="281"/>
      <c r="Y79" s="281"/>
      <c r="AA79" s="289"/>
      <c r="AC79" s="281"/>
      <c r="AD79" s="281"/>
      <c r="AE79" s="281"/>
      <c r="AF79" s="281"/>
      <c r="AG79" s="281"/>
      <c r="AH79" s="281"/>
      <c r="AI79" s="281"/>
      <c r="AQ79" s="281"/>
      <c r="AR79" s="281"/>
      <c r="AS79" s="281"/>
      <c r="AT79" s="281"/>
      <c r="AU79" s="281"/>
      <c r="AV79" s="284"/>
      <c r="AW79" s="284"/>
      <c r="AX79" s="284"/>
      <c r="AY79" s="285"/>
      <c r="AZ79" s="285"/>
      <c r="BA79" s="264"/>
      <c r="BB79" s="264"/>
      <c r="BC79" s="264"/>
      <c r="BD79" s="265"/>
    </row>
    <row r="80" spans="1:56" ht="15.75" x14ac:dyDescent="0.25">
      <c r="A80" s="276" t="s">
        <v>23</v>
      </c>
      <c r="B80" s="277" t="s">
        <v>305</v>
      </c>
      <c r="D80" s="170"/>
      <c r="E80" s="278"/>
      <c r="F80" s="288" t="s">
        <v>35</v>
      </c>
      <c r="G80" s="277" t="s">
        <v>438</v>
      </c>
      <c r="H80" s="281"/>
      <c r="I80" s="281"/>
      <c r="J80" s="281"/>
      <c r="K80" s="281"/>
      <c r="L80" s="281"/>
      <c r="M80" s="281"/>
      <c r="N80" s="281"/>
      <c r="O80" s="281"/>
      <c r="P80" s="281"/>
      <c r="Q80" s="281"/>
      <c r="R80" s="281"/>
      <c r="S80" s="281"/>
      <c r="T80" s="281"/>
      <c r="U80" s="281"/>
      <c r="V80" s="281"/>
      <c r="W80" s="281"/>
      <c r="X80" s="281"/>
      <c r="Y80" s="281"/>
      <c r="AA80" s="289"/>
      <c r="AC80" s="281"/>
      <c r="AD80" s="281"/>
      <c r="AE80" s="281"/>
      <c r="AF80" s="281"/>
      <c r="AG80" s="281"/>
      <c r="AH80" s="281"/>
      <c r="AI80" s="281"/>
      <c r="AQ80" s="281"/>
      <c r="AR80" s="281"/>
      <c r="AS80" s="281"/>
      <c r="AT80" s="281"/>
      <c r="AU80" s="281"/>
      <c r="AV80" s="284"/>
      <c r="AW80" s="284"/>
      <c r="AX80" s="284"/>
      <c r="AY80" s="285"/>
      <c r="AZ80" s="285"/>
      <c r="BA80" s="264"/>
      <c r="BB80" s="264"/>
      <c r="BC80" s="264"/>
      <c r="BD80" s="265"/>
    </row>
    <row r="81" spans="1:56" ht="15.75" x14ac:dyDescent="0.25">
      <c r="A81" s="276" t="s">
        <v>56</v>
      </c>
      <c r="B81" s="277" t="s">
        <v>306</v>
      </c>
      <c r="D81" s="170"/>
      <c r="E81" s="278"/>
      <c r="F81" s="288" t="s">
        <v>50</v>
      </c>
      <c r="G81" s="277" t="s">
        <v>439</v>
      </c>
      <c r="H81" s="281"/>
      <c r="I81" s="281"/>
      <c r="J81" s="281"/>
      <c r="K81" s="281"/>
      <c r="L81" s="281"/>
      <c r="M81" s="281"/>
      <c r="N81" s="281"/>
      <c r="O81" s="281"/>
      <c r="P81" s="281"/>
      <c r="Q81" s="281"/>
      <c r="R81" s="281"/>
      <c r="S81" s="281"/>
      <c r="T81" s="281"/>
      <c r="U81" s="281"/>
      <c r="V81" s="281"/>
      <c r="W81" s="281"/>
      <c r="X81" s="281"/>
      <c r="Y81" s="281"/>
      <c r="AA81" s="289"/>
      <c r="AC81" s="281"/>
      <c r="AD81" s="281"/>
      <c r="AE81" s="281"/>
      <c r="AF81" s="281"/>
      <c r="AG81" s="281"/>
      <c r="AH81" s="281"/>
      <c r="AI81" s="281"/>
      <c r="AQ81" s="281"/>
      <c r="AR81" s="281"/>
      <c r="AS81" s="281"/>
      <c r="AT81" s="281"/>
      <c r="AU81" s="281"/>
      <c r="AV81" s="284"/>
      <c r="AW81" s="284"/>
      <c r="AX81" s="284"/>
      <c r="AY81" s="285"/>
      <c r="AZ81" s="285"/>
      <c r="BA81" s="264"/>
      <c r="BB81" s="264"/>
      <c r="BC81" s="264"/>
      <c r="BD81" s="265"/>
    </row>
    <row r="82" spans="1:56" ht="15.75" x14ac:dyDescent="0.25">
      <c r="A82" s="276" t="s">
        <v>16</v>
      </c>
      <c r="B82" s="277" t="s">
        <v>307</v>
      </c>
      <c r="D82" s="170"/>
      <c r="E82" s="278"/>
      <c r="F82" s="288" t="s">
        <v>7</v>
      </c>
      <c r="G82" s="277" t="s">
        <v>440</v>
      </c>
      <c r="H82" s="281"/>
      <c r="I82" s="281"/>
      <c r="J82" s="281"/>
      <c r="K82" s="281"/>
      <c r="L82" s="281"/>
      <c r="M82" s="281"/>
      <c r="N82" s="281"/>
      <c r="O82" s="281"/>
      <c r="P82" s="281"/>
      <c r="Q82" s="281"/>
      <c r="R82" s="281"/>
      <c r="S82" s="281"/>
      <c r="T82" s="281"/>
      <c r="U82" s="281"/>
      <c r="V82" s="281"/>
      <c r="W82" s="281"/>
      <c r="X82" s="281"/>
      <c r="Y82" s="281"/>
      <c r="AA82" s="289"/>
      <c r="AC82" s="281"/>
      <c r="AD82" s="281"/>
      <c r="AE82" s="281"/>
      <c r="AF82" s="281"/>
      <c r="AG82" s="281"/>
      <c r="AH82" s="281"/>
      <c r="AI82" s="281"/>
      <c r="AQ82" s="281"/>
      <c r="AR82" s="281"/>
      <c r="AS82" s="281"/>
      <c r="AT82" s="281"/>
      <c r="AU82" s="281"/>
      <c r="AV82" s="284"/>
      <c r="AW82" s="284"/>
      <c r="AX82" s="284"/>
      <c r="AY82" s="285"/>
      <c r="AZ82" s="285"/>
      <c r="BA82" s="264"/>
      <c r="BB82" s="264"/>
      <c r="BC82" s="264"/>
      <c r="BD82" s="265"/>
    </row>
    <row r="83" spans="1:56" ht="15.75" x14ac:dyDescent="0.25">
      <c r="A83" s="276" t="s">
        <v>75</v>
      </c>
      <c r="B83" s="277" t="s">
        <v>308</v>
      </c>
      <c r="D83" s="170"/>
      <c r="E83" s="278"/>
      <c r="F83" s="288" t="s">
        <v>33</v>
      </c>
      <c r="G83" s="277" t="s">
        <v>441</v>
      </c>
      <c r="H83" s="281"/>
      <c r="I83" s="281"/>
      <c r="J83" s="281"/>
      <c r="K83" s="281"/>
      <c r="L83" s="281"/>
      <c r="M83" s="281"/>
      <c r="N83" s="281"/>
      <c r="O83" s="281"/>
      <c r="P83" s="281"/>
      <c r="Q83" s="281"/>
      <c r="R83" s="281"/>
      <c r="S83" s="281"/>
      <c r="T83" s="281"/>
      <c r="U83" s="281"/>
      <c r="V83" s="281"/>
      <c r="W83" s="281"/>
      <c r="X83" s="281"/>
      <c r="Y83" s="281"/>
      <c r="AA83" s="289"/>
      <c r="AC83" s="281"/>
      <c r="AD83" s="281"/>
      <c r="AE83" s="281"/>
      <c r="AF83" s="281"/>
      <c r="AG83" s="281"/>
      <c r="AH83" s="281"/>
      <c r="AI83" s="281"/>
      <c r="AQ83" s="281"/>
      <c r="AR83" s="281"/>
      <c r="AS83" s="281"/>
      <c r="AT83" s="281"/>
      <c r="AU83" s="281"/>
      <c r="AV83" s="284"/>
      <c r="AW83" s="284"/>
      <c r="AX83" s="284"/>
      <c r="AY83" s="285"/>
      <c r="AZ83" s="285"/>
      <c r="BA83" s="264"/>
      <c r="BB83" s="264"/>
      <c r="BC83" s="264"/>
      <c r="BD83" s="265"/>
    </row>
    <row r="84" spans="1:56" ht="15.75" x14ac:dyDescent="0.25">
      <c r="A84" s="276" t="s">
        <v>29</v>
      </c>
      <c r="B84" s="277" t="s">
        <v>309</v>
      </c>
      <c r="D84" s="170"/>
      <c r="E84" s="278"/>
      <c r="F84" s="288" t="s">
        <v>47</v>
      </c>
      <c r="G84" s="277" t="s">
        <v>442</v>
      </c>
      <c r="H84" s="281"/>
      <c r="I84" s="281"/>
      <c r="J84" s="281"/>
      <c r="K84" s="281"/>
      <c r="L84" s="281"/>
      <c r="M84" s="281"/>
      <c r="N84" s="281"/>
      <c r="O84" s="281"/>
      <c r="P84" s="281"/>
      <c r="Q84" s="281"/>
      <c r="R84" s="281"/>
      <c r="S84" s="281"/>
      <c r="T84" s="281"/>
      <c r="U84" s="281"/>
      <c r="V84" s="281"/>
      <c r="W84" s="281"/>
      <c r="X84" s="281"/>
      <c r="Y84" s="281"/>
      <c r="AA84" s="289"/>
      <c r="AC84" s="281"/>
      <c r="AD84" s="281"/>
      <c r="AE84" s="283"/>
      <c r="AF84" s="281"/>
      <c r="AG84" s="281"/>
      <c r="AH84" s="281"/>
      <c r="AI84" s="281"/>
      <c r="AQ84" s="281"/>
      <c r="AR84" s="281"/>
      <c r="AS84" s="281"/>
      <c r="AT84" s="281"/>
      <c r="AU84" s="281"/>
      <c r="AV84" s="284"/>
      <c r="AW84" s="284"/>
      <c r="AX84" s="284"/>
      <c r="AY84" s="285"/>
      <c r="AZ84" s="285"/>
      <c r="BA84" s="264"/>
      <c r="BB84" s="264"/>
      <c r="BC84" s="264"/>
      <c r="BD84" s="265"/>
    </row>
    <row r="85" spans="1:56" ht="15.75" x14ac:dyDescent="0.25">
      <c r="A85" s="276" t="s">
        <v>58</v>
      </c>
      <c r="B85" s="277" t="s">
        <v>310</v>
      </c>
      <c r="D85" s="170"/>
      <c r="E85" s="278"/>
      <c r="F85" s="293" t="s">
        <v>77</v>
      </c>
      <c r="G85" s="277" t="s">
        <v>443</v>
      </c>
      <c r="H85" s="281"/>
      <c r="I85" s="281"/>
      <c r="J85" s="281"/>
      <c r="K85" s="281"/>
      <c r="L85" s="281"/>
      <c r="M85" s="281"/>
      <c r="N85" s="281"/>
      <c r="O85" s="281"/>
      <c r="P85" s="281"/>
      <c r="Q85" s="281"/>
      <c r="R85" s="281"/>
      <c r="S85" s="281"/>
      <c r="T85" s="281"/>
      <c r="U85" s="281"/>
      <c r="V85" s="281"/>
      <c r="W85" s="281"/>
      <c r="X85" s="281"/>
      <c r="Y85" s="281"/>
      <c r="AA85" s="289"/>
      <c r="AC85" s="281"/>
      <c r="AD85" s="283"/>
      <c r="AE85" s="283"/>
      <c r="AF85" s="281"/>
      <c r="AG85" s="281"/>
      <c r="AH85" s="281"/>
      <c r="AI85" s="261"/>
      <c r="AQ85" s="261"/>
      <c r="AR85" s="261"/>
      <c r="AS85" s="261"/>
      <c r="AT85" s="281"/>
      <c r="AU85" s="281"/>
      <c r="AV85" s="284"/>
      <c r="AW85" s="284"/>
      <c r="AX85" s="284"/>
      <c r="AY85" s="285"/>
      <c r="AZ85" s="285"/>
      <c r="BA85" s="264"/>
      <c r="BB85" s="264"/>
      <c r="BC85" s="264"/>
      <c r="BD85" s="265"/>
    </row>
    <row r="86" spans="1:56" ht="15.75" x14ac:dyDescent="0.25">
      <c r="A86" s="293" t="s">
        <v>64</v>
      </c>
      <c r="B86" s="277" t="s">
        <v>311</v>
      </c>
      <c r="D86" s="170"/>
      <c r="E86" s="294"/>
      <c r="H86" s="281"/>
      <c r="I86" s="281"/>
      <c r="J86" s="281"/>
      <c r="K86" s="281"/>
      <c r="L86" s="281"/>
      <c r="M86" s="281"/>
      <c r="N86" s="281"/>
      <c r="O86" s="281"/>
      <c r="P86" s="281"/>
      <c r="Q86" s="281"/>
      <c r="R86" s="281"/>
      <c r="S86" s="281"/>
      <c r="T86" s="281"/>
      <c r="U86" s="281"/>
      <c r="V86" s="281"/>
      <c r="W86" s="281"/>
      <c r="X86" s="281"/>
      <c r="Y86" s="281"/>
      <c r="AA86" s="289"/>
      <c r="AC86" s="281"/>
      <c r="AD86" s="283"/>
      <c r="AE86" s="283"/>
      <c r="AF86" s="283"/>
      <c r="AG86" s="283"/>
      <c r="AH86" s="283"/>
      <c r="AI86" s="283"/>
      <c r="AQ86" s="283"/>
      <c r="AR86" s="283"/>
      <c r="AS86" s="283"/>
      <c r="AT86" s="281"/>
      <c r="AU86" s="281"/>
      <c r="AV86" s="284"/>
      <c r="AW86" s="284"/>
      <c r="AX86" s="284"/>
      <c r="AY86" s="285"/>
      <c r="AZ86" s="285"/>
      <c r="BA86" s="264"/>
      <c r="BB86" s="264"/>
      <c r="BC86" s="264"/>
      <c r="BD86" s="265"/>
    </row>
    <row r="87" spans="1:56" ht="15.75" x14ac:dyDescent="0.25">
      <c r="A87" s="293"/>
      <c r="B87" s="295"/>
      <c r="D87" s="170"/>
      <c r="E87" s="294"/>
      <c r="H87" s="281"/>
      <c r="I87" s="281"/>
      <c r="J87" s="281"/>
      <c r="K87" s="281"/>
      <c r="L87" s="281"/>
      <c r="M87" s="281"/>
      <c r="N87" s="281"/>
      <c r="O87" s="281"/>
      <c r="P87" s="281"/>
      <c r="Q87" s="281"/>
      <c r="R87" s="281"/>
      <c r="S87" s="281"/>
      <c r="T87" s="281"/>
      <c r="U87" s="281"/>
      <c r="V87" s="281"/>
      <c r="W87" s="281"/>
      <c r="X87" s="281"/>
      <c r="Y87" s="281"/>
      <c r="AA87" s="289"/>
      <c r="AC87" s="281"/>
      <c r="AD87" s="283"/>
      <c r="AE87" s="283"/>
      <c r="AF87" s="283"/>
      <c r="AG87" s="283"/>
      <c r="AH87" s="283"/>
      <c r="AI87" s="283"/>
      <c r="AQ87" s="283"/>
      <c r="AR87" s="283"/>
      <c r="AS87" s="283"/>
      <c r="AT87" s="281"/>
      <c r="AU87" s="281"/>
      <c r="AV87" s="284"/>
      <c r="AW87" s="284"/>
      <c r="AX87" s="284"/>
      <c r="AY87" s="285"/>
      <c r="AZ87" s="285"/>
      <c r="BA87" s="264"/>
      <c r="BB87" s="264"/>
      <c r="BC87" s="264"/>
      <c r="BD87" s="265"/>
    </row>
    <row r="88" spans="1:56" ht="15.75" x14ac:dyDescent="0.25">
      <c r="A88" s="259" t="s">
        <v>312</v>
      </c>
      <c r="B88" s="296"/>
      <c r="D88" s="297"/>
      <c r="E88" s="281"/>
      <c r="F88" s="281"/>
      <c r="G88" s="261"/>
      <c r="H88" s="261"/>
      <c r="I88" s="261"/>
      <c r="J88" s="261"/>
      <c r="K88" s="261"/>
      <c r="L88" s="261"/>
      <c r="M88" s="261"/>
      <c r="N88" s="261"/>
      <c r="O88" s="261"/>
      <c r="P88" s="261"/>
      <c r="Q88" s="261"/>
      <c r="R88" s="261"/>
      <c r="S88" s="261"/>
      <c r="T88" s="261"/>
      <c r="U88" s="261"/>
      <c r="V88" s="261"/>
      <c r="W88" s="261"/>
      <c r="X88" s="261"/>
      <c r="Y88" s="261"/>
      <c r="Z88" s="261"/>
      <c r="AA88" s="261"/>
      <c r="AB88" s="261"/>
      <c r="AC88" s="261"/>
      <c r="AD88" s="261"/>
      <c r="AE88" s="261"/>
      <c r="AF88" s="261"/>
      <c r="AG88" s="261"/>
      <c r="AH88" s="261"/>
      <c r="AI88" s="261"/>
      <c r="AJ88" s="261"/>
      <c r="AK88" s="261"/>
      <c r="AL88" s="261"/>
      <c r="AM88" s="261"/>
      <c r="AN88" s="260" t="s">
        <v>313</v>
      </c>
      <c r="AO88" s="261"/>
      <c r="AP88" s="261"/>
      <c r="AQ88" s="261"/>
      <c r="AR88" s="261"/>
      <c r="AS88" s="261"/>
      <c r="AT88" s="261"/>
      <c r="AU88" s="261"/>
      <c r="AV88" s="263"/>
      <c r="AW88" s="263"/>
      <c r="AX88" s="263"/>
      <c r="AY88" s="264"/>
      <c r="AZ88" s="264"/>
      <c r="BA88" s="264"/>
      <c r="BB88" s="264"/>
      <c r="BC88" s="264"/>
      <c r="BD88" s="265"/>
    </row>
    <row r="89" spans="1:56" ht="6" customHeight="1" x14ac:dyDescent="0.25">
      <c r="A89" s="296"/>
      <c r="B89" s="296"/>
      <c r="C89" s="298"/>
      <c r="D89" s="297"/>
      <c r="E89" s="281"/>
      <c r="F89" s="281"/>
      <c r="G89" s="261"/>
      <c r="H89" s="261"/>
      <c r="I89" s="261"/>
      <c r="J89" s="261"/>
      <c r="K89" s="261"/>
      <c r="L89" s="261"/>
      <c r="M89" s="261"/>
      <c r="N89" s="261"/>
      <c r="O89" s="261"/>
      <c r="P89" s="261"/>
      <c r="Q89" s="261"/>
      <c r="R89" s="261"/>
      <c r="S89" s="261"/>
      <c r="T89" s="261"/>
      <c r="U89" s="261"/>
      <c r="V89" s="261"/>
      <c r="W89" s="261"/>
      <c r="X89" s="261"/>
      <c r="Y89" s="261"/>
      <c r="Z89" s="261"/>
      <c r="AA89" s="261"/>
      <c r="AB89" s="261"/>
      <c r="AC89" s="261"/>
      <c r="AD89" s="261"/>
      <c r="AE89" s="261"/>
      <c r="AF89" s="261"/>
      <c r="AG89" s="261"/>
      <c r="AH89" s="261"/>
      <c r="AI89" s="261"/>
      <c r="AJ89" s="261"/>
      <c r="AK89" s="261"/>
      <c r="AL89" s="261"/>
      <c r="AM89" s="261"/>
      <c r="AN89" s="261"/>
      <c r="AO89" s="261"/>
      <c r="AP89" s="261"/>
      <c r="AQ89" s="261"/>
      <c r="AR89" s="261"/>
      <c r="AS89" s="261"/>
      <c r="AT89" s="261"/>
      <c r="AU89" s="261"/>
      <c r="AV89" s="263"/>
      <c r="AW89" s="263"/>
      <c r="AX89" s="263"/>
      <c r="AY89" s="264"/>
      <c r="AZ89" s="264"/>
      <c r="BA89" s="264"/>
      <c r="BB89" s="264"/>
      <c r="BC89" s="264"/>
      <c r="BD89" s="265"/>
    </row>
    <row r="90" spans="1:56" ht="15.75" x14ac:dyDescent="0.25">
      <c r="A90" s="299" t="s">
        <v>314</v>
      </c>
      <c r="B90" s="299"/>
      <c r="C90" s="300"/>
      <c r="D90" s="297"/>
      <c r="E90" s="299" t="s">
        <v>315</v>
      </c>
      <c r="F90" s="299"/>
      <c r="G90" s="300"/>
      <c r="H90" s="222"/>
      <c r="I90" s="299" t="s">
        <v>316</v>
      </c>
      <c r="J90" s="299"/>
      <c r="L90" s="261"/>
      <c r="M90" s="261"/>
      <c r="N90" s="261"/>
      <c r="O90" s="261"/>
      <c r="P90" s="261"/>
      <c r="Q90" s="23"/>
      <c r="R90" s="301"/>
      <c r="S90" s="301"/>
      <c r="T90" s="301"/>
      <c r="U90" s="301"/>
      <c r="V90" s="261"/>
      <c r="W90" s="261"/>
      <c r="X90" s="261"/>
      <c r="Y90" s="261"/>
      <c r="Z90" s="261"/>
      <c r="AC90" s="23"/>
      <c r="AD90" s="301"/>
      <c r="AE90" s="301"/>
      <c r="AF90" s="261"/>
      <c r="AG90" s="261"/>
      <c r="AH90" s="261"/>
      <c r="AI90" s="261"/>
      <c r="AJ90" s="261"/>
      <c r="AK90" s="261"/>
      <c r="AL90" s="261"/>
      <c r="AM90" s="261"/>
      <c r="AN90" s="302" t="s">
        <v>317</v>
      </c>
      <c r="AO90" s="261"/>
      <c r="AP90" s="261"/>
      <c r="AQ90" s="261"/>
      <c r="AR90" s="261"/>
      <c r="AS90" s="261"/>
      <c r="AT90" s="261"/>
      <c r="AU90" s="261"/>
      <c r="AV90" s="263"/>
      <c r="AW90" s="263"/>
      <c r="AX90" s="263"/>
      <c r="AY90" s="264"/>
      <c r="AZ90" s="264"/>
      <c r="BA90" s="264"/>
      <c r="BB90" s="264"/>
      <c r="BC90" s="264"/>
      <c r="BD90" s="265"/>
    </row>
    <row r="91" spans="1:56" ht="15.75" x14ac:dyDescent="0.25">
      <c r="A91" s="303" t="s">
        <v>3</v>
      </c>
      <c r="B91" s="303"/>
      <c r="C91" s="23"/>
      <c r="D91" s="297"/>
      <c r="E91" s="304" t="s">
        <v>3</v>
      </c>
      <c r="F91" s="304"/>
      <c r="G91" s="300"/>
      <c r="H91" s="222"/>
      <c r="I91" s="303" t="s">
        <v>3</v>
      </c>
      <c r="J91" s="303"/>
      <c r="L91" s="261"/>
      <c r="M91" s="261"/>
      <c r="N91" s="261"/>
      <c r="O91" s="261"/>
      <c r="P91" s="261"/>
      <c r="Q91" s="23"/>
      <c r="R91" s="305"/>
      <c r="S91" s="23"/>
      <c r="T91" s="305"/>
      <c r="U91" s="305"/>
      <c r="V91" s="261"/>
      <c r="W91" s="261"/>
      <c r="X91" s="261"/>
      <c r="Y91" s="261"/>
      <c r="Z91" s="261"/>
      <c r="AC91" s="23"/>
      <c r="AD91" s="305"/>
      <c r="AE91" s="305"/>
      <c r="AF91" s="261"/>
      <c r="AG91" s="261"/>
      <c r="AH91" s="261"/>
      <c r="AI91" s="261"/>
      <c r="AJ91" s="261"/>
      <c r="AK91" s="261"/>
      <c r="AL91" s="261"/>
      <c r="AM91" s="261"/>
      <c r="AN91" s="261"/>
      <c r="AO91" s="261"/>
      <c r="AP91" s="261"/>
      <c r="AQ91" s="261"/>
      <c r="AR91" s="261"/>
      <c r="AS91" s="261"/>
      <c r="AT91" s="261"/>
      <c r="AU91" s="261"/>
      <c r="AV91" s="263"/>
      <c r="AW91" s="263"/>
      <c r="AX91" s="263"/>
      <c r="AY91" s="264"/>
      <c r="AZ91" s="264"/>
      <c r="BA91" s="264"/>
      <c r="BB91" s="264"/>
      <c r="BC91" s="264"/>
      <c r="BD91" s="265"/>
    </row>
    <row r="92" spans="1:56" ht="15.75" x14ac:dyDescent="0.25">
      <c r="A92" s="306" t="s">
        <v>66</v>
      </c>
      <c r="B92" s="306"/>
      <c r="C92" s="31"/>
      <c r="D92" s="297"/>
      <c r="E92" s="307" t="s">
        <v>66</v>
      </c>
      <c r="F92" s="307"/>
      <c r="G92" s="291"/>
      <c r="H92" s="222"/>
      <c r="I92" s="306" t="s">
        <v>66</v>
      </c>
      <c r="J92" s="306"/>
      <c r="L92" s="261"/>
      <c r="M92" s="261"/>
      <c r="N92" s="261"/>
      <c r="O92" s="261"/>
      <c r="P92" s="261"/>
      <c r="Q92" s="23"/>
      <c r="R92" s="308"/>
      <c r="S92" s="23"/>
      <c r="T92" s="309"/>
      <c r="U92" s="309"/>
      <c r="V92" s="261"/>
      <c r="W92" s="261"/>
      <c r="X92" s="261"/>
      <c r="Y92" s="261"/>
      <c r="Z92" s="261"/>
      <c r="AC92" s="23"/>
      <c r="AD92" s="309"/>
      <c r="AE92" s="309"/>
      <c r="AF92" s="261"/>
      <c r="AG92" s="261"/>
      <c r="AH92" s="261"/>
      <c r="AI92" s="261"/>
      <c r="AJ92" s="261"/>
      <c r="AK92" s="261"/>
      <c r="AL92" s="261"/>
      <c r="AM92" s="261"/>
      <c r="AN92" s="302" t="s">
        <v>281</v>
      </c>
      <c r="AO92" s="261"/>
      <c r="AP92" s="261"/>
      <c r="AQ92" s="302" t="s">
        <v>23</v>
      </c>
      <c r="AR92" s="261"/>
      <c r="AS92" s="261"/>
      <c r="AT92" s="302" t="s">
        <v>72</v>
      </c>
      <c r="AU92" s="261"/>
      <c r="AV92" s="263"/>
      <c r="AW92" s="263"/>
      <c r="AX92" s="263"/>
      <c r="AY92" s="264"/>
      <c r="AZ92" s="264"/>
      <c r="BA92" s="264"/>
      <c r="BB92" s="264"/>
      <c r="BC92" s="264"/>
      <c r="BD92" s="265"/>
    </row>
    <row r="93" spans="1:56" ht="15.75" x14ac:dyDescent="0.25">
      <c r="A93" s="310" t="s">
        <v>68</v>
      </c>
      <c r="B93" s="310"/>
      <c r="C93" s="31"/>
      <c r="D93" s="311"/>
      <c r="E93" s="312" t="s">
        <v>26</v>
      </c>
      <c r="F93" s="312"/>
      <c r="G93" s="291"/>
      <c r="H93" s="222"/>
      <c r="I93" s="310" t="s">
        <v>8</v>
      </c>
      <c r="J93" s="310"/>
      <c r="L93" s="261"/>
      <c r="M93" s="261"/>
      <c r="N93" s="261"/>
      <c r="O93" s="261"/>
      <c r="P93" s="261"/>
      <c r="R93" s="283"/>
      <c r="T93" s="313"/>
      <c r="U93" s="313"/>
      <c r="V93" s="261"/>
      <c r="W93" s="261"/>
      <c r="X93" s="261"/>
      <c r="Y93" s="261"/>
      <c r="Z93" s="261"/>
      <c r="AD93" s="313"/>
      <c r="AE93" s="313"/>
      <c r="AF93" s="261"/>
      <c r="AG93" s="261"/>
      <c r="AH93" s="261"/>
      <c r="AI93" s="261"/>
      <c r="AJ93" s="261"/>
      <c r="AK93" s="261"/>
      <c r="AL93" s="261"/>
      <c r="AM93" s="261"/>
      <c r="AN93" s="302" t="s">
        <v>39</v>
      </c>
      <c r="AO93" s="261"/>
      <c r="AP93" s="261"/>
      <c r="AQ93" s="302" t="s">
        <v>18</v>
      </c>
      <c r="AR93" s="261"/>
      <c r="AS93" s="261"/>
      <c r="AT93" s="261"/>
      <c r="AU93" s="261"/>
      <c r="AV93" s="263"/>
      <c r="AW93" s="263"/>
      <c r="AX93" s="263"/>
      <c r="AY93" s="264"/>
      <c r="AZ93" s="264"/>
      <c r="BA93" s="264"/>
      <c r="BB93" s="264"/>
      <c r="BC93" s="264"/>
      <c r="BD93" s="265"/>
    </row>
    <row r="94" spans="1:56" ht="15.75" x14ac:dyDescent="0.25">
      <c r="A94" s="310" t="s">
        <v>26</v>
      </c>
      <c r="B94" s="310"/>
      <c r="C94" s="31"/>
      <c r="D94" s="311"/>
      <c r="E94" s="312" t="s">
        <v>68</v>
      </c>
      <c r="F94" s="312"/>
      <c r="G94" s="291"/>
      <c r="H94" s="222"/>
      <c r="I94" s="310" t="s">
        <v>26</v>
      </c>
      <c r="J94" s="310"/>
      <c r="L94" s="261"/>
      <c r="M94" s="261"/>
      <c r="N94" s="261"/>
      <c r="O94" s="261"/>
      <c r="P94" s="261"/>
      <c r="R94" s="314"/>
      <c r="T94" s="315"/>
      <c r="U94" s="315"/>
      <c r="V94" s="261"/>
      <c r="W94" s="261"/>
      <c r="X94" s="261"/>
      <c r="Y94" s="261"/>
      <c r="Z94" s="261"/>
      <c r="AD94" s="315"/>
      <c r="AE94" s="315"/>
      <c r="AF94" s="261"/>
      <c r="AG94" s="261"/>
      <c r="AH94" s="261"/>
      <c r="AI94" s="261"/>
      <c r="AJ94" s="261"/>
      <c r="AK94" s="261"/>
      <c r="AL94" s="261"/>
      <c r="AM94" s="261"/>
      <c r="AN94" s="261"/>
      <c r="AO94" s="261"/>
      <c r="AP94" s="261"/>
      <c r="AQ94" s="261"/>
      <c r="AR94" s="261"/>
      <c r="AS94" s="261"/>
      <c r="AT94" s="261"/>
      <c r="AU94" s="261"/>
      <c r="AV94" s="263"/>
      <c r="AW94" s="263"/>
      <c r="AX94" s="263"/>
      <c r="AY94" s="264"/>
      <c r="AZ94" s="264"/>
      <c r="BA94" s="264"/>
      <c r="BB94" s="264"/>
      <c r="BC94" s="264"/>
      <c r="BD94" s="265"/>
    </row>
    <row r="95" spans="1:56" ht="15.75" x14ac:dyDescent="0.25">
      <c r="A95" s="310" t="s">
        <v>17</v>
      </c>
      <c r="B95" s="310"/>
      <c r="C95" s="31"/>
      <c r="D95" s="297"/>
      <c r="E95" s="312" t="s">
        <v>17</v>
      </c>
      <c r="F95" s="312"/>
      <c r="G95" s="291"/>
      <c r="H95" s="222"/>
      <c r="I95" s="310" t="s">
        <v>68</v>
      </c>
      <c r="J95" s="310"/>
      <c r="L95" s="261"/>
      <c r="M95" s="261"/>
      <c r="N95" s="261"/>
      <c r="O95" s="261"/>
      <c r="P95" s="261"/>
      <c r="R95" s="283"/>
      <c r="T95" s="313"/>
      <c r="U95" s="313"/>
      <c r="V95" s="261"/>
      <c r="W95" s="261"/>
      <c r="X95" s="261"/>
      <c r="Y95" s="261"/>
      <c r="Z95" s="261"/>
      <c r="AD95" s="313"/>
      <c r="AE95" s="313"/>
      <c r="AF95" s="261"/>
      <c r="AG95" s="261"/>
      <c r="AH95" s="261"/>
      <c r="AI95" s="261"/>
      <c r="AJ95" s="261"/>
      <c r="AK95" s="261"/>
      <c r="AL95" s="261"/>
      <c r="AM95" s="261"/>
      <c r="AN95" s="261"/>
      <c r="AO95" s="261"/>
      <c r="AP95" s="261"/>
      <c r="AQ95" s="261"/>
      <c r="AR95" s="261"/>
      <c r="AS95" s="261"/>
      <c r="AT95" s="261"/>
      <c r="AU95" s="261"/>
      <c r="AV95" s="263"/>
      <c r="AW95" s="263"/>
      <c r="AX95" s="263"/>
      <c r="AY95" s="264"/>
      <c r="AZ95" s="264"/>
      <c r="BA95" s="264"/>
      <c r="BB95" s="264"/>
      <c r="BC95" s="264"/>
      <c r="BD95" s="265"/>
    </row>
    <row r="96" spans="1:56" ht="15.75" x14ac:dyDescent="0.25">
      <c r="A96" s="310" t="s">
        <v>43</v>
      </c>
      <c r="B96" s="310"/>
      <c r="C96" s="31"/>
      <c r="D96" s="297"/>
      <c r="E96" s="316" t="s">
        <v>45</v>
      </c>
      <c r="F96" s="316"/>
      <c r="G96" s="291"/>
      <c r="H96" s="222"/>
      <c r="I96" s="310" t="s">
        <v>17</v>
      </c>
      <c r="J96" s="310"/>
      <c r="L96" s="261"/>
      <c r="M96" s="261"/>
      <c r="N96" s="261"/>
      <c r="O96" s="261"/>
      <c r="P96" s="261"/>
      <c r="R96" s="314"/>
      <c r="T96" s="315"/>
      <c r="U96" s="315"/>
      <c r="V96" s="261"/>
      <c r="W96" s="261"/>
      <c r="X96" s="261"/>
      <c r="Y96" s="261"/>
      <c r="Z96" s="261"/>
      <c r="AD96" s="315"/>
      <c r="AE96" s="315"/>
      <c r="AF96" s="261"/>
      <c r="AG96" s="261"/>
      <c r="AH96" s="261"/>
      <c r="AI96" s="261"/>
      <c r="AJ96" s="261"/>
      <c r="AK96" s="261"/>
      <c r="AL96" s="261"/>
      <c r="AM96" s="261"/>
      <c r="AN96" s="261"/>
      <c r="AO96" s="261"/>
      <c r="AP96" s="261"/>
      <c r="AQ96" s="261"/>
      <c r="AR96" s="261"/>
      <c r="AS96" s="261"/>
      <c r="AT96" s="261"/>
      <c r="AU96" s="261"/>
      <c r="AV96" s="263"/>
      <c r="AW96" s="263"/>
      <c r="AX96" s="263"/>
      <c r="AY96" s="264"/>
      <c r="AZ96" s="264"/>
      <c r="BA96" s="264"/>
      <c r="BB96" s="264"/>
      <c r="BC96" s="264"/>
      <c r="BD96" s="265"/>
    </row>
    <row r="97" spans="1:56" ht="15.75" x14ac:dyDescent="0.25">
      <c r="A97" s="310" t="s">
        <v>45</v>
      </c>
      <c r="B97" s="310"/>
      <c r="C97" s="31"/>
      <c r="D97" s="297"/>
      <c r="E97" s="316" t="s">
        <v>69</v>
      </c>
      <c r="F97" s="316"/>
      <c r="G97" s="291"/>
      <c r="H97" s="222"/>
      <c r="I97" s="310" t="s">
        <v>45</v>
      </c>
      <c r="J97" s="310"/>
      <c r="L97" s="261"/>
      <c r="M97" s="261"/>
      <c r="N97" s="261"/>
      <c r="O97" s="261"/>
      <c r="P97" s="261"/>
      <c r="R97" s="283"/>
      <c r="T97" s="313"/>
      <c r="U97" s="313"/>
      <c r="V97" s="261"/>
      <c r="W97" s="261"/>
      <c r="X97" s="261"/>
      <c r="Y97" s="261"/>
      <c r="Z97" s="261"/>
      <c r="AD97" s="313"/>
      <c r="AE97" s="313"/>
      <c r="AF97" s="261"/>
      <c r="AG97" s="261"/>
      <c r="AH97" s="261"/>
      <c r="AI97" s="261"/>
      <c r="AJ97" s="261"/>
      <c r="AK97" s="261"/>
      <c r="AL97" s="261"/>
      <c r="AM97" s="261"/>
      <c r="AN97" s="261"/>
      <c r="AO97" s="261"/>
      <c r="AP97" s="261"/>
      <c r="AQ97" s="261"/>
      <c r="AR97" s="261"/>
      <c r="AS97" s="261"/>
      <c r="AT97" s="261"/>
      <c r="AU97" s="261"/>
      <c r="AV97" s="263"/>
      <c r="AW97" s="263"/>
      <c r="AX97" s="263"/>
      <c r="AY97" s="264"/>
      <c r="AZ97" s="264"/>
      <c r="BA97" s="264"/>
      <c r="BB97" s="264"/>
      <c r="BC97" s="264"/>
      <c r="BD97" s="265"/>
    </row>
    <row r="98" spans="1:56" ht="15.75" x14ac:dyDescent="0.25">
      <c r="A98" s="310" t="s">
        <v>59</v>
      </c>
      <c r="B98" s="310"/>
      <c r="C98" s="31"/>
      <c r="D98" s="311"/>
      <c r="E98" s="317" t="s">
        <v>59</v>
      </c>
      <c r="F98" s="317"/>
      <c r="G98" s="291"/>
      <c r="H98" s="222"/>
      <c r="I98" s="310" t="s">
        <v>69</v>
      </c>
      <c r="J98" s="310"/>
      <c r="L98" s="261"/>
      <c r="M98" s="261"/>
      <c r="N98" s="261"/>
      <c r="O98" s="261"/>
      <c r="P98" s="261" t="s">
        <v>200</v>
      </c>
      <c r="R98" s="314"/>
      <c r="T98" s="315"/>
      <c r="U98" s="315"/>
      <c r="V98" s="261"/>
      <c r="W98" s="261"/>
      <c r="X98" s="261"/>
      <c r="Y98" s="261"/>
      <c r="Z98" s="261"/>
      <c r="AD98" s="315"/>
      <c r="AE98" s="315"/>
      <c r="AF98" s="261"/>
      <c r="AG98" s="261"/>
      <c r="AH98" s="261"/>
      <c r="AI98" s="261"/>
      <c r="AJ98" s="261"/>
      <c r="AK98" s="261"/>
      <c r="AL98" s="261"/>
      <c r="AM98" s="261"/>
      <c r="AN98" s="261"/>
      <c r="AO98" s="261"/>
      <c r="AP98" s="261"/>
      <c r="AQ98" s="261"/>
      <c r="AR98" s="261"/>
      <c r="AS98" s="261"/>
      <c r="AT98" s="261"/>
      <c r="AU98" s="261"/>
      <c r="AV98" s="263"/>
      <c r="AW98" s="263"/>
      <c r="AX98" s="263"/>
      <c r="AY98" s="264"/>
      <c r="AZ98" s="264"/>
      <c r="BA98" s="264"/>
      <c r="BB98" s="264"/>
      <c r="BC98" s="264"/>
      <c r="BD98" s="265"/>
    </row>
    <row r="99" spans="1:56" ht="15.75" x14ac:dyDescent="0.25">
      <c r="A99" s="310" t="s">
        <v>46</v>
      </c>
      <c r="B99" s="310"/>
      <c r="C99" s="31"/>
      <c r="D99" s="311"/>
      <c r="E99" s="312" t="s">
        <v>43</v>
      </c>
      <c r="F99" s="312"/>
      <c r="G99" s="291"/>
      <c r="H99" s="222"/>
      <c r="I99" s="310" t="s">
        <v>59</v>
      </c>
      <c r="J99" s="310"/>
      <c r="L99" s="261"/>
      <c r="M99" s="261"/>
      <c r="N99" s="261"/>
      <c r="O99" s="261"/>
      <c r="P99" s="261"/>
      <c r="R99" s="283"/>
      <c r="T99" s="313"/>
      <c r="U99" s="313"/>
      <c r="V99" s="261"/>
      <c r="W99" s="261"/>
      <c r="X99" s="261"/>
      <c r="Y99" s="261"/>
      <c r="Z99" s="261"/>
      <c r="AD99" s="313"/>
      <c r="AE99" s="313"/>
      <c r="AF99" s="261"/>
      <c r="AG99" s="261"/>
      <c r="AH99" s="261"/>
      <c r="AI99" s="261"/>
      <c r="AJ99" s="261"/>
      <c r="AK99" s="261"/>
      <c r="AL99" s="261"/>
      <c r="AM99" s="261"/>
      <c r="AN99" s="261"/>
      <c r="AO99" s="261"/>
      <c r="AP99" s="261"/>
      <c r="AQ99" s="261"/>
      <c r="AR99" s="261"/>
      <c r="AS99" s="261"/>
      <c r="AT99" s="261"/>
      <c r="AU99" s="261"/>
      <c r="AV99" s="263"/>
      <c r="AW99" s="263"/>
      <c r="AX99" s="263"/>
      <c r="AY99" s="264"/>
      <c r="AZ99" s="264"/>
      <c r="BA99" s="264"/>
      <c r="BB99" s="264"/>
      <c r="BC99" s="264"/>
      <c r="BD99" s="265"/>
    </row>
    <row r="100" spans="1:56" ht="15.75" x14ac:dyDescent="0.25">
      <c r="A100" s="310" t="s">
        <v>75</v>
      </c>
      <c r="B100" s="310"/>
      <c r="C100" s="31"/>
      <c r="D100" s="311"/>
      <c r="E100" s="312" t="s">
        <v>46</v>
      </c>
      <c r="F100" s="312"/>
      <c r="G100" s="291"/>
      <c r="H100" s="222"/>
      <c r="I100" s="310" t="s">
        <v>43</v>
      </c>
      <c r="J100" s="310"/>
      <c r="L100" s="261"/>
      <c r="M100" s="261"/>
      <c r="N100" s="261"/>
      <c r="O100" s="261"/>
      <c r="P100" s="261"/>
      <c r="R100" s="314"/>
      <c r="T100" s="315"/>
      <c r="U100" s="315"/>
      <c r="V100" s="261"/>
      <c r="W100" s="261"/>
      <c r="X100" s="261"/>
      <c r="Y100" s="261"/>
      <c r="Z100" s="261"/>
      <c r="AD100" s="315"/>
      <c r="AE100" s="315"/>
      <c r="AF100" s="261"/>
      <c r="AG100" s="261"/>
      <c r="AH100" s="261"/>
      <c r="AI100" s="261"/>
      <c r="AJ100" s="261"/>
      <c r="AK100" s="261"/>
      <c r="AL100" s="261"/>
      <c r="AM100" s="261"/>
      <c r="AN100" s="261"/>
      <c r="AO100" s="261"/>
      <c r="AP100" s="261"/>
      <c r="AQ100" s="261"/>
      <c r="AR100" s="261"/>
      <c r="AS100" s="261"/>
      <c r="AT100" s="261"/>
      <c r="AU100" s="261"/>
      <c r="AV100" s="263"/>
      <c r="AW100" s="263"/>
      <c r="AX100" s="263"/>
      <c r="AY100" s="264"/>
      <c r="AZ100" s="264"/>
      <c r="BA100" s="264"/>
      <c r="BB100" s="264"/>
      <c r="BC100" s="264"/>
      <c r="BD100" s="265"/>
    </row>
    <row r="101" spans="1:56" ht="15.75" x14ac:dyDescent="0.25">
      <c r="A101" s="310" t="s">
        <v>47</v>
      </c>
      <c r="B101" s="310"/>
      <c r="C101" s="31"/>
      <c r="D101" s="311"/>
      <c r="E101" s="317" t="s">
        <v>75</v>
      </c>
      <c r="F101" s="317"/>
      <c r="G101" s="291"/>
      <c r="H101" s="222"/>
      <c r="I101" s="318" t="s">
        <v>51</v>
      </c>
      <c r="J101" s="318"/>
      <c r="L101" s="261"/>
      <c r="M101" s="261"/>
      <c r="N101" s="261"/>
      <c r="O101" s="261"/>
      <c r="P101" s="261"/>
      <c r="R101" s="283"/>
      <c r="T101" s="313"/>
      <c r="U101" s="313"/>
      <c r="V101" s="261"/>
      <c r="W101" s="261"/>
      <c r="X101" s="261"/>
      <c r="Y101" s="261"/>
      <c r="Z101" s="261"/>
      <c r="AD101" s="313"/>
      <c r="AE101" s="313"/>
      <c r="AF101" s="261"/>
      <c r="AG101" s="261"/>
      <c r="AH101" s="261"/>
      <c r="AI101" s="261"/>
      <c r="AJ101" s="261"/>
      <c r="AK101" s="261"/>
      <c r="AL101" s="261"/>
      <c r="AM101" s="261"/>
      <c r="AN101" s="261"/>
      <c r="AO101" s="261"/>
      <c r="AP101" s="261"/>
      <c r="AQ101" s="261"/>
      <c r="AR101" s="261"/>
      <c r="AS101" s="261"/>
      <c r="AT101" s="261"/>
      <c r="AU101" s="261"/>
      <c r="AV101" s="263"/>
      <c r="AW101" s="263"/>
      <c r="AX101" s="263"/>
      <c r="AY101" s="264"/>
      <c r="AZ101" s="264"/>
      <c r="BA101" s="264"/>
      <c r="BB101" s="264"/>
      <c r="BC101" s="264"/>
      <c r="BD101" s="265"/>
    </row>
    <row r="102" spans="1:56" ht="15.75" x14ac:dyDescent="0.25">
      <c r="A102" s="310" t="s">
        <v>318</v>
      </c>
      <c r="B102" s="310"/>
      <c r="C102" s="31"/>
      <c r="D102" s="311"/>
      <c r="E102" s="316" t="s">
        <v>70</v>
      </c>
      <c r="F102" s="316"/>
      <c r="G102" s="291"/>
      <c r="H102" s="222"/>
      <c r="I102" s="310" t="s">
        <v>46</v>
      </c>
      <c r="J102" s="310"/>
      <c r="L102" s="261"/>
      <c r="M102" s="261"/>
      <c r="N102" s="261"/>
      <c r="O102" s="261"/>
      <c r="P102" s="261"/>
      <c r="R102" s="314"/>
      <c r="T102" s="315"/>
      <c r="U102" s="315"/>
      <c r="V102" s="261"/>
      <c r="W102" s="261"/>
      <c r="X102" s="261"/>
      <c r="Y102" s="261"/>
      <c r="Z102" s="261"/>
      <c r="AD102" s="315"/>
      <c r="AE102" s="315"/>
      <c r="AF102" s="261"/>
      <c r="AG102" s="261"/>
      <c r="AH102" s="261"/>
      <c r="AI102" s="261"/>
      <c r="AJ102" s="261"/>
      <c r="AK102" s="261"/>
      <c r="AL102" s="261"/>
      <c r="AM102" s="261"/>
      <c r="AN102" s="261"/>
      <c r="AO102" s="261"/>
      <c r="AP102" s="261"/>
      <c r="AQ102" s="261"/>
      <c r="AR102" s="261"/>
      <c r="AS102" s="261"/>
      <c r="AT102" s="261"/>
      <c r="AU102" s="261"/>
      <c r="AV102" s="263"/>
      <c r="AW102" s="263"/>
      <c r="AX102" s="263"/>
      <c r="AY102" s="264"/>
      <c r="AZ102" s="264"/>
      <c r="BA102" s="264"/>
      <c r="BB102" s="264"/>
      <c r="BC102" s="264"/>
      <c r="BD102" s="265"/>
    </row>
    <row r="103" spans="1:56" ht="15.75" x14ac:dyDescent="0.25">
      <c r="A103" s="310" t="s">
        <v>70</v>
      </c>
      <c r="B103" s="310"/>
      <c r="C103" s="31"/>
      <c r="D103" s="311"/>
      <c r="E103" s="316" t="s">
        <v>21</v>
      </c>
      <c r="F103" s="316"/>
      <c r="G103" s="291"/>
      <c r="H103" s="222"/>
      <c r="I103" s="318" t="s">
        <v>75</v>
      </c>
      <c r="J103" s="318"/>
      <c r="L103" s="261"/>
      <c r="M103" s="261"/>
      <c r="N103" s="261"/>
      <c r="O103" s="261"/>
      <c r="P103" s="261"/>
      <c r="R103" s="283"/>
      <c r="T103" s="313"/>
      <c r="U103" s="313"/>
      <c r="V103" s="261"/>
      <c r="W103" s="261"/>
      <c r="X103" s="261"/>
      <c r="Y103" s="261"/>
      <c r="Z103" s="261"/>
      <c r="AD103" s="313"/>
      <c r="AE103" s="313"/>
      <c r="AF103" s="261"/>
      <c r="AG103" s="261"/>
      <c r="AH103" s="261"/>
      <c r="AI103" s="261"/>
      <c r="AJ103" s="261"/>
      <c r="AK103" s="261"/>
      <c r="AL103" s="261"/>
      <c r="AM103" s="261"/>
      <c r="AN103" s="261"/>
      <c r="AO103" s="261"/>
      <c r="AP103" s="261"/>
      <c r="AQ103" s="261"/>
      <c r="AR103" s="261"/>
      <c r="AS103" s="261"/>
      <c r="AT103" s="261"/>
      <c r="AU103" s="261"/>
      <c r="AV103" s="263"/>
      <c r="AW103" s="263"/>
      <c r="AX103" s="263"/>
      <c r="AY103" s="264"/>
      <c r="AZ103" s="264"/>
      <c r="BA103" s="264"/>
      <c r="BB103" s="264"/>
      <c r="BC103" s="264"/>
      <c r="BD103" s="265"/>
    </row>
    <row r="104" spans="1:56" ht="15.75" x14ac:dyDescent="0.25">
      <c r="A104" s="310" t="s">
        <v>21</v>
      </c>
      <c r="B104" s="310"/>
      <c r="C104" s="31"/>
      <c r="D104" s="311"/>
      <c r="E104" s="312" t="s">
        <v>318</v>
      </c>
      <c r="F104" s="312"/>
      <c r="G104" s="291"/>
      <c r="H104" s="222"/>
      <c r="I104" s="310" t="s">
        <v>61</v>
      </c>
      <c r="J104" s="310"/>
      <c r="L104" s="261"/>
      <c r="M104" s="261"/>
      <c r="N104" s="261"/>
      <c r="O104" s="261"/>
      <c r="P104" s="261"/>
      <c r="R104" s="314"/>
      <c r="T104" s="315"/>
      <c r="U104" s="315"/>
      <c r="V104" s="261"/>
      <c r="W104" s="261"/>
      <c r="X104" s="261"/>
      <c r="Y104" s="261"/>
      <c r="Z104" s="261"/>
      <c r="AD104" s="315"/>
      <c r="AE104" s="315"/>
      <c r="AF104" s="261"/>
      <c r="AG104" s="261"/>
      <c r="AH104" s="261"/>
      <c r="AI104" s="261"/>
      <c r="AJ104" s="261"/>
      <c r="AK104" s="261"/>
      <c r="AL104" s="261"/>
      <c r="AM104" s="261"/>
      <c r="AN104" s="261"/>
      <c r="AO104" s="261"/>
      <c r="AP104" s="261"/>
      <c r="AQ104" s="261"/>
      <c r="AR104" s="261"/>
      <c r="AS104" s="261"/>
      <c r="AT104" s="261"/>
      <c r="AU104" s="261"/>
      <c r="AV104" s="263"/>
      <c r="AW104" s="263"/>
      <c r="AX104" s="263"/>
      <c r="AY104" s="264"/>
      <c r="AZ104" s="264"/>
      <c r="BA104" s="264"/>
      <c r="BB104" s="264"/>
      <c r="BC104" s="264"/>
      <c r="BD104" s="265"/>
    </row>
    <row r="105" spans="1:56" ht="15.75" x14ac:dyDescent="0.25">
      <c r="A105" s="310" t="s">
        <v>69</v>
      </c>
      <c r="B105" s="310"/>
      <c r="C105" s="31"/>
      <c r="D105" s="311"/>
      <c r="E105" s="312" t="s">
        <v>57</v>
      </c>
      <c r="F105" s="312"/>
      <c r="G105" s="291"/>
      <c r="H105" s="222"/>
      <c r="I105" s="310" t="s">
        <v>31</v>
      </c>
      <c r="J105" s="310"/>
      <c r="L105" s="261"/>
      <c r="M105" s="261"/>
      <c r="N105" s="261"/>
      <c r="O105" s="261"/>
      <c r="P105" s="261"/>
      <c r="R105" s="283"/>
      <c r="T105" s="313"/>
      <c r="U105" s="313"/>
      <c r="V105" s="261"/>
      <c r="W105" s="261"/>
      <c r="X105" s="261"/>
      <c r="Y105" s="261"/>
      <c r="Z105" s="261"/>
      <c r="AD105" s="313"/>
      <c r="AE105" s="313"/>
      <c r="AF105" s="261"/>
      <c r="AG105" s="261"/>
      <c r="AH105" s="261"/>
      <c r="AI105" s="261"/>
      <c r="AJ105" s="261"/>
      <c r="AK105" s="261"/>
      <c r="AL105" s="261"/>
      <c r="AM105" s="261"/>
      <c r="AN105" s="261"/>
      <c r="AO105" s="261"/>
      <c r="AP105" s="261"/>
      <c r="AQ105" s="261"/>
      <c r="AR105" s="261"/>
      <c r="AS105" s="261"/>
      <c r="AT105" s="261"/>
      <c r="AU105" s="261"/>
      <c r="AV105" s="263"/>
      <c r="AW105" s="263"/>
      <c r="AX105" s="263"/>
      <c r="AY105" s="264"/>
      <c r="AZ105" s="264"/>
      <c r="BA105" s="264"/>
      <c r="BB105" s="264"/>
      <c r="BC105" s="264"/>
      <c r="BD105" s="265"/>
    </row>
    <row r="106" spans="1:56" ht="15.75" x14ac:dyDescent="0.25">
      <c r="A106" s="310" t="s">
        <v>41</v>
      </c>
      <c r="B106" s="310"/>
      <c r="C106" s="31"/>
      <c r="D106" s="311"/>
      <c r="E106" s="312" t="s">
        <v>35</v>
      </c>
      <c r="F106" s="312"/>
      <c r="G106" s="291"/>
      <c r="H106" s="222"/>
      <c r="I106" s="310" t="s">
        <v>70</v>
      </c>
      <c r="J106" s="310"/>
      <c r="L106" s="261"/>
      <c r="M106" s="261"/>
      <c r="N106" s="261"/>
      <c r="O106" s="261"/>
      <c r="P106" s="261"/>
      <c r="R106" s="314"/>
      <c r="T106" s="315"/>
      <c r="U106" s="315"/>
      <c r="V106" s="261"/>
      <c r="W106" s="261"/>
      <c r="X106" s="261"/>
      <c r="Y106" s="261"/>
      <c r="Z106" s="261"/>
      <c r="AD106" s="315"/>
      <c r="AE106" s="315"/>
      <c r="AF106" s="261"/>
      <c r="AG106" s="261"/>
      <c r="AH106" s="261"/>
      <c r="AI106" s="261"/>
      <c r="AJ106" s="261"/>
      <c r="AK106" s="261"/>
      <c r="AL106" s="261"/>
      <c r="AM106" s="261"/>
      <c r="AN106" s="261"/>
      <c r="AO106" s="261"/>
      <c r="AP106" s="261"/>
      <c r="AQ106" s="261"/>
      <c r="AR106" s="261"/>
      <c r="AS106" s="261"/>
      <c r="AT106" s="261"/>
      <c r="AU106" s="261"/>
      <c r="AV106" s="263"/>
      <c r="AW106" s="263"/>
      <c r="AX106" s="263"/>
      <c r="AY106" s="264"/>
      <c r="AZ106" s="264"/>
      <c r="BA106" s="264"/>
      <c r="BB106" s="264"/>
      <c r="BC106" s="264"/>
      <c r="BD106" s="265"/>
    </row>
    <row r="107" spans="1:56" ht="15.75" x14ac:dyDescent="0.25">
      <c r="A107" s="310" t="s">
        <v>33</v>
      </c>
      <c r="B107" s="310"/>
      <c r="C107" s="31"/>
      <c r="D107" s="311"/>
      <c r="E107" s="312" t="s">
        <v>50</v>
      </c>
      <c r="F107" s="312"/>
      <c r="G107" s="291"/>
      <c r="H107" s="222"/>
      <c r="I107" s="310" t="s">
        <v>21</v>
      </c>
      <c r="J107" s="310"/>
      <c r="L107" s="261"/>
      <c r="M107" s="261"/>
      <c r="N107" s="261"/>
      <c r="O107" s="261"/>
      <c r="P107" s="261"/>
      <c r="R107" s="283"/>
      <c r="T107" s="313"/>
      <c r="U107" s="313"/>
      <c r="V107" s="261"/>
      <c r="W107" s="261"/>
      <c r="X107" s="261"/>
      <c r="Y107" s="261"/>
      <c r="Z107" s="261"/>
      <c r="AD107" s="313"/>
      <c r="AE107" s="313"/>
      <c r="AF107" s="261"/>
      <c r="AG107" s="261"/>
      <c r="AH107" s="261"/>
      <c r="AI107" s="261"/>
      <c r="AJ107" s="261"/>
      <c r="AK107" s="261"/>
      <c r="AL107" s="261"/>
      <c r="AM107" s="261"/>
      <c r="AN107" s="261"/>
      <c r="AO107" s="261"/>
      <c r="AP107" s="261"/>
      <c r="AQ107" s="261"/>
      <c r="AR107" s="261"/>
      <c r="AS107" s="261"/>
      <c r="AT107" s="261"/>
      <c r="AU107" s="261"/>
      <c r="AV107" s="263"/>
      <c r="AW107" s="263"/>
      <c r="AX107" s="263"/>
      <c r="AY107" s="264"/>
      <c r="AZ107" s="264"/>
      <c r="BA107" s="264"/>
      <c r="BB107" s="264"/>
      <c r="BC107" s="264"/>
      <c r="BD107" s="265"/>
    </row>
    <row r="108" spans="1:56" ht="15.75" x14ac:dyDescent="0.25">
      <c r="A108" s="310" t="s">
        <v>50</v>
      </c>
      <c r="B108" s="310"/>
      <c r="C108" s="31"/>
      <c r="D108" s="297"/>
      <c r="E108" s="312" t="s">
        <v>33</v>
      </c>
      <c r="F108" s="312"/>
      <c r="G108" s="291"/>
      <c r="H108" s="222"/>
      <c r="I108" s="310" t="s">
        <v>318</v>
      </c>
      <c r="J108" s="310"/>
      <c r="L108" s="261"/>
      <c r="M108" s="261"/>
      <c r="N108" s="261"/>
      <c r="O108" s="261"/>
      <c r="P108" s="261"/>
      <c r="R108" s="314"/>
      <c r="T108" s="315"/>
      <c r="U108" s="315"/>
      <c r="V108" s="261"/>
      <c r="W108" s="261"/>
      <c r="X108" s="261"/>
      <c r="Y108" s="261"/>
      <c r="Z108" s="261"/>
      <c r="AD108" s="315"/>
      <c r="AE108" s="315"/>
      <c r="AF108" s="261"/>
      <c r="AG108" s="261"/>
      <c r="AH108" s="261"/>
      <c r="AI108" s="261"/>
      <c r="AJ108" s="261"/>
      <c r="AK108" s="261"/>
      <c r="AL108" s="261"/>
      <c r="AM108" s="261"/>
      <c r="AN108" s="261"/>
      <c r="AO108" s="261"/>
      <c r="AP108" s="261"/>
      <c r="AQ108" s="261"/>
      <c r="AR108" s="261"/>
      <c r="AS108" s="261"/>
      <c r="AT108" s="261"/>
      <c r="AU108" s="261"/>
      <c r="AV108" s="263"/>
      <c r="AW108" s="263"/>
      <c r="AX108" s="263"/>
      <c r="AY108" s="264"/>
      <c r="AZ108" s="264"/>
      <c r="BA108" s="264"/>
      <c r="BB108" s="264"/>
      <c r="BC108" s="264"/>
      <c r="BD108" s="265"/>
    </row>
    <row r="109" spans="1:56" ht="15.75" x14ac:dyDescent="0.25">
      <c r="A109" s="310" t="s">
        <v>57</v>
      </c>
      <c r="B109" s="310"/>
      <c r="C109" s="31"/>
      <c r="D109" s="297"/>
      <c r="E109" s="312" t="s">
        <v>47</v>
      </c>
      <c r="F109" s="312"/>
      <c r="G109" s="291"/>
      <c r="H109" s="222"/>
      <c r="I109" s="310" t="s">
        <v>41</v>
      </c>
      <c r="J109" s="310"/>
      <c r="L109" s="261"/>
      <c r="M109" s="261"/>
      <c r="N109" s="261"/>
      <c r="O109" s="261"/>
      <c r="P109" s="261"/>
      <c r="R109" s="282"/>
      <c r="S109" s="23"/>
      <c r="T109" s="319"/>
      <c r="U109" s="319"/>
      <c r="V109" s="261"/>
      <c r="W109" s="261"/>
      <c r="X109" s="261"/>
      <c r="Y109" s="261"/>
      <c r="Z109" s="261"/>
      <c r="AC109" s="23"/>
      <c r="AD109" s="319"/>
      <c r="AE109" s="319"/>
      <c r="AF109" s="261"/>
      <c r="AG109" s="261"/>
      <c r="AH109" s="261"/>
      <c r="AI109" s="261"/>
      <c r="AJ109" s="261"/>
      <c r="AK109" s="261"/>
      <c r="AL109" s="261"/>
      <c r="AM109" s="261"/>
      <c r="AN109" s="261"/>
      <c r="AO109" s="261"/>
      <c r="AP109" s="261"/>
      <c r="AQ109" s="261"/>
      <c r="AR109" s="261"/>
      <c r="AS109" s="261"/>
      <c r="AT109" s="261"/>
      <c r="AU109" s="261"/>
      <c r="AV109" s="263"/>
      <c r="AW109" s="263"/>
      <c r="AX109" s="263"/>
      <c r="AY109" s="264"/>
      <c r="AZ109" s="264"/>
      <c r="BA109" s="264"/>
      <c r="BB109" s="264"/>
      <c r="BC109" s="264"/>
      <c r="BD109" s="265"/>
    </row>
    <row r="110" spans="1:56" ht="15.75" x14ac:dyDescent="0.25">
      <c r="A110" s="310" t="s">
        <v>35</v>
      </c>
      <c r="B110" s="310"/>
      <c r="C110" s="31"/>
      <c r="D110" s="297"/>
      <c r="E110" s="320" t="s">
        <v>77</v>
      </c>
      <c r="F110" s="320"/>
      <c r="G110" s="291"/>
      <c r="H110" s="222"/>
      <c r="I110" s="310" t="s">
        <v>57</v>
      </c>
      <c r="J110" s="310"/>
      <c r="L110" s="261"/>
      <c r="M110" s="261"/>
      <c r="N110" s="261"/>
      <c r="O110" s="261"/>
      <c r="P110" s="261"/>
      <c r="R110" s="308"/>
      <c r="S110" s="23"/>
      <c r="T110" s="309"/>
      <c r="U110" s="309"/>
      <c r="V110" s="261"/>
      <c r="W110" s="261"/>
      <c r="X110" s="261"/>
      <c r="Y110" s="261"/>
      <c r="Z110" s="261"/>
      <c r="AC110" s="23"/>
      <c r="AD110" s="309"/>
      <c r="AE110" s="309"/>
      <c r="AF110" s="261"/>
      <c r="AG110" s="261"/>
      <c r="AH110" s="261"/>
      <c r="AI110" s="261"/>
      <c r="AJ110" s="261"/>
      <c r="AK110" s="261"/>
      <c r="AL110" s="261"/>
      <c r="AM110" s="261"/>
      <c r="AN110" s="261"/>
      <c r="AO110" s="261"/>
      <c r="AP110" s="261"/>
      <c r="AQ110" s="261"/>
      <c r="AR110" s="261"/>
      <c r="AS110" s="261"/>
      <c r="AT110" s="261"/>
      <c r="AU110" s="261"/>
      <c r="AV110" s="263"/>
      <c r="AW110" s="263"/>
      <c r="AX110" s="263"/>
      <c r="AY110" s="264"/>
      <c r="AZ110" s="264"/>
      <c r="BA110" s="264"/>
      <c r="BB110" s="264"/>
      <c r="BC110" s="264"/>
      <c r="BD110" s="265"/>
    </row>
    <row r="111" spans="1:56" ht="15.75" x14ac:dyDescent="0.25">
      <c r="A111" s="321" t="s">
        <v>77</v>
      </c>
      <c r="B111" s="321"/>
      <c r="C111" s="31"/>
      <c r="D111" s="311"/>
      <c r="E111" s="278"/>
      <c r="F111" s="31"/>
      <c r="G111" s="291"/>
      <c r="H111" s="222"/>
      <c r="I111" s="310" t="s">
        <v>35</v>
      </c>
      <c r="J111" s="310"/>
      <c r="L111" s="261"/>
      <c r="M111" s="261"/>
      <c r="N111" s="261"/>
      <c r="O111" s="261"/>
      <c r="P111" s="261"/>
      <c r="Q111" s="261"/>
      <c r="R111" s="261"/>
      <c r="S111" s="261"/>
      <c r="T111" s="261"/>
      <c r="U111" s="261"/>
      <c r="V111" s="261"/>
      <c r="W111" s="261"/>
      <c r="X111" s="261"/>
      <c r="Y111" s="261"/>
      <c r="Z111" s="261"/>
      <c r="AC111" s="23"/>
      <c r="AD111" s="319"/>
      <c r="AE111" s="319"/>
      <c r="AF111" s="261"/>
      <c r="AG111" s="261"/>
      <c r="AH111" s="261"/>
      <c r="AI111" s="261"/>
      <c r="AJ111" s="261"/>
      <c r="AK111" s="261"/>
      <c r="AL111" s="261"/>
      <c r="AM111" s="261"/>
      <c r="AN111" s="261"/>
      <c r="AO111" s="261"/>
      <c r="AP111" s="261"/>
      <c r="AQ111" s="261"/>
      <c r="AR111" s="261"/>
      <c r="AS111" s="261"/>
      <c r="AT111" s="261"/>
      <c r="AU111" s="261"/>
      <c r="AV111" s="263"/>
      <c r="AW111" s="263"/>
      <c r="AX111" s="263"/>
      <c r="AY111" s="264"/>
      <c r="AZ111" s="264"/>
      <c r="BA111" s="264"/>
      <c r="BB111" s="264"/>
      <c r="BC111" s="264"/>
      <c r="BD111" s="265"/>
    </row>
    <row r="112" spans="1:56" ht="15.75" x14ac:dyDescent="0.25">
      <c r="A112" s="296"/>
      <c r="B112" s="296"/>
      <c r="C112" s="296"/>
      <c r="D112" s="297"/>
      <c r="E112" s="281"/>
      <c r="F112" s="31"/>
      <c r="G112" s="291"/>
      <c r="H112" s="222"/>
      <c r="I112" s="310" t="s">
        <v>50</v>
      </c>
      <c r="J112" s="310"/>
      <c r="L112" s="261"/>
      <c r="M112" s="261"/>
      <c r="N112" s="261"/>
      <c r="O112" s="261"/>
      <c r="P112" s="261"/>
      <c r="Q112" s="261"/>
      <c r="R112" s="261"/>
      <c r="S112" s="261"/>
      <c r="T112" s="261"/>
      <c r="U112" s="261"/>
      <c r="V112" s="261"/>
      <c r="W112" s="261"/>
      <c r="X112" s="261"/>
      <c r="Y112" s="261"/>
      <c r="Z112" s="261"/>
      <c r="AA112" s="261"/>
      <c r="AB112" s="261"/>
      <c r="AC112" s="261"/>
      <c r="AD112" s="261"/>
      <c r="AE112" s="261"/>
      <c r="AF112" s="261"/>
      <c r="AG112" s="261"/>
      <c r="AH112" s="261"/>
      <c r="AI112" s="261"/>
      <c r="AJ112" s="261"/>
      <c r="AK112" s="261"/>
      <c r="AL112" s="261"/>
      <c r="AM112" s="261"/>
      <c r="AN112" s="261"/>
      <c r="AO112" s="261"/>
      <c r="AP112" s="261"/>
      <c r="AQ112" s="261"/>
      <c r="AR112" s="261"/>
      <c r="AS112" s="261"/>
      <c r="AT112" s="261"/>
      <c r="AU112" s="261"/>
      <c r="AV112" s="263"/>
      <c r="AW112" s="263"/>
      <c r="AX112" s="263"/>
      <c r="AY112" s="264"/>
      <c r="AZ112" s="264"/>
      <c r="BA112" s="264"/>
      <c r="BB112" s="264"/>
      <c r="BC112" s="264"/>
      <c r="BD112" s="265"/>
    </row>
    <row r="113" spans="1:56" ht="15.75" x14ac:dyDescent="0.25">
      <c r="A113" s="322"/>
      <c r="B113" s="296"/>
      <c r="C113" s="296"/>
      <c r="D113" s="297"/>
      <c r="E113" s="281"/>
      <c r="F113" s="31"/>
      <c r="G113" s="291"/>
      <c r="H113" s="222"/>
      <c r="I113" s="310" t="s">
        <v>7</v>
      </c>
      <c r="J113" s="310"/>
      <c r="L113" s="261"/>
      <c r="M113" s="261"/>
      <c r="N113" s="261"/>
      <c r="O113" s="261"/>
      <c r="P113" s="261"/>
      <c r="Q113" s="261"/>
      <c r="R113" s="261"/>
      <c r="S113" s="261"/>
      <c r="T113" s="261"/>
      <c r="U113" s="261"/>
      <c r="V113" s="261"/>
      <c r="W113" s="261"/>
      <c r="X113" s="261"/>
      <c r="Y113" s="261"/>
      <c r="Z113" s="261"/>
      <c r="AA113" s="261"/>
      <c r="AB113" s="261"/>
      <c r="AC113" s="261"/>
      <c r="AD113" s="261"/>
      <c r="AE113" s="261"/>
      <c r="AF113" s="261"/>
      <c r="AG113" s="261"/>
      <c r="AH113" s="261"/>
      <c r="AI113" s="261"/>
      <c r="AJ113" s="261"/>
      <c r="AK113" s="261"/>
      <c r="AL113" s="261"/>
      <c r="AM113" s="261"/>
      <c r="AN113" s="261"/>
      <c r="AO113" s="261"/>
      <c r="AP113" s="261"/>
      <c r="AQ113" s="261"/>
      <c r="AR113" s="261"/>
      <c r="AS113" s="261"/>
      <c r="AT113" s="261"/>
      <c r="AU113" s="261"/>
      <c r="AV113" s="263"/>
      <c r="AW113" s="263"/>
      <c r="AX113" s="263"/>
      <c r="AY113" s="264"/>
      <c r="AZ113" s="264"/>
      <c r="BA113" s="264"/>
      <c r="BB113" s="264"/>
      <c r="BC113" s="264"/>
      <c r="BD113" s="265"/>
    </row>
    <row r="114" spans="1:56" ht="15.75" x14ac:dyDescent="0.25">
      <c r="A114" s="297" t="s">
        <v>319</v>
      </c>
      <c r="B114" s="296"/>
      <c r="C114" s="296"/>
      <c r="D114" s="297"/>
      <c r="E114" s="281"/>
      <c r="F114" s="31"/>
      <c r="G114" s="291"/>
      <c r="H114" s="222"/>
      <c r="I114" s="310" t="s">
        <v>33</v>
      </c>
      <c r="J114" s="310"/>
      <c r="L114" s="261"/>
      <c r="M114" s="261"/>
      <c r="N114" s="261"/>
      <c r="O114" s="261"/>
      <c r="P114" s="261"/>
      <c r="Q114" s="261"/>
      <c r="R114" s="261"/>
      <c r="S114" s="261"/>
      <c r="T114" s="261"/>
      <c r="U114" s="261"/>
      <c r="V114" s="261"/>
      <c r="W114" s="261"/>
      <c r="X114" s="261"/>
      <c r="Y114" s="261"/>
      <c r="Z114" s="261"/>
      <c r="AA114" s="261"/>
      <c r="AB114" s="261"/>
      <c r="AC114" s="261"/>
      <c r="AD114" s="261"/>
      <c r="AE114" s="261"/>
      <c r="AF114" s="261"/>
      <c r="AG114" s="261"/>
      <c r="AH114" s="261"/>
      <c r="AI114" s="261"/>
      <c r="AJ114" s="261"/>
      <c r="AK114" s="261"/>
      <c r="AL114" s="261"/>
      <c r="AM114" s="261"/>
      <c r="AN114" s="261"/>
      <c r="AO114" s="261"/>
      <c r="AP114" s="261"/>
      <c r="AQ114" s="261"/>
      <c r="AR114" s="261"/>
      <c r="AS114" s="261"/>
      <c r="AT114" s="261"/>
      <c r="AU114" s="261"/>
      <c r="AV114" s="263"/>
      <c r="AW114" s="263"/>
      <c r="AX114" s="263"/>
      <c r="AY114" s="264"/>
      <c r="AZ114" s="264"/>
      <c r="BA114" s="264"/>
      <c r="BB114" s="264"/>
      <c r="BC114" s="264"/>
      <c r="BD114" s="265"/>
    </row>
    <row r="115" spans="1:56" ht="15.75" x14ac:dyDescent="0.25">
      <c r="B115" s="296"/>
      <c r="C115" s="296"/>
      <c r="D115" s="311"/>
      <c r="E115" s="278"/>
      <c r="F115" s="31"/>
      <c r="G115" s="291"/>
      <c r="H115" s="222"/>
      <c r="I115" s="310" t="s">
        <v>47</v>
      </c>
      <c r="J115" s="310"/>
      <c r="L115" s="261"/>
      <c r="M115" s="261"/>
      <c r="N115" s="261"/>
      <c r="O115" s="261"/>
      <c r="P115" s="261"/>
      <c r="Q115" s="261"/>
      <c r="R115" s="261"/>
      <c r="S115" s="261"/>
      <c r="T115" s="261"/>
      <c r="U115" s="261"/>
      <c r="V115" s="261"/>
      <c r="W115" s="261"/>
      <c r="X115" s="261"/>
      <c r="Y115" s="261"/>
      <c r="Z115" s="261"/>
      <c r="AA115" s="261"/>
      <c r="AB115" s="261"/>
      <c r="AC115" s="261"/>
      <c r="AD115" s="261"/>
      <c r="AE115" s="261"/>
      <c r="AF115" s="261"/>
      <c r="AG115" s="261"/>
      <c r="AH115" s="261"/>
      <c r="AI115" s="261"/>
      <c r="AJ115" s="261"/>
      <c r="AK115" s="261"/>
      <c r="AL115" s="261"/>
      <c r="AM115" s="261"/>
      <c r="AN115" s="261"/>
      <c r="AO115" s="261"/>
      <c r="AP115" s="261"/>
      <c r="AQ115" s="261"/>
      <c r="AR115" s="261"/>
      <c r="AS115" s="261"/>
      <c r="AT115" s="261"/>
      <c r="AU115" s="261"/>
      <c r="AV115" s="263"/>
      <c r="AW115" s="263"/>
      <c r="AX115" s="263"/>
      <c r="AY115" s="264"/>
      <c r="AZ115" s="264"/>
      <c r="BA115" s="264"/>
      <c r="BB115" s="264"/>
      <c r="BC115" s="264"/>
      <c r="BD115" s="265"/>
    </row>
    <row r="116" spans="1:56" ht="15.75" x14ac:dyDescent="0.25">
      <c r="A116" s="31"/>
      <c r="B116" s="296"/>
      <c r="C116" s="296"/>
      <c r="D116" s="311"/>
      <c r="E116" s="278"/>
      <c r="F116" s="222"/>
      <c r="G116" s="291"/>
      <c r="H116" s="222"/>
      <c r="I116" s="321" t="s">
        <v>77</v>
      </c>
      <c r="J116" s="321"/>
      <c r="L116" s="261"/>
      <c r="M116" s="261"/>
      <c r="N116" s="261"/>
      <c r="O116" s="261"/>
      <c r="P116" s="261"/>
      <c r="Q116" s="261"/>
      <c r="R116" s="261"/>
      <c r="S116" s="261"/>
      <c r="T116" s="261"/>
      <c r="U116" s="261"/>
      <c r="V116" s="261"/>
      <c r="W116" s="261"/>
      <c r="X116" s="261"/>
      <c r="Y116" s="261"/>
      <c r="Z116" s="261"/>
      <c r="AA116" s="261"/>
      <c r="AB116" s="261"/>
      <c r="AC116" s="261"/>
      <c r="AD116" s="261"/>
      <c r="AE116" s="261"/>
      <c r="AF116" s="261"/>
      <c r="AG116" s="261"/>
      <c r="AH116" s="261"/>
      <c r="AI116" s="261"/>
      <c r="AJ116" s="261"/>
      <c r="AK116" s="261"/>
      <c r="AL116" s="261"/>
      <c r="AM116" s="261"/>
      <c r="AN116" s="261"/>
      <c r="AO116" s="261"/>
      <c r="AP116" s="261"/>
      <c r="AQ116" s="261"/>
      <c r="AR116" s="261"/>
      <c r="AS116" s="261"/>
      <c r="AT116" s="261"/>
      <c r="AU116" s="261"/>
      <c r="AV116" s="263"/>
      <c r="AW116" s="263"/>
      <c r="AX116" s="263"/>
      <c r="AY116" s="264"/>
      <c r="AZ116" s="264"/>
      <c r="BA116" s="264"/>
      <c r="BB116" s="264"/>
      <c r="BC116" s="264"/>
      <c r="BD116" s="265"/>
    </row>
    <row r="117" spans="1:56" ht="15.75" x14ac:dyDescent="0.25">
      <c r="A117" s="259" t="s">
        <v>320</v>
      </c>
      <c r="B117" s="322"/>
      <c r="D117" s="170"/>
      <c r="E117" s="311"/>
      <c r="F117" s="322"/>
      <c r="G117" s="287"/>
      <c r="H117" s="287"/>
      <c r="I117" s="287"/>
      <c r="J117" s="322"/>
      <c r="K117" s="322"/>
      <c r="L117" s="322"/>
      <c r="M117" s="322"/>
      <c r="N117" s="322"/>
      <c r="O117" s="322"/>
      <c r="P117" s="322"/>
      <c r="Q117" s="322"/>
      <c r="R117" s="322"/>
      <c r="S117" s="322"/>
      <c r="T117" s="322"/>
      <c r="U117" s="322"/>
      <c r="V117" s="322"/>
      <c r="W117" s="261"/>
      <c r="X117" s="261"/>
      <c r="Y117" s="261"/>
      <c r="Z117" s="261"/>
      <c r="AA117" s="261"/>
      <c r="AB117" s="261"/>
      <c r="AC117" s="261"/>
      <c r="AD117" s="261"/>
      <c r="AE117" s="261"/>
      <c r="AF117" s="261"/>
      <c r="AG117" s="261"/>
      <c r="AH117" s="261"/>
      <c r="AI117" s="261"/>
      <c r="AJ117" s="261"/>
      <c r="AK117" s="261"/>
      <c r="AL117" s="261"/>
      <c r="AM117" s="261"/>
      <c r="AN117" s="261"/>
      <c r="AO117" s="261"/>
      <c r="AP117" s="261"/>
      <c r="AQ117" s="261"/>
      <c r="AR117" s="261"/>
      <c r="AS117" s="261"/>
      <c r="AT117" s="261"/>
      <c r="AU117" s="261"/>
      <c r="AV117" s="263"/>
      <c r="AW117" s="263"/>
      <c r="AX117" s="263"/>
      <c r="AY117" s="264"/>
      <c r="AZ117" s="264"/>
      <c r="BA117" s="264"/>
      <c r="BB117" s="264"/>
      <c r="BC117" s="264"/>
      <c r="BD117" s="265"/>
    </row>
    <row r="118" spans="1:56" ht="9" customHeight="1" x14ac:dyDescent="0.25">
      <c r="D118" s="170"/>
      <c r="E118" s="170"/>
    </row>
    <row r="119" spans="1:56" x14ac:dyDescent="0.25">
      <c r="A119" s="266" t="s">
        <v>3</v>
      </c>
      <c r="B119" s="267" t="s">
        <v>267</v>
      </c>
      <c r="E119" s="266" t="s">
        <v>3</v>
      </c>
      <c r="F119" s="267" t="s">
        <v>267</v>
      </c>
      <c r="I119" s="266" t="s">
        <v>3</v>
      </c>
      <c r="J119" s="267" t="s">
        <v>267</v>
      </c>
    </row>
    <row r="120" spans="1:56" x14ac:dyDescent="0.25">
      <c r="A120" t="s">
        <v>321</v>
      </c>
      <c r="B120" s="323" t="s">
        <v>322</v>
      </c>
      <c r="E120" t="s">
        <v>323</v>
      </c>
      <c r="F120" s="323" t="s">
        <v>324</v>
      </c>
      <c r="I120" t="s">
        <v>325</v>
      </c>
      <c r="J120" s="324" t="s">
        <v>326</v>
      </c>
    </row>
    <row r="121" spans="1:56" x14ac:dyDescent="0.25">
      <c r="A121" t="s">
        <v>327</v>
      </c>
      <c r="B121" s="323" t="s">
        <v>328</v>
      </c>
      <c r="E121" t="s">
        <v>329</v>
      </c>
      <c r="F121" s="323" t="s">
        <v>330</v>
      </c>
      <c r="I121" t="s">
        <v>331</v>
      </c>
      <c r="J121" s="324" t="s">
        <v>332</v>
      </c>
    </row>
    <row r="122" spans="1:56" x14ac:dyDescent="0.25">
      <c r="A122" t="s">
        <v>333</v>
      </c>
      <c r="B122" s="323" t="s">
        <v>334</v>
      </c>
      <c r="E122" t="s">
        <v>335</v>
      </c>
      <c r="F122" s="323" t="s">
        <v>336</v>
      </c>
      <c r="I122" t="s">
        <v>337</v>
      </c>
      <c r="J122" s="324" t="s">
        <v>279</v>
      </c>
    </row>
    <row r="123" spans="1:56" x14ac:dyDescent="0.25">
      <c r="A123" t="s">
        <v>338</v>
      </c>
      <c r="B123" s="323" t="s">
        <v>339</v>
      </c>
      <c r="E123" t="s">
        <v>340</v>
      </c>
      <c r="F123" s="323" t="s">
        <v>341</v>
      </c>
      <c r="I123" t="s">
        <v>342</v>
      </c>
      <c r="J123" s="324" t="s">
        <v>343</v>
      </c>
    </row>
    <row r="124" spans="1:56" x14ac:dyDescent="0.25">
      <c r="A124" t="s">
        <v>344</v>
      </c>
      <c r="B124" s="323" t="s">
        <v>345</v>
      </c>
      <c r="E124" t="s">
        <v>346</v>
      </c>
      <c r="F124" s="323" t="s">
        <v>347</v>
      </c>
      <c r="I124" t="s">
        <v>348</v>
      </c>
      <c r="J124" s="324" t="s">
        <v>349</v>
      </c>
    </row>
    <row r="125" spans="1:56" x14ac:dyDescent="0.25">
      <c r="A125" t="s">
        <v>350</v>
      </c>
      <c r="B125" s="323" t="s">
        <v>351</v>
      </c>
      <c r="E125" t="s">
        <v>352</v>
      </c>
      <c r="F125" s="323" t="s">
        <v>353</v>
      </c>
      <c r="I125" t="s">
        <v>354</v>
      </c>
      <c r="J125" s="324" t="s">
        <v>355</v>
      </c>
    </row>
    <row r="126" spans="1:56" x14ac:dyDescent="0.25">
      <c r="A126" t="s">
        <v>356</v>
      </c>
      <c r="B126" s="323" t="s">
        <v>357</v>
      </c>
      <c r="E126" t="s">
        <v>358</v>
      </c>
      <c r="F126" s="323" t="s">
        <v>359</v>
      </c>
      <c r="I126" t="s">
        <v>360</v>
      </c>
      <c r="J126" s="324" t="s">
        <v>361</v>
      </c>
    </row>
    <row r="127" spans="1:56" x14ac:dyDescent="0.25">
      <c r="A127" t="s">
        <v>362</v>
      </c>
      <c r="B127" s="323" t="s">
        <v>363</v>
      </c>
      <c r="E127" t="s">
        <v>364</v>
      </c>
      <c r="F127" s="323" t="s">
        <v>365</v>
      </c>
      <c r="I127" t="s">
        <v>366</v>
      </c>
      <c r="J127" s="324" t="s">
        <v>367</v>
      </c>
    </row>
    <row r="128" spans="1:56" x14ac:dyDescent="0.25">
      <c r="A128" t="s">
        <v>368</v>
      </c>
      <c r="B128" s="323" t="s">
        <v>369</v>
      </c>
      <c r="E128" t="s">
        <v>370</v>
      </c>
      <c r="F128" s="323" t="s">
        <v>371</v>
      </c>
      <c r="I128" t="s">
        <v>372</v>
      </c>
      <c r="J128" s="324" t="s">
        <v>373</v>
      </c>
    </row>
    <row r="129" spans="1:11" x14ac:dyDescent="0.25">
      <c r="A129" t="s">
        <v>374</v>
      </c>
      <c r="B129" s="323" t="s">
        <v>375</v>
      </c>
      <c r="E129" t="s">
        <v>376</v>
      </c>
      <c r="F129" s="323" t="s">
        <v>377</v>
      </c>
      <c r="I129" t="s">
        <v>378</v>
      </c>
      <c r="J129" s="324" t="s">
        <v>379</v>
      </c>
    </row>
    <row r="130" spans="1:11" x14ac:dyDescent="0.25">
      <c r="A130" t="s">
        <v>380</v>
      </c>
      <c r="B130" s="323" t="s">
        <v>381</v>
      </c>
      <c r="E130" t="s">
        <v>382</v>
      </c>
      <c r="F130" s="323" t="s">
        <v>383</v>
      </c>
      <c r="I130" t="s">
        <v>384</v>
      </c>
      <c r="J130" s="324" t="s">
        <v>385</v>
      </c>
    </row>
    <row r="131" spans="1:11" x14ac:dyDescent="0.25">
      <c r="A131" s="23"/>
      <c r="B131" s="23"/>
      <c r="C131" s="23"/>
      <c r="D131" s="23"/>
      <c r="E131" s="23"/>
      <c r="F131" s="23"/>
      <c r="G131" s="23"/>
      <c r="H131" s="23"/>
      <c r="I131" s="23"/>
      <c r="J131" s="23"/>
    </row>
    <row r="132" spans="1:11" x14ac:dyDescent="0.25">
      <c r="A132" s="23"/>
      <c r="B132" s="23"/>
      <c r="C132" s="23"/>
      <c r="D132" s="23"/>
      <c r="E132" s="23"/>
      <c r="F132" s="23"/>
      <c r="G132" s="23"/>
      <c r="H132" s="23"/>
      <c r="I132" s="23"/>
      <c r="J132" s="23"/>
    </row>
    <row r="133" spans="1:11" x14ac:dyDescent="0.25">
      <c r="A133" s="23"/>
      <c r="B133" s="23"/>
      <c r="C133" s="23"/>
      <c r="D133" s="23"/>
      <c r="E133" s="23"/>
      <c r="F133" s="23"/>
      <c r="G133" s="23"/>
      <c r="H133" s="23"/>
      <c r="I133" s="23"/>
      <c r="J133" s="23"/>
    </row>
    <row r="134" spans="1:11" x14ac:dyDescent="0.25">
      <c r="A134" s="23"/>
      <c r="B134" s="23"/>
      <c r="C134" s="23"/>
      <c r="D134" s="23"/>
      <c r="E134" s="23"/>
      <c r="F134" s="23"/>
      <c r="G134" s="23"/>
      <c r="H134" s="23"/>
      <c r="I134" s="23"/>
      <c r="J134" s="23"/>
      <c r="K134" s="23"/>
    </row>
    <row r="135" spans="1:11" x14ac:dyDescent="0.25">
      <c r="A135" s="325" t="s">
        <v>1</v>
      </c>
      <c r="B135" s="23"/>
      <c r="C135" s="23"/>
      <c r="D135" s="23"/>
      <c r="E135" s="23"/>
      <c r="F135" s="23"/>
      <c r="G135" s="23"/>
      <c r="H135" s="23"/>
      <c r="I135" s="23"/>
      <c r="J135" s="23"/>
      <c r="K135" s="23"/>
    </row>
    <row r="136" spans="1:11" x14ac:dyDescent="0.25">
      <c r="A136" s="23"/>
      <c r="B136" s="23"/>
      <c r="C136" s="23"/>
      <c r="D136" s="23"/>
      <c r="E136" s="23"/>
      <c r="F136" s="23"/>
      <c r="G136" s="23"/>
      <c r="H136" s="23"/>
      <c r="I136" s="23"/>
      <c r="J136" s="23"/>
      <c r="K136" s="23"/>
    </row>
    <row r="137" spans="1:11" x14ac:dyDescent="0.25">
      <c r="A137" s="23" t="s">
        <v>386</v>
      </c>
      <c r="C137" s="23"/>
      <c r="D137" s="23"/>
      <c r="E137" s="23"/>
      <c r="F137" s="23"/>
      <c r="G137" s="23"/>
      <c r="H137" s="23"/>
      <c r="I137" s="23"/>
      <c r="J137" s="23"/>
      <c r="K137" s="23"/>
    </row>
    <row r="138" spans="1:11" x14ac:dyDescent="0.25">
      <c r="A138" s="23"/>
      <c r="C138" s="23"/>
      <c r="D138" s="23"/>
      <c r="E138" s="23"/>
      <c r="F138" s="23"/>
      <c r="G138" s="23"/>
      <c r="H138" s="23"/>
      <c r="I138" s="23"/>
      <c r="J138" s="23"/>
      <c r="K138" s="23"/>
    </row>
    <row r="139" spans="1:11" x14ac:dyDescent="0.25">
      <c r="A139" s="23"/>
      <c r="B139" s="55">
        <v>0.2</v>
      </c>
      <c r="C139" s="23"/>
      <c r="D139" s="23"/>
      <c r="E139" s="23"/>
      <c r="F139" s="23"/>
      <c r="G139" s="23"/>
      <c r="H139" s="23"/>
      <c r="I139" s="23"/>
      <c r="J139" s="23"/>
      <c r="K139" s="23"/>
    </row>
    <row r="140" spans="1:11" x14ac:dyDescent="0.25">
      <c r="A140" s="23"/>
      <c r="B140" s="55">
        <v>0.15000000000000002</v>
      </c>
      <c r="C140" s="23"/>
      <c r="D140" s="23"/>
      <c r="E140" s="23"/>
      <c r="F140" s="23"/>
      <c r="G140" s="23"/>
      <c r="H140" s="23"/>
      <c r="I140" s="23"/>
      <c r="J140" s="23"/>
      <c r="K140" s="23"/>
    </row>
    <row r="141" spans="1:11" x14ac:dyDescent="0.25">
      <c r="A141" s="23"/>
      <c r="B141" s="55">
        <v>0.10000000000000002</v>
      </c>
      <c r="C141" s="23"/>
      <c r="D141" s="23"/>
      <c r="E141" s="23"/>
      <c r="F141" s="23"/>
      <c r="G141" s="23"/>
      <c r="H141" s="23"/>
      <c r="I141" s="23"/>
      <c r="J141" s="23"/>
      <c r="K141" s="23"/>
    </row>
    <row r="142" spans="1:11" x14ac:dyDescent="0.25">
      <c r="A142" s="23"/>
      <c r="B142" s="55">
        <v>5.0000000000000017E-2</v>
      </c>
      <c r="C142" s="23"/>
      <c r="D142" s="23"/>
      <c r="E142" s="23"/>
      <c r="F142" s="23"/>
      <c r="G142" s="23"/>
      <c r="H142" s="23"/>
      <c r="I142" s="23"/>
      <c r="J142" s="23"/>
      <c r="K142" s="23"/>
    </row>
    <row r="143" spans="1:11" x14ac:dyDescent="0.25">
      <c r="A143" s="23"/>
      <c r="B143" s="55">
        <v>-0.05</v>
      </c>
      <c r="C143" s="23"/>
      <c r="D143" s="23"/>
      <c r="E143" s="23"/>
      <c r="F143" s="23"/>
      <c r="G143" s="23"/>
      <c r="H143" s="23"/>
      <c r="I143" s="23"/>
      <c r="J143" s="23"/>
      <c r="K143" s="23"/>
    </row>
    <row r="144" spans="1:11" x14ac:dyDescent="0.25">
      <c r="A144" s="23"/>
      <c r="B144" s="55">
        <v>-0.1</v>
      </c>
      <c r="C144" s="23"/>
      <c r="D144" s="23"/>
      <c r="E144" s="23"/>
      <c r="F144" s="23"/>
      <c r="G144" s="23"/>
      <c r="H144" s="23"/>
      <c r="I144" s="23"/>
      <c r="J144" s="23"/>
      <c r="K144" s="23"/>
    </row>
    <row r="145" spans="1:11" x14ac:dyDescent="0.25">
      <c r="A145" s="23"/>
      <c r="B145" s="55">
        <v>-0.15000000000000002</v>
      </c>
      <c r="C145" s="23"/>
      <c r="D145" s="23"/>
      <c r="E145" s="23"/>
      <c r="F145" s="23"/>
      <c r="G145" s="23"/>
      <c r="H145" s="23"/>
      <c r="I145" s="23"/>
      <c r="J145" s="23"/>
      <c r="K145" s="23"/>
    </row>
    <row r="146" spans="1:11" x14ac:dyDescent="0.25">
      <c r="A146" s="23"/>
      <c r="B146" s="55">
        <v>-0.2</v>
      </c>
      <c r="C146" s="23"/>
      <c r="D146" s="23"/>
      <c r="E146" s="23"/>
      <c r="F146" s="23"/>
      <c r="G146" s="23"/>
      <c r="H146" s="23"/>
      <c r="I146" s="23"/>
      <c r="J146" s="23"/>
      <c r="K146" s="23"/>
    </row>
    <row r="147" spans="1:11" x14ac:dyDescent="0.25">
      <c r="A147" s="23"/>
      <c r="C147" s="23"/>
      <c r="D147" s="23"/>
      <c r="E147" s="23"/>
      <c r="F147" s="23"/>
      <c r="G147" s="23"/>
      <c r="H147" s="23"/>
      <c r="I147" s="23"/>
      <c r="J147" s="23"/>
      <c r="K147" s="23"/>
    </row>
    <row r="148" spans="1:11" x14ac:dyDescent="0.25">
      <c r="A148" s="23"/>
      <c r="C148" s="23"/>
      <c r="D148" s="23"/>
      <c r="E148" s="23"/>
      <c r="F148" s="23"/>
      <c r="G148" s="23"/>
      <c r="H148" s="23"/>
      <c r="I148" s="23"/>
      <c r="J148" s="23"/>
      <c r="K148" s="23"/>
    </row>
    <row r="149" spans="1:11" x14ac:dyDescent="0.25">
      <c r="A149" s="23"/>
      <c r="C149" s="23"/>
      <c r="D149" s="23"/>
      <c r="E149" s="23"/>
      <c r="F149" s="23"/>
      <c r="G149" s="23"/>
      <c r="H149" s="23"/>
      <c r="I149" s="23"/>
      <c r="J149" s="23"/>
      <c r="K149" s="23"/>
    </row>
    <row r="150" spans="1:11" x14ac:dyDescent="0.25">
      <c r="A150" s="23"/>
      <c r="B150" s="23"/>
      <c r="C150" s="23"/>
      <c r="D150" s="23"/>
      <c r="E150" s="23"/>
      <c r="F150" s="23"/>
      <c r="G150" s="23"/>
      <c r="H150" s="23"/>
      <c r="I150" s="23"/>
      <c r="J150" s="23"/>
      <c r="K150" s="23"/>
    </row>
    <row r="151" spans="1:11" x14ac:dyDescent="0.25">
      <c r="A151" s="23"/>
      <c r="B151" s="23"/>
      <c r="C151" s="23"/>
      <c r="D151" s="23"/>
      <c r="E151" s="23"/>
      <c r="F151" s="23"/>
      <c r="G151" s="23"/>
      <c r="H151" s="23"/>
      <c r="I151" s="23"/>
      <c r="J151" s="23"/>
      <c r="K151" s="23"/>
    </row>
    <row r="152" spans="1:11" x14ac:dyDescent="0.25">
      <c r="A152" s="23"/>
      <c r="B152" s="23"/>
      <c r="C152" s="23"/>
      <c r="D152" s="23"/>
      <c r="E152" s="23"/>
      <c r="F152" s="23"/>
      <c r="G152" s="23"/>
      <c r="H152" s="23"/>
      <c r="I152" s="23"/>
      <c r="J152" s="23"/>
      <c r="K152" s="23"/>
    </row>
  </sheetData>
  <mergeCells count="140">
    <mergeCell ref="I113:J113"/>
    <mergeCell ref="I114:J114"/>
    <mergeCell ref="I115:J115"/>
    <mergeCell ref="I116:J116"/>
    <mergeCell ref="A110:B110"/>
    <mergeCell ref="E110:F110"/>
    <mergeCell ref="I110:J110"/>
    <mergeCell ref="A111:B111"/>
    <mergeCell ref="I111:J111"/>
    <mergeCell ref="I112:J112"/>
    <mergeCell ref="A108:B108"/>
    <mergeCell ref="E108:F108"/>
    <mergeCell ref="I108:J108"/>
    <mergeCell ref="A109:B109"/>
    <mergeCell ref="E109:F109"/>
    <mergeCell ref="I109:J109"/>
    <mergeCell ref="A106:B106"/>
    <mergeCell ref="E106:F106"/>
    <mergeCell ref="I106:J106"/>
    <mergeCell ref="A107:B107"/>
    <mergeCell ref="E107:F107"/>
    <mergeCell ref="I107:J107"/>
    <mergeCell ref="A104:B104"/>
    <mergeCell ref="E104:F104"/>
    <mergeCell ref="I104:J104"/>
    <mergeCell ref="A105:B105"/>
    <mergeCell ref="E105:F105"/>
    <mergeCell ref="I105:J105"/>
    <mergeCell ref="A102:B102"/>
    <mergeCell ref="E102:F102"/>
    <mergeCell ref="I102:J102"/>
    <mergeCell ref="A103:B103"/>
    <mergeCell ref="E103:F103"/>
    <mergeCell ref="I103:J103"/>
    <mergeCell ref="A100:B100"/>
    <mergeCell ref="E100:F100"/>
    <mergeCell ref="I100:J100"/>
    <mergeCell ref="A101:B101"/>
    <mergeCell ref="E101:F101"/>
    <mergeCell ref="I101:J101"/>
    <mergeCell ref="A98:B98"/>
    <mergeCell ref="E98:F98"/>
    <mergeCell ref="I98:J98"/>
    <mergeCell ref="A99:B99"/>
    <mergeCell ref="E99:F99"/>
    <mergeCell ref="I99:J99"/>
    <mergeCell ref="A96:B96"/>
    <mergeCell ref="E96:F96"/>
    <mergeCell ref="I96:J96"/>
    <mergeCell ref="A97:B97"/>
    <mergeCell ref="E97:F97"/>
    <mergeCell ref="I97:J97"/>
    <mergeCell ref="A94:B94"/>
    <mergeCell ref="E94:F94"/>
    <mergeCell ref="I94:J94"/>
    <mergeCell ref="A95:B95"/>
    <mergeCell ref="E95:F95"/>
    <mergeCell ref="I95:J95"/>
    <mergeCell ref="A92:B92"/>
    <mergeCell ref="E92:F92"/>
    <mergeCell ref="I92:J92"/>
    <mergeCell ref="A93:B93"/>
    <mergeCell ref="E93:F93"/>
    <mergeCell ref="I93:J93"/>
    <mergeCell ref="A44:B44"/>
    <mergeCell ref="C44:K44"/>
    <mergeCell ref="A90:B90"/>
    <mergeCell ref="E90:F90"/>
    <mergeCell ref="I90:J90"/>
    <mergeCell ref="A91:B91"/>
    <mergeCell ref="E91:F91"/>
    <mergeCell ref="I91:J91"/>
    <mergeCell ref="A41:B41"/>
    <mergeCell ref="C41:K41"/>
    <mergeCell ref="A42:B42"/>
    <mergeCell ref="C42:K42"/>
    <mergeCell ref="A43:B43"/>
    <mergeCell ref="C43:K43"/>
    <mergeCell ref="A38:B38"/>
    <mergeCell ref="C38:K38"/>
    <mergeCell ref="A39:B39"/>
    <mergeCell ref="C39:K39"/>
    <mergeCell ref="A40:B40"/>
    <mergeCell ref="C40:K40"/>
    <mergeCell ref="A35:B35"/>
    <mergeCell ref="C35:K35"/>
    <mergeCell ref="A36:B36"/>
    <mergeCell ref="C36:K36"/>
    <mergeCell ref="A37:B37"/>
    <mergeCell ref="C37:K37"/>
    <mergeCell ref="A32:B32"/>
    <mergeCell ref="C32:K32"/>
    <mergeCell ref="A33:B33"/>
    <mergeCell ref="C33:K33"/>
    <mergeCell ref="A34:B34"/>
    <mergeCell ref="C34:K34"/>
    <mergeCell ref="A29:B29"/>
    <mergeCell ref="C29:K29"/>
    <mergeCell ref="A30:B30"/>
    <mergeCell ref="C30:K30"/>
    <mergeCell ref="A31:B31"/>
    <mergeCell ref="C31:K31"/>
    <mergeCell ref="A24:B24"/>
    <mergeCell ref="A25:B25"/>
    <mergeCell ref="A26:B26"/>
    <mergeCell ref="A27:B27"/>
    <mergeCell ref="C27:K27"/>
    <mergeCell ref="A28:B28"/>
    <mergeCell ref="C28:K28"/>
    <mergeCell ref="A19:B19"/>
    <mergeCell ref="C19:K19"/>
    <mergeCell ref="A20:B20"/>
    <mergeCell ref="C20:K20"/>
    <mergeCell ref="A21:B21"/>
    <mergeCell ref="C21:K21"/>
    <mergeCell ref="A16:B16"/>
    <mergeCell ref="C16:K16"/>
    <mergeCell ref="A17:B17"/>
    <mergeCell ref="C17:K17"/>
    <mergeCell ref="A18:B18"/>
    <mergeCell ref="C18:K18"/>
    <mergeCell ref="A12:B12"/>
    <mergeCell ref="A13:B13"/>
    <mergeCell ref="C13:K13"/>
    <mergeCell ref="A14:B14"/>
    <mergeCell ref="C14:K14"/>
    <mergeCell ref="A15:B15"/>
    <mergeCell ref="C15:K15"/>
    <mergeCell ref="A9:B9"/>
    <mergeCell ref="C9:K9"/>
    <mergeCell ref="A10:B10"/>
    <mergeCell ref="C10:K10"/>
    <mergeCell ref="A11:B11"/>
    <mergeCell ref="C11:K11"/>
    <mergeCell ref="A5:B5"/>
    <mergeCell ref="A6:B6"/>
    <mergeCell ref="A7:B7"/>
    <mergeCell ref="C7:K7"/>
    <mergeCell ref="A8:B8"/>
    <mergeCell ref="C8:K8"/>
  </mergeCells>
  <printOptions horizontalCentered="1"/>
  <pageMargins left="0.7350000000000001" right="0.2" top="0.25" bottom="0.25" header="0.3" footer="0.3"/>
  <pageSetup paperSize="9" scale="75" orientation="landscape" r:id="rId1"/>
  <headerFooter>
    <oddHeader>&amp;R&amp;G</oddHeader>
    <oddFooter>&amp;R&amp;P</oddFooter>
  </headerFooter>
  <rowBreaks count="4" manualBreakCount="4">
    <brk id="21" max="10" man="1"/>
    <brk id="44" max="10" man="1"/>
    <brk id="86" max="10" man="1"/>
    <brk id="133" max="10" man="1"/>
  </rowBreaks>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564585"/>
  </sheetPr>
  <dimension ref="A2:AL440"/>
  <sheetViews>
    <sheetView topLeftCell="A16" zoomScaleNormal="100" zoomScaleSheetLayoutView="100" workbookViewId="0">
      <selection sqref="A1:XFD1048576"/>
    </sheetView>
  </sheetViews>
  <sheetFormatPr baseColWidth="10" defaultRowHeight="15" x14ac:dyDescent="0.25"/>
  <cols>
    <col min="7" max="7" width="4.5703125" customWidth="1"/>
    <col min="9" max="9" width="14" customWidth="1"/>
    <col min="10" max="10" width="26.5703125" customWidth="1"/>
    <col min="11" max="11" width="2.28515625" customWidth="1"/>
    <col min="12" max="18" width="2.7109375" customWidth="1"/>
    <col min="19" max="19" width="3" customWidth="1"/>
  </cols>
  <sheetData>
    <row r="2" spans="4:38" x14ac:dyDescent="0.25">
      <c r="AI2" s="326"/>
      <c r="AJ2" s="326"/>
      <c r="AK2" s="326"/>
      <c r="AL2" s="326"/>
    </row>
    <row r="13" spans="4:38" x14ac:dyDescent="0.25">
      <c r="D13" s="170"/>
      <c r="E13" s="170"/>
    </row>
    <row r="14" spans="4:38" x14ac:dyDescent="0.25">
      <c r="D14" s="170"/>
      <c r="E14" s="170"/>
    </row>
    <row r="15" spans="4:38" x14ac:dyDescent="0.25">
      <c r="D15" s="170"/>
      <c r="E15" s="170"/>
    </row>
    <row r="16" spans="4:38" ht="15" customHeight="1" x14ac:dyDescent="0.25">
      <c r="D16" s="170"/>
      <c r="E16" s="170"/>
      <c r="L16" s="327" t="s">
        <v>387</v>
      </c>
    </row>
    <row r="17" spans="1:23" x14ac:dyDescent="0.25">
      <c r="D17" s="170"/>
      <c r="E17" s="170"/>
      <c r="L17" s="327" t="s">
        <v>388</v>
      </c>
    </row>
    <row r="18" spans="1:23" x14ac:dyDescent="0.25">
      <c r="D18" s="170"/>
      <c r="E18" s="170"/>
      <c r="L18" s="327" t="s">
        <v>389</v>
      </c>
    </row>
    <row r="19" spans="1:23" ht="15" customHeight="1" x14ac:dyDescent="0.25">
      <c r="K19" s="328"/>
      <c r="L19" s="327"/>
      <c r="M19" s="329"/>
      <c r="N19" s="330"/>
      <c r="O19" s="330"/>
      <c r="P19" s="330"/>
      <c r="Q19" s="330"/>
      <c r="R19" s="330"/>
      <c r="S19" s="330"/>
    </row>
    <row r="20" spans="1:23" x14ac:dyDescent="0.25">
      <c r="A20" s="331" t="s">
        <v>390</v>
      </c>
      <c r="B20" s="331"/>
      <c r="C20" s="331"/>
      <c r="D20" s="331"/>
      <c r="E20" s="331"/>
      <c r="F20" s="331"/>
      <c r="G20" s="331"/>
      <c r="H20" s="331"/>
      <c r="I20" s="331"/>
      <c r="J20" s="331"/>
      <c r="K20" s="328"/>
      <c r="L20" s="327" t="s">
        <v>391</v>
      </c>
      <c r="M20" s="329"/>
      <c r="N20" s="329"/>
      <c r="O20" s="330"/>
      <c r="P20" s="330"/>
      <c r="Q20" s="330"/>
      <c r="R20" s="330"/>
      <c r="S20" s="330"/>
    </row>
    <row r="21" spans="1:23" x14ac:dyDescent="0.25">
      <c r="A21" s="331"/>
      <c r="B21" s="331"/>
      <c r="C21" s="331"/>
      <c r="D21" s="331"/>
      <c r="E21" s="331"/>
      <c r="F21" s="331"/>
      <c r="G21" s="331"/>
      <c r="H21" s="331"/>
      <c r="I21" s="331"/>
      <c r="J21" s="331"/>
      <c r="K21" s="328"/>
      <c r="L21" s="327" t="s">
        <v>392</v>
      </c>
      <c r="M21" s="329"/>
      <c r="N21" s="329"/>
      <c r="O21" s="330"/>
      <c r="P21" s="330"/>
      <c r="Q21" s="330"/>
      <c r="R21" s="330"/>
      <c r="S21" s="330"/>
    </row>
    <row r="22" spans="1:23" x14ac:dyDescent="0.25">
      <c r="A22" s="331"/>
      <c r="B22" s="331"/>
      <c r="C22" s="331"/>
      <c r="D22" s="331"/>
      <c r="E22" s="331"/>
      <c r="F22" s="331"/>
      <c r="G22" s="331"/>
      <c r="H22" s="331"/>
      <c r="I22" s="331"/>
      <c r="J22" s="331"/>
      <c r="K22" s="328"/>
      <c r="L22" s="327" t="s">
        <v>393</v>
      </c>
      <c r="M22" s="329"/>
      <c r="N22" s="329"/>
      <c r="O22" s="330"/>
      <c r="P22" s="330"/>
      <c r="Q22" s="330"/>
      <c r="R22" s="330"/>
      <c r="S22" s="330"/>
    </row>
    <row r="23" spans="1:23" x14ac:dyDescent="0.25">
      <c r="A23" s="331"/>
      <c r="B23" s="331"/>
      <c r="C23" s="331"/>
      <c r="D23" s="331"/>
      <c r="E23" s="331"/>
      <c r="F23" s="331"/>
      <c r="G23" s="331"/>
      <c r="H23" s="331"/>
      <c r="I23" s="331"/>
      <c r="J23" s="331"/>
      <c r="K23" s="328"/>
      <c r="L23" s="327"/>
      <c r="M23" s="329"/>
      <c r="N23" s="329"/>
      <c r="O23" s="330"/>
      <c r="P23" s="330"/>
      <c r="Q23" s="330"/>
      <c r="R23" s="330"/>
      <c r="S23" s="330"/>
    </row>
    <row r="24" spans="1:23" x14ac:dyDescent="0.25">
      <c r="A24" s="331"/>
      <c r="B24" s="331"/>
      <c r="C24" s="331"/>
      <c r="D24" s="331"/>
      <c r="E24" s="331"/>
      <c r="F24" s="331"/>
      <c r="G24" s="331"/>
      <c r="H24" s="331"/>
      <c r="I24" s="331"/>
      <c r="J24" s="331"/>
      <c r="K24" s="328"/>
      <c r="L24" s="327" t="s">
        <v>394</v>
      </c>
      <c r="M24" s="329"/>
      <c r="N24" s="329"/>
      <c r="O24" s="330"/>
      <c r="P24" s="330"/>
      <c r="Q24" s="330"/>
      <c r="R24" s="330"/>
      <c r="S24" s="330"/>
    </row>
    <row r="25" spans="1:23" x14ac:dyDescent="0.25">
      <c r="A25" s="331"/>
      <c r="B25" s="331"/>
      <c r="C25" s="331"/>
      <c r="D25" s="331"/>
      <c r="E25" s="331"/>
      <c r="F25" s="331"/>
      <c r="G25" s="331"/>
      <c r="H25" s="331"/>
      <c r="I25" s="331"/>
      <c r="J25" s="331"/>
      <c r="K25" s="328"/>
      <c r="L25" s="327" t="s">
        <v>395</v>
      </c>
      <c r="M25" s="329"/>
      <c r="N25" s="329"/>
      <c r="O25" s="330"/>
      <c r="P25" s="330"/>
      <c r="Q25" s="330"/>
      <c r="R25" s="330"/>
      <c r="S25" s="330"/>
    </row>
    <row r="26" spans="1:23" x14ac:dyDescent="0.25">
      <c r="A26" s="331"/>
      <c r="B26" s="331"/>
      <c r="C26" s="331"/>
      <c r="D26" s="331"/>
      <c r="E26" s="331"/>
      <c r="F26" s="331"/>
      <c r="G26" s="331"/>
      <c r="H26" s="331"/>
      <c r="I26" s="331"/>
      <c r="J26" s="331"/>
      <c r="K26" s="328"/>
      <c r="L26" s="327" t="s">
        <v>396</v>
      </c>
      <c r="M26" s="330"/>
      <c r="N26" s="329"/>
      <c r="O26" s="330"/>
      <c r="P26" s="330"/>
      <c r="Q26" s="330"/>
      <c r="R26" s="330"/>
      <c r="S26" s="330"/>
    </row>
    <row r="27" spans="1:23" x14ac:dyDescent="0.25">
      <c r="A27" s="331"/>
      <c r="B27" s="331"/>
      <c r="C27" s="331"/>
      <c r="D27" s="331"/>
      <c r="E27" s="331"/>
      <c r="F27" s="331"/>
      <c r="G27" s="331"/>
      <c r="H27" s="331"/>
      <c r="I27" s="331"/>
      <c r="J27" s="331"/>
      <c r="K27" s="328"/>
      <c r="L27" s="332"/>
      <c r="M27" s="329"/>
      <c r="N27" s="329"/>
      <c r="O27" s="330"/>
      <c r="P27" s="330"/>
      <c r="Q27" s="330"/>
      <c r="R27" s="330"/>
      <c r="S27" s="330"/>
      <c r="W27" s="330"/>
    </row>
    <row r="28" spans="1:23" x14ac:dyDescent="0.25">
      <c r="A28" s="331"/>
      <c r="B28" s="331"/>
      <c r="C28" s="331"/>
      <c r="D28" s="331"/>
      <c r="E28" s="331"/>
      <c r="F28" s="331"/>
      <c r="G28" s="331"/>
      <c r="H28" s="331"/>
      <c r="I28" s="331"/>
      <c r="J28" s="331"/>
      <c r="K28" s="328"/>
      <c r="L28" s="332"/>
      <c r="M28" s="329"/>
      <c r="N28" s="333" t="s">
        <v>397</v>
      </c>
      <c r="O28" s="330"/>
      <c r="P28" s="330"/>
      <c r="Q28" s="330"/>
      <c r="R28" s="330"/>
      <c r="S28" s="330"/>
    </row>
    <row r="29" spans="1:23" x14ac:dyDescent="0.25">
      <c r="A29" s="331"/>
      <c r="B29" s="331"/>
      <c r="C29" s="331"/>
      <c r="D29" s="331"/>
      <c r="E29" s="331"/>
      <c r="F29" s="331"/>
      <c r="G29" s="331"/>
      <c r="H29" s="331"/>
      <c r="I29" s="331"/>
      <c r="J29" s="331"/>
      <c r="K29" s="328"/>
      <c r="L29" s="332"/>
      <c r="M29" s="329"/>
      <c r="N29" s="334"/>
      <c r="O29" s="330"/>
      <c r="P29" s="330"/>
      <c r="Q29" s="330"/>
      <c r="R29" s="330"/>
      <c r="S29" s="330"/>
    </row>
    <row r="30" spans="1:23" x14ac:dyDescent="0.25">
      <c r="A30" s="331"/>
      <c r="B30" s="331"/>
      <c r="C30" s="331"/>
      <c r="D30" s="331"/>
      <c r="E30" s="331"/>
      <c r="F30" s="331"/>
      <c r="G30" s="331"/>
      <c r="H30" s="331"/>
      <c r="I30" s="331"/>
      <c r="J30" s="331"/>
      <c r="K30" s="328"/>
      <c r="L30" s="332"/>
      <c r="M30" s="329"/>
      <c r="N30" s="334" t="s">
        <v>398</v>
      </c>
      <c r="O30" s="330"/>
      <c r="P30" s="330"/>
      <c r="Q30" s="330"/>
      <c r="R30" s="330"/>
      <c r="S30" s="330"/>
    </row>
    <row r="31" spans="1:23" x14ac:dyDescent="0.25">
      <c r="A31" s="331"/>
      <c r="B31" s="331"/>
      <c r="C31" s="331"/>
      <c r="D31" s="331"/>
      <c r="E31" s="331"/>
      <c r="F31" s="331"/>
      <c r="G31" s="331"/>
      <c r="H31" s="331"/>
      <c r="I31" s="331"/>
      <c r="J31" s="331"/>
      <c r="K31" s="328"/>
      <c r="L31" s="332"/>
      <c r="M31" s="329"/>
      <c r="N31" s="334"/>
      <c r="O31" s="330"/>
      <c r="P31" s="330"/>
      <c r="Q31" s="330"/>
      <c r="R31" s="330"/>
      <c r="S31" s="330"/>
    </row>
    <row r="32" spans="1:23" x14ac:dyDescent="0.25">
      <c r="A32" s="331"/>
      <c r="B32" s="331"/>
      <c r="C32" s="331"/>
      <c r="D32" s="331"/>
      <c r="E32" s="331"/>
      <c r="F32" s="331"/>
      <c r="G32" s="331"/>
      <c r="H32" s="331"/>
      <c r="I32" s="331"/>
      <c r="J32" s="331"/>
      <c r="K32" s="328"/>
      <c r="L32" s="332"/>
      <c r="M32" s="329"/>
      <c r="N32" s="334" t="s">
        <v>399</v>
      </c>
      <c r="O32" s="330"/>
      <c r="P32" s="330"/>
      <c r="Q32" s="330"/>
      <c r="R32" s="330"/>
      <c r="S32" s="330"/>
    </row>
    <row r="33" spans="1:37" x14ac:dyDescent="0.25">
      <c r="A33" s="331"/>
      <c r="B33" s="331"/>
      <c r="C33" s="331"/>
      <c r="D33" s="331"/>
      <c r="E33" s="331"/>
      <c r="F33" s="331"/>
      <c r="G33" s="331"/>
      <c r="H33" s="331"/>
      <c r="I33" s="331"/>
      <c r="J33" s="331"/>
      <c r="K33" s="328"/>
      <c r="L33" s="332"/>
      <c r="M33" s="329"/>
      <c r="N33" s="334"/>
      <c r="O33" s="330"/>
      <c r="P33" s="330"/>
      <c r="Q33" s="330"/>
      <c r="R33" s="330"/>
      <c r="S33" s="330"/>
    </row>
    <row r="34" spans="1:37" x14ac:dyDescent="0.25">
      <c r="A34" s="331"/>
      <c r="B34" s="331"/>
      <c r="C34" s="331"/>
      <c r="D34" s="331"/>
      <c r="E34" s="331"/>
      <c r="F34" s="331"/>
      <c r="G34" s="331"/>
      <c r="H34" s="331"/>
      <c r="I34" s="331"/>
      <c r="J34" s="331"/>
      <c r="K34" s="328"/>
      <c r="L34" s="332"/>
      <c r="M34" s="329"/>
      <c r="N34" s="334" t="s">
        <v>400</v>
      </c>
      <c r="O34" s="330"/>
      <c r="P34" s="330"/>
      <c r="Q34" s="330"/>
      <c r="R34" s="330"/>
      <c r="S34" s="330"/>
    </row>
    <row r="35" spans="1:37" x14ac:dyDescent="0.25">
      <c r="A35" s="331"/>
      <c r="B35" s="331"/>
      <c r="C35" s="331"/>
      <c r="D35" s="331"/>
      <c r="E35" s="331"/>
      <c r="F35" s="331"/>
      <c r="G35" s="331"/>
      <c r="H35" s="331"/>
      <c r="I35" s="331"/>
      <c r="J35" s="331"/>
      <c r="K35" s="328"/>
      <c r="L35" s="332"/>
      <c r="M35" s="329"/>
      <c r="N35" s="329"/>
      <c r="O35" s="330"/>
      <c r="P35" s="330"/>
      <c r="Q35" s="330"/>
      <c r="R35" s="330"/>
      <c r="S35" s="330"/>
      <c r="AJ35" t="s">
        <v>26</v>
      </c>
      <c r="AK35" s="25" t="s">
        <v>27</v>
      </c>
    </row>
    <row r="36" spans="1:37" x14ac:dyDescent="0.25">
      <c r="A36" s="335"/>
      <c r="B36" s="335"/>
      <c r="C36" s="335"/>
      <c r="D36" s="335"/>
      <c r="E36" s="335"/>
      <c r="F36" s="335"/>
      <c r="G36" s="335"/>
      <c r="H36" s="335"/>
      <c r="I36" s="335"/>
      <c r="J36" s="335"/>
    </row>
    <row r="37" spans="1:37" x14ac:dyDescent="0.25">
      <c r="A37" s="335"/>
      <c r="B37" s="335"/>
      <c r="C37" s="335"/>
      <c r="D37" s="336"/>
      <c r="E37" s="336"/>
      <c r="F37" s="335"/>
      <c r="G37" s="335"/>
      <c r="H37" s="335"/>
      <c r="I37" s="335"/>
      <c r="J37" s="335"/>
    </row>
    <row r="38" spans="1:37" x14ac:dyDescent="0.25">
      <c r="A38" s="335"/>
      <c r="B38" s="335"/>
      <c r="C38" s="335"/>
      <c r="D38" s="336"/>
      <c r="E38" s="336"/>
      <c r="F38" s="335"/>
      <c r="G38" s="335"/>
      <c r="H38" s="335"/>
      <c r="I38" s="335"/>
      <c r="J38" s="335"/>
    </row>
    <row r="39" spans="1:37" x14ac:dyDescent="0.25">
      <c r="D39" s="170"/>
      <c r="E39" s="170"/>
    </row>
    <row r="40" spans="1:37" x14ac:dyDescent="0.25">
      <c r="D40" s="170"/>
      <c r="E40" s="170"/>
    </row>
    <row r="41" spans="1:37" x14ac:dyDescent="0.25">
      <c r="D41" s="170"/>
      <c r="E41" s="170"/>
    </row>
    <row r="47" spans="1:37" x14ac:dyDescent="0.25">
      <c r="AG47" t="e">
        <v>#N/A</v>
      </c>
    </row>
    <row r="48" spans="1:37" x14ac:dyDescent="0.25">
      <c r="D48" s="170"/>
      <c r="E48" s="170"/>
    </row>
    <row r="49" spans="4:5" x14ac:dyDescent="0.25">
      <c r="D49" s="170"/>
      <c r="E49" s="170"/>
    </row>
    <row r="50" spans="4:5" x14ac:dyDescent="0.25">
      <c r="D50" s="170"/>
      <c r="E50" s="170"/>
    </row>
    <row r="51" spans="4:5" x14ac:dyDescent="0.25">
      <c r="D51" s="170"/>
      <c r="E51" s="170"/>
    </row>
    <row r="52" spans="4:5" x14ac:dyDescent="0.25">
      <c r="D52" s="170"/>
      <c r="E52" s="170"/>
    </row>
    <row r="53" spans="4:5" x14ac:dyDescent="0.25">
      <c r="D53" s="170"/>
      <c r="E53" s="170"/>
    </row>
    <row r="54" spans="4:5" x14ac:dyDescent="0.25">
      <c r="D54" s="170"/>
      <c r="E54" s="170"/>
    </row>
    <row r="55" spans="4:5" x14ac:dyDescent="0.25">
      <c r="D55" s="170"/>
      <c r="E55" s="170"/>
    </row>
    <row r="58" spans="4:5" ht="13.5" customHeight="1" x14ac:dyDescent="0.25"/>
    <row r="59" spans="4:5" ht="2.25" hidden="1" customHeight="1" x14ac:dyDescent="0.25">
      <c r="D59" s="170"/>
      <c r="E59" s="170"/>
    </row>
    <row r="60" spans="4:5" x14ac:dyDescent="0.25">
      <c r="D60" s="170"/>
      <c r="E60" s="170"/>
    </row>
    <row r="61" spans="4:5" x14ac:dyDescent="0.25">
      <c r="D61" s="170"/>
      <c r="E61" s="170"/>
    </row>
    <row r="62" spans="4:5" x14ac:dyDescent="0.25">
      <c r="D62" s="170"/>
      <c r="E62" s="170"/>
    </row>
    <row r="63" spans="4:5" x14ac:dyDescent="0.25">
      <c r="D63" s="170"/>
      <c r="E63" s="170"/>
    </row>
    <row r="64" spans="4:5" x14ac:dyDescent="0.25">
      <c r="D64" s="170"/>
      <c r="E64" s="170"/>
    </row>
    <row r="65" spans="4:5" x14ac:dyDescent="0.25">
      <c r="D65" s="170"/>
      <c r="E65" s="170"/>
    </row>
    <row r="66" spans="4:5" x14ac:dyDescent="0.25">
      <c r="D66" s="170"/>
      <c r="E66" s="170"/>
    </row>
    <row r="67" spans="4:5" x14ac:dyDescent="0.25">
      <c r="D67" s="170"/>
      <c r="E67" s="170"/>
    </row>
    <row r="68" spans="4:5" x14ac:dyDescent="0.25">
      <c r="D68" s="170"/>
      <c r="E68" s="170"/>
    </row>
    <row r="72" spans="4:5" x14ac:dyDescent="0.25">
      <c r="D72" s="170"/>
      <c r="E72" s="170"/>
    </row>
    <row r="73" spans="4:5" x14ac:dyDescent="0.25">
      <c r="D73" s="170"/>
      <c r="E73" s="170"/>
    </row>
    <row r="74" spans="4:5" x14ac:dyDescent="0.25">
      <c r="D74" s="170"/>
      <c r="E74" s="170"/>
    </row>
    <row r="75" spans="4:5" x14ac:dyDescent="0.25">
      <c r="D75" s="170"/>
      <c r="E75" s="170"/>
    </row>
    <row r="79" spans="4:5" x14ac:dyDescent="0.25">
      <c r="D79" s="170"/>
      <c r="E79" s="170"/>
    </row>
    <row r="80" spans="4:5" x14ac:dyDescent="0.25">
      <c r="D80" s="170"/>
      <c r="E80" s="170"/>
    </row>
    <row r="81" spans="4:5" x14ac:dyDescent="0.25">
      <c r="D81" s="170"/>
      <c r="E81" s="170"/>
    </row>
    <row r="82" spans="4:5" x14ac:dyDescent="0.25">
      <c r="D82" s="170"/>
      <c r="E82" s="170"/>
    </row>
    <row r="83" spans="4:5" x14ac:dyDescent="0.25">
      <c r="D83" s="170"/>
      <c r="E83" s="170"/>
    </row>
    <row r="84" spans="4:5" x14ac:dyDescent="0.25">
      <c r="D84" s="170"/>
      <c r="E84" s="170"/>
    </row>
    <row r="85" spans="4:5" x14ac:dyDescent="0.25">
      <c r="D85" s="170"/>
      <c r="E85" s="170"/>
    </row>
    <row r="86" spans="4:5" x14ac:dyDescent="0.25">
      <c r="D86" s="170"/>
      <c r="E86" s="170"/>
    </row>
    <row r="87" spans="4:5" x14ac:dyDescent="0.25">
      <c r="D87" s="170"/>
      <c r="E87" s="170"/>
    </row>
    <row r="88" spans="4:5" x14ac:dyDescent="0.25">
      <c r="D88" s="170"/>
      <c r="E88" s="170"/>
    </row>
    <row r="94" spans="4:5" x14ac:dyDescent="0.25">
      <c r="D94" s="170"/>
      <c r="E94" s="170"/>
    </row>
    <row r="95" spans="4:5" x14ac:dyDescent="0.25">
      <c r="D95" s="170"/>
      <c r="E95" s="170"/>
    </row>
    <row r="99" spans="4:16" x14ac:dyDescent="0.25">
      <c r="D99" s="170"/>
      <c r="E99" s="170"/>
      <c r="P99" t="s">
        <v>200</v>
      </c>
    </row>
    <row r="100" spans="4:16" x14ac:dyDescent="0.25">
      <c r="D100" s="170"/>
      <c r="E100" s="170"/>
    </row>
    <row r="101" spans="4:16" x14ac:dyDescent="0.25">
      <c r="D101" s="170"/>
      <c r="E101" s="170"/>
    </row>
    <row r="102" spans="4:16" x14ac:dyDescent="0.25">
      <c r="D102" s="170"/>
      <c r="E102" s="170"/>
    </row>
    <row r="103" spans="4:16" x14ac:dyDescent="0.25">
      <c r="D103" s="170"/>
      <c r="E103" s="170"/>
    </row>
    <row r="104" spans="4:16" x14ac:dyDescent="0.25">
      <c r="D104" s="170"/>
      <c r="E104" s="170"/>
    </row>
    <row r="105" spans="4:16" x14ac:dyDescent="0.25">
      <c r="D105" s="170"/>
      <c r="E105" s="170"/>
    </row>
    <row r="106" spans="4:16" x14ac:dyDescent="0.25">
      <c r="D106" s="170"/>
      <c r="E106" s="170"/>
    </row>
    <row r="107" spans="4:16" x14ac:dyDescent="0.25">
      <c r="D107" s="170"/>
      <c r="E107" s="170"/>
    </row>
    <row r="108" spans="4:16" x14ac:dyDescent="0.25">
      <c r="D108" s="170"/>
      <c r="E108" s="170"/>
    </row>
    <row r="112" spans="4:16" x14ac:dyDescent="0.25">
      <c r="D112" s="170"/>
      <c r="E112" s="170"/>
    </row>
    <row r="116" spans="4:5" x14ac:dyDescent="0.25">
      <c r="D116" s="170"/>
      <c r="E116" s="170"/>
    </row>
    <row r="117" spans="4:5" x14ac:dyDescent="0.25">
      <c r="D117" s="170"/>
      <c r="E117" s="170"/>
    </row>
    <row r="118" spans="4:5" x14ac:dyDescent="0.25">
      <c r="D118" s="170"/>
      <c r="E118" s="170"/>
    </row>
    <row r="119" spans="4:5" x14ac:dyDescent="0.25">
      <c r="D119" s="170"/>
      <c r="E119" s="170"/>
    </row>
    <row r="422" ht="18.75" customHeight="1" x14ac:dyDescent="0.25"/>
    <row r="437" spans="2:2" x14ac:dyDescent="0.25">
      <c r="B437" t="s">
        <v>401</v>
      </c>
    </row>
    <row r="438" spans="2:2" x14ac:dyDescent="0.25">
      <c r="B438" t="s">
        <v>402</v>
      </c>
    </row>
    <row r="439" spans="2:2" x14ac:dyDescent="0.25">
      <c r="B439" t="s">
        <v>403</v>
      </c>
    </row>
    <row r="440" spans="2:2" x14ac:dyDescent="0.25">
      <c r="B440" t="s">
        <v>404</v>
      </c>
    </row>
  </sheetData>
  <mergeCells count="1">
    <mergeCell ref="A20:J35"/>
  </mergeCells>
  <hyperlinks>
    <hyperlink ref="L18" r:id="rId1"/>
    <hyperlink ref="L26" r:id="rId2"/>
  </hyperlinks>
  <printOptions horizontalCentered="1"/>
  <pageMargins left="0" right="0" top="0.75" bottom="0" header="0.3" footer="0"/>
  <pageSetup paperSize="9" scale="90" orientation="landscape"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vt:i4>
      </vt:variant>
    </vt:vector>
  </HeadingPairs>
  <TitlesOfParts>
    <vt:vector size="12" baseType="lpstr">
      <vt:lpstr>Heatmap</vt:lpstr>
      <vt:lpstr>Mercado</vt:lpstr>
      <vt:lpstr>Fundamentals</vt:lpstr>
      <vt:lpstr>Earnings</vt:lpstr>
      <vt:lpstr>Glosario</vt:lpstr>
      <vt:lpstr>Disclaimer</vt:lpstr>
      <vt:lpstr>Disclaimer!Área_de_impresión</vt:lpstr>
      <vt:lpstr>Earnings!Área_de_impresión</vt:lpstr>
      <vt:lpstr>Fundamentals!Área_de_impresión</vt:lpstr>
      <vt:lpstr>Glosario!Área_de_impresión</vt:lpstr>
      <vt:lpstr>Heatmap!Área_de_impresión</vt:lpstr>
      <vt:lpstr>Mercado!Área_de_impresión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Flavia Matsuda</dc:creator>
  <cp:lastModifiedBy>Flavia Matsuda</cp:lastModifiedBy>
  <dcterms:created xsi:type="dcterms:W3CDTF">2020-03-20T17:18:52Z</dcterms:created>
  <dcterms:modified xsi:type="dcterms:W3CDTF">2020-03-20T17:26:21Z</dcterms:modified>
</cp:coreProperties>
</file>