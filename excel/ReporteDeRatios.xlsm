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65" yWindow="6510" windowWidth="15600" windowHeight="11160" tabRatio="740"/>
  </bookViews>
  <sheets>
    <sheet name="Template" sheetId="1" r:id="rId1"/>
    <sheet name="Glosario" sheetId="31" r:id="rId2"/>
    <sheet name="Disclaimer" sheetId="12" r:id="rId3"/>
  </sheets>
  <definedNames>
    <definedName name="_xlnm._FilterDatabase" localSheetId="0" hidden="1">Template!$CD$41:$CG$53</definedName>
    <definedName name="_xlnm.Print_Area" localSheetId="2">Disclaimer!$A$1:$AR$54</definedName>
    <definedName name="_xlnm.Print_Area" localSheetId="1">Glosario!$A$1:$BB$98</definedName>
    <definedName name="_xlnm.Print_Area" localSheetId="0">Template!$A$1:$BW$114</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45621"/>
</workbook>
</file>

<file path=xl/calcChain.xml><?xml version="1.0" encoding="utf-8"?>
<calcChain xmlns="http://schemas.openxmlformats.org/spreadsheetml/2006/main">
  <c r="BQ25" i="31" l="1"/>
  <c r="BF26" i="12"/>
  <c r="BF25" i="12"/>
  <c r="BQ26" i="31"/>
  <c r="BF97" i="12" l="1"/>
  <c r="BF96" i="12"/>
  <c r="BF94" i="12"/>
  <c r="BF93" i="12"/>
  <c r="BF92" i="12"/>
  <c r="BF91" i="12"/>
  <c r="BF90" i="12"/>
  <c r="BF89" i="12"/>
  <c r="BF88" i="12"/>
  <c r="BF87" i="12"/>
  <c r="BF86" i="12"/>
  <c r="BF85" i="12"/>
  <c r="BF83" i="12"/>
  <c r="BF82" i="12"/>
  <c r="BF81" i="12"/>
  <c r="BF80" i="12"/>
  <c r="BF79" i="12"/>
  <c r="BF78" i="12"/>
  <c r="BF76" i="12"/>
  <c r="BF75" i="12"/>
  <c r="BF74" i="12"/>
  <c r="BF73" i="12"/>
  <c r="BF72" i="12"/>
  <c r="BF71" i="12"/>
  <c r="BF70" i="12"/>
  <c r="BF69" i="12"/>
  <c r="BF68" i="12"/>
  <c r="BF66" i="12"/>
  <c r="BF65" i="12"/>
  <c r="BF64" i="12"/>
  <c r="BF63" i="12"/>
  <c r="BF62" i="12"/>
  <c r="BF61" i="12"/>
  <c r="BF60" i="12"/>
  <c r="BF59" i="12"/>
  <c r="BF58" i="12"/>
  <c r="BF57" i="12"/>
  <c r="BF56" i="12"/>
  <c r="BF55" i="12"/>
  <c r="BF53" i="12"/>
  <c r="BF52" i="12"/>
  <c r="BF51" i="12"/>
  <c r="BF49" i="12"/>
  <c r="BF48" i="12"/>
  <c r="BF47" i="12"/>
  <c r="BF46" i="12"/>
  <c r="BF45" i="12"/>
  <c r="BF44" i="12"/>
  <c r="BF40" i="12"/>
  <c r="BF38" i="12"/>
  <c r="BF36" i="12"/>
  <c r="BF35" i="12"/>
  <c r="BF34" i="12"/>
  <c r="BF33" i="12"/>
  <c r="BF32" i="12"/>
  <c r="BF31" i="12"/>
  <c r="BF30" i="12"/>
  <c r="BF29" i="12"/>
  <c r="BF28" i="12"/>
  <c r="BF27" i="12"/>
  <c r="BF24" i="12"/>
  <c r="BF23" i="12"/>
  <c r="BF22" i="12"/>
  <c r="BQ154" i="31"/>
  <c r="BQ153" i="31"/>
  <c r="BQ151" i="31"/>
  <c r="BQ150" i="31"/>
  <c r="BQ149" i="31"/>
  <c r="BQ148" i="31"/>
  <c r="BQ147" i="31"/>
  <c r="BQ146" i="31"/>
  <c r="BQ145" i="31"/>
  <c r="BQ144" i="31"/>
  <c r="BQ143" i="31"/>
  <c r="BQ142" i="31"/>
  <c r="BQ140" i="31"/>
  <c r="BQ139" i="31"/>
  <c r="BQ138" i="31"/>
  <c r="BQ137" i="31"/>
  <c r="BQ136" i="31"/>
  <c r="BQ135" i="31"/>
  <c r="BQ133" i="31"/>
  <c r="BQ132" i="31"/>
  <c r="BQ131" i="31"/>
  <c r="BQ130" i="31"/>
  <c r="BQ129" i="31"/>
  <c r="BQ128" i="31"/>
  <c r="BQ127" i="31"/>
  <c r="BQ126" i="31"/>
  <c r="BQ125" i="31"/>
  <c r="BQ123" i="31"/>
  <c r="BQ122" i="31"/>
  <c r="BQ121" i="31"/>
  <c r="BQ120" i="31"/>
  <c r="BQ119" i="31"/>
  <c r="BQ118" i="31"/>
  <c r="BQ117" i="31"/>
  <c r="BQ45" i="31"/>
  <c r="BQ44" i="31"/>
  <c r="BQ41" i="31"/>
  <c r="BQ39" i="31"/>
  <c r="BQ38" i="31"/>
  <c r="BQ36" i="31"/>
  <c r="BQ34" i="31"/>
  <c r="BQ33" i="31"/>
  <c r="BQ32" i="31"/>
  <c r="BQ31" i="31"/>
  <c r="BQ30" i="31"/>
  <c r="BQ27" i="31"/>
  <c r="BQ24" i="31"/>
  <c r="BQ23" i="31"/>
  <c r="BQ22" i="31"/>
  <c r="BQ21" i="31"/>
  <c r="BQ20" i="31"/>
  <c r="BQ19" i="31"/>
  <c r="BQ18" i="31"/>
  <c r="BQ17" i="31"/>
  <c r="BQ16" i="31"/>
  <c r="BP13" i="31"/>
  <c r="BD13" i="31"/>
  <c r="BJ13" i="31"/>
  <c r="BM13" i="31"/>
  <c r="BS13" i="31"/>
  <c r="BE19" i="12"/>
  <c r="BH19" i="12"/>
</calcChain>
</file>

<file path=xl/comments1.xml><?xml version="1.0" encoding="utf-8"?>
<comments xmlns="http://schemas.openxmlformats.org/spreadsheetml/2006/main">
  <authors>
    <author>Flavia Matsuda</author>
  </authors>
  <commentList>
    <comment ref="AH53"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<sst xmlns="http://schemas.openxmlformats.org/spreadsheetml/2006/main" count="781" uniqueCount="274">
  <si>
    <t>Gerente de Inversiones</t>
  </si>
  <si>
    <t>Alejandro Bianchi, CFA</t>
  </si>
  <si>
    <t>Solvencia / Riesgo</t>
  </si>
  <si>
    <t>Liquidez</t>
  </si>
  <si>
    <t>Operativos</t>
  </si>
  <si>
    <t>Ciclo Caja</t>
  </si>
  <si>
    <t>FCF/V</t>
  </si>
  <si>
    <t>ROE</t>
  </si>
  <si>
    <t>ROA</t>
  </si>
  <si>
    <t>P/E</t>
  </si>
  <si>
    <t>P/S</t>
  </si>
  <si>
    <t>P/FCF</t>
  </si>
  <si>
    <t>Ap. Financiero</t>
  </si>
  <si>
    <t>Ac/Pc</t>
  </si>
  <si>
    <t>Rendimiento</t>
  </si>
  <si>
    <t>Valor Empresa</t>
  </si>
  <si>
    <t>Ratios de Mercado</t>
  </si>
  <si>
    <t>EV/  EBITDA</t>
  </si>
  <si>
    <t>V/A</t>
  </si>
  <si>
    <t>P. Ácida</t>
  </si>
  <si>
    <t>Glosario</t>
  </si>
  <si>
    <t>Precio</t>
  </si>
  <si>
    <t>Reporte de Ratios: Argentina</t>
  </si>
  <si>
    <t>AGRO</t>
  </si>
  <si>
    <t>ALUA</t>
  </si>
  <si>
    <t>APBR</t>
  </si>
  <si>
    <t>AUSO</t>
  </si>
  <si>
    <t>BHIP</t>
  </si>
  <si>
    <t>BMA</t>
  </si>
  <si>
    <t>BOLT</t>
  </si>
  <si>
    <t>BPAT</t>
  </si>
  <si>
    <t>BRIO</t>
  </si>
  <si>
    <t>CADO</t>
  </si>
  <si>
    <t>CAPU</t>
  </si>
  <si>
    <t>CAPX</t>
  </si>
  <si>
    <t>CARC</t>
  </si>
  <si>
    <t>CECO2</t>
  </si>
  <si>
    <t>CELU</t>
  </si>
  <si>
    <t>CGPA2</t>
  </si>
  <si>
    <t>COLO</t>
  </si>
  <si>
    <t>COME</t>
  </si>
  <si>
    <t>CRES</t>
  </si>
  <si>
    <t>CTIO</t>
  </si>
  <si>
    <t>DGCU2</t>
  </si>
  <si>
    <t>DYCA</t>
  </si>
  <si>
    <t>EDN</t>
  </si>
  <si>
    <t>ERAR</t>
  </si>
  <si>
    <t>ESME</t>
  </si>
  <si>
    <t>ESTR</t>
  </si>
  <si>
    <t>FERR</t>
  </si>
  <si>
    <t>FIPL</t>
  </si>
  <si>
    <t>FRAN</t>
  </si>
  <si>
    <t>GARO</t>
  </si>
  <si>
    <t>GBAN</t>
  </si>
  <si>
    <t>GCLA</t>
  </si>
  <si>
    <t>GGAL</t>
  </si>
  <si>
    <t>GRIM</t>
  </si>
  <si>
    <t>INTR</t>
  </si>
  <si>
    <t>INVJ</t>
  </si>
  <si>
    <t>IRSA</t>
  </si>
  <si>
    <t>JMIN</t>
  </si>
  <si>
    <t>LEDE</t>
  </si>
  <si>
    <t>LONG</t>
  </si>
  <si>
    <t>METR</t>
  </si>
  <si>
    <t>MIRG</t>
  </si>
  <si>
    <t>MOLI</t>
  </si>
  <si>
    <t>MORI</t>
  </si>
  <si>
    <t>OEST</t>
  </si>
  <si>
    <t>PAMP</t>
  </si>
  <si>
    <t>PATA</t>
  </si>
  <si>
    <t>PATY</t>
  </si>
  <si>
    <t>PERK</t>
  </si>
  <si>
    <t>PESA</t>
  </si>
  <si>
    <t>PETR</t>
  </si>
  <si>
    <t>POLL</t>
  </si>
  <si>
    <t>PSUR</t>
  </si>
  <si>
    <t>REP</t>
  </si>
  <si>
    <t>RIGO</t>
  </si>
  <si>
    <t>ROSE</t>
  </si>
  <si>
    <t>SAMI</t>
  </si>
  <si>
    <t>SEMI</t>
  </si>
  <si>
    <t>STD</t>
  </si>
  <si>
    <t>TECO2</t>
  </si>
  <si>
    <t>TEF</t>
  </si>
  <si>
    <t>TGLT</t>
  </si>
  <si>
    <t>TGNO4</t>
  </si>
  <si>
    <t>TGSU2</t>
  </si>
  <si>
    <t>TRAN</t>
  </si>
  <si>
    <t>TS</t>
  </si>
  <si>
    <t>YPFD</t>
  </si>
  <si>
    <t>Ticker</t>
  </si>
  <si>
    <t>AGROMETAL SAI</t>
  </si>
  <si>
    <t>ALUAR ALUMINIO ARGENTINO SAIC</t>
  </si>
  <si>
    <t>PETROLEO BRASILEIRO PETROBRAS SA</t>
  </si>
  <si>
    <t>AUTOPISTAS DEL SOL SA</t>
  </si>
  <si>
    <t>BANCO HIPOTECARIO SA</t>
  </si>
  <si>
    <t>BANCO MACRO SA</t>
  </si>
  <si>
    <t>BOLDT SA</t>
  </si>
  <si>
    <t>BANCO PATAGONIA SA</t>
  </si>
  <si>
    <t>BANCO SANTANDER RIO SA</t>
  </si>
  <si>
    <t>CARLOS CASADO SA</t>
  </si>
  <si>
    <t>CAPUTO SAIC Y F</t>
  </si>
  <si>
    <t>CAPEX SA</t>
  </si>
  <si>
    <t>CARBOCLOR SA</t>
  </si>
  <si>
    <t>ENDESA COSTANERA SA</t>
  </si>
  <si>
    <t>CELULOSA ARGENTINA SA</t>
  </si>
  <si>
    <t>CENTRAL PUERTO SA</t>
  </si>
  <si>
    <t>CAMUZZI GAS PAMPEANA SA</t>
  </si>
  <si>
    <t>SOCIEDAD COMERCIAL DEL PLATA SA</t>
  </si>
  <si>
    <t>CRESUD SACIF Y A</t>
  </si>
  <si>
    <t>CONSULTATIO SA</t>
  </si>
  <si>
    <t>DISTRIBUIDORA DE GAS CUYANA SA</t>
  </si>
  <si>
    <t>DYCASA SA</t>
  </si>
  <si>
    <t>EMPRESA DISTRIBUIDORA Y COMERCIALIZADORA NORTE SA</t>
  </si>
  <si>
    <t>SIDERAR SA INDUSTRIAL Y COMERCIAL</t>
  </si>
  <si>
    <t>BODEGAS ESMERALDA SA</t>
  </si>
  <si>
    <t>ANGEL ESTRADA Y COMPANIA SA</t>
  </si>
  <si>
    <t>FERRUM SA DE CERAMICA Y METALURGIA</t>
  </si>
  <si>
    <t>FIPLASTO SA</t>
  </si>
  <si>
    <t>BBVA BANCO FRANCES SA</t>
  </si>
  <si>
    <t>GAROVAGLIO Y ZORRAQUIN SA</t>
  </si>
  <si>
    <t>GAS NATURAL BAN SA</t>
  </si>
  <si>
    <t>GRUPO CLARIN SA</t>
  </si>
  <si>
    <t>GRUPO FINANCIERO GALICIA SA</t>
  </si>
  <si>
    <t>GRIMOLDI SA</t>
  </si>
  <si>
    <t>COMPANIA INTRODUCTORA DE BUENOS AIRES SA</t>
  </si>
  <si>
    <t>INVERSORA JURAMENTO SA</t>
  </si>
  <si>
    <t>IRSA INVERSIONES Y REPRESENTACIONES SA</t>
  </si>
  <si>
    <t>HOLCIM ARGENTINA SA</t>
  </si>
  <si>
    <t>LEDESMA S.A.A.I.</t>
  </si>
  <si>
    <t>LONGVIE SA</t>
  </si>
  <si>
    <t>METROGAS SA</t>
  </si>
  <si>
    <t>MOLINOS RIO DE LA PLATA SA</t>
  </si>
  <si>
    <t>MORIXE HERMANOS SACI SA</t>
  </si>
  <si>
    <t>GRUPO CONCESIONARIO DEL OESTE S.A.</t>
  </si>
  <si>
    <t>PAMPA ENERGIA SA</t>
  </si>
  <si>
    <t>IMPORTADORA Y EXPORTADORA DE LA PATAGONIA SA</t>
  </si>
  <si>
    <t>QUICKFOOD SA</t>
  </si>
  <si>
    <t>PERTRAK SA</t>
  </si>
  <si>
    <t>PETROBRAS ARGENTINA SA</t>
  </si>
  <si>
    <t>PETROLERA PAMPA SA</t>
  </si>
  <si>
    <t>POLLEDO SAIC Y F</t>
  </si>
  <si>
    <t>PETROLERA DEL CONOSUR SA</t>
  </si>
  <si>
    <t>REPSOL SA</t>
  </si>
  <si>
    <t>RIGOLLEAU SA</t>
  </si>
  <si>
    <t>INSTITUTO ROSENBUSCH SA DE BIOLOGIA EXPERIMENTAL AGROPECUARIA</t>
  </si>
  <si>
    <t>ALTO PALERMO SA APSA</t>
  </si>
  <si>
    <t>MOLINOS JUAN SEMINO SA</t>
  </si>
  <si>
    <t>BANCO SANTANDER SA</t>
  </si>
  <si>
    <t>TELECOM ARGENTINA SA</t>
  </si>
  <si>
    <t>TELEFONICA SA</t>
  </si>
  <si>
    <t>TGLT SA</t>
  </si>
  <si>
    <t>TRANSPORTADORA DE GAS DEL NORTE SA</t>
  </si>
  <si>
    <t>TRANSPORTADORA DE GAS DEL SUR SA</t>
  </si>
  <si>
    <t>COMPANIA DE TRANSPORTE DE ENERGIA ELECTRICA EN ALTA TENSION TRANSENER SA</t>
  </si>
  <si>
    <t>TENARIS SA</t>
  </si>
  <si>
    <t>YPF SA</t>
  </si>
  <si>
    <t>S.A. SAN MIGUEL AGICI Y F-B</t>
  </si>
  <si>
    <t>D/PN</t>
  </si>
  <si>
    <t>Mg Brt.</t>
  </si>
  <si>
    <t>Mg. Op.</t>
  </si>
  <si>
    <t xml:space="preserve">Mg. Neto </t>
  </si>
  <si>
    <t>Div. Yld</t>
  </si>
  <si>
    <t>Analista Cuantitativo</t>
  </si>
  <si>
    <t>Flavia Matsuda</t>
  </si>
  <si>
    <t>fmatsuda@invertironline.com</t>
  </si>
  <si>
    <t>Beta</t>
  </si>
  <si>
    <t>@aleebianchi</t>
  </si>
  <si>
    <t>fb.com/alejandro.emilio.bianchi</t>
  </si>
  <si>
    <t>Crec. Anual Prom.</t>
  </si>
  <si>
    <t>Crec. Trim. ia.</t>
  </si>
  <si>
    <t>Desvío del Crec.</t>
  </si>
  <si>
    <t>Solvencia/Riesgo:</t>
  </si>
  <si>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</si>
  <si>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</si>
  <si>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t>SOLVAY INDUPA SAIC</t>
  </si>
  <si>
    <t>INDU</t>
  </si>
  <si>
    <t xml:space="preserve"> @FlaviMatsuda</t>
  </si>
  <si>
    <r>
      <t>Flavia Matsuda                                                             Analista Cuantitativo</t>
    </r>
    <r>
      <rPr>
        <sz val="9"/>
        <color theme="0" tint="-0.499984740745262"/>
        <rFont val="Calibri"/>
        <family val="2"/>
        <scheme val="minor"/>
      </rPr>
      <t xml:space="preserve">
@FlaviMatsuda
</t>
    </r>
  </si>
  <si>
    <t>IRCP</t>
  </si>
  <si>
    <t>VN</t>
  </si>
  <si>
    <r>
      <rPr>
        <b/>
        <sz val="10"/>
        <rFont val="Calibri"/>
        <family val="2"/>
        <scheme val="minor"/>
      </rPr>
      <t>VN:</t>
    </r>
    <r>
      <rPr>
        <sz val="10"/>
        <rFont val="Calibri"/>
        <family val="2"/>
        <scheme val="minor"/>
      </rPr>
      <t xml:space="preserve"> Valor Nominal mínimo que es posible adquirir. El precio está expresado en VN 1.</t>
    </r>
  </si>
  <si>
    <t>Cierre del Q reportado</t>
  </si>
  <si>
    <t xml:space="preserve"> @InvertirOnline</t>
  </si>
  <si>
    <t>InvertirOnline</t>
  </si>
  <si>
    <t>www.invertironline.com</t>
  </si>
  <si>
    <t>Volat. (USD)      10 yr</t>
  </si>
  <si>
    <t>Rto. (USD)     10 yr</t>
  </si>
  <si>
    <t>P/BV</t>
  </si>
  <si>
    <t>-</t>
  </si>
  <si>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sortearon por P/S; en los sectores Industrial y Telecomunicaciones se sortearon por P/E; y en el sector Financiero se sortearon por P/BV. Se recomienda consultar el glosario antes de interpretar el reporte.</t>
  </si>
  <si>
    <t>MIRGOR SACIFIA*</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</si>
  <si>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</si>
  <si>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Desvío de ventas</t>
  </si>
  <si>
    <t>OVOP</t>
  </si>
  <si>
    <t>MOLA</t>
  </si>
  <si>
    <t>OVOPROT INTERNATIONAL</t>
  </si>
  <si>
    <t>HAVA</t>
  </si>
  <si>
    <t>HAVANNA</t>
  </si>
  <si>
    <t>MOLINOS AGRO</t>
  </si>
  <si>
    <t>DOM</t>
  </si>
  <si>
    <t>DOMEC SAIC y F</t>
  </si>
  <si>
    <t>CONSUMO DISCRECIONAL</t>
  </si>
  <si>
    <t>CONSUMO BÁSICO</t>
  </si>
  <si>
    <t>ENERGÍA</t>
  </si>
  <si>
    <t>AEN</t>
  </si>
  <si>
    <t>ANDES ENERGÍA SA</t>
  </si>
  <si>
    <t>FINANCIERO</t>
  </si>
  <si>
    <t>BYMA</t>
  </si>
  <si>
    <t>SUPV</t>
  </si>
  <si>
    <t>BOLSAS Y MERCADOS ARGENTINOS SA</t>
  </si>
  <si>
    <t>BANCO SUPERVIELLE</t>
  </si>
  <si>
    <t>SALUD</t>
  </si>
  <si>
    <t>INDUSTRIAL</t>
  </si>
  <si>
    <t>INAG</t>
  </si>
  <si>
    <t>INS AGROQUIM</t>
  </si>
  <si>
    <t>MATERIALES BÁSICOS</t>
  </si>
  <si>
    <t>COLORIN SA</t>
  </si>
  <si>
    <t>CEPU</t>
  </si>
  <si>
    <t>TELECOMUNICACIONES</t>
  </si>
  <si>
    <t>INFORMACIÓN TECNOLÓGICA</t>
  </si>
  <si>
    <t>Prom. Ventas 5 años (en mill.)</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</si>
  <si>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</si>
  <si>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</si>
  <si>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</si>
  <si>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</si>
  <si>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</si>
  <si>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</si>
  <si>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</si>
  <si>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</si>
  <si>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</si>
  <si>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</si>
  <si>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</si>
  <si>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</si>
  <si>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</si>
  <si>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</si>
  <si>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</si>
  <si>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</si>
  <si>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</si>
  <si>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</si>
  <si>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</si>
  <si>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</si>
  <si>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</si>
  <si>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</si>
  <si>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</si>
  <si>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</si>
  <si>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</si>
  <si>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</si>
  <si>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</si>
  <si>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</si>
  <si>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</si>
  <si>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</si>
  <si>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Prom.</t>
  </si>
  <si>
    <t>PGR</t>
  </si>
  <si>
    <t>INMOBILIARIO</t>
  </si>
  <si>
    <t>SERVICIOS PÚBLICOS</t>
  </si>
  <si>
    <r>
      <t>EV</t>
    </r>
    <r>
      <rPr>
        <vertAlign val="superscript"/>
        <sz val="10"/>
        <color theme="0"/>
        <rFont val="Calibri"/>
        <family val="2"/>
        <scheme val="minor"/>
      </rPr>
      <t>1</t>
    </r>
  </si>
  <si>
    <r>
      <t>Mkt Cap</t>
    </r>
    <r>
      <rPr>
        <vertAlign val="superscript"/>
        <sz val="10"/>
        <color theme="0"/>
        <rFont val="Calibri"/>
        <family val="2"/>
        <scheme val="minor"/>
      </rPr>
      <t>1</t>
    </r>
  </si>
  <si>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</si>
  <si>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</si>
  <si>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r>
      <t>Alejandro Bianchi                                                             Gerente de Inversiones</t>
    </r>
    <r>
      <rPr>
        <sz val="9"/>
        <color theme="0" tint="-0.499984740745262"/>
        <rFont val="Calibri"/>
        <family val="2"/>
        <scheme val="minor"/>
      </rPr>
      <t xml:space="preserve">
@aleebianchi
</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</si>
  <si>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</si>
  <si>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t>HARG</t>
  </si>
  <si>
    <t>LOMA</t>
  </si>
  <si>
    <t>VALO</t>
  </si>
  <si>
    <t>RICH</t>
  </si>
  <si>
    <t>TXAR</t>
  </si>
  <si>
    <t>Disclaimer</t>
  </si>
  <si>
    <t>Mariano Gasparoli</t>
  </si>
  <si>
    <t>Analista de Research</t>
  </si>
  <si>
    <t>mgasparoli@invertironline.com</t>
  </si>
  <si>
    <t>4000-1400</t>
  </si>
  <si>
    <t>Fuente: Thomson Reuters</t>
  </si>
  <si>
    <t>Semana 17: Abril 27 a Mayo 3,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</si>
</sst>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409]d\-mmm;@"/>
    <numFmt numFmtId="165" formatCode="_([$€-2]* #,##0.00_);_([$€-2]* \(#,##0.00\);_([$€-2]* &quot;-&quot;??_)"/>
    <numFmt numFmtId="166" formatCode="0.0%"/>
    <numFmt numFmtId="167" formatCode="0.0"/>
    <numFmt numFmtId="168" formatCode="_(* #,##0_);_(* \(#,##0\);_(* &quot;-&quot;??_);_(@_)"/>
    <numFmt numFmtId="170" formatCode="_(* #,##0.0_);_(* \(#,##0.0\);_(* &quot;-&quot;??_);_(@_)"/>
    <numFmt numFmtId="171" formatCode="m/d/yy;@"/>
    <numFmt numFmtId="172" formatCode="#,##0.0"/>
  </numFmts>
  <fonts count="63" x14ac:knownFonts="1">
    <font>
      <sz val="11"/>
      <color theme="1"/>
      <name val="Calibri"/>
      <family val="2"/>
      <scheme val="minor"/>
    </font>
    <font>
      <sz val="11"/>
      <color theme="1"/>
      <name val="Calibri"/>
      <family val="2"/>
      <scheme val="minor"/>
    </font>
    <font>
      <sz val="10"/>
      <name val="Arial"/>
      <family val="2"/>
    </font>
    <font>
      <sz val="10"/>
      <color theme="0"/>
      <name val="Arial"/>
      <family val="2"/>
    </font>
    <font>
      <sz val="8"/>
      <name val="Calibri"/>
      <family val="2"/>
      <scheme val="minor"/>
    </font>
    <font>
      <sz val="8"/>
      <color theme="0"/>
      <name val="Arial"/>
      <family val="2"/>
    </font>
    <font>
      <sz val="10"/>
      <color theme="7" tint="-0.249977111117893"/>
      <name val="Arial"/>
      <family val="2"/>
    </font>
    <font>
      <sz val="8"/>
      <color rgb="FF808080"/>
      <name val="Helvetica"/>
      <family val="2"/>
    </font>
    <font>
      <b/>
      <sz val="12"/>
      <color theme="7" tint="-0.249977111117893"/>
      <name val="Calibri"/>
      <family val="2"/>
      <scheme val="minor"/>
    </font>
    <font>
      <sz val="10"/>
      <name val="Calibri"/>
      <family val="2"/>
      <scheme val="minor"/>
    </font>
    <font>
      <sz val="8"/>
      <color rgb="FF808080"/>
      <name val="Calibri"/>
      <family val="2"/>
      <scheme val="minor"/>
    </font>
    <font>
      <b/>
      <sz val="10"/>
      <name val="Calibri"/>
      <family val="2"/>
      <scheme val="minor"/>
    </font>
    <font>
      <sz val="8"/>
      <name val="Arial"/>
      <family val="2"/>
    </font>
    <font>
      <sz val="11"/>
      <color indexed="8"/>
      <name val="Calibri"/>
      <family val="2"/>
    </font>
    <font>
      <sz val="10"/>
      <color theme="1"/>
      <name val="Calibri"/>
      <family val="2"/>
      <scheme val="minor"/>
    </font>
    <font>
      <sz val="8"/>
      <color theme="7" tint="-0.249977111117893"/>
      <name val="Calibri"/>
      <family val="2"/>
      <scheme val="minor"/>
    </font>
    <font>
      <sz val="9"/>
      <color rgb="FF000000"/>
      <name val="Arial"/>
      <family val="2"/>
    </font>
    <font>
      <b/>
      <sz val="26"/>
      <color theme="7" tint="-0.249977111117893"/>
      <name val="Calibri"/>
      <family val="2"/>
      <scheme val="minor"/>
    </font>
    <font>
      <sz val="12"/>
      <color theme="7" tint="-0.249977111117893"/>
      <name val="Calibri"/>
      <family val="2"/>
      <scheme val="minor"/>
    </font>
    <font>
      <b/>
      <sz val="10"/>
      <color theme="7" tint="-0.249977111117893"/>
      <name val="Calibri"/>
      <family val="2"/>
      <scheme val="minor"/>
    </font>
    <font>
      <sz val="10"/>
      <color rgb="FF808080"/>
      <name val="Calibri"/>
      <family val="2"/>
      <scheme val="minor"/>
    </font>
    <font>
      <b/>
      <sz val="7"/>
      <color theme="1"/>
      <name val="Calibri"/>
      <family val="2"/>
      <scheme val="minor"/>
    </font>
    <font>
      <sz val="7"/>
      <name val="Calibri"/>
      <family val="2"/>
      <scheme val="minor"/>
    </font>
    <font>
      <sz val="8"/>
      <color theme="1"/>
      <name val="Calibri"/>
      <family val="2"/>
      <scheme val="minor"/>
    </font>
    <font>
      <sz val="9"/>
      <color indexed="81"/>
      <name val="Tahoma"/>
      <family val="2"/>
    </font>
    <font>
      <b/>
      <sz val="9"/>
      <color indexed="81"/>
      <name val="Tahoma"/>
      <family val="2"/>
    </font>
    <font>
      <b/>
      <sz val="8"/>
      <color theme="7" tint="-0.249977111117893"/>
      <name val="Calibri"/>
      <family val="2"/>
      <scheme val="minor"/>
    </font>
    <font>
      <sz val="8"/>
      <color theme="0"/>
      <name val="Helvetica"/>
      <family val="2"/>
    </font>
    <font>
      <sz val="9"/>
      <color theme="7" tint="-0.249977111117893"/>
      <name val="Calibri"/>
      <family val="2"/>
      <scheme val="minor"/>
    </font>
    <font>
      <sz val="9"/>
      <color theme="1"/>
      <name val="Calibri"/>
      <family val="2"/>
      <scheme val="minor"/>
    </font>
    <font>
      <b/>
      <sz val="9"/>
      <color theme="1"/>
      <name val="Calibri"/>
      <family val="2"/>
      <scheme val="minor"/>
    </font>
    <font>
      <b/>
      <sz val="10"/>
      <color theme="1"/>
      <name val="Calibri"/>
      <family val="2"/>
      <scheme val="minor"/>
    </font>
    <font>
      <b/>
      <sz val="9"/>
      <color theme="0" tint="-0.499984740745262"/>
      <name val="Calibri"/>
      <family val="2"/>
      <scheme val="minor"/>
    </font>
    <font>
      <sz val="9"/>
      <color theme="0" tint="-0.499984740745262"/>
      <name val="Calibri"/>
      <family val="2"/>
      <scheme val="minor"/>
    </font>
    <font>
      <u/>
      <sz val="11"/>
      <color theme="10"/>
      <name val="Calibri"/>
      <family val="2"/>
      <scheme val="minor"/>
    </font>
    <font>
      <sz val="11"/>
      <name val="Calibri"/>
      <family val="2"/>
      <scheme val="minor"/>
    </font>
    <font>
      <b/>
      <sz val="10"/>
      <name val="Arial"/>
      <family val="2"/>
    </font>
    <font>
      <b/>
      <sz val="8"/>
      <color rgb="FF0070C0"/>
      <name val="Arial"/>
      <family val="2"/>
    </font>
    <font>
      <b/>
      <sz val="8"/>
      <color rgb="FF0070C0"/>
      <name val="Calibri"/>
      <family val="2"/>
      <scheme val="minor"/>
    </font>
    <font>
      <b/>
      <sz val="11"/>
      <name val="Calibri"/>
      <family val="2"/>
      <scheme val="minor"/>
    </font>
    <font>
      <b/>
      <sz val="8"/>
      <name val="Arial"/>
      <family val="2"/>
    </font>
    <font>
      <sz val="8"/>
      <color theme="0" tint="-0.499984740745262"/>
      <name val="Calibri"/>
      <family val="2"/>
      <scheme val="minor"/>
    </font>
    <font>
      <sz val="8"/>
      <color rgb="FF000000"/>
      <name val="Arial"/>
      <family val="2"/>
    </font>
    <font>
      <b/>
      <sz val="10"/>
      <color rgb="FF5F497A"/>
      <name val="Calibri"/>
      <family val="2"/>
      <scheme val="minor"/>
    </font>
    <font>
      <sz val="10"/>
      <color indexed="23"/>
      <name val="Calibri"/>
      <family val="2"/>
      <scheme val="minor"/>
    </font>
    <font>
      <sz val="10"/>
      <color theme="0"/>
      <name val="Calibri"/>
      <family val="2"/>
      <scheme val="minor"/>
    </font>
    <font>
      <b/>
      <sz val="10"/>
      <color theme="0"/>
      <name val="Calibri"/>
      <family val="2"/>
      <scheme val="minor"/>
    </font>
    <font>
      <b/>
      <sz val="8"/>
      <color theme="0"/>
      <name val="Calibri"/>
      <family val="2"/>
      <scheme val="minor"/>
    </font>
    <font>
      <sz val="10"/>
      <color theme="0" tint="-0.499984740745262"/>
      <name val="Calibri"/>
      <family val="2"/>
      <scheme val="minor"/>
    </font>
    <font>
      <sz val="12"/>
      <name val="Calibri"/>
      <family val="2"/>
      <scheme val="minor"/>
    </font>
    <font>
      <sz val="12"/>
      <color theme="1"/>
      <name val="Calibri"/>
      <family val="2"/>
      <scheme val="minor"/>
    </font>
    <font>
      <sz val="12"/>
      <name val="Arial"/>
      <family val="2"/>
    </font>
    <font>
      <b/>
      <sz val="14"/>
      <name val="Arial"/>
      <family val="2"/>
    </font>
    <font>
      <b/>
      <sz val="14"/>
      <name val="Calibri"/>
      <family val="2"/>
      <scheme val="minor"/>
    </font>
    <font>
      <sz val="11"/>
      <color theme="0"/>
      <name val="Calibri"/>
      <family val="2"/>
      <scheme val="minor"/>
    </font>
    <font>
      <b/>
      <sz val="11"/>
      <color theme="7" tint="-0.249977111117893"/>
      <name val="Calibri"/>
      <family val="2"/>
      <scheme val="minor"/>
    </font>
    <font>
      <sz val="11"/>
      <color rgb="FF808080"/>
      <name val="Calibri"/>
      <family val="2"/>
      <scheme val="minor"/>
    </font>
    <font>
      <sz val="11"/>
      <name val="Arial"/>
      <family val="2"/>
    </font>
    <font>
      <b/>
      <sz val="8"/>
      <name val="Calibri"/>
      <family val="2"/>
      <scheme val="minor"/>
    </font>
    <font>
      <vertAlign val="superscript"/>
      <sz val="10"/>
      <color theme="0"/>
      <name val="Calibri"/>
      <family val="2"/>
      <scheme val="minor"/>
    </font>
    <font>
      <sz val="10"/>
      <color theme="7" tint="-0.249977111117893"/>
      <name val="Calibri"/>
      <family val="2"/>
      <scheme val="minor"/>
    </font>
    <font>
      <vertAlign val="superscript"/>
      <sz val="10"/>
      <color theme="7" tint="-0.249977111117893"/>
      <name val="Calibri"/>
      <family val="2"/>
      <scheme val="minor"/>
    </font>
    <font>
      <i/>
      <sz val="12"/>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0"/>
        <bgColor indexed="64"/>
      </patternFill>
    </fill>
    <fill>
      <patternFill patternType="solid">
        <fgColor rgb="FF00B050"/>
        <bgColor indexed="64"/>
      </patternFill>
    </fill>
    <fill>
      <patternFill patternType="solid">
        <fgColor rgb="FF684F87"/>
        <bgColor indexed="64"/>
      </patternFill>
    </fill>
  </fills>
  <borders count="28">
    <border>
      <left/>
      <right/>
      <top/>
      <bottom/>
      <diagonal/>
    </border>
    <border>
      <left/>
      <right/>
      <top/>
      <bottom style="thin">
        <color indexed="64"/>
      </bottom>
      <diagonal/>
    </border>
    <border>
      <left/>
      <right/>
      <top style="thin">
        <color theme="7" tint="0.79998168889431442"/>
      </top>
      <bottom/>
      <diagonal/>
    </border>
    <border>
      <left/>
      <right/>
      <top style="thin">
        <color indexed="64"/>
      </top>
      <bottom/>
      <diagonal/>
    </border>
    <border>
      <left style="thin">
        <color theme="0"/>
      </left>
      <right style="thin">
        <color theme="0"/>
      </right>
      <top style="thin">
        <color theme="0"/>
      </top>
      <bottom style="thin">
        <color theme="0"/>
      </bottom>
      <diagonal/>
    </border>
    <border>
      <left/>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indexed="64"/>
      </left>
      <right/>
      <top/>
      <bottom style="thin">
        <color indexed="64"/>
      </bottom>
      <diagonal/>
    </border>
    <border>
      <left style="thin">
        <color theme="0"/>
      </left>
      <right style="thin">
        <color theme="0"/>
      </right>
      <top style="thin">
        <color indexed="64"/>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s>
  <cellStyleXfs count="10">
    <xf numFmtId="0" fontId="0" fillId="0" borderId="0"/>
    <xf numFmtId="44" fontId="1" fillId="0" borderId="0" applyFont="0" applyFill="0" applyBorder="0" applyAlignment="0" applyProtection="0"/>
    <xf numFmtId="0" fontId="2" fillId="0" borderId="0"/>
    <xf numFmtId="43" fontId="13" fillId="0" borderId="0" applyFont="0" applyFill="0" applyBorder="0" applyAlignment="0" applyProtection="0"/>
    <xf numFmtId="9" fontId="13" fillId="0" borderId="0" applyFont="0" applyFill="0" applyBorder="0" applyAlignment="0" applyProtection="0"/>
    <xf numFmtId="165" fontId="2" fillId="0" borderId="0" applyFont="0" applyFill="0" applyBorder="0" applyAlignment="0" applyProtection="0"/>
    <xf numFmtId="0" fontId="2" fillId="0" borderId="0"/>
    <xf numFmtId="43" fontId="1" fillId="0" borderId="0" applyFont="0" applyFill="0" applyBorder="0" applyAlignment="0" applyProtection="0"/>
    <xf numFmtId="9" fontId="1" fillId="0" borderId="0" applyFont="0" applyFill="0" applyBorder="0" applyAlignment="0" applyProtection="0"/>
    <xf numFmtId="0" fontId="34" fillId="0" borderId="0" applyNumberFormat="0" applyFill="0" applyBorder="0" applyAlignment="0" applyProtection="0"/>
  </cellStyleXfs>
  <cellXfs count="569">
    <xf numFmtId="0" fontId="0" fillId="0" borderId="0" xfId="0"/>
    <xf numFmtId="0" fontId="2" fillId="0" borderId="0" xfId="2"/>
    <xf numFmtId="0" fontId="2" fillId="0" borderId="0" xfId="2" applyAlignment="1">
      <alignment horizontal="center"/>
    </xf>
    <xf numFmtId="0" fontId="2" fillId="0" borderId="0" xfId="2" applyFill="1"/>
    <xf numFmtId="0" fontId="4" fillId="0" borderId="0" xfId="2" applyFont="1"/>
    <xf numFmtId="14" fontId="2" fillId="0" borderId="0" xfId="2" applyNumberFormat="1"/>
    <xf numFmtId="0" fontId="7" fillId="0" borderId="0" xfId="2" applyNumberFormat="1" applyFont="1" applyFill="1" applyBorder="1" applyAlignment="1">
      <alignment vertical="center" wrapText="1"/>
    </xf>
    <xf numFmtId="0" fontId="4" fillId="0" borderId="0" xfId="2" applyFont="1" applyFill="1" applyBorder="1" applyAlignment="1">
      <alignment vertical="center" wrapText="1"/>
    </xf>
    <xf numFmtId="0" fontId="9" fillId="0" borderId="0" xfId="2" applyFont="1"/>
    <xf numFmtId="0" fontId="12" fillId="0" borderId="0" xfId="2" applyFont="1"/>
    <xf numFmtId="14" fontId="12" fillId="0" borderId="0" xfId="2" applyNumberFormat="1" applyFont="1"/>
    <xf numFmtId="0" fontId="12" fillId="0" borderId="0" xfId="2" applyFont="1" applyFill="1"/>
    <xf numFmtId="14" fontId="12" fillId="0" borderId="0" xfId="2" applyNumberFormat="1" applyFont="1" applyFill="1"/>
    <xf numFmtId="0" fontId="12" fillId="0" borderId="0" xfId="2" applyFont="1" applyAlignment="1">
      <alignment vertical="center" wrapText="1"/>
    </xf>
    <xf numFmtId="14" fontId="12" fillId="0" borderId="0" xfId="2" applyNumberFormat="1" applyFont="1" applyAlignment="1">
      <alignment vertical="center" wrapText="1"/>
    </xf>
    <xf numFmtId="0" fontId="2" fillId="0" borderId="0" xfId="2" applyAlignment="1">
      <alignment vertical="center" wrapText="1"/>
    </xf>
    <xf numFmtId="4" fontId="16" fillId="2" borderId="0" xfId="0" applyNumberFormat="1" applyFont="1" applyFill="1" applyAlignment="1">
      <alignment horizontal="right" wrapText="1"/>
    </xf>
    <xf numFmtId="2" fontId="2" fillId="0" borderId="0" xfId="2" applyNumberFormat="1"/>
    <xf numFmtId="0" fontId="16" fillId="2" borderId="0" xfId="0" applyFont="1" applyFill="1" applyAlignment="1">
      <alignment horizontal="right" wrapText="1"/>
    </xf>
    <xf numFmtId="0" fontId="9" fillId="0" borderId="0" xfId="2" applyFont="1" applyAlignment="1">
      <alignment horizontal="center"/>
    </xf>
    <xf numFmtId="0" fontId="20" fillId="0" borderId="0" xfId="2" applyFont="1" applyFill="1" applyBorder="1" applyAlignment="1">
      <alignment vertical="center" wrapText="1"/>
    </xf>
    <xf numFmtId="0" fontId="14" fillId="0" borderId="0" xfId="0" applyFont="1" applyFill="1" applyBorder="1" applyAlignment="1">
      <alignment horizontal="center"/>
    </xf>
    <xf numFmtId="0" fontId="4" fillId="0" borderId="0" xfId="2" applyFont="1" applyBorder="1"/>
    <xf numFmtId="0" fontId="8" fillId="0" borderId="0" xfId="0" applyFont="1" applyFill="1" applyBorder="1" applyAlignment="1">
      <alignment horizontal="right" vertical="center"/>
    </xf>
    <xf numFmtId="14" fontId="2" fillId="0" borderId="0" xfId="2" applyNumberFormat="1" applyBorder="1"/>
    <xf numFmtId="14" fontId="3" fillId="0" borderId="0" xfId="2" applyNumberFormat="1" applyFont="1" applyBorder="1"/>
    <xf numFmtId="0" fontId="2" fillId="0" borderId="0" xfId="2" applyBorder="1"/>
    <xf numFmtId="0" fontId="7" fillId="0" borderId="1" xfId="2" applyFont="1" applyFill="1" applyBorder="1" applyAlignment="1">
      <alignment vertical="center" wrapText="1"/>
    </xf>
    <xf numFmtId="0" fontId="7" fillId="0" borderId="0" xfId="2" applyFont="1" applyFill="1" applyBorder="1" applyAlignment="1">
      <alignment vertical="center" wrapText="1"/>
    </xf>
    <xf numFmtId="0" fontId="4" fillId="0" borderId="1" xfId="2" applyFont="1" applyFill="1" applyBorder="1" applyAlignment="1">
      <alignment vertical="center" wrapText="1"/>
    </xf>
    <xf numFmtId="0" fontId="18" fillId="0" borderId="1" xfId="0" applyFont="1" applyBorder="1" applyAlignment="1">
      <alignment horizontal="left"/>
    </xf>
    <xf numFmtId="0" fontId="22" fillId="0" borderId="0" xfId="2" applyFont="1" applyBorder="1"/>
    <xf numFmtId="0" fontId="22" fillId="0" borderId="0" xfId="2" applyNumberFormat="1" applyFont="1" applyBorder="1"/>
    <xf numFmtId="0" fontId="5" fillId="0" borderId="0" xfId="2" applyFont="1" applyBorder="1" applyAlignment="1">
      <alignment horizontal="center"/>
    </xf>
    <xf numFmtId="0" fontId="8" fillId="0" borderId="0" xfId="2" applyFont="1" applyBorder="1" applyAlignment="1">
      <alignment horizontal="right" vertical="center"/>
    </xf>
    <xf numFmtId="0" fontId="12" fillId="0" borderId="0" xfId="2" applyFont="1" applyBorder="1"/>
    <xf numFmtId="14" fontId="12" fillId="0" borderId="0" xfId="2" applyNumberFormat="1" applyFont="1" applyBorder="1"/>
    <xf numFmtId="0" fontId="12" fillId="0" borderId="0" xfId="2" applyFont="1" applyBorder="1" applyAlignment="1">
      <alignment vertical="center" wrapText="1"/>
    </xf>
    <xf numFmtId="14" fontId="12" fillId="0" borderId="0" xfId="2" applyNumberFormat="1" applyFont="1" applyBorder="1" applyAlignment="1">
      <alignment vertical="center" wrapText="1"/>
    </xf>
    <xf numFmtId="14" fontId="4" fillId="0" borderId="0" xfId="2" applyNumberFormat="1" applyFont="1" applyBorder="1"/>
    <xf numFmtId="0" fontId="5" fillId="0" borderId="0" xfId="2" applyFont="1" applyBorder="1"/>
    <xf numFmtId="0" fontId="5" fillId="3" borderId="0" xfId="2" applyFont="1" applyFill="1" applyBorder="1" applyAlignment="1">
      <alignment horizontal="center"/>
    </xf>
    <xf numFmtId="0" fontId="2" fillId="3" borderId="0" xfId="2" applyFill="1" applyBorder="1"/>
    <xf numFmtId="14" fontId="2" fillId="3" borderId="0" xfId="2" applyNumberFormat="1" applyFill="1" applyBorder="1"/>
    <xf numFmtId="2" fontId="23" fillId="0" borderId="0" xfId="0" applyNumberFormat="1" applyFont="1" applyFill="1" applyBorder="1" applyAlignment="1">
      <alignment horizontal="center" vertical="center" wrapText="1"/>
    </xf>
    <xf numFmtId="0" fontId="2" fillId="0" borderId="0" xfId="6" applyFont="1"/>
    <xf numFmtId="0" fontId="12" fillId="0" borderId="0" xfId="2" applyFont="1" applyFill="1" applyBorder="1" applyAlignment="1">
      <alignment horizontal="center"/>
    </xf>
    <xf numFmtId="0" fontId="12" fillId="0" borderId="0" xfId="2" applyFont="1" applyFill="1" applyBorder="1" applyAlignment="1">
      <alignment vertical="center" wrapText="1"/>
    </xf>
    <xf numFmtId="14" fontId="12" fillId="0" borderId="0" xfId="2" applyNumberFormat="1" applyFont="1" applyFill="1" applyBorder="1" applyAlignment="1">
      <alignment vertical="center" wrapText="1"/>
    </xf>
    <xf numFmtId="0" fontId="12" fillId="0" borderId="0" xfId="2" applyFont="1" applyFill="1" applyBorder="1"/>
    <xf numFmtId="14" fontId="12" fillId="0" borderId="0" xfId="2" applyNumberFormat="1" applyFont="1" applyFill="1" applyBorder="1"/>
    <xf numFmtId="0" fontId="6" fillId="0" borderId="0" xfId="2" applyFont="1" applyFill="1" applyBorder="1" applyAlignment="1">
      <alignment horizontal="left" vertical="top" wrapText="1"/>
    </xf>
    <xf numFmtId="0" fontId="18" fillId="0" borderId="3" xfId="0" applyFont="1" applyBorder="1" applyAlignment="1">
      <alignment horizontal="left"/>
    </xf>
    <xf numFmtId="0" fontId="3" fillId="0" borderId="0" xfId="2" applyFont="1" applyFill="1" applyBorder="1" applyAlignment="1">
      <alignment horizontal="left"/>
    </xf>
    <xf numFmtId="0" fontId="15" fillId="0" borderId="0" xfId="2" applyFont="1" applyFill="1" applyBorder="1" applyAlignment="1">
      <alignment horizontal="left" vertical="top" wrapText="1"/>
    </xf>
    <xf numFmtId="0" fontId="26" fillId="0" borderId="0" xfId="0" applyFont="1" applyFill="1" applyAlignment="1">
      <alignment horizontal="center" vertical="center"/>
    </xf>
    <xf numFmtId="0" fontId="23" fillId="0" borderId="0" xfId="0" applyFont="1" applyFill="1" applyBorder="1" applyAlignment="1">
      <alignment horizontal="center"/>
    </xf>
    <xf numFmtId="0" fontId="4" fillId="0" borderId="0" xfId="2" applyFont="1" applyAlignment="1">
      <alignment horizontal="center"/>
    </xf>
    <xf numFmtId="0" fontId="10" fillId="0" borderId="0" xfId="0" applyFont="1" applyFill="1" applyAlignment="1">
      <alignment horizontal="center" vertical="center"/>
    </xf>
    <xf numFmtId="10" fontId="23" fillId="0" borderId="0" xfId="0" applyNumberFormat="1" applyFont="1" applyBorder="1" applyAlignment="1">
      <alignment horizontal="center"/>
    </xf>
    <xf numFmtId="2" fontId="21" fillId="4" borderId="0" xfId="0" applyNumberFormat="1" applyFont="1" applyFill="1" applyBorder="1" applyAlignment="1">
      <alignment horizontal="left" vertical="center"/>
    </xf>
    <xf numFmtId="0" fontId="22" fillId="4" borderId="0" xfId="2" applyFont="1" applyFill="1" applyBorder="1" applyAlignment="1"/>
    <xf numFmtId="0" fontId="5" fillId="4" borderId="0" xfId="2" applyFont="1" applyFill="1" applyBorder="1" applyAlignment="1">
      <alignment horizontal="center"/>
    </xf>
    <xf numFmtId="0" fontId="12" fillId="4" borderId="0" xfId="2" applyFont="1" applyFill="1" applyBorder="1" applyAlignment="1">
      <alignment vertical="center" wrapText="1"/>
    </xf>
    <xf numFmtId="14" fontId="12" fillId="4" borderId="0" xfId="2" applyNumberFormat="1" applyFont="1" applyFill="1" applyBorder="1" applyAlignment="1">
      <alignment vertical="center" wrapText="1"/>
    </xf>
    <xf numFmtId="0" fontId="22" fillId="4" borderId="2" xfId="2" applyFont="1" applyFill="1" applyBorder="1" applyAlignment="1">
      <alignment horizontal="center" vertical="center" wrapText="1"/>
    </xf>
    <xf numFmtId="0" fontId="12" fillId="4" borderId="0" xfId="2" applyFont="1" applyFill="1" applyBorder="1"/>
    <xf numFmtId="14" fontId="12" fillId="4" borderId="0" xfId="2" applyNumberFormat="1" applyFont="1" applyFill="1" applyBorder="1"/>
    <xf numFmtId="0" fontId="4" fillId="4" borderId="0" xfId="2" applyFont="1" applyFill="1" applyBorder="1"/>
    <xf numFmtId="14" fontId="4" fillId="4" borderId="0" xfId="2" applyNumberFormat="1" applyFont="1" applyFill="1" applyBorder="1"/>
    <xf numFmtId="0" fontId="2" fillId="4" borderId="0" xfId="2" applyFill="1" applyBorder="1"/>
    <xf numFmtId="0" fontId="2" fillId="7" borderId="0" xfId="6" applyFont="1" applyFill="1"/>
    <xf numFmtId="0" fontId="27" fillId="0" borderId="0" xfId="2" applyFont="1" applyFill="1" applyBorder="1" applyAlignment="1">
      <alignment vertical="center" wrapText="1"/>
    </xf>
    <xf numFmtId="0" fontId="29" fillId="0" borderId="0" xfId="0" applyFont="1" applyFill="1"/>
    <xf numFmtId="49" fontId="14" fillId="0" borderId="0" xfId="2" applyNumberFormat="1" applyFont="1" applyFill="1" applyBorder="1" applyAlignment="1">
      <alignment vertical="top" wrapText="1"/>
    </xf>
    <xf numFmtId="2" fontId="0" fillId="0" borderId="1" xfId="0" applyNumberFormat="1" applyFill="1" applyBorder="1"/>
    <xf numFmtId="2" fontId="0" fillId="0" borderId="0" xfId="0" applyNumberFormat="1" applyFill="1" applyBorder="1"/>
    <xf numFmtId="2" fontId="22" fillId="0" borderId="0" xfId="2" applyNumberFormat="1" applyFont="1" applyFill="1" applyBorder="1" applyAlignment="1">
      <alignment horizontal="center" wrapText="1"/>
    </xf>
    <xf numFmtId="2" fontId="22" fillId="0" borderId="0" xfId="2" applyNumberFormat="1" applyFont="1" applyFill="1" applyBorder="1" applyAlignment="1">
      <alignment horizontal="center" wrapText="1"/>
    </xf>
    <xf numFmtId="0" fontId="4" fillId="0" borderId="1" xfId="2" applyNumberFormat="1" applyFont="1" applyFill="1" applyBorder="1" applyAlignment="1">
      <alignment vertical="center" wrapText="1"/>
    </xf>
    <xf numFmtId="0" fontId="4" fillId="0" borderId="0" xfId="2" applyNumberFormat="1" applyFont="1" applyFill="1" applyBorder="1" applyAlignment="1">
      <alignment vertical="center" wrapText="1"/>
    </xf>
    <xf numFmtId="0" fontId="15" fillId="0" borderId="0" xfId="2" applyNumberFormat="1" applyFont="1" applyFill="1" applyBorder="1" applyAlignment="1">
      <alignment horizontal="left" vertical="top" wrapText="1"/>
    </xf>
    <xf numFmtId="0" fontId="6" fillId="0" borderId="0" xfId="2" applyNumberFormat="1" applyFont="1" applyFill="1" applyBorder="1" applyAlignment="1">
      <alignment horizontal="left" vertical="top" wrapText="1"/>
    </xf>
    <xf numFmtId="0" fontId="22" fillId="0" borderId="0" xfId="2" applyNumberFormat="1" applyFont="1" applyFill="1" applyBorder="1" applyAlignment="1">
      <alignment horizontal="center" wrapText="1"/>
    </xf>
    <xf numFmtId="0" fontId="4" fillId="0" borderId="0" xfId="2" applyFont="1" applyFill="1" applyBorder="1" applyAlignment="1">
      <alignment vertical="center"/>
    </xf>
    <xf numFmtId="2" fontId="22" fillId="0" borderId="0" xfId="2" applyNumberFormat="1" applyFont="1" applyFill="1" applyBorder="1" applyAlignment="1">
      <alignment horizontal="center" wrapText="1"/>
    </xf>
    <xf numFmtId="2" fontId="22" fillId="0" borderId="0" xfId="2" applyNumberFormat="1" applyFont="1" applyFill="1" applyBorder="1" applyAlignment="1">
      <alignment horizontal="center" wrapText="1"/>
    </xf>
    <xf numFmtId="0" fontId="2" fillId="0" borderId="0" xfId="2" applyFont="1"/>
    <xf numFmtId="14" fontId="2" fillId="0" borderId="0" xfId="2" applyNumberFormat="1" applyFont="1"/>
    <xf numFmtId="0" fontId="9" fillId="0" borderId="3" xfId="2" applyFont="1" applyFill="1" applyBorder="1" applyAlignment="1">
      <alignment vertical="center"/>
    </xf>
    <xf numFmtId="0" fontId="9" fillId="0" borderId="0" xfId="2" applyFont="1" applyFill="1" applyBorder="1" applyAlignment="1">
      <alignment vertical="center"/>
    </xf>
    <xf numFmtId="0" fontId="2" fillId="0" borderId="0" xfId="2" applyFont="1" applyFill="1"/>
    <xf numFmtId="166" fontId="2" fillId="0" borderId="0" xfId="2" applyNumberFormat="1" applyFont="1"/>
    <xf numFmtId="0" fontId="2" fillId="0" borderId="0" xfId="2" applyFont="1" applyAlignment="1">
      <alignment vertical="center" wrapText="1"/>
    </xf>
    <xf numFmtId="0" fontId="2" fillId="0" borderId="0" xfId="2" applyFont="1" applyAlignment="1">
      <alignment horizontal="center"/>
    </xf>
    <xf numFmtId="0" fontId="32" fillId="0" borderId="0" xfId="2" applyFont="1" applyAlignment="1">
      <alignment wrapText="1"/>
    </xf>
    <xf numFmtId="2" fontId="22" fillId="0" borderId="0" xfId="2" applyNumberFormat="1" applyFont="1" applyFill="1" applyBorder="1" applyAlignment="1">
      <alignment horizontal="center" wrapText="1"/>
    </xf>
    <xf numFmtId="0" fontId="32" fillId="0" borderId="0" xfId="2" applyFont="1" applyBorder="1" applyAlignment="1">
      <alignment horizontal="center" wrapText="1"/>
    </xf>
    <xf numFmtId="0" fontId="32" fillId="0" borderId="1" xfId="2" applyFont="1" applyBorder="1" applyAlignment="1">
      <alignment horizontal="center" wrapText="1"/>
    </xf>
    <xf numFmtId="0" fontId="2" fillId="3" borderId="0" xfId="2" applyFill="1" applyBorder="1" applyAlignment="1">
      <alignment horizontal="right"/>
    </xf>
    <xf numFmtId="2" fontId="12" fillId="0" borderId="0" xfId="2" applyNumberFormat="1" applyFont="1" applyBorder="1" applyAlignment="1">
      <alignment horizontal="right" vertical="center" wrapText="1"/>
    </xf>
    <xf numFmtId="0" fontId="12" fillId="4" borderId="0" xfId="2" applyFont="1" applyFill="1" applyBorder="1" applyAlignment="1">
      <alignment horizontal="right" vertical="center" wrapText="1"/>
    </xf>
    <xf numFmtId="0" fontId="12" fillId="4" borderId="0" xfId="2" applyFont="1" applyFill="1" applyBorder="1" applyAlignment="1">
      <alignment horizontal="right"/>
    </xf>
    <xf numFmtId="0" fontId="22" fillId="4" borderId="0" xfId="2" applyFont="1" applyFill="1" applyBorder="1" applyAlignment="1">
      <alignment horizontal="right"/>
    </xf>
    <xf numFmtId="0" fontId="4" fillId="4" borderId="0" xfId="2" applyFont="1" applyFill="1" applyBorder="1" applyAlignment="1">
      <alignment horizontal="right"/>
    </xf>
    <xf numFmtId="0" fontId="2" fillId="4" borderId="0" xfId="2" applyFill="1" applyBorder="1" applyAlignment="1">
      <alignment horizontal="right"/>
    </xf>
    <xf numFmtId="0" fontId="12" fillId="0" borderId="0" xfId="2" applyFont="1" applyBorder="1" applyAlignment="1">
      <alignment horizontal="right" vertical="center" wrapText="1"/>
    </xf>
    <xf numFmtId="0" fontId="36" fillId="3" borderId="0" xfId="2" applyFont="1" applyFill="1" applyBorder="1" applyAlignment="1">
      <alignment horizontal="right"/>
    </xf>
    <xf numFmtId="0" fontId="22" fillId="4" borderId="0" xfId="2" applyFont="1" applyFill="1" applyBorder="1" applyAlignment="1">
      <alignment horizontal="center" vertical="center" wrapText="1"/>
    </xf>
    <xf numFmtId="2" fontId="37" fillId="0" borderId="0" xfId="2" applyNumberFormat="1" applyFont="1" applyBorder="1" applyAlignment="1">
      <alignment horizontal="right" vertical="center" wrapText="1"/>
    </xf>
    <xf numFmtId="2" fontId="12" fillId="0" borderId="0" xfId="2" applyNumberFormat="1" applyFont="1" applyFill="1" applyBorder="1" applyAlignment="1">
      <alignment horizontal="right" vertical="center" wrapText="1"/>
    </xf>
    <xf numFmtId="2" fontId="37" fillId="0" borderId="0" xfId="2" applyNumberFormat="1" applyFont="1" applyFill="1" applyBorder="1" applyAlignment="1">
      <alignment horizontal="right" vertical="center" wrapText="1"/>
    </xf>
    <xf numFmtId="2" fontId="12" fillId="0" borderId="0" xfId="2" applyNumberFormat="1" applyFont="1" applyFill="1" applyBorder="1" applyAlignment="1">
      <alignment horizontal="right"/>
    </xf>
    <xf numFmtId="2" fontId="37" fillId="0" borderId="0" xfId="2" applyNumberFormat="1" applyFont="1" applyFill="1" applyBorder="1" applyAlignment="1">
      <alignment horizontal="right"/>
    </xf>
    <xf numFmtId="2" fontId="12" fillId="4" borderId="0" xfId="2" applyNumberFormat="1" applyFont="1" applyFill="1" applyBorder="1" applyAlignment="1">
      <alignment horizontal="right" vertical="center" wrapText="1"/>
    </xf>
    <xf numFmtId="2" fontId="12" fillId="4" borderId="0" xfId="2" applyNumberFormat="1" applyFont="1" applyFill="1" applyBorder="1" applyAlignment="1">
      <alignment horizontal="right"/>
    </xf>
    <xf numFmtId="2" fontId="12" fillId="0" borderId="0" xfId="2" applyNumberFormat="1" applyFont="1" applyBorder="1" applyAlignment="1">
      <alignment horizontal="right"/>
    </xf>
    <xf numFmtId="2" fontId="4" fillId="4" borderId="0" xfId="2" applyNumberFormat="1" applyFont="1" applyFill="1" applyBorder="1" applyAlignment="1">
      <alignment horizontal="right"/>
    </xf>
    <xf numFmtId="2" fontId="37" fillId="0" borderId="0" xfId="2" applyNumberFormat="1" applyFont="1" applyBorder="1" applyAlignment="1">
      <alignment horizontal="right"/>
    </xf>
    <xf numFmtId="2" fontId="12" fillId="3" borderId="0" xfId="2" applyNumberFormat="1" applyFont="1" applyFill="1" applyBorder="1" applyAlignment="1">
      <alignment horizontal="right"/>
    </xf>
    <xf numFmtId="2" fontId="37" fillId="4" borderId="0" xfId="2" applyNumberFormat="1" applyFont="1" applyFill="1" applyBorder="1" applyAlignment="1">
      <alignment horizontal="right"/>
    </xf>
    <xf numFmtId="2" fontId="4" fillId="0" borderId="0" xfId="2" applyNumberFormat="1" applyFont="1" applyBorder="1" applyAlignment="1">
      <alignment horizontal="right"/>
    </xf>
    <xf numFmtId="2" fontId="38" fillId="0" borderId="0" xfId="2" applyNumberFormat="1" applyFont="1" applyBorder="1" applyAlignment="1">
      <alignment horizontal="right"/>
    </xf>
    <xf numFmtId="0" fontId="22" fillId="6" borderId="0" xfId="2" applyFont="1" applyFill="1" applyBorder="1"/>
    <xf numFmtId="2" fontId="22" fillId="6" borderId="0" xfId="2" applyNumberFormat="1" applyFont="1" applyFill="1" applyBorder="1" applyAlignment="1">
      <alignment horizontal="center" wrapText="1"/>
    </xf>
    <xf numFmtId="0" fontId="22" fillId="6" borderId="0" xfId="2" applyNumberFormat="1" applyFont="1" applyFill="1" applyBorder="1" applyAlignment="1">
      <alignment horizontal="center" wrapText="1"/>
    </xf>
    <xf numFmtId="2" fontId="22" fillId="6" borderId="0" xfId="2" applyNumberFormat="1" applyFont="1" applyFill="1" applyBorder="1" applyAlignment="1">
      <alignment wrapText="1"/>
    </xf>
    <xf numFmtId="0" fontId="14" fillId="0" borderId="0" xfId="0" applyFont="1" applyAlignment="1">
      <alignment horizontal="left"/>
    </xf>
    <xf numFmtId="168" fontId="4" fillId="0" borderId="8" xfId="7" applyNumberFormat="1" applyFont="1" applyFill="1" applyBorder="1" applyAlignment="1">
      <alignment horizontal="center" vertical="center" wrapText="1"/>
    </xf>
    <xf numFmtId="166" fontId="4" fillId="0" borderId="4"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8" fontId="4" fillId="3" borderId="8" xfId="7" applyNumberFormat="1" applyFont="1" applyFill="1" applyBorder="1" applyAlignment="1">
      <alignment horizontal="center" vertical="center" wrapText="1"/>
    </xf>
    <xf numFmtId="166" fontId="4" fillId="3" borderId="4" xfId="8" applyNumberFormat="1" applyFont="1" applyFill="1" applyBorder="1" applyAlignment="1">
      <alignment horizontal="center" wrapText="1"/>
    </xf>
    <xf numFmtId="2" fontId="4" fillId="3" borderId="4"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8" fontId="4" fillId="6" borderId="8" xfId="7" applyNumberFormat="1" applyFont="1" applyFill="1" applyBorder="1" applyAlignment="1">
      <alignment horizontal="center" vertical="center" wrapText="1"/>
    </xf>
    <xf numFmtId="166" fontId="4" fillId="6" borderId="4" xfId="8" applyNumberFormat="1" applyFont="1" applyFill="1" applyBorder="1" applyAlignment="1">
      <alignment horizontal="center" wrapText="1"/>
    </xf>
    <xf numFmtId="2" fontId="4" fillId="6" borderId="4" xfId="2" applyNumberFormat="1" applyFont="1" applyFill="1" applyBorder="1" applyAlignment="1">
      <alignment horizontal="center" wrapText="1"/>
    </xf>
    <xf numFmtId="166" fontId="4" fillId="6" borderId="6" xfId="8" applyNumberFormat="1" applyFont="1" applyFill="1" applyBorder="1" applyAlignment="1">
      <alignment horizontal="center" wrapText="1"/>
    </xf>
    <xf numFmtId="170" fontId="4" fillId="3" borderId="6" xfId="7" applyNumberFormat="1" applyFont="1" applyFill="1" applyBorder="1" applyAlignment="1">
      <alignment horizontal="center" vertical="center" wrapText="1"/>
    </xf>
    <xf numFmtId="43" fontId="4" fillId="0" borderId="6" xfId="7" applyNumberFormat="1" applyFont="1" applyFill="1" applyBorder="1" applyAlignment="1">
      <alignment horizontal="center" vertical="center" wrapText="1"/>
    </xf>
    <xf numFmtId="168" fontId="4" fillId="3" borderId="6" xfId="7" applyNumberFormat="1" applyFont="1" applyFill="1" applyBorder="1" applyAlignment="1">
      <alignment horizontal="center" vertical="center" wrapText="1"/>
    </xf>
    <xf numFmtId="170" fontId="4" fillId="3" borderId="8" xfId="7" applyNumberFormat="1" applyFont="1" applyFill="1" applyBorder="1" applyAlignment="1">
      <alignment horizontal="center" vertical="center" wrapText="1"/>
    </xf>
    <xf numFmtId="168" fontId="4" fillId="0" borderId="6" xfId="7" applyNumberFormat="1" applyFont="1" applyFill="1" applyBorder="1" applyAlignment="1">
      <alignment horizontal="center" vertical="center" wrapText="1"/>
    </xf>
    <xf numFmtId="168" fontId="4" fillId="0" borderId="4" xfId="7" applyNumberFormat="1" applyFont="1" applyFill="1" applyBorder="1" applyAlignment="1">
      <alignment horizontal="center" vertical="center" wrapText="1"/>
    </xf>
    <xf numFmtId="168" fontId="4" fillId="3" borderId="4" xfId="7" applyNumberFormat="1" applyFont="1" applyFill="1" applyBorder="1" applyAlignment="1">
      <alignment horizontal="center" vertical="center" wrapText="1"/>
    </xf>
    <xf numFmtId="170" fontId="4" fillId="0" borderId="6" xfId="7" applyNumberFormat="1" applyFont="1" applyFill="1" applyBorder="1" applyAlignment="1">
      <alignment horizontal="center" vertical="center" wrapText="1"/>
    </xf>
    <xf numFmtId="0" fontId="12" fillId="0" borderId="0" xfId="2" applyFont="1" applyAlignment="1"/>
    <xf numFmtId="0" fontId="4" fillId="0" borderId="0" xfId="2" applyFont="1" applyFill="1" applyBorder="1" applyAlignment="1">
      <alignment vertical="top" wrapText="1"/>
    </xf>
    <xf numFmtId="166" fontId="12" fillId="0" borderId="0" xfId="2" applyNumberFormat="1" applyFont="1"/>
    <xf numFmtId="168" fontId="12" fillId="0" borderId="0" xfId="2" applyNumberFormat="1" applyFont="1"/>
    <xf numFmtId="0" fontId="23" fillId="0" borderId="0" xfId="0" applyFont="1" applyBorder="1" applyAlignment="1">
      <alignment horizontal="center"/>
    </xf>
    <xf numFmtId="10" fontId="41" fillId="0" borderId="0" xfId="9" applyNumberFormat="1" applyFont="1" applyBorder="1" applyAlignment="1">
      <alignment horizontal="center"/>
    </xf>
    <xf numFmtId="0" fontId="41" fillId="0" borderId="0" xfId="2" applyFont="1" applyAlignment="1">
      <alignment horizontal="center"/>
    </xf>
    <xf numFmtId="0" fontId="41" fillId="0" borderId="0" xfId="2" applyFont="1"/>
    <xf numFmtId="170" fontId="23" fillId="0" borderId="0" xfId="0" applyNumberFormat="1" applyFont="1" applyBorder="1" applyAlignment="1">
      <alignment horizontal="center"/>
    </xf>
    <xf numFmtId="0" fontId="4" fillId="0" borderId="0" xfId="2" applyFont="1" applyFill="1" applyBorder="1"/>
    <xf numFmtId="168" fontId="4" fillId="0" borderId="0" xfId="2" applyNumberFormat="1" applyFont="1" applyFill="1" applyBorder="1"/>
    <xf numFmtId="170" fontId="12" fillId="0" borderId="0" xfId="2" applyNumberFormat="1" applyFont="1"/>
    <xf numFmtId="43" fontId="12" fillId="0" borderId="0" xfId="2" applyNumberFormat="1" applyFont="1"/>
    <xf numFmtId="4" fontId="42" fillId="2" borderId="0" xfId="0" applyNumberFormat="1" applyFont="1" applyFill="1" applyAlignment="1">
      <alignment horizontal="right" wrapText="1"/>
    </xf>
    <xf numFmtId="49" fontId="23" fillId="0" borderId="0" xfId="2" applyNumberFormat="1" applyFont="1" applyFill="1" applyBorder="1" applyAlignment="1">
      <alignment vertical="top" wrapText="1"/>
    </xf>
    <xf numFmtId="0" fontId="23" fillId="0" borderId="0" xfId="0" applyFont="1"/>
    <xf numFmtId="164" fontId="23" fillId="0" borderId="0" xfId="0" applyNumberFormat="1" applyFont="1" applyFill="1" applyBorder="1" applyAlignment="1">
      <alignment horizontal="right"/>
    </xf>
    <xf numFmtId="168" fontId="23" fillId="0" borderId="0" xfId="0" applyNumberFormat="1" applyFont="1" applyFill="1" applyBorder="1" applyAlignment="1">
      <alignment horizontal="right"/>
    </xf>
    <xf numFmtId="0" fontId="23" fillId="0" borderId="0" xfId="0" applyFont="1" applyFill="1" applyBorder="1"/>
    <xf numFmtId="44" fontId="23" fillId="0" borderId="0" xfId="1" applyFont="1" applyFill="1" applyBorder="1" applyAlignment="1">
      <alignment horizontal="right"/>
    </xf>
    <xf numFmtId="14" fontId="4" fillId="0" borderId="0" xfId="2" applyNumberFormat="1" applyFont="1"/>
    <xf numFmtId="0" fontId="4" fillId="0" borderId="0" xfId="2" applyFont="1" applyFill="1" applyBorder="1" applyAlignment="1">
      <alignment horizontal="center"/>
    </xf>
    <xf numFmtId="170" fontId="4" fillId="0" borderId="0" xfId="2" applyNumberFormat="1" applyFont="1" applyFill="1" applyBorder="1"/>
    <xf numFmtId="0" fontId="12" fillId="0" borderId="0" xfId="2" applyFont="1" applyAlignment="1">
      <alignment horizontal="center"/>
    </xf>
    <xf numFmtId="2" fontId="4" fillId="3" borderId="4"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0" fontId="31" fillId="0" borderId="0" xfId="0" applyFont="1" applyAlignment="1">
      <alignment horizontal="left"/>
    </xf>
    <xf numFmtId="49" fontId="23" fillId="0" borderId="0" xfId="2" applyNumberFormat="1" applyFont="1" applyFill="1" applyBorder="1" applyAlignment="1">
      <alignment horizontal="left" vertical="top" wrapText="1"/>
    </xf>
    <xf numFmtId="0" fontId="0" fillId="0" borderId="0" xfId="0"/>
    <xf numFmtId="171" fontId="4" fillId="3" borderId="4" xfId="8" applyNumberFormat="1" applyFont="1" applyFill="1" applyBorder="1" applyAlignment="1">
      <alignment horizontal="center" wrapText="1"/>
    </xf>
    <xf numFmtId="171" fontId="4" fillId="6" borderId="4" xfId="8" applyNumberFormat="1" applyFont="1" applyFill="1" applyBorder="1" applyAlignment="1">
      <alignment horizontal="center" wrapText="1"/>
    </xf>
    <xf numFmtId="2" fontId="30" fillId="4" borderId="8" xfId="0" applyNumberFormat="1" applyFont="1" applyFill="1" applyBorder="1" applyAlignment="1">
      <alignment vertical="center"/>
    </xf>
    <xf numFmtId="2" fontId="30" fillId="4" borderId="7" xfId="0" applyNumberFormat="1" applyFont="1" applyFill="1" applyBorder="1" applyAlignment="1">
      <alignment vertical="center"/>
    </xf>
    <xf numFmtId="166" fontId="4" fillId="0" borderId="4"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7" fontId="4" fillId="0" borderId="4" xfId="8" applyNumberFormat="1" applyFont="1" applyFill="1" applyBorder="1" applyAlignment="1">
      <alignment horizontal="center" wrapText="1"/>
    </xf>
    <xf numFmtId="167" fontId="30" fillId="4" borderId="8" xfId="0" applyNumberFormat="1" applyFont="1" applyFill="1" applyBorder="1" applyAlignment="1">
      <alignment horizontal="center" vertical="center"/>
    </xf>
    <xf numFmtId="14" fontId="12" fillId="0" borderId="0" xfId="2" applyNumberFormat="1" applyFont="1" applyAlignment="1"/>
    <xf numFmtId="0" fontId="19" fillId="0" borderId="0" xfId="2" applyFont="1" applyBorder="1" applyAlignment="1"/>
    <xf numFmtId="0" fontId="31" fillId="0" borderId="0" xfId="0" applyFont="1" applyAlignment="1"/>
    <xf numFmtId="0" fontId="17" fillId="0" borderId="0" xfId="2" applyFont="1" applyBorder="1" applyAlignment="1">
      <alignment vertical="center"/>
    </xf>
    <xf numFmtId="0" fontId="2" fillId="0" borderId="0" xfId="2" applyAlignment="1"/>
    <xf numFmtId="0" fontId="7" fillId="0" borderId="0" xfId="2" applyFont="1" applyFill="1" applyBorder="1" applyAlignment="1">
      <alignment horizontal="center" vertical="center" wrapText="1"/>
    </xf>
    <xf numFmtId="0" fontId="9" fillId="0" borderId="0" xfId="2" applyFont="1" applyBorder="1" applyAlignment="1">
      <alignment vertical="top" wrapText="1"/>
    </xf>
    <xf numFmtId="170" fontId="9" fillId="0" borderId="0" xfId="2" applyNumberFormat="1" applyFont="1" applyBorder="1" applyAlignment="1">
      <alignment vertical="top" wrapText="1"/>
    </xf>
    <xf numFmtId="0" fontId="9" fillId="0" borderId="0" xfId="2" applyFont="1" applyFill="1" applyBorder="1" applyAlignment="1">
      <alignment vertical="top" wrapText="1"/>
    </xf>
    <xf numFmtId="10" fontId="20" fillId="0" borderId="0" xfId="2" applyNumberFormat="1" applyFont="1" applyFill="1" applyBorder="1" applyAlignment="1">
      <alignment vertical="center" wrapText="1"/>
    </xf>
    <xf numFmtId="0" fontId="43" fillId="0" borderId="0" xfId="0" applyFont="1" applyAlignment="1">
      <alignment horizontal="left" vertical="center"/>
    </xf>
    <xf numFmtId="10" fontId="20" fillId="0" borderId="0" xfId="2" applyNumberFormat="1" applyFont="1" applyFill="1" applyBorder="1" applyAlignment="1">
      <alignment vertical="center"/>
    </xf>
    <xf numFmtId="168" fontId="9" fillId="0" borderId="0" xfId="2" applyNumberFormat="1" applyFont="1" applyBorder="1" applyAlignment="1">
      <alignment vertical="top" wrapText="1"/>
    </xf>
    <xf numFmtId="10" fontId="44" fillId="0" borderId="0" xfId="2" applyNumberFormat="1" applyFont="1" applyBorder="1" applyAlignment="1">
      <alignment vertical="center" wrapText="1"/>
    </xf>
    <xf numFmtId="168" fontId="2" fillId="0" borderId="0" xfId="2" applyNumberFormat="1"/>
    <xf numFmtId="0" fontId="45" fillId="0" borderId="0" xfId="2" applyFont="1" applyFill="1" applyBorder="1" applyAlignment="1">
      <alignment vertical="top" wrapText="1"/>
    </xf>
    <xf numFmtId="0" fontId="9" fillId="0" borderId="0" xfId="2" applyFont="1" applyFill="1" applyBorder="1" applyAlignment="1">
      <alignment horizontal="center" vertical="top" wrapText="1"/>
    </xf>
    <xf numFmtId="0" fontId="31" fillId="0" borderId="0" xfId="0" applyFont="1"/>
    <xf numFmtId="49" fontId="14" fillId="0" borderId="0" xfId="2" applyNumberFormat="1" applyFont="1" applyFill="1" applyBorder="1" applyAlignment="1">
      <alignment wrapText="1"/>
    </xf>
    <xf numFmtId="0" fontId="9" fillId="0" borderId="0" xfId="2" applyFont="1" applyFill="1" applyBorder="1" applyAlignment="1"/>
    <xf numFmtId="0" fontId="14" fillId="0" borderId="0" xfId="0" applyFont="1" applyAlignment="1">
      <alignment wrapText="1"/>
    </xf>
    <xf numFmtId="0" fontId="14" fillId="0" borderId="0" xfId="0" applyFont="1" applyAlignment="1"/>
    <xf numFmtId="0" fontId="11" fillId="0" borderId="0" xfId="2" applyFont="1" applyFill="1" applyBorder="1" applyAlignment="1">
      <alignment vertical="center" wrapText="1"/>
    </xf>
    <xf numFmtId="0" fontId="6" fillId="0" borderId="0" xfId="2" applyFont="1" applyAlignment="1">
      <alignment horizontal="right"/>
    </xf>
    <xf numFmtId="0" fontId="20" fillId="0" borderId="1" xfId="2" applyFont="1" applyFill="1" applyBorder="1" applyAlignment="1">
      <alignment vertical="center" wrapText="1"/>
    </xf>
    <xf numFmtId="20" fontId="14" fillId="0" borderId="0" xfId="0" applyNumberFormat="1" applyFont="1" applyFill="1" applyBorder="1" applyAlignment="1">
      <alignment horizontal="center"/>
    </xf>
    <xf numFmtId="164" fontId="14" fillId="0" borderId="0" xfId="0" applyNumberFormat="1" applyFont="1" applyFill="1" applyBorder="1" applyAlignment="1">
      <alignment horizontal="center"/>
    </xf>
    <xf numFmtId="0" fontId="46" fillId="0" borderId="0" xfId="0" applyFont="1" applyFill="1" applyBorder="1" applyAlignment="1">
      <alignment horizontal="center"/>
    </xf>
    <xf numFmtId="0" fontId="47" fillId="0" borderId="0" xfId="0" applyFont="1" applyFill="1" applyBorder="1" applyAlignment="1">
      <alignment horizontal="center"/>
    </xf>
    <xf numFmtId="0" fontId="20" fillId="0" borderId="0" xfId="0" applyFont="1" applyFill="1" applyAlignment="1">
      <alignment horizontal="center"/>
    </xf>
    <xf numFmtId="10" fontId="23" fillId="0" borderId="0" xfId="0" applyNumberFormat="1" applyFont="1" applyFill="1" applyBorder="1" applyAlignment="1">
      <alignment horizontal="center"/>
    </xf>
    <xf numFmtId="0" fontId="14" fillId="0" borderId="0" xfId="0" applyFont="1" applyBorder="1" applyAlignment="1">
      <alignment horizontal="center"/>
    </xf>
    <xf numFmtId="168" fontId="9" fillId="0" borderId="0" xfId="2" applyNumberFormat="1" applyFont="1"/>
    <xf numFmtId="0" fontId="11" fillId="0" borderId="0" xfId="0" applyFont="1" applyFill="1" applyBorder="1" applyAlignment="1">
      <alignment horizontal="center"/>
    </xf>
    <xf numFmtId="10" fontId="14" fillId="0" borderId="0" xfId="0" applyNumberFormat="1" applyFont="1" applyBorder="1" applyAlignment="1">
      <alignment horizontal="center"/>
    </xf>
    <xf numFmtId="10" fontId="48" fillId="0" borderId="0" xfId="9" applyNumberFormat="1" applyFont="1" applyBorder="1" applyAlignment="1">
      <alignment horizontal="center"/>
    </xf>
    <xf numFmtId="0" fontId="48" fillId="0" borderId="0" xfId="2" applyFont="1" applyAlignment="1">
      <alignment horizontal="center"/>
    </xf>
    <xf numFmtId="0" fontId="48" fillId="0" borderId="0" xfId="2" applyFont="1"/>
    <xf numFmtId="0" fontId="35" fillId="0" borderId="0" xfId="2" applyFont="1" applyFill="1" applyBorder="1" applyAlignment="1">
      <alignment vertical="center"/>
    </xf>
    <xf numFmtId="0" fontId="49" fillId="0" borderId="0" xfId="2" applyFont="1" applyFill="1" applyBorder="1" applyAlignment="1">
      <alignment vertical="center"/>
    </xf>
    <xf numFmtId="168" fontId="4" fillId="3" borderId="13" xfId="7" applyNumberFormat="1" applyFont="1" applyFill="1" applyBorder="1" applyAlignment="1">
      <alignment horizontal="center" vertical="center" wrapText="1"/>
    </xf>
    <xf numFmtId="166" fontId="4" fillId="3" borderId="13" xfId="8" applyNumberFormat="1" applyFont="1" applyFill="1" applyBorder="1" applyAlignment="1">
      <alignment horizontal="center" wrapText="1"/>
    </xf>
    <xf numFmtId="2" fontId="4" fillId="3" borderId="13" xfId="8" applyNumberFormat="1" applyFont="1" applyFill="1" applyBorder="1" applyAlignment="1">
      <alignment horizontal="center" wrapText="1"/>
    </xf>
    <xf numFmtId="2" fontId="4" fillId="3" borderId="13" xfId="2" applyNumberFormat="1" applyFont="1" applyFill="1" applyBorder="1" applyAlignment="1">
      <alignment horizontal="center" wrapText="1"/>
    </xf>
    <xf numFmtId="166" fontId="4" fillId="3" borderId="11" xfId="8" applyNumberFormat="1" applyFont="1" applyFill="1" applyBorder="1" applyAlignment="1">
      <alignment horizontal="center" wrapText="1"/>
    </xf>
    <xf numFmtId="171" fontId="4" fillId="3" borderId="13" xfId="8" applyNumberFormat="1" applyFont="1" applyFill="1" applyBorder="1" applyAlignment="1">
      <alignment horizontal="center" wrapText="1"/>
    </xf>
    <xf numFmtId="43" fontId="4" fillId="0" borderId="17" xfId="7" applyNumberFormat="1" applyFont="1" applyFill="1" applyBorder="1" applyAlignment="1">
      <alignment horizontal="center" vertical="center" wrapText="1"/>
    </xf>
    <xf numFmtId="14" fontId="4" fillId="0" borderId="16" xfId="8" applyNumberFormat="1" applyFont="1" applyFill="1" applyBorder="1" applyAlignment="1">
      <alignment horizontal="center" wrapText="1"/>
    </xf>
    <xf numFmtId="168" fontId="4" fillId="3" borderId="11" xfId="7" applyNumberFormat="1" applyFont="1" applyFill="1" applyBorder="1" applyAlignment="1">
      <alignment horizontal="center" vertical="center" wrapText="1"/>
    </xf>
    <xf numFmtId="166" fontId="4" fillId="0" borderId="17" xfId="8" applyNumberFormat="1" applyFont="1" applyFill="1" applyBorder="1" applyAlignment="1">
      <alignment horizontal="center" wrapText="1"/>
    </xf>
    <xf numFmtId="166" fontId="30" fillId="4" borderId="8" xfId="0" applyNumberFormat="1" applyFont="1" applyFill="1" applyBorder="1" applyAlignment="1">
      <alignment horizontal="center" vertical="center"/>
    </xf>
    <xf numFmtId="0" fontId="50" fillId="0" borderId="0" xfId="0" applyFont="1" applyFill="1"/>
    <xf numFmtId="0" fontId="50" fillId="0" borderId="0" xfId="0" applyFont="1"/>
    <xf numFmtId="0" fontId="50" fillId="0" borderId="0" xfId="0" applyFont="1" applyFill="1" applyBorder="1"/>
    <xf numFmtId="2" fontId="4" fillId="0" borderId="17" xfId="8" applyNumberFormat="1" applyFont="1" applyFill="1" applyBorder="1" applyAlignment="1">
      <alignment horizontal="center" wrapText="1"/>
    </xf>
    <xf numFmtId="2" fontId="4" fillId="0" borderId="17" xfId="2" applyNumberFormat="1" applyFont="1" applyFill="1" applyBorder="1" applyAlignment="1">
      <alignment horizontal="center" wrapText="1"/>
    </xf>
    <xf numFmtId="0" fontId="50" fillId="0" borderId="3" xfId="0" applyFont="1" applyFill="1" applyBorder="1" applyAlignment="1"/>
    <xf numFmtId="0" fontId="50" fillId="0" borderId="22" xfId="0" applyFont="1" applyFill="1" applyBorder="1" applyAlignment="1"/>
    <xf numFmtId="0" fontId="50" fillId="0" borderId="0" xfId="0" applyFont="1" applyFill="1" applyBorder="1" applyAlignment="1"/>
    <xf numFmtId="0" fontId="50" fillId="0" borderId="20" xfId="0" applyFont="1" applyFill="1" applyBorder="1" applyAlignment="1"/>
    <xf numFmtId="0" fontId="51" fillId="0" borderId="0" xfId="2" applyFont="1"/>
    <xf numFmtId="49" fontId="50" fillId="0" borderId="0" xfId="2" applyNumberFormat="1" applyFont="1" applyFill="1" applyBorder="1" applyAlignment="1">
      <alignment vertical="top" wrapText="1"/>
    </xf>
    <xf numFmtId="0" fontId="52" fillId="0" borderId="0" xfId="2" applyFont="1"/>
    <xf numFmtId="0" fontId="53" fillId="0" borderId="0" xfId="2" applyFont="1" applyFill="1" applyBorder="1" applyAlignment="1">
      <alignment horizontal="justify" vertical="center"/>
    </xf>
    <xf numFmtId="0" fontId="28" fillId="0" borderId="0" xfId="2" applyFont="1" applyFill="1" applyBorder="1" applyAlignment="1">
      <alignment horizontal="left" vertical="top" wrapText="1"/>
    </xf>
    <xf numFmtId="2" fontId="22" fillId="0" borderId="0" xfId="2" applyNumberFormat="1" applyFont="1" applyFill="1" applyBorder="1" applyAlignment="1">
      <alignment horizontal="center" wrapText="1"/>
    </xf>
    <xf numFmtId="2" fontId="22" fillId="6" borderId="0" xfId="2" applyNumberFormat="1" applyFont="1" applyFill="1" applyBorder="1" applyAlignment="1">
      <alignment horizontal="center" wrapText="1"/>
    </xf>
    <xf numFmtId="0" fontId="32" fillId="0" borderId="0" xfId="2" applyFont="1" applyBorder="1" applyAlignment="1">
      <alignment horizontal="center" wrapText="1"/>
    </xf>
    <xf numFmtId="0" fontId="54" fillId="0" borderId="0" xfId="2" applyFont="1" applyFill="1" applyBorder="1" applyAlignment="1">
      <alignment vertical="top" wrapText="1"/>
    </xf>
    <xf numFmtId="0" fontId="55" fillId="0" borderId="0" xfId="0" applyFont="1" applyFill="1" applyAlignment="1">
      <alignment horizontal="center" vertical="center"/>
    </xf>
    <xf numFmtId="0" fontId="56" fillId="0" borderId="0" xfId="0" applyFont="1" applyFill="1" applyAlignment="1">
      <alignment horizontal="center" vertical="center"/>
    </xf>
    <xf numFmtId="0" fontId="35" fillId="0" borderId="0" xfId="2" applyFont="1" applyFill="1" applyBorder="1" applyAlignment="1">
      <alignment vertical="top" wrapText="1"/>
    </xf>
    <xf numFmtId="0" fontId="57" fillId="0" borderId="0" xfId="2" applyFont="1"/>
    <xf numFmtId="0" fontId="35" fillId="0" borderId="0" xfId="2" applyFont="1" applyFill="1" applyBorder="1" applyAlignment="1">
      <alignment horizontal="center" vertical="top" wrapText="1"/>
    </xf>
    <xf numFmtId="2" fontId="30" fillId="4" borderId="0" xfId="0" applyNumberFormat="1" applyFont="1" applyFill="1" applyBorder="1" applyAlignment="1">
      <alignment horizontal="left" vertical="center"/>
    </xf>
    <xf numFmtId="2" fontId="30" fillId="4" borderId="0" xfId="0" applyNumberFormat="1" applyFont="1" applyFill="1" applyBorder="1" applyAlignment="1">
      <alignment vertical="center"/>
    </xf>
    <xf numFmtId="171" fontId="58" fillId="6" borderId="0" xfId="8" applyNumberFormat="1" applyFont="1" applyFill="1" applyBorder="1" applyAlignment="1">
      <alignment horizontal="center" wrapText="1"/>
    </xf>
    <xf numFmtId="171" fontId="58" fillId="3" borderId="0" xfId="8" applyNumberFormat="1" applyFont="1" applyFill="1" applyBorder="1" applyAlignment="1">
      <alignment horizontal="center" wrapText="1"/>
    </xf>
    <xf numFmtId="0" fontId="45" fillId="5" borderId="4" xfId="2" applyFont="1" applyFill="1" applyBorder="1" applyAlignment="1">
      <alignment horizontal="center" vertical="center" wrapText="1"/>
    </xf>
    <xf numFmtId="0" fontId="45" fillId="5" borderId="4" xfId="2" applyNumberFormat="1" applyFont="1" applyFill="1" applyBorder="1" applyAlignment="1">
      <alignment horizontal="center" vertical="center" wrapText="1"/>
    </xf>
    <xf numFmtId="0" fontId="45" fillId="5" borderId="4" xfId="2" applyFont="1" applyFill="1" applyBorder="1" applyAlignment="1">
      <alignment horizontal="center" vertical="center"/>
    </xf>
    <xf numFmtId="0" fontId="60" fillId="0" borderId="0" xfId="2" applyFont="1" applyFill="1" applyBorder="1" applyAlignment="1">
      <alignment horizontal="left" vertical="center"/>
    </xf>
    <xf numFmtId="14" fontId="17" fillId="0" borderId="0" xfId="2" applyNumberFormat="1" applyFont="1" applyBorder="1" applyAlignment="1">
      <alignment vertical="top"/>
    </xf>
    <xf numFmtId="0" fontId="32" fillId="0" borderId="0" xfId="2" applyFont="1" applyBorder="1" applyAlignment="1">
      <alignment wrapText="1"/>
    </xf>
    <xf numFmtId="0" fontId="32" fillId="0" borderId="1" xfId="2" applyFont="1" applyBorder="1" applyAlignment="1">
      <alignment wrapText="1"/>
    </xf>
    <xf numFmtId="0" fontId="14" fillId="0" borderId="0" xfId="0" applyFont="1" applyAlignment="1">
      <alignment horizontal="left"/>
    </xf>
    <xf numFmtId="2" fontId="4" fillId="0" borderId="17" xfId="2" applyNumberFormat="1" applyFont="1" applyFill="1" applyBorder="1" applyAlignment="1">
      <alignment horizontal="center" wrapText="1"/>
    </xf>
    <xf numFmtId="43" fontId="4" fillId="0" borderId="17" xfId="7" applyNumberFormat="1" applyFont="1" applyFill="1" applyBorder="1" applyAlignment="1">
      <alignment horizontal="center" vertical="center" wrapText="1"/>
    </xf>
    <xf numFmtId="2" fontId="4" fillId="0" borderId="17" xfId="8" applyNumberFormat="1" applyFont="1" applyFill="1" applyBorder="1" applyAlignment="1">
      <alignment horizontal="center" wrapText="1"/>
    </xf>
    <xf numFmtId="166" fontId="4" fillId="0" borderId="17"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166" fontId="4" fillId="0" borderId="4" xfId="8" applyNumberFormat="1" applyFont="1" applyFill="1" applyBorder="1" applyAlignment="1">
      <alignment horizontal="center" wrapText="1"/>
    </xf>
    <xf numFmtId="2" fontId="4" fillId="3" borderId="4"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2" fontId="4" fillId="0" borderId="4" xfId="8" applyNumberFormat="1" applyFont="1" applyFill="1" applyBorder="1" applyAlignment="1">
      <alignment horizontal="center" wrapText="1"/>
    </xf>
    <xf numFmtId="166" fontId="4" fillId="3" borderId="4" xfId="8"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2" fontId="4" fillId="3" borderId="4"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166" fontId="4" fillId="3" borderId="4"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166" fontId="4" fillId="0" borderId="4" xfId="8"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6" fontId="4" fillId="6" borderId="6"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168" fontId="4" fillId="0" borderId="23" xfId="7" applyNumberFormat="1" applyFont="1" applyFill="1" applyBorder="1" applyAlignment="1">
      <alignment horizontal="center" vertical="center" wrapText="1"/>
    </xf>
    <xf numFmtId="166" fontId="4" fillId="0" borderId="14" xfId="8" applyNumberFormat="1" applyFont="1" applyFill="1" applyBorder="1" applyAlignment="1">
      <alignment horizontal="center" wrapText="1"/>
    </xf>
    <xf numFmtId="2" fontId="4" fillId="0" borderId="14" xfId="8" applyNumberFormat="1" applyFont="1" applyFill="1" applyBorder="1" applyAlignment="1">
      <alignment horizontal="center" wrapText="1"/>
    </xf>
    <xf numFmtId="2" fontId="4" fillId="0" borderId="14" xfId="2" applyNumberFormat="1" applyFont="1" applyFill="1" applyBorder="1" applyAlignment="1">
      <alignment horizontal="center" wrapText="1"/>
    </xf>
    <xf numFmtId="166" fontId="4" fillId="6" borderId="14" xfId="8" applyNumberFormat="1" applyFont="1" applyFill="1" applyBorder="1" applyAlignment="1">
      <alignment horizontal="center" wrapText="1"/>
    </xf>
    <xf numFmtId="166" fontId="4" fillId="6" borderId="9" xfId="8" applyNumberFormat="1" applyFont="1" applyFill="1" applyBorder="1" applyAlignment="1">
      <alignment horizontal="center" wrapText="1"/>
    </xf>
    <xf numFmtId="171" fontId="4" fillId="6" borderId="14" xfId="8" applyNumberFormat="1" applyFont="1" applyFill="1" applyBorder="1" applyAlignment="1">
      <alignment horizontal="center" wrapText="1"/>
    </xf>
    <xf numFmtId="0" fontId="40" fillId="0" borderId="14" xfId="2" applyFont="1" applyFill="1" applyBorder="1" applyAlignment="1">
      <alignment horizontal="center" vertical="center" wrapText="1"/>
    </xf>
    <xf numFmtId="170" fontId="4" fillId="3" borderId="27" xfId="7" applyNumberFormat="1" applyFont="1" applyFill="1" applyBorder="1" applyAlignment="1">
      <alignment horizontal="center" vertical="center" wrapText="1"/>
    </xf>
    <xf numFmtId="166" fontId="4" fillId="3" borderId="24" xfId="8" applyNumberFormat="1" applyFont="1" applyFill="1" applyBorder="1" applyAlignment="1">
      <alignment horizontal="center" wrapText="1"/>
    </xf>
    <xf numFmtId="2" fontId="4" fillId="3" borderId="24" xfId="8" applyNumberFormat="1" applyFont="1" applyFill="1" applyBorder="1" applyAlignment="1">
      <alignment horizontal="center" wrapText="1"/>
    </xf>
    <xf numFmtId="166" fontId="4" fillId="3" borderId="25" xfId="8" applyNumberFormat="1" applyFont="1" applyFill="1" applyBorder="1" applyAlignment="1">
      <alignment horizontal="center" wrapText="1"/>
    </xf>
    <xf numFmtId="2" fontId="4" fillId="3" borderId="24" xfId="2" applyNumberFormat="1" applyFont="1" applyFill="1" applyBorder="1" applyAlignment="1">
      <alignment horizontal="center" wrapText="1"/>
    </xf>
    <xf numFmtId="171" fontId="4" fillId="3" borderId="24" xfId="8" applyNumberFormat="1" applyFont="1" applyFill="1" applyBorder="1" applyAlignment="1">
      <alignment horizontal="center" wrapText="1"/>
    </xf>
    <xf numFmtId="171" fontId="58" fillId="3" borderId="1" xfId="8" applyNumberFormat="1" applyFont="1" applyFill="1" applyBorder="1" applyAlignment="1">
      <alignment horizontal="center" wrapText="1"/>
    </xf>
    <xf numFmtId="170" fontId="4" fillId="3" borderId="23" xfId="7" applyNumberFormat="1" applyFont="1" applyFill="1" applyBorder="1" applyAlignment="1">
      <alignment horizontal="center" vertical="center" wrapText="1"/>
    </xf>
    <xf numFmtId="166" fontId="4" fillId="3" borderId="14" xfId="8" applyNumberFormat="1" applyFont="1" applyFill="1" applyBorder="1" applyAlignment="1">
      <alignment horizontal="center" wrapText="1"/>
    </xf>
    <xf numFmtId="2" fontId="4" fillId="3" borderId="14" xfId="8" applyNumberFormat="1" applyFont="1" applyFill="1" applyBorder="1" applyAlignment="1">
      <alignment horizontal="center" wrapText="1"/>
    </xf>
    <xf numFmtId="166" fontId="4" fillId="3" borderId="9" xfId="8" applyNumberFormat="1" applyFont="1" applyFill="1" applyBorder="1" applyAlignment="1">
      <alignment horizontal="center" wrapText="1"/>
    </xf>
    <xf numFmtId="2" fontId="4" fillId="3" borderId="14" xfId="2" applyNumberFormat="1" applyFont="1" applyFill="1" applyBorder="1" applyAlignment="1">
      <alignment horizontal="center" wrapText="1"/>
    </xf>
    <xf numFmtId="171" fontId="4" fillId="3" borderId="14" xfId="8" applyNumberFormat="1" applyFont="1" applyFill="1" applyBorder="1" applyAlignment="1">
      <alignment horizontal="center" wrapText="1"/>
    </xf>
    <xf numFmtId="168" fontId="4" fillId="0" borderId="27" xfId="7" applyNumberFormat="1" applyFont="1" applyFill="1" applyBorder="1" applyAlignment="1">
      <alignment horizontal="center" vertical="center" wrapText="1"/>
    </xf>
    <xf numFmtId="166" fontId="4" fillId="0" borderId="24" xfId="8" applyNumberFormat="1" applyFont="1" applyFill="1" applyBorder="1" applyAlignment="1">
      <alignment horizontal="center" wrapText="1"/>
    </xf>
    <xf numFmtId="2" fontId="4" fillId="0" borderId="24" xfId="8" applyNumberFormat="1" applyFont="1" applyFill="1" applyBorder="1" applyAlignment="1">
      <alignment horizontal="center" wrapText="1"/>
    </xf>
    <xf numFmtId="2" fontId="4" fillId="0" borderId="24" xfId="2" applyNumberFormat="1" applyFont="1" applyFill="1" applyBorder="1" applyAlignment="1">
      <alignment horizontal="center" wrapText="1"/>
    </xf>
    <xf numFmtId="166" fontId="4" fillId="6" borderId="24" xfId="8" applyNumberFormat="1" applyFont="1" applyFill="1" applyBorder="1" applyAlignment="1">
      <alignment horizontal="center" wrapText="1"/>
    </xf>
    <xf numFmtId="166" fontId="4" fillId="6" borderId="25" xfId="8" applyNumberFormat="1" applyFont="1" applyFill="1" applyBorder="1" applyAlignment="1">
      <alignment horizontal="center" wrapText="1"/>
    </xf>
    <xf numFmtId="171" fontId="4" fillId="6" borderId="24" xfId="8" applyNumberFormat="1" applyFont="1" applyFill="1" applyBorder="1" applyAlignment="1">
      <alignment horizontal="center" wrapText="1"/>
    </xf>
    <xf numFmtId="171" fontId="58" fillId="6" borderId="1" xfId="8" applyNumberFormat="1" applyFont="1" applyFill="1" applyBorder="1" applyAlignment="1">
      <alignment horizontal="center" wrapText="1"/>
    </xf>
    <xf numFmtId="168" fontId="4" fillId="0" borderId="14" xfId="7" applyNumberFormat="1" applyFont="1" applyFill="1" applyBorder="1" applyAlignment="1">
      <alignment horizontal="center" vertical="center" wrapText="1"/>
    </xf>
    <xf numFmtId="166" fontId="4" fillId="0" borderId="9" xfId="8" applyNumberFormat="1" applyFont="1" applyFill="1" applyBorder="1" applyAlignment="1">
      <alignment horizontal="center" wrapText="1"/>
    </xf>
    <xf numFmtId="168" fontId="4" fillId="3" borderId="24" xfId="7" applyNumberFormat="1" applyFont="1" applyFill="1" applyBorder="1" applyAlignment="1">
      <alignment horizontal="center" vertical="center" wrapText="1"/>
    </xf>
    <xf numFmtId="168" fontId="4" fillId="0" borderId="9" xfId="7" applyNumberFormat="1" applyFont="1" applyFill="1" applyBorder="1" applyAlignment="1">
      <alignment horizontal="center" vertical="center" wrapText="1"/>
    </xf>
    <xf numFmtId="168" fontId="4" fillId="3" borderId="25" xfId="7" applyNumberFormat="1" applyFont="1" applyFill="1" applyBorder="1" applyAlignment="1">
      <alignment horizontal="center" vertical="center" wrapText="1"/>
    </xf>
    <xf numFmtId="172" fontId="4" fillId="0" borderId="4" xfId="8" applyNumberFormat="1" applyFont="1" applyFill="1" applyBorder="1" applyAlignment="1">
      <alignment horizontal="center" wrapText="1"/>
    </xf>
    <xf numFmtId="172" fontId="4" fillId="3" borderId="6" xfId="8" applyNumberFormat="1" applyFont="1" applyFill="1" applyBorder="1" applyAlignment="1">
      <alignment horizontal="center" wrapText="1"/>
    </xf>
    <xf numFmtId="172" fontId="4" fillId="3" borderId="11" xfId="8" applyNumberFormat="1" applyFont="1" applyFill="1" applyBorder="1" applyAlignment="1">
      <alignment horizontal="center" wrapText="1"/>
    </xf>
    <xf numFmtId="172" fontId="4" fillId="0" borderId="17" xfId="8" applyNumberFormat="1" applyFont="1" applyFill="1" applyBorder="1" applyAlignment="1">
      <alignment horizontal="center" wrapText="1"/>
    </xf>
    <xf numFmtId="172" fontId="4" fillId="3" borderId="25" xfId="8" applyNumberFormat="1" applyFont="1" applyFill="1" applyBorder="1" applyAlignment="1">
      <alignment horizontal="center" wrapText="1"/>
    </xf>
    <xf numFmtId="172" fontId="4" fillId="0" borderId="14" xfId="8" applyNumberFormat="1" applyFont="1" applyFill="1" applyBorder="1" applyAlignment="1">
      <alignment horizontal="center" wrapText="1"/>
    </xf>
    <xf numFmtId="172" fontId="4" fillId="0" borderId="24" xfId="8" applyNumberFormat="1" applyFont="1" applyFill="1" applyBorder="1" applyAlignment="1">
      <alignment horizontal="center" wrapText="1"/>
    </xf>
    <xf numFmtId="172" fontId="4" fillId="3" borderId="9" xfId="8" applyNumberFormat="1" applyFont="1" applyFill="1" applyBorder="1" applyAlignment="1">
      <alignment horizontal="center" wrapText="1"/>
    </xf>
    <xf numFmtId="0" fontId="17" fillId="0" borderId="1" xfId="2" applyFont="1" applyBorder="1" applyAlignment="1">
      <alignment vertical="center"/>
    </xf>
    <xf numFmtId="0" fontId="40" fillId="0" borderId="4" xfId="2" applyFont="1" applyFill="1" applyBorder="1" applyAlignment="1">
      <alignment horizontal="center" vertical="center" wrapText="1"/>
    </xf>
    <xf numFmtId="43" fontId="4" fillId="0" borderId="4" xfId="7" applyNumberFormat="1" applyFont="1" applyFill="1" applyBorder="1" applyAlignment="1">
      <alignment horizontal="center" vertical="center" wrapText="1"/>
    </xf>
    <xf numFmtId="2" fontId="4" fillId="0" borderId="6" xfId="8" applyNumberFormat="1" applyFont="1" applyFill="1" applyBorder="1" applyAlignment="1">
      <alignment horizontal="center" wrapText="1"/>
    </xf>
    <xf numFmtId="2" fontId="4" fillId="0" borderId="8" xfId="8" applyNumberFormat="1" applyFont="1" applyFill="1" applyBorder="1" applyAlignment="1">
      <alignment horizontal="center" wrapText="1"/>
    </xf>
    <xf numFmtId="2" fontId="4" fillId="0" borderId="7"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2" fontId="4" fillId="0" borderId="6" xfId="2" applyNumberFormat="1" applyFont="1" applyFill="1" applyBorder="1" applyAlignment="1">
      <alignment horizontal="center" wrapText="1"/>
    </xf>
    <xf numFmtId="2" fontId="4" fillId="0" borderId="8" xfId="2" applyNumberFormat="1" applyFont="1" applyFill="1" applyBorder="1" applyAlignment="1">
      <alignment horizontal="center" wrapText="1"/>
    </xf>
    <xf numFmtId="2" fontId="4" fillId="0" borderId="7" xfId="2" applyNumberFormat="1" applyFont="1" applyFill="1" applyBorder="1" applyAlignment="1">
      <alignment horizontal="center" wrapText="1"/>
    </xf>
    <xf numFmtId="10" fontId="4" fillId="0" borderId="6" xfId="8" applyNumberFormat="1" applyFont="1" applyFill="1" applyBorder="1" applyAlignment="1">
      <alignment horizontal="center" wrapText="1"/>
    </xf>
    <xf numFmtId="10" fontId="4" fillId="0" borderId="8" xfId="8" applyNumberFormat="1" applyFont="1" applyFill="1" applyBorder="1" applyAlignment="1">
      <alignment horizontal="center" wrapText="1"/>
    </xf>
    <xf numFmtId="10" fontId="4" fillId="0" borderId="7" xfId="8" applyNumberFormat="1" applyFont="1" applyFill="1" applyBorder="1" applyAlignment="1">
      <alignment horizontal="center" wrapText="1"/>
    </xf>
    <xf numFmtId="167" fontId="4" fillId="0" borderId="4" xfId="2" applyNumberFormat="1" applyFont="1" applyFill="1" applyBorder="1" applyAlignment="1">
      <alignment horizontal="center" wrapText="1"/>
    </xf>
    <xf numFmtId="166" fontId="4" fillId="0" borderId="4" xfId="8" applyNumberFormat="1" applyFont="1" applyFill="1" applyBorder="1" applyAlignment="1">
      <alignment horizontal="center" wrapText="1"/>
    </xf>
    <xf numFmtId="2" fontId="4" fillId="3" borderId="9" xfId="2" applyNumberFormat="1" applyFont="1" applyFill="1" applyBorder="1" applyAlignment="1">
      <alignment horizontal="center" wrapText="1"/>
    </xf>
    <xf numFmtId="2" fontId="4" fillId="3" borderId="23" xfId="2" applyNumberFormat="1" applyFont="1" applyFill="1" applyBorder="1" applyAlignment="1">
      <alignment horizontal="center" wrapText="1"/>
    </xf>
    <xf numFmtId="2" fontId="4" fillId="3" borderId="10" xfId="2" applyNumberFormat="1" applyFont="1" applyFill="1" applyBorder="1" applyAlignment="1">
      <alignment horizontal="center" wrapText="1"/>
    </xf>
    <xf numFmtId="2" fontId="4" fillId="3" borderId="14" xfId="2" applyNumberFormat="1" applyFont="1" applyFill="1" applyBorder="1" applyAlignment="1">
      <alignment horizontal="center" wrapText="1"/>
    </xf>
    <xf numFmtId="2" fontId="4" fillId="3" borderId="4" xfId="2" applyNumberFormat="1" applyFont="1" applyFill="1" applyBorder="1" applyAlignment="1">
      <alignment horizontal="center" wrapText="1"/>
    </xf>
    <xf numFmtId="167" fontId="4" fillId="3" borderId="4" xfId="2" applyNumberFormat="1" applyFont="1" applyFill="1" applyBorder="1" applyAlignment="1">
      <alignment horizontal="center" wrapText="1"/>
    </xf>
    <xf numFmtId="166" fontId="4" fillId="3" borderId="4" xfId="8" applyNumberFormat="1" applyFont="1" applyFill="1" applyBorder="1" applyAlignment="1">
      <alignment horizontal="center" wrapText="1"/>
    </xf>
    <xf numFmtId="2" fontId="4" fillId="3" borderId="6" xfId="2" applyNumberFormat="1" applyFont="1" applyFill="1" applyBorder="1" applyAlignment="1">
      <alignment horizontal="center" wrapText="1"/>
    </xf>
    <xf numFmtId="2" fontId="4" fillId="3" borderId="8" xfId="2" applyNumberFormat="1" applyFont="1" applyFill="1" applyBorder="1" applyAlignment="1">
      <alignment horizontal="center" wrapText="1"/>
    </xf>
    <xf numFmtId="2" fontId="4" fillId="3" borderId="7" xfId="2" applyNumberFormat="1" applyFont="1" applyFill="1" applyBorder="1" applyAlignment="1">
      <alignment horizontal="center" wrapText="1"/>
    </xf>
    <xf numFmtId="166" fontId="4" fillId="0" borderId="17" xfId="8" applyNumberFormat="1" applyFont="1" applyFill="1" applyBorder="1" applyAlignment="1">
      <alignment horizontal="center" wrapText="1"/>
    </xf>
    <xf numFmtId="166" fontId="4" fillId="0" borderId="19" xfId="8" applyNumberFormat="1" applyFont="1" applyFill="1" applyBorder="1" applyAlignment="1">
      <alignment horizontal="center" wrapText="1"/>
    </xf>
    <xf numFmtId="166" fontId="4" fillId="0" borderId="18" xfId="8" applyNumberFormat="1" applyFont="1" applyFill="1" applyBorder="1" applyAlignment="1">
      <alignment horizontal="center" wrapText="1"/>
    </xf>
    <xf numFmtId="0" fontId="32" fillId="0" borderId="0" xfId="2" applyFont="1" applyBorder="1" applyAlignment="1">
      <alignment horizontal="center" wrapText="1"/>
    </xf>
    <xf numFmtId="0" fontId="32" fillId="0" borderId="1" xfId="2" applyFont="1" applyBorder="1" applyAlignment="1">
      <alignment horizontal="center" wrapText="1"/>
    </xf>
    <xf numFmtId="0" fontId="40" fillId="3" borderId="6" xfId="2" applyFont="1" applyFill="1" applyBorder="1" applyAlignment="1">
      <alignment horizontal="center" vertical="center" wrapText="1"/>
    </xf>
    <xf numFmtId="0" fontId="40" fillId="3" borderId="7" xfId="2" applyFont="1" applyFill="1" applyBorder="1" applyAlignment="1">
      <alignment horizontal="center" vertical="center" wrapText="1"/>
    </xf>
    <xf numFmtId="43" fontId="4" fillId="3" borderId="6" xfId="7" applyNumberFormat="1" applyFont="1" applyFill="1" applyBorder="1" applyAlignment="1">
      <alignment horizontal="center" vertical="center" wrapText="1"/>
    </xf>
    <xf numFmtId="43" fontId="4" fillId="3" borderId="7" xfId="7" applyNumberFormat="1" applyFont="1" applyFill="1" applyBorder="1" applyAlignment="1">
      <alignment horizontal="center" vertical="center" wrapText="1"/>
    </xf>
    <xf numFmtId="2" fontId="4" fillId="3" borderId="6" xfId="8" applyNumberFormat="1" applyFont="1" applyFill="1" applyBorder="1" applyAlignment="1">
      <alignment horizontal="center" wrapText="1"/>
    </xf>
    <xf numFmtId="2" fontId="4" fillId="3" borderId="8" xfId="8" applyNumberFormat="1" applyFont="1" applyFill="1" applyBorder="1" applyAlignment="1">
      <alignment horizontal="center" wrapText="1"/>
    </xf>
    <xf numFmtId="2" fontId="4" fillId="3" borderId="7" xfId="8" applyNumberFormat="1" applyFont="1" applyFill="1" applyBorder="1" applyAlignment="1">
      <alignment horizontal="center" wrapText="1"/>
    </xf>
    <xf numFmtId="10" fontId="4" fillId="3" borderId="6" xfId="8" applyNumberFormat="1" applyFont="1" applyFill="1" applyBorder="1" applyAlignment="1">
      <alignment horizontal="center" wrapText="1"/>
    </xf>
    <xf numFmtId="10" fontId="4" fillId="3" borderId="8" xfId="8" applyNumberFormat="1" applyFont="1" applyFill="1" applyBorder="1" applyAlignment="1">
      <alignment horizontal="center" wrapText="1"/>
    </xf>
    <xf numFmtId="10" fontId="4" fillId="3" borderId="7" xfId="8" applyNumberFormat="1" applyFont="1" applyFill="1" applyBorder="1" applyAlignment="1">
      <alignment horizontal="center" wrapText="1"/>
    </xf>
    <xf numFmtId="167" fontId="4" fillId="3" borderId="6" xfId="2" applyNumberFormat="1" applyFont="1" applyFill="1" applyBorder="1" applyAlignment="1">
      <alignment horizontal="center" wrapText="1"/>
    </xf>
    <xf numFmtId="167" fontId="4" fillId="3" borderId="8" xfId="2" applyNumberFormat="1" applyFont="1" applyFill="1" applyBorder="1" applyAlignment="1">
      <alignment horizontal="center" wrapText="1"/>
    </xf>
    <xf numFmtId="167" fontId="4" fillId="3" borderId="7" xfId="2"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6" fontId="4" fillId="3" borderId="8" xfId="8" applyNumberFormat="1" applyFont="1" applyFill="1" applyBorder="1" applyAlignment="1">
      <alignment horizontal="center" wrapText="1"/>
    </xf>
    <xf numFmtId="166" fontId="4" fillId="3" borderId="7" xfId="8" applyNumberFormat="1" applyFont="1" applyFill="1" applyBorder="1" applyAlignment="1">
      <alignment horizontal="center" wrapText="1"/>
    </xf>
    <xf numFmtId="9" fontId="4" fillId="3" borderId="6" xfId="8" applyNumberFormat="1" applyFont="1" applyFill="1" applyBorder="1" applyAlignment="1">
      <alignment horizontal="center" wrapText="1"/>
    </xf>
    <xf numFmtId="9" fontId="4" fillId="3" borderId="8" xfId="8" applyNumberFormat="1" applyFont="1" applyFill="1" applyBorder="1" applyAlignment="1">
      <alignment horizontal="center" wrapText="1"/>
    </xf>
    <xf numFmtId="9" fontId="4" fillId="3" borderId="7" xfId="8" applyNumberFormat="1" applyFont="1" applyFill="1" applyBorder="1" applyAlignment="1">
      <alignment horizontal="center" wrapText="1"/>
    </xf>
    <xf numFmtId="2" fontId="4" fillId="0" borderId="17" xfId="8" applyNumberFormat="1" applyFont="1" applyFill="1" applyBorder="1" applyAlignment="1">
      <alignment horizontal="center" wrapText="1"/>
    </xf>
    <xf numFmtId="2" fontId="4" fillId="0" borderId="19" xfId="8" applyNumberFormat="1" applyFont="1" applyFill="1" applyBorder="1" applyAlignment="1">
      <alignment horizontal="center" wrapText="1"/>
    </xf>
    <xf numFmtId="2" fontId="4" fillId="0" borderId="18" xfId="8" applyNumberFormat="1" applyFont="1" applyFill="1" applyBorder="1" applyAlignment="1">
      <alignment horizontal="center" wrapText="1"/>
    </xf>
    <xf numFmtId="0" fontId="40" fillId="3" borderId="14" xfId="2" applyFont="1" applyFill="1" applyBorder="1" applyAlignment="1">
      <alignment horizontal="center" vertical="center" wrapText="1"/>
    </xf>
    <xf numFmtId="43" fontId="4" fillId="3" borderId="9" xfId="7" applyNumberFormat="1" applyFont="1" applyFill="1" applyBorder="1" applyAlignment="1">
      <alignment horizontal="center" vertical="center" wrapText="1"/>
    </xf>
    <xf numFmtId="43" fontId="4" fillId="3" borderId="10" xfId="7" applyNumberFormat="1" applyFont="1" applyFill="1" applyBorder="1" applyAlignment="1">
      <alignment horizontal="center" vertical="center" wrapText="1"/>
    </xf>
    <xf numFmtId="2" fontId="4" fillId="3" borderId="9" xfId="8" applyNumberFormat="1" applyFont="1" applyFill="1" applyBorder="1" applyAlignment="1">
      <alignment horizontal="center" wrapText="1"/>
    </xf>
    <xf numFmtId="2" fontId="4" fillId="3" borderId="23" xfId="8" applyNumberFormat="1" applyFont="1" applyFill="1" applyBorder="1" applyAlignment="1">
      <alignment horizontal="center" wrapText="1"/>
    </xf>
    <xf numFmtId="2" fontId="4" fillId="3" borderId="10" xfId="8" applyNumberFormat="1" applyFont="1" applyFill="1" applyBorder="1" applyAlignment="1">
      <alignment horizontal="center" wrapText="1"/>
    </xf>
    <xf numFmtId="10" fontId="4" fillId="3" borderId="9" xfId="8" applyNumberFormat="1" applyFont="1" applyFill="1" applyBorder="1" applyAlignment="1">
      <alignment horizontal="center" wrapText="1"/>
    </xf>
    <xf numFmtId="10" fontId="4" fillId="3" borderId="23" xfId="8" applyNumberFormat="1" applyFont="1" applyFill="1" applyBorder="1" applyAlignment="1">
      <alignment horizontal="center" wrapText="1"/>
    </xf>
    <xf numFmtId="10" fontId="4" fillId="3" borderId="10" xfId="8" applyNumberFormat="1" applyFont="1" applyFill="1" applyBorder="1" applyAlignment="1">
      <alignment horizontal="center" wrapText="1"/>
    </xf>
    <xf numFmtId="167" fontId="4" fillId="3" borderId="14" xfId="2" applyNumberFormat="1" applyFont="1" applyFill="1" applyBorder="1" applyAlignment="1">
      <alignment horizontal="center" wrapText="1"/>
    </xf>
    <xf numFmtId="166" fontId="4" fillId="3" borderId="14" xfId="8" applyNumberFormat="1" applyFont="1" applyFill="1" applyBorder="1" applyAlignment="1">
      <alignment horizontal="center" wrapText="1"/>
    </xf>
    <xf numFmtId="2" fontId="4" fillId="3" borderId="25" xfId="2" applyNumberFormat="1" applyFont="1" applyFill="1" applyBorder="1" applyAlignment="1">
      <alignment horizontal="center" wrapText="1"/>
    </xf>
    <xf numFmtId="2" fontId="4" fillId="3" borderId="27" xfId="2" applyNumberFormat="1" applyFont="1" applyFill="1" applyBorder="1" applyAlignment="1">
      <alignment horizontal="center" wrapText="1"/>
    </xf>
    <xf numFmtId="2" fontId="4" fillId="3" borderId="26" xfId="2" applyNumberFormat="1" applyFont="1" applyFill="1" applyBorder="1" applyAlignment="1">
      <alignment horizontal="center" wrapText="1"/>
    </xf>
    <xf numFmtId="0" fontId="40" fillId="0" borderId="17" xfId="2" applyFont="1" applyFill="1" applyBorder="1" applyAlignment="1">
      <alignment horizontal="center" vertical="center" wrapText="1"/>
    </xf>
    <xf numFmtId="0" fontId="40" fillId="0" borderId="18" xfId="2" applyFont="1" applyFill="1" applyBorder="1" applyAlignment="1">
      <alignment horizontal="center" vertical="center" wrapText="1"/>
    </xf>
    <xf numFmtId="43" fontId="4" fillId="0" borderId="17" xfId="7" applyNumberFormat="1" applyFont="1" applyFill="1" applyBorder="1" applyAlignment="1">
      <alignment horizontal="center" vertical="center" wrapText="1"/>
    </xf>
    <xf numFmtId="43" fontId="4" fillId="0" borderId="18" xfId="7" applyNumberFormat="1" applyFont="1" applyFill="1" applyBorder="1" applyAlignment="1">
      <alignment horizontal="center" vertical="center" wrapText="1"/>
    </xf>
    <xf numFmtId="14" fontId="17" fillId="0" borderId="0" xfId="2" applyNumberFormat="1" applyFont="1" applyBorder="1" applyAlignment="1">
      <alignment horizontal="left" vertical="top" wrapText="1"/>
    </xf>
    <xf numFmtId="2" fontId="4" fillId="3" borderId="11" xfId="8" applyNumberFormat="1" applyFont="1" applyFill="1" applyBorder="1" applyAlignment="1">
      <alignment horizontal="center" wrapText="1"/>
    </xf>
    <xf numFmtId="2" fontId="4" fillId="3" borderId="5" xfId="8" applyNumberFormat="1" applyFont="1" applyFill="1" applyBorder="1" applyAlignment="1">
      <alignment horizontal="center" wrapText="1"/>
    </xf>
    <xf numFmtId="2" fontId="4" fillId="3" borderId="12" xfId="8" applyNumberFormat="1" applyFont="1" applyFill="1" applyBorder="1" applyAlignment="1">
      <alignment horizontal="center" wrapText="1"/>
    </xf>
    <xf numFmtId="2" fontId="4" fillId="3" borderId="13" xfId="2" applyNumberFormat="1" applyFont="1" applyFill="1" applyBorder="1" applyAlignment="1">
      <alignment horizontal="center" wrapText="1"/>
    </xf>
    <xf numFmtId="2" fontId="4" fillId="3" borderId="11" xfId="2" applyNumberFormat="1" applyFont="1" applyFill="1" applyBorder="1" applyAlignment="1">
      <alignment horizontal="center" wrapText="1"/>
    </xf>
    <xf numFmtId="2" fontId="4" fillId="3" borderId="5" xfId="2" applyNumberFormat="1" applyFont="1" applyFill="1" applyBorder="1" applyAlignment="1">
      <alignment horizontal="center" wrapText="1"/>
    </xf>
    <xf numFmtId="2" fontId="4" fillId="3" borderId="12" xfId="2" applyNumberFormat="1" applyFont="1" applyFill="1" applyBorder="1" applyAlignment="1">
      <alignment horizontal="center" wrapText="1"/>
    </xf>
    <xf numFmtId="10" fontId="4" fillId="3" borderId="11" xfId="8" applyNumberFormat="1" applyFont="1" applyFill="1" applyBorder="1" applyAlignment="1">
      <alignment horizontal="center" wrapText="1"/>
    </xf>
    <xf numFmtId="10" fontId="4" fillId="3" borderId="5" xfId="8" applyNumberFormat="1" applyFont="1" applyFill="1" applyBorder="1" applyAlignment="1">
      <alignment horizontal="center" wrapText="1"/>
    </xf>
    <xf numFmtId="10" fontId="4" fillId="3" borderId="12"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167" fontId="4" fillId="3" borderId="13" xfId="2" applyNumberFormat="1" applyFont="1" applyFill="1" applyBorder="1" applyAlignment="1">
      <alignment horizontal="center" wrapText="1"/>
    </xf>
    <xf numFmtId="166" fontId="4" fillId="3" borderId="13" xfId="8" applyNumberFormat="1" applyFont="1" applyFill="1" applyBorder="1" applyAlignment="1">
      <alignment horizontal="center" wrapText="1"/>
    </xf>
    <xf numFmtId="9" fontId="4" fillId="3" borderId="4" xfId="8" applyNumberFormat="1" applyFont="1" applyFill="1" applyBorder="1" applyAlignment="1">
      <alignment horizontal="center" wrapText="1"/>
    </xf>
    <xf numFmtId="2" fontId="4" fillId="0" borderId="17" xfId="2" applyNumberFormat="1" applyFont="1" applyFill="1" applyBorder="1" applyAlignment="1">
      <alignment horizontal="center" wrapText="1"/>
    </xf>
    <xf numFmtId="2" fontId="4" fillId="0" borderId="19" xfId="2" applyNumberFormat="1" applyFont="1" applyFill="1" applyBorder="1" applyAlignment="1">
      <alignment horizontal="center" wrapText="1"/>
    </xf>
    <xf numFmtId="2" fontId="4" fillId="0" borderId="18" xfId="2" applyNumberFormat="1" applyFont="1" applyFill="1" applyBorder="1" applyAlignment="1">
      <alignment horizontal="center" wrapText="1"/>
    </xf>
    <xf numFmtId="0" fontId="40" fillId="0" borderId="14" xfId="2" applyFont="1" applyFill="1" applyBorder="1" applyAlignment="1">
      <alignment horizontal="center" vertical="center" wrapText="1"/>
    </xf>
    <xf numFmtId="43" fontId="4" fillId="0" borderId="14" xfId="7" applyNumberFormat="1" applyFont="1" applyFill="1" applyBorder="1" applyAlignment="1">
      <alignment horizontal="center" vertical="center" wrapText="1"/>
    </xf>
    <xf numFmtId="2" fontId="4" fillId="0" borderId="9" xfId="8" applyNumberFormat="1" applyFont="1" applyFill="1" applyBorder="1" applyAlignment="1">
      <alignment horizontal="center" wrapText="1"/>
    </xf>
    <xf numFmtId="2" fontId="4" fillId="0" borderId="23" xfId="8" applyNumberFormat="1" applyFont="1" applyFill="1" applyBorder="1" applyAlignment="1">
      <alignment horizontal="center" wrapText="1"/>
    </xf>
    <xf numFmtId="2" fontId="4" fillId="0" borderId="10" xfId="8" applyNumberFormat="1" applyFont="1" applyFill="1" applyBorder="1" applyAlignment="1">
      <alignment horizontal="center" wrapText="1"/>
    </xf>
    <xf numFmtId="2" fontId="4" fillId="0" borderId="14" xfId="2" applyNumberFormat="1" applyFont="1" applyFill="1" applyBorder="1" applyAlignment="1">
      <alignment horizontal="center" wrapText="1"/>
    </xf>
    <xf numFmtId="2" fontId="4" fillId="0" borderId="9" xfId="2" applyNumberFormat="1" applyFont="1" applyFill="1" applyBorder="1" applyAlignment="1">
      <alignment horizontal="center" wrapText="1"/>
    </xf>
    <xf numFmtId="2" fontId="4" fillId="0" borderId="23" xfId="2" applyNumberFormat="1" applyFont="1" applyFill="1" applyBorder="1" applyAlignment="1">
      <alignment horizontal="center" wrapText="1"/>
    </xf>
    <xf numFmtId="2" fontId="4" fillId="0" borderId="10" xfId="2" applyNumberFormat="1" applyFont="1" applyFill="1" applyBorder="1" applyAlignment="1">
      <alignment horizontal="center" wrapText="1"/>
    </xf>
    <xf numFmtId="10" fontId="4" fillId="0" borderId="9" xfId="8" applyNumberFormat="1" applyFont="1" applyFill="1" applyBorder="1" applyAlignment="1">
      <alignment horizontal="center" wrapText="1"/>
    </xf>
    <xf numFmtId="10" fontId="4" fillId="0" borderId="23" xfId="8" applyNumberFormat="1" applyFont="1" applyFill="1" applyBorder="1" applyAlignment="1">
      <alignment horizontal="center" wrapText="1"/>
    </xf>
    <xf numFmtId="10" fontId="4" fillId="0" borderId="10" xfId="8" applyNumberFormat="1" applyFont="1" applyFill="1" applyBorder="1" applyAlignment="1">
      <alignment horizontal="center" wrapText="1"/>
    </xf>
    <xf numFmtId="10" fontId="4" fillId="0" borderId="17" xfId="8" applyNumberFormat="1" applyFont="1" applyFill="1" applyBorder="1" applyAlignment="1">
      <alignment horizontal="center" wrapText="1"/>
    </xf>
    <xf numFmtId="10" fontId="4" fillId="0" borderId="19" xfId="8" applyNumberFormat="1" applyFont="1" applyFill="1" applyBorder="1" applyAlignment="1">
      <alignment horizontal="center" wrapText="1"/>
    </xf>
    <xf numFmtId="10" fontId="4" fillId="0" borderId="18" xfId="8"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6" fontId="4" fillId="0" borderId="8" xfId="8" applyNumberFormat="1" applyFont="1" applyFill="1" applyBorder="1" applyAlignment="1">
      <alignment horizontal="center" wrapText="1"/>
    </xf>
    <xf numFmtId="166" fontId="4" fillId="0" borderId="7" xfId="8" applyNumberFormat="1" applyFont="1" applyFill="1" applyBorder="1" applyAlignment="1">
      <alignment horizontal="center" wrapText="1"/>
    </xf>
    <xf numFmtId="167" fontId="4" fillId="0" borderId="14" xfId="2" applyNumberFormat="1" applyFont="1" applyFill="1" applyBorder="1" applyAlignment="1">
      <alignment horizontal="center" wrapText="1"/>
    </xf>
    <xf numFmtId="166" fontId="4" fillId="0" borderId="14" xfId="8" applyNumberFormat="1" applyFont="1" applyFill="1" applyBorder="1" applyAlignment="1">
      <alignment horizontal="center" wrapText="1"/>
    </xf>
    <xf numFmtId="166" fontId="4" fillId="0" borderId="9" xfId="8" applyNumberFormat="1" applyFont="1" applyFill="1" applyBorder="1" applyAlignment="1">
      <alignment horizontal="center" wrapText="1"/>
    </xf>
    <xf numFmtId="166" fontId="4" fillId="0" borderId="23" xfId="8" applyNumberFormat="1" applyFont="1" applyFill="1" applyBorder="1" applyAlignment="1">
      <alignment horizontal="center" wrapText="1"/>
    </xf>
    <xf numFmtId="166" fontId="4" fillId="0" borderId="10" xfId="8" applyNumberFormat="1" applyFont="1" applyFill="1" applyBorder="1" applyAlignment="1">
      <alignment horizontal="center" wrapText="1"/>
    </xf>
    <xf numFmtId="2" fontId="4" fillId="3" borderId="24" xfId="2" applyNumberFormat="1" applyFont="1" applyFill="1" applyBorder="1" applyAlignment="1">
      <alignment horizontal="center" wrapText="1"/>
    </xf>
    <xf numFmtId="167" fontId="4" fillId="0" borderId="6" xfId="2" applyNumberFormat="1" applyFont="1" applyFill="1" applyBorder="1" applyAlignment="1">
      <alignment horizontal="center" wrapText="1"/>
    </xf>
    <xf numFmtId="167" fontId="4" fillId="0" borderId="8" xfId="2" applyNumberFormat="1" applyFont="1" applyFill="1" applyBorder="1" applyAlignment="1">
      <alignment horizontal="center" wrapText="1"/>
    </xf>
    <xf numFmtId="167" fontId="4" fillId="0" borderId="7" xfId="2" applyNumberFormat="1" applyFont="1" applyFill="1" applyBorder="1" applyAlignment="1">
      <alignment horizontal="center" wrapText="1"/>
    </xf>
    <xf numFmtId="0" fontId="45" fillId="5" borderId="6" xfId="2" applyFont="1" applyFill="1" applyBorder="1" applyAlignment="1">
      <alignment horizontal="center" vertical="center" wrapText="1"/>
    </xf>
    <xf numFmtId="0" fontId="45" fillId="5" borderId="8" xfId="2" applyFont="1" applyFill="1" applyBorder="1" applyAlignment="1">
      <alignment horizontal="center" vertical="center" wrapText="1"/>
    </xf>
    <xf numFmtId="0" fontId="45" fillId="5" borderId="7" xfId="2" applyFont="1" applyFill="1" applyBorder="1" applyAlignment="1">
      <alignment horizontal="center" vertical="center" wrapText="1"/>
    </xf>
    <xf numFmtId="43" fontId="4" fillId="3" borderId="4" xfId="7" applyNumberFormat="1" applyFont="1" applyFill="1" applyBorder="1" applyAlignment="1">
      <alignment horizontal="center" vertical="center" wrapText="1"/>
    </xf>
    <xf numFmtId="0" fontId="40" fillId="3" borderId="4" xfId="2" applyFont="1" applyFill="1" applyBorder="1" applyAlignment="1">
      <alignment horizontal="center" vertical="center" wrapText="1"/>
    </xf>
    <xf numFmtId="0" fontId="45" fillId="5" borderId="13" xfId="2" applyFont="1" applyFill="1" applyBorder="1" applyAlignment="1">
      <alignment horizontal="center" vertical="center" wrapText="1"/>
    </xf>
    <xf numFmtId="0" fontId="45" fillId="5" borderId="14" xfId="2" applyFont="1" applyFill="1" applyBorder="1" applyAlignment="1">
      <alignment horizontal="center" vertical="center" wrapText="1"/>
    </xf>
    <xf numFmtId="43" fontId="4" fillId="0" borderId="6" xfId="7" applyNumberFormat="1" applyFont="1" applyFill="1" applyBorder="1" applyAlignment="1">
      <alignment horizontal="center" vertical="center" wrapText="1"/>
    </xf>
    <xf numFmtId="43" fontId="4" fillId="0" borderId="7" xfId="7" applyNumberFormat="1" applyFont="1" applyFill="1" applyBorder="1" applyAlignment="1">
      <alignment horizontal="center" vertical="center" wrapText="1"/>
    </xf>
    <xf numFmtId="43" fontId="4" fillId="6" borderId="6" xfId="7" applyNumberFormat="1" applyFont="1" applyFill="1" applyBorder="1" applyAlignment="1">
      <alignment horizontal="center" vertical="center" wrapText="1"/>
    </xf>
    <xf numFmtId="43" fontId="4" fillId="6" borderId="7" xfId="7" applyNumberFormat="1" applyFont="1" applyFill="1" applyBorder="1" applyAlignment="1">
      <alignment horizontal="center" vertical="center" wrapText="1"/>
    </xf>
    <xf numFmtId="43" fontId="4" fillId="0" borderId="9" xfId="7" applyNumberFormat="1" applyFont="1" applyFill="1" applyBorder="1" applyAlignment="1">
      <alignment horizontal="center" vertical="center" wrapText="1"/>
    </xf>
    <xf numFmtId="43" fontId="4" fillId="0" borderId="10" xfId="7" applyNumberFormat="1" applyFont="1" applyFill="1" applyBorder="1" applyAlignment="1">
      <alignment horizontal="center" vertical="center" wrapText="1"/>
    </xf>
    <xf numFmtId="0" fontId="46" fillId="5" borderId="6" xfId="2" applyFont="1" applyFill="1" applyBorder="1" applyAlignment="1">
      <alignment horizontal="center" vertical="center"/>
    </xf>
    <xf numFmtId="0" fontId="46" fillId="5" borderId="8" xfId="2" applyFont="1" applyFill="1" applyBorder="1" applyAlignment="1">
      <alignment horizontal="center" vertical="center"/>
    </xf>
    <xf numFmtId="0" fontId="46" fillId="5" borderId="7" xfId="2" applyFont="1" applyFill="1" applyBorder="1" applyAlignment="1">
      <alignment horizontal="center" vertical="center"/>
    </xf>
    <xf numFmtId="167" fontId="4" fillId="6" borderId="6" xfId="2" applyNumberFormat="1" applyFont="1" applyFill="1" applyBorder="1" applyAlignment="1">
      <alignment horizontal="center" wrapText="1"/>
    </xf>
    <xf numFmtId="167" fontId="4" fillId="6" borderId="8" xfId="2" applyNumberFormat="1" applyFont="1" applyFill="1" applyBorder="1" applyAlignment="1">
      <alignment horizontal="center" wrapText="1"/>
    </xf>
    <xf numFmtId="167" fontId="4" fillId="6" borderId="7" xfId="2" applyNumberFormat="1" applyFont="1" applyFill="1" applyBorder="1" applyAlignment="1">
      <alignment horizontal="center" wrapText="1"/>
    </xf>
    <xf numFmtId="0" fontId="40" fillId="0" borderId="6" xfId="2" applyFont="1" applyFill="1" applyBorder="1" applyAlignment="1">
      <alignment horizontal="center" vertical="center" wrapText="1"/>
    </xf>
    <xf numFmtId="0" fontId="40" fillId="0" borderId="7" xfId="2" applyFont="1" applyFill="1" applyBorder="1" applyAlignment="1">
      <alignment horizontal="center" vertical="center" wrapText="1"/>
    </xf>
    <xf numFmtId="0" fontId="40" fillId="6" borderId="6" xfId="2" applyFont="1" applyFill="1" applyBorder="1" applyAlignment="1">
      <alignment horizontal="center" vertical="center" wrapText="1"/>
    </xf>
    <xf numFmtId="0" fontId="40" fillId="6" borderId="7" xfId="2" applyFont="1" applyFill="1" applyBorder="1" applyAlignment="1">
      <alignment horizontal="center" vertical="center" wrapText="1"/>
    </xf>
    <xf numFmtId="2" fontId="40" fillId="0" borderId="6" xfId="2" applyNumberFormat="1" applyFont="1" applyFill="1" applyBorder="1" applyAlignment="1">
      <alignment horizontal="center" vertical="center" wrapText="1"/>
    </xf>
    <xf numFmtId="0" fontId="46" fillId="5" borderId="11" xfId="2" applyFont="1" applyFill="1" applyBorder="1" applyAlignment="1">
      <alignment horizontal="center" vertical="center"/>
    </xf>
    <xf numFmtId="0" fontId="46" fillId="5" borderId="12" xfId="2" applyFont="1" applyFill="1" applyBorder="1" applyAlignment="1">
      <alignment horizontal="center" vertical="center"/>
    </xf>
    <xf numFmtId="0" fontId="46" fillId="5" borderId="9" xfId="2" applyFont="1" applyFill="1" applyBorder="1" applyAlignment="1">
      <alignment horizontal="center" vertical="center"/>
    </xf>
    <xf numFmtId="0" fontId="46" fillId="5" borderId="10" xfId="2" applyFont="1" applyFill="1" applyBorder="1" applyAlignment="1">
      <alignment horizontal="center" vertical="center"/>
    </xf>
    <xf numFmtId="166" fontId="4" fillId="6" borderId="6" xfId="8" applyNumberFormat="1" applyFont="1" applyFill="1" applyBorder="1" applyAlignment="1">
      <alignment horizontal="center" wrapText="1"/>
    </xf>
    <xf numFmtId="166" fontId="4" fillId="6" borderId="8" xfId="8" applyNumberFormat="1" applyFont="1" applyFill="1" applyBorder="1" applyAlignment="1">
      <alignment horizontal="center" wrapText="1"/>
    </xf>
    <xf numFmtId="166" fontId="4" fillId="6" borderId="7" xfId="8" applyNumberFormat="1" applyFont="1" applyFill="1" applyBorder="1" applyAlignment="1">
      <alignment horizontal="center" wrapText="1"/>
    </xf>
    <xf numFmtId="0" fontId="46" fillId="5" borderId="13" xfId="2" applyFont="1" applyFill="1" applyBorder="1" applyAlignment="1">
      <alignment horizontal="center" vertical="center"/>
    </xf>
    <xf numFmtId="0" fontId="46" fillId="5" borderId="14" xfId="2" applyFont="1" applyFill="1" applyBorder="1" applyAlignment="1">
      <alignment horizontal="center" vertical="center"/>
    </xf>
    <xf numFmtId="10" fontId="4" fillId="6" borderId="6" xfId="8" applyNumberFormat="1" applyFont="1" applyFill="1" applyBorder="1" applyAlignment="1">
      <alignment horizontal="center" wrapText="1"/>
    </xf>
    <xf numFmtId="10" fontId="4" fillId="6" borderId="8" xfId="8" applyNumberFormat="1" applyFont="1" applyFill="1" applyBorder="1" applyAlignment="1">
      <alignment horizontal="center" wrapText="1"/>
    </xf>
    <xf numFmtId="10" fontId="4" fillId="6" borderId="7" xfId="8" applyNumberFormat="1" applyFont="1" applyFill="1" applyBorder="1" applyAlignment="1">
      <alignment horizontal="center" wrapText="1"/>
    </xf>
    <xf numFmtId="2" fontId="4" fillId="6" borderId="6" xfId="2" applyNumberFormat="1" applyFont="1" applyFill="1" applyBorder="1" applyAlignment="1">
      <alignment horizontal="center" wrapText="1"/>
    </xf>
    <xf numFmtId="2" fontId="4" fillId="6" borderId="8" xfId="2" applyNumberFormat="1" applyFont="1" applyFill="1" applyBorder="1" applyAlignment="1">
      <alignment horizontal="center" wrapText="1"/>
    </xf>
    <xf numFmtId="2" fontId="4" fillId="6" borderId="7" xfId="2" applyNumberFormat="1" applyFont="1" applyFill="1" applyBorder="1" applyAlignment="1">
      <alignment horizontal="center" wrapText="1"/>
    </xf>
    <xf numFmtId="2" fontId="4" fillId="6" borderId="6" xfId="8" applyNumberFormat="1" applyFont="1" applyFill="1" applyBorder="1" applyAlignment="1">
      <alignment horizontal="center" wrapText="1"/>
    </xf>
    <xf numFmtId="2" fontId="4" fillId="6" borderId="8" xfId="8" applyNumberFormat="1" applyFont="1" applyFill="1" applyBorder="1" applyAlignment="1">
      <alignment horizontal="center" wrapText="1"/>
    </xf>
    <xf numFmtId="2" fontId="4" fillId="6" borderId="7" xfId="8" applyNumberFormat="1" applyFont="1" applyFill="1" applyBorder="1" applyAlignment="1">
      <alignment horizontal="center" wrapText="1"/>
    </xf>
    <xf numFmtId="0" fontId="45" fillId="8" borderId="6" xfId="2" applyFont="1" applyFill="1" applyBorder="1" applyAlignment="1">
      <alignment horizontal="center" vertical="center" wrapText="1"/>
    </xf>
    <xf numFmtId="0" fontId="45" fillId="8" borderId="8" xfId="2" applyFont="1" applyFill="1" applyBorder="1" applyAlignment="1">
      <alignment horizontal="center" vertical="center" wrapText="1"/>
    </xf>
    <xf numFmtId="0" fontId="45" fillId="8" borderId="7" xfId="2" applyFont="1" applyFill="1" applyBorder="1" applyAlignment="1">
      <alignment horizontal="center" vertical="center" wrapText="1"/>
    </xf>
    <xf numFmtId="166" fontId="4" fillId="3" borderId="24" xfId="8" applyNumberFormat="1" applyFont="1" applyFill="1" applyBorder="1" applyAlignment="1">
      <alignment horizontal="center" wrapText="1"/>
    </xf>
    <xf numFmtId="167" fontId="4" fillId="3" borderId="24" xfId="2" applyNumberFormat="1" applyFont="1" applyFill="1" applyBorder="1" applyAlignment="1">
      <alignment horizontal="center" wrapText="1"/>
    </xf>
    <xf numFmtId="2" fontId="4" fillId="3" borderId="25" xfId="8" applyNumberFormat="1" applyFont="1" applyFill="1" applyBorder="1" applyAlignment="1">
      <alignment horizontal="center" wrapText="1"/>
    </xf>
    <xf numFmtId="2" fontId="4" fillId="3" borderId="27" xfId="8" applyNumberFormat="1" applyFont="1" applyFill="1" applyBorder="1" applyAlignment="1">
      <alignment horizontal="center" wrapText="1"/>
    </xf>
    <xf numFmtId="2" fontId="4" fillId="3" borderId="26" xfId="8" applyNumberFormat="1" applyFont="1" applyFill="1" applyBorder="1" applyAlignment="1">
      <alignment horizontal="center" wrapText="1"/>
    </xf>
    <xf numFmtId="166" fontId="4" fillId="0" borderId="24" xfId="8" applyNumberFormat="1" applyFont="1" applyFill="1" applyBorder="1" applyAlignment="1">
      <alignment horizontal="center" wrapText="1"/>
    </xf>
    <xf numFmtId="2" fontId="4" fillId="0" borderId="24" xfId="2" applyNumberFormat="1" applyFont="1" applyFill="1" applyBorder="1" applyAlignment="1">
      <alignment horizontal="center" wrapText="1"/>
    </xf>
    <xf numFmtId="2" fontId="4" fillId="0" borderId="25" xfId="2" applyNumberFormat="1" applyFont="1" applyFill="1" applyBorder="1" applyAlignment="1">
      <alignment horizontal="center" wrapText="1"/>
    </xf>
    <xf numFmtId="2" fontId="4" fillId="0" borderId="27" xfId="2" applyNumberFormat="1" applyFont="1" applyFill="1" applyBorder="1" applyAlignment="1">
      <alignment horizontal="center" wrapText="1"/>
    </xf>
    <xf numFmtId="2" fontId="4" fillId="0" borderId="26" xfId="2" applyNumberFormat="1" applyFont="1" applyFill="1" applyBorder="1" applyAlignment="1">
      <alignment horizontal="center" wrapText="1"/>
    </xf>
    <xf numFmtId="167" fontId="4" fillId="0" borderId="24" xfId="2" applyNumberFormat="1" applyFont="1" applyFill="1" applyBorder="1" applyAlignment="1">
      <alignment horizontal="center" wrapText="1"/>
    </xf>
    <xf numFmtId="2" fontId="4" fillId="3" borderId="4" xfId="8" applyNumberFormat="1" applyFont="1" applyFill="1" applyBorder="1" applyAlignment="1">
      <alignment horizontal="center" wrapText="1"/>
    </xf>
    <xf numFmtId="9" fontId="4" fillId="3" borderId="24" xfId="8" applyNumberFormat="1" applyFont="1" applyFill="1" applyBorder="1" applyAlignment="1">
      <alignment horizontal="center" wrapText="1"/>
    </xf>
    <xf numFmtId="166" fontId="4" fillId="3" borderId="25" xfId="8" applyNumberFormat="1" applyFont="1" applyFill="1" applyBorder="1" applyAlignment="1">
      <alignment horizontal="center" wrapText="1"/>
    </xf>
    <xf numFmtId="166" fontId="4" fillId="3" borderId="27" xfId="8" applyNumberFormat="1" applyFont="1" applyFill="1" applyBorder="1" applyAlignment="1">
      <alignment horizontal="center" wrapText="1"/>
    </xf>
    <xf numFmtId="166" fontId="4" fillId="3" borderId="26" xfId="8" applyNumberFormat="1" applyFont="1" applyFill="1" applyBorder="1" applyAlignment="1">
      <alignment horizontal="center" wrapText="1"/>
    </xf>
    <xf numFmtId="2" fontId="4" fillId="3" borderId="24" xfId="8" applyNumberFormat="1" applyFont="1" applyFill="1" applyBorder="1" applyAlignment="1">
      <alignment horizontal="center" wrapText="1"/>
    </xf>
    <xf numFmtId="10" fontId="4" fillId="3" borderId="25" xfId="8" applyNumberFormat="1" applyFont="1" applyFill="1" applyBorder="1" applyAlignment="1">
      <alignment horizontal="center" wrapText="1"/>
    </xf>
    <xf numFmtId="10" fontId="4" fillId="3" borderId="27" xfId="8" applyNumberFormat="1" applyFont="1" applyFill="1" applyBorder="1" applyAlignment="1">
      <alignment horizontal="center" wrapText="1"/>
    </xf>
    <xf numFmtId="10" fontId="4" fillId="3" borderId="26" xfId="8" applyNumberFormat="1" applyFont="1" applyFill="1" applyBorder="1" applyAlignment="1">
      <alignment horizontal="center" wrapText="1"/>
    </xf>
    <xf numFmtId="166" fontId="4" fillId="3" borderId="11" xfId="8" applyNumberFormat="1" applyFont="1" applyFill="1" applyBorder="1" applyAlignment="1">
      <alignment horizontal="center" wrapText="1"/>
    </xf>
    <xf numFmtId="166" fontId="4" fillId="3" borderId="5" xfId="8" applyNumberFormat="1" applyFont="1" applyFill="1" applyBorder="1" applyAlignment="1">
      <alignment horizontal="center" wrapText="1"/>
    </xf>
    <xf numFmtId="166" fontId="4" fillId="3" borderId="12" xfId="8" applyNumberFormat="1" applyFont="1" applyFill="1" applyBorder="1" applyAlignment="1">
      <alignment horizontal="center" wrapText="1"/>
    </xf>
    <xf numFmtId="9" fontId="4" fillId="3" borderId="11" xfId="8" applyNumberFormat="1" applyFont="1" applyFill="1" applyBorder="1" applyAlignment="1">
      <alignment horizontal="center" wrapText="1"/>
    </xf>
    <xf numFmtId="9" fontId="4" fillId="3" borderId="5" xfId="8" applyNumberFormat="1" applyFont="1" applyFill="1" applyBorder="1" applyAlignment="1">
      <alignment horizontal="center" wrapText="1"/>
    </xf>
    <xf numFmtId="9" fontId="4" fillId="3" borderId="12" xfId="8" applyNumberFormat="1" applyFont="1" applyFill="1" applyBorder="1" applyAlignment="1">
      <alignment horizontal="center" wrapText="1"/>
    </xf>
    <xf numFmtId="2" fontId="22" fillId="6" borderId="0" xfId="2" applyNumberFormat="1" applyFont="1" applyFill="1" applyBorder="1" applyAlignment="1">
      <alignment horizontal="center" wrapText="1"/>
    </xf>
    <xf numFmtId="9" fontId="4" fillId="3" borderId="13" xfId="8" applyNumberFormat="1" applyFont="1" applyFill="1" applyBorder="1" applyAlignment="1">
      <alignment horizontal="center" wrapText="1"/>
    </xf>
    <xf numFmtId="2" fontId="22" fillId="0" borderId="0" xfId="2" applyNumberFormat="1" applyFont="1" applyFill="1" applyBorder="1" applyAlignment="1">
      <alignment horizontal="center" wrapText="1"/>
    </xf>
    <xf numFmtId="10" fontId="4" fillId="0" borderId="25" xfId="8" applyNumberFormat="1" applyFont="1" applyFill="1" applyBorder="1" applyAlignment="1">
      <alignment horizontal="center" wrapText="1"/>
    </xf>
    <xf numFmtId="10" fontId="4" fillId="0" borderId="27" xfId="8" applyNumberFormat="1" applyFont="1" applyFill="1" applyBorder="1" applyAlignment="1">
      <alignment horizontal="center" wrapText="1"/>
    </xf>
    <xf numFmtId="10" fontId="4" fillId="0" borderId="26" xfId="8" applyNumberFormat="1" applyFont="1" applyFill="1" applyBorder="1" applyAlignment="1">
      <alignment horizontal="center" wrapText="1"/>
    </xf>
    <xf numFmtId="2" fontId="4" fillId="0" borderId="25" xfId="8" applyNumberFormat="1" applyFont="1" applyFill="1" applyBorder="1" applyAlignment="1">
      <alignment horizontal="center" wrapText="1"/>
    </xf>
    <xf numFmtId="2" fontId="4" fillId="0" borderId="27" xfId="8" applyNumberFormat="1" applyFont="1" applyFill="1" applyBorder="1" applyAlignment="1">
      <alignment horizontal="center" wrapText="1"/>
    </xf>
    <xf numFmtId="2" fontId="4" fillId="0" borderId="26" xfId="8" applyNumberFormat="1" applyFont="1" applyFill="1" applyBorder="1" applyAlignment="1">
      <alignment horizontal="center" wrapText="1"/>
    </xf>
    <xf numFmtId="0" fontId="40" fillId="3" borderId="24" xfId="2" applyFont="1" applyFill="1" applyBorder="1" applyAlignment="1">
      <alignment horizontal="center" vertical="center" wrapText="1"/>
    </xf>
    <xf numFmtId="0" fontId="40" fillId="0" borderId="24" xfId="2" applyFont="1" applyFill="1" applyBorder="1" applyAlignment="1">
      <alignment horizontal="center" vertical="center" wrapText="1"/>
    </xf>
    <xf numFmtId="43" fontId="4" fillId="3" borderId="24" xfId="7" applyNumberFormat="1" applyFont="1" applyFill="1" applyBorder="1" applyAlignment="1">
      <alignment horizontal="center" vertical="center" wrapText="1"/>
    </xf>
    <xf numFmtId="0" fontId="40" fillId="3" borderId="13" xfId="2" applyFont="1" applyFill="1" applyBorder="1" applyAlignment="1">
      <alignment horizontal="center" vertical="center" wrapText="1"/>
    </xf>
    <xf numFmtId="0" fontId="45" fillId="5" borderId="4" xfId="2" applyFont="1" applyFill="1" applyBorder="1" applyAlignment="1">
      <alignment horizontal="center" vertical="center" wrapText="1"/>
    </xf>
    <xf numFmtId="2" fontId="30" fillId="4" borderId="8" xfId="0" applyNumberFormat="1" applyFont="1" applyFill="1" applyBorder="1" applyAlignment="1">
      <alignment horizontal="left" vertical="center"/>
    </xf>
    <xf numFmtId="2" fontId="30" fillId="4" borderId="7" xfId="0" applyNumberFormat="1" applyFont="1" applyFill="1" applyBorder="1" applyAlignment="1">
      <alignment horizontal="left" vertical="center"/>
    </xf>
    <xf numFmtId="43" fontId="4" fillId="3" borderId="13" xfId="7" applyNumberFormat="1" applyFont="1" applyFill="1" applyBorder="1" applyAlignment="1">
      <alignment horizontal="center" vertical="center" wrapText="1"/>
    </xf>
    <xf numFmtId="43" fontId="4" fillId="3" borderId="25" xfId="7" applyNumberFormat="1" applyFont="1" applyFill="1" applyBorder="1" applyAlignment="1">
      <alignment horizontal="center" vertical="center" wrapText="1"/>
    </xf>
    <xf numFmtId="43" fontId="4" fillId="3" borderId="26" xfId="7" applyNumberFormat="1" applyFont="1" applyFill="1" applyBorder="1" applyAlignment="1">
      <alignment horizontal="center" vertical="center" wrapText="1"/>
    </xf>
    <xf numFmtId="43" fontId="4" fillId="0" borderId="25" xfId="7" applyNumberFormat="1" applyFont="1" applyFill="1" applyBorder="1" applyAlignment="1">
      <alignment horizontal="center" vertical="center" wrapText="1"/>
    </xf>
    <xf numFmtId="43" fontId="4" fillId="0" borderId="26" xfId="7" applyNumberFormat="1" applyFont="1" applyFill="1" applyBorder="1" applyAlignment="1">
      <alignment horizontal="center" vertical="center" wrapText="1"/>
    </xf>
    <xf numFmtId="0" fontId="28" fillId="0" borderId="0" xfId="2" applyFont="1" applyFill="1" applyBorder="1" applyAlignment="1">
      <alignment horizontal="left" vertical="top" wrapText="1"/>
    </xf>
    <xf numFmtId="0" fontId="46" fillId="5" borderId="5" xfId="2" applyFont="1" applyFill="1" applyBorder="1" applyAlignment="1">
      <alignment horizontal="center" vertical="center"/>
    </xf>
    <xf numFmtId="2" fontId="4" fillId="0" borderId="14" xfId="8" applyNumberFormat="1" applyFont="1" applyFill="1" applyBorder="1" applyAlignment="1">
      <alignment horizontal="center" wrapText="1"/>
    </xf>
    <xf numFmtId="2" fontId="40" fillId="0" borderId="4" xfId="2" applyNumberFormat="1" applyFont="1" applyFill="1" applyBorder="1" applyAlignment="1">
      <alignment horizontal="center" vertical="center" wrapText="1"/>
    </xf>
    <xf numFmtId="2" fontId="4" fillId="3" borderId="13" xfId="8" applyNumberFormat="1" applyFont="1" applyFill="1" applyBorder="1" applyAlignment="1">
      <alignment horizontal="center" wrapText="1"/>
    </xf>
    <xf numFmtId="2" fontId="40" fillId="3" borderId="13" xfId="2" applyNumberFormat="1" applyFont="1" applyFill="1" applyBorder="1" applyAlignment="1">
      <alignment horizontal="center" vertical="center" wrapText="1"/>
    </xf>
    <xf numFmtId="0" fontId="53" fillId="0" borderId="15" xfId="2" applyFont="1" applyFill="1" applyBorder="1" applyAlignment="1">
      <alignment horizontal="center" vertical="center"/>
    </xf>
    <xf numFmtId="0" fontId="53" fillId="0" borderId="1" xfId="2" applyFont="1" applyFill="1" applyBorder="1" applyAlignment="1">
      <alignment horizontal="center" vertical="center"/>
    </xf>
    <xf numFmtId="0" fontId="53" fillId="0" borderId="21" xfId="2" applyFont="1" applyFill="1" applyBorder="1" applyAlignment="1">
      <alignment horizontal="center" vertical="center"/>
    </xf>
    <xf numFmtId="0" fontId="50" fillId="0" borderId="0" xfId="0" applyFont="1" applyFill="1" applyBorder="1" applyAlignment="1">
      <alignment horizontal="justify"/>
    </xf>
    <xf numFmtId="0" fontId="50" fillId="0" borderId="20" xfId="0" applyFont="1" applyFill="1" applyBorder="1" applyAlignment="1">
      <alignment horizontal="justify"/>
    </xf>
    <xf numFmtId="0" fontId="14" fillId="0" borderId="0" xfId="0" applyFont="1" applyAlignment="1">
      <alignment horizontal="left"/>
    </xf>
    <xf numFmtId="0" fontId="11" fillId="0" borderId="0" xfId="2" applyFont="1" applyFill="1" applyBorder="1" applyAlignment="1">
      <alignment horizontal="left" vertical="center" wrapText="1"/>
    </xf>
    <xf numFmtId="0" fontId="14" fillId="0" borderId="0" xfId="0" applyFont="1" applyAlignment="1">
      <alignment horizontal="left" wrapText="1"/>
    </xf>
    <xf numFmtId="168" fontId="14" fillId="0" borderId="0" xfId="0" applyNumberFormat="1" applyFont="1" applyAlignment="1">
      <alignment horizontal="left" wrapText="1"/>
    </xf>
    <xf numFmtId="170" fontId="14" fillId="0" borderId="0" xfId="0" applyNumberFormat="1" applyFont="1" applyAlignment="1">
      <alignment horizontal="left" wrapText="1"/>
    </xf>
    <xf numFmtId="0" fontId="31" fillId="0" borderId="0" xfId="0" applyFont="1" applyAlignment="1">
      <alignment horizontal="left"/>
    </xf>
    <xf numFmtId="168" fontId="14" fillId="0" borderId="0" xfId="0" applyNumberFormat="1" applyFont="1" applyAlignment="1">
      <alignment horizontal="left"/>
    </xf>
    <xf numFmtId="170" fontId="31" fillId="0" borderId="0" xfId="0" applyNumberFormat="1" applyFont="1" applyAlignment="1">
      <alignment horizontal="left"/>
    </xf>
    <xf numFmtId="0" fontId="50" fillId="0" borderId="0" xfId="0" applyFont="1" applyFill="1" applyAlignment="1">
      <alignment horizontal="center"/>
    </xf>
    <xf numFmtId="0" fontId="17" fillId="0" borderId="0" xfId="2" applyFont="1" applyBorder="1" applyAlignment="1">
      <alignment horizontal="left" vertical="center"/>
    </xf>
    <xf numFmtId="0" fontId="17" fillId="0" borderId="1" xfId="2" applyFont="1" applyBorder="1" applyAlignment="1">
      <alignment horizontal="left" vertical="center"/>
    </xf>
    <xf numFmtId="0" fontId="39" fillId="0" borderId="0" xfId="2" applyFont="1" applyBorder="1" applyAlignment="1">
      <alignment horizontal="justify" vertical="top" wrapText="1"/>
    </xf>
    <xf numFmtId="0" fontId="45" fillId="0" borderId="0" xfId="2" applyFont="1" applyFill="1" applyBorder="1" applyAlignment="1">
      <alignment horizontal="center" vertical="top" wrapText="1"/>
    </xf>
    <xf numFmtId="0" fontId="62" fillId="0" borderId="0" xfId="2" applyFont="1" applyBorder="1"/>
    <xf numFmtId="2" fontId="62" fillId="0" borderId="0" xfId="2" applyNumberFormat="1" applyFont="1" applyFill="1" applyBorder="1" applyAlignment="1">
      <alignment wrapText="1"/>
    </xf>
  </cellXfs>
  <cellStyles count="10">
    <cellStyle name="Euro" xfId="5"/>
    <cellStyle name="Hipervínculo" xfId="9" builtinId="8"/>
    <cellStyle name="Millares" xfId="7" builtinId="3"/>
    <cellStyle name="Millares 2" xfId="3"/>
    <cellStyle name="Moneda" xfId="1" builtinId="4"/>
    <cellStyle name="Normal" xfId="0" builtinId="0"/>
    <cellStyle name="Normal 2" xfId="2"/>
    <cellStyle name="Normal 3" xfId="6"/>
    <cellStyle name="Porcentaje" xfId="8" builtinId="5"/>
    <cellStyle name="Porcentual 2" xfId="4"/>
  </cellStyles>
  <dxfs count="0"/>
  <tableStyles count="0" defaultTableStyle="TableStyleMedium2" defaultPivotStyle="PivotStyleLight16"/>
  <colors>
    <mruColors>
      <color rgb="FF6600FF"/>
      <color rgb="FFFFFF00"/>
      <color rgb="FFFF33CC"/>
      <color rgb="FF684F87"/>
      <color rgb="FF9966FF"/>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4" name="3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34552" y="383382"/>
          <a:ext cx="155448" cy="160211"/>
        </a:xfrm>
        <a:prstGeom prst="rect">
          <a:avLst/>
        </a:prstGeom>
      </xdr:spPr>
    </xdr:pic>
    <xdr:clientData/>
  </xdr:twoCellAnchor>
  <xdr:twoCellAnchor editAs="oneCell">
    <xdr:from>
      <xdr:col>64</xdr:col>
      <xdr:colOff>19052</xdr:colOff>
      <xdr:row>2</xdr:row>
      <xdr:rowOff>38101</xdr:rowOff>
    </xdr:from>
    <xdr:to>
      <xdr:col>65</xdr:col>
      <xdr:colOff>55437</xdr:colOff>
      <xdr:row>3</xdr:row>
      <xdr:rowOff>31624</xdr:rowOff>
    </xdr:to>
    <xdr:pic>
      <xdr:nvPicPr>
        <xdr:cNvPr id="6" name="5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734802" y="371476"/>
          <a:ext cx="155448" cy="160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158879" y="9679083"/>
          <a:ext cx="4461621" cy="5849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24075" y="8991600"/>
          <a:ext cx="19335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5" name="4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24075" y="8991600"/>
          <a:ext cx="19335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123825</xdr:colOff>
      <xdr:row>38</xdr:row>
      <xdr:rowOff>28575</xdr:rowOff>
    </xdr:from>
    <xdr:to>
      <xdr:col>8</xdr:col>
      <xdr:colOff>93356</xdr:colOff>
      <xdr:row>38</xdr:row>
      <xdr:rowOff>150506</xdr:rowOff>
    </xdr:to>
    <xdr:pic>
      <xdr:nvPicPr>
        <xdr:cNvPr id="13" name="12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733550" y="6200775"/>
          <a:ext cx="121931" cy="121931"/>
        </a:xfrm>
        <a:prstGeom prst="rect">
          <a:avLst/>
        </a:prstGeom>
      </xdr:spPr>
    </xdr:pic>
    <xdr:clientData/>
  </xdr:twoCellAnchor>
  <xdr:twoCellAnchor editAs="oneCell">
    <xdr:from>
      <xdr:col>18</xdr:col>
      <xdr:colOff>161925</xdr:colOff>
      <xdr:row>38</xdr:row>
      <xdr:rowOff>19050</xdr:rowOff>
    </xdr:from>
    <xdr:to>
      <xdr:col>19</xdr:col>
      <xdr:colOff>64781</xdr:colOff>
      <xdr:row>38</xdr:row>
      <xdr:rowOff>140981</xdr:rowOff>
    </xdr:to>
    <xdr:pic>
      <xdr:nvPicPr>
        <xdr:cNvPr id="14" name="1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4057650" y="6191250"/>
          <a:ext cx="121931"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15" name="14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286126" y="7820025"/>
          <a:ext cx="277821" cy="276040"/>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16" name="15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38675" y="7829550"/>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17" name="16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24549" y="7830966"/>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18" name="17 Rectángulo">
          <a:hlinkClick xmlns:r="http://schemas.openxmlformats.org/officeDocument/2006/relationships" r:id="rId9"/>
        </xdr:cNvPr>
        <xdr:cNvSpPr/>
      </xdr:nvSpPr>
      <xdr:spPr>
        <a:xfrm>
          <a:off x="3267075" y="4953000"/>
          <a:ext cx="2857500"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19" name="18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6219825" y="6200775"/>
          <a:ext cx="121931" cy="121931"/>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mgasparoli@invertironline.com" TargetMode="External"/><Relationship Id="rId4"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EJ425"/>
  <sheetViews>
    <sheetView tabSelected="1" view="pageBreakPreview" zoomScale="85" zoomScaleNormal="100" zoomScaleSheetLayoutView="85" workbookViewId="0">
      <pane ySplit="13" topLeftCell="A14" activePane="bottomLeft" state="frozen"/>
      <selection activeCell="AT20" sqref="AT20"/>
      <selection pane="bottomLeft" activeCell="CB18" sqref="CB18"/>
    </sheetView>
  </sheetViews>
  <sheetFormatPr baseColWidth="10" defaultRowHeight="12.75" x14ac:dyDescent="0.2"/>
  <cols>
    <col min="1" max="1" width="3.140625" style="31" customWidth="1"/>
    <col min="2" max="2" width="3.85546875" style="31" customWidth="1"/>
    <col min="3" max="3" width="3" style="31" customWidth="1"/>
    <col min="4" max="4" width="3.7109375" style="31" customWidth="1"/>
    <col min="5" max="5" width="4.7109375" style="31" customWidth="1"/>
    <col min="6" max="6" width="2.140625" style="31" customWidth="1"/>
    <col min="7" max="7" width="1.5703125" style="31" customWidth="1"/>
    <col min="8" max="8" width="2.28515625" style="31" customWidth="1"/>
    <col min="9" max="10" width="2.140625" style="31" customWidth="1"/>
    <col min="11" max="11" width="5.85546875" style="31" customWidth="1"/>
    <col min="12" max="12" width="2.140625" style="31" customWidth="1"/>
    <col min="13" max="13" width="1.85546875" style="31" customWidth="1"/>
    <col min="14" max="14" width="1.28515625" style="31" customWidth="1"/>
    <col min="15" max="16" width="2.140625" style="31" customWidth="1"/>
    <col min="17" max="17" width="1.5703125" style="31" customWidth="1"/>
    <col min="18" max="18" width="3" style="31" customWidth="1"/>
    <col min="19" max="19" width="1.5703125" style="32" customWidth="1"/>
    <col min="20" max="20" width="1" style="31" customWidth="1"/>
    <col min="21" max="21" width="2.140625" style="31" customWidth="1"/>
    <col min="22" max="22" width="0.5703125" style="31" customWidth="1"/>
    <col min="23" max="24" width="1.5703125" style="31" customWidth="1"/>
    <col min="25" max="25" width="1.85546875" style="31" customWidth="1"/>
    <col min="26" max="26" width="3.42578125" style="31" customWidth="1"/>
    <col min="27" max="27" width="2.140625" style="31" customWidth="1"/>
    <col min="28" max="28" width="1.7109375" style="31" customWidth="1"/>
    <col min="29" max="29" width="2.5703125" style="31" customWidth="1"/>
    <col min="30" max="30" width="2.140625" style="31" customWidth="1"/>
    <col min="31" max="31" width="1.5703125" style="31" customWidth="1"/>
    <col min="32" max="33" width="2.140625" style="31" customWidth="1"/>
    <col min="34" max="34" width="1.5703125" style="31" customWidth="1"/>
    <col min="35" max="35" width="3" style="31" customWidth="1"/>
    <col min="36" max="36" width="1.85546875" style="31" customWidth="1"/>
    <col min="37" max="37" width="2.85546875" style="31" customWidth="1"/>
    <col min="38" max="38" width="1.7109375" style="31" customWidth="1"/>
    <col min="39" max="40" width="1.42578125" style="31" customWidth="1"/>
    <col min="41" max="41" width="4.5703125" style="31" customWidth="1"/>
    <col min="42" max="42" width="1.85546875" style="31" customWidth="1"/>
    <col min="43" max="43" width="1.5703125" style="31" customWidth="1"/>
    <col min="44" max="44" width="3.42578125" style="31" customWidth="1"/>
    <col min="45" max="45" width="8.140625" style="31" customWidth="1"/>
    <col min="46" max="46" width="8.42578125" style="31" customWidth="1"/>
    <col min="47" max="47" width="6" style="32" bestFit="1" customWidth="1"/>
    <col min="48" max="48" width="9.85546875" style="32" customWidth="1"/>
    <col min="49" max="49" width="8.7109375" style="32" bestFit="1" customWidth="1"/>
    <col min="50" max="50" width="3.140625" style="31" customWidth="1"/>
    <col min="51" max="51" width="1.28515625" style="31" customWidth="1"/>
    <col min="52" max="52" width="3.140625" style="31" customWidth="1"/>
    <col min="53" max="54" width="2.140625" style="31" customWidth="1"/>
    <col min="55" max="55" width="2.42578125" style="31" customWidth="1"/>
    <col min="56" max="56" width="1.42578125" style="31" customWidth="1"/>
    <col min="57" max="57" width="2.140625" style="31" customWidth="1"/>
    <col min="58" max="58" width="2.7109375" style="31" customWidth="1"/>
    <col min="59" max="59" width="0.5703125" style="31" customWidth="1"/>
    <col min="60" max="60" width="1.28515625" style="31" customWidth="1"/>
    <col min="61" max="61" width="3.140625" style="31" customWidth="1"/>
    <col min="62" max="62" width="2.140625" style="31" customWidth="1"/>
    <col min="63" max="63" width="1.5703125" style="31" customWidth="1"/>
    <col min="64" max="64" width="2.42578125" style="31" customWidth="1"/>
    <col min="65" max="65" width="1.7109375" style="31" customWidth="1"/>
    <col min="66" max="66" width="1.28515625" style="31" customWidth="1"/>
    <col min="67" max="67" width="2.140625" style="31" customWidth="1"/>
    <col min="68" max="68" width="7.140625" style="31" customWidth="1"/>
    <col min="69" max="69" width="5.85546875" style="31" hidden="1" customWidth="1"/>
    <col min="70" max="70" width="4.5703125" style="31" hidden="1" customWidth="1"/>
    <col min="71" max="71" width="4.5703125" style="31" customWidth="1"/>
    <col min="72" max="72" width="6.42578125" style="31" customWidth="1"/>
    <col min="73" max="73" width="6.140625" style="31" customWidth="1"/>
    <col min="74" max="75" width="7.28515625" style="31" customWidth="1"/>
    <col min="76" max="76" width="17.42578125" style="40" customWidth="1"/>
    <col min="77" max="77" width="11.42578125" style="26" customWidth="1"/>
    <col min="78" max="80" width="9.42578125" style="26" customWidth="1"/>
    <col min="81" max="81" width="11.42578125" style="26"/>
    <col min="82" max="84" width="7" style="26" customWidth="1"/>
    <col min="85" max="85" width="9.28515625" style="26" customWidth="1"/>
    <col min="86" max="87" width="11.42578125" style="26"/>
    <col min="88" max="88" width="11.42578125" style="26" customWidth="1"/>
    <col min="89" max="306" width="11.42578125" style="26"/>
    <col min="307" max="307" width="14.5703125" style="26" customWidth="1"/>
    <col min="308" max="308" width="12.7109375" style="26" customWidth="1"/>
    <col min="309" max="309" width="1.5703125" style="26" customWidth="1"/>
    <col min="310" max="310" width="18.28515625" style="26" customWidth="1"/>
    <col min="311" max="311" width="11" style="26" customWidth="1"/>
    <col min="312" max="312" width="13.28515625" style="26" bestFit="1" customWidth="1"/>
    <col min="313" max="313" width="18" style="26" customWidth="1"/>
    <col min="314" max="314" width="11.42578125" style="26"/>
    <col min="315" max="315" width="11.140625" style="26" customWidth="1"/>
    <col min="316" max="316" width="11.42578125" style="26"/>
    <col min="317" max="317" width="17.42578125" style="26" customWidth="1"/>
    <col min="318" max="562" width="11.42578125" style="26"/>
    <col min="563" max="563" width="14.5703125" style="26" customWidth="1"/>
    <col min="564" max="564" width="12.7109375" style="26" customWidth="1"/>
    <col min="565" max="565" width="1.5703125" style="26" customWidth="1"/>
    <col min="566" max="566" width="18.28515625" style="26" customWidth="1"/>
    <col min="567" max="567" width="11" style="26" customWidth="1"/>
    <col min="568" max="568" width="13.28515625" style="26" bestFit="1" customWidth="1"/>
    <col min="569" max="569" width="18" style="26" customWidth="1"/>
    <col min="570" max="570" width="11.42578125" style="26"/>
    <col min="571" max="571" width="11.140625" style="26" customWidth="1"/>
    <col min="572" max="572" width="11.42578125" style="26"/>
    <col min="573" max="573" width="17.42578125" style="26" customWidth="1"/>
    <col min="574" max="818" width="11.42578125" style="26"/>
    <col min="819" max="819" width="14.5703125" style="26" customWidth="1"/>
    <col min="820" max="820" width="12.7109375" style="26" customWidth="1"/>
    <col min="821" max="821" width="1.5703125" style="26" customWidth="1"/>
    <col min="822" max="822" width="18.28515625" style="26" customWidth="1"/>
    <col min="823" max="823" width="11" style="26" customWidth="1"/>
    <col min="824" max="824" width="13.28515625" style="26" bestFit="1" customWidth="1"/>
    <col min="825" max="825" width="18" style="26" customWidth="1"/>
    <col min="826" max="826" width="11.42578125" style="26"/>
    <col min="827" max="827" width="11.140625" style="26" customWidth="1"/>
    <col min="828" max="828" width="11.42578125" style="26"/>
    <col min="829" max="829" width="17.42578125" style="26" customWidth="1"/>
    <col min="830" max="1074" width="11.42578125" style="26"/>
    <col min="1075" max="1075" width="14.5703125" style="26" customWidth="1"/>
    <col min="1076" max="1076" width="12.7109375" style="26" customWidth="1"/>
    <col min="1077" max="1077" width="1.5703125" style="26" customWidth="1"/>
    <col min="1078" max="1078" width="18.28515625" style="26" customWidth="1"/>
    <col min="1079" max="1079" width="11" style="26" customWidth="1"/>
    <col min="1080" max="1080" width="13.28515625" style="26" bestFit="1" customWidth="1"/>
    <col min="1081" max="1081" width="18" style="26" customWidth="1"/>
    <col min="1082" max="1082" width="11.42578125" style="26"/>
    <col min="1083" max="1083" width="11.140625" style="26" customWidth="1"/>
    <col min="1084" max="1084" width="11.42578125" style="26"/>
    <col min="1085" max="1085" width="17.42578125" style="26" customWidth="1"/>
    <col min="1086" max="1330" width="11.42578125" style="26"/>
    <col min="1331" max="1331" width="14.5703125" style="26" customWidth="1"/>
    <col min="1332" max="1332" width="12.7109375" style="26" customWidth="1"/>
    <col min="1333" max="1333" width="1.5703125" style="26" customWidth="1"/>
    <col min="1334" max="1334" width="18.28515625" style="26" customWidth="1"/>
    <col min="1335" max="1335" width="11" style="26" customWidth="1"/>
    <col min="1336" max="1336" width="13.28515625" style="26" bestFit="1" customWidth="1"/>
    <col min="1337" max="1337" width="18" style="26" customWidth="1"/>
    <col min="1338" max="1338" width="11.42578125" style="26"/>
    <col min="1339" max="1339" width="11.140625" style="26" customWidth="1"/>
    <col min="1340" max="1340" width="11.42578125" style="26"/>
    <col min="1341" max="1341" width="17.42578125" style="26" customWidth="1"/>
    <col min="1342" max="1586" width="11.42578125" style="26"/>
    <col min="1587" max="1587" width="14.5703125" style="26" customWidth="1"/>
    <col min="1588" max="1588" width="12.7109375" style="26" customWidth="1"/>
    <col min="1589" max="1589" width="1.5703125" style="26" customWidth="1"/>
    <col min="1590" max="1590" width="18.28515625" style="26" customWidth="1"/>
    <col min="1591" max="1591" width="11" style="26" customWidth="1"/>
    <col min="1592" max="1592" width="13.28515625" style="26" bestFit="1" customWidth="1"/>
    <col min="1593" max="1593" width="18" style="26" customWidth="1"/>
    <col min="1594" max="1594" width="11.42578125" style="26"/>
    <col min="1595" max="1595" width="11.140625" style="26" customWidth="1"/>
    <col min="1596" max="1596" width="11.42578125" style="26"/>
    <col min="1597" max="1597" width="17.42578125" style="26" customWidth="1"/>
    <col min="1598" max="1842" width="11.42578125" style="26"/>
    <col min="1843" max="1843" width="14.5703125" style="26" customWidth="1"/>
    <col min="1844" max="1844" width="12.7109375" style="26" customWidth="1"/>
    <col min="1845" max="1845" width="1.5703125" style="26" customWidth="1"/>
    <col min="1846" max="1846" width="18.28515625" style="26" customWidth="1"/>
    <col min="1847" max="1847" width="11" style="26" customWidth="1"/>
    <col min="1848" max="1848" width="13.28515625" style="26" bestFit="1" customWidth="1"/>
    <col min="1849" max="1849" width="18" style="26" customWidth="1"/>
    <col min="1850" max="1850" width="11.42578125" style="26"/>
    <col min="1851" max="1851" width="11.140625" style="26" customWidth="1"/>
    <col min="1852" max="1852" width="11.42578125" style="26"/>
    <col min="1853" max="1853" width="17.42578125" style="26" customWidth="1"/>
    <col min="1854" max="2098" width="11.42578125" style="26"/>
    <col min="2099" max="2099" width="14.5703125" style="26" customWidth="1"/>
    <col min="2100" max="2100" width="12.7109375" style="26" customWidth="1"/>
    <col min="2101" max="2101" width="1.5703125" style="26" customWidth="1"/>
    <col min="2102" max="2102" width="18.28515625" style="26" customWidth="1"/>
    <col min="2103" max="2103" width="11" style="26" customWidth="1"/>
    <col min="2104" max="2104" width="13.28515625" style="26" bestFit="1" customWidth="1"/>
    <col min="2105" max="2105" width="18" style="26" customWidth="1"/>
    <col min="2106" max="2106" width="11.42578125" style="26"/>
    <col min="2107" max="2107" width="11.140625" style="26" customWidth="1"/>
    <col min="2108" max="2108" width="11.42578125" style="26"/>
    <col min="2109" max="2109" width="17.42578125" style="26" customWidth="1"/>
    <col min="2110" max="2354" width="11.42578125" style="26"/>
    <col min="2355" max="2355" width="14.5703125" style="26" customWidth="1"/>
    <col min="2356" max="2356" width="12.7109375" style="26" customWidth="1"/>
    <col min="2357" max="2357" width="1.5703125" style="26" customWidth="1"/>
    <col min="2358" max="2358" width="18.28515625" style="26" customWidth="1"/>
    <col min="2359" max="2359" width="11" style="26" customWidth="1"/>
    <col min="2360" max="2360" width="13.28515625" style="26" bestFit="1" customWidth="1"/>
    <col min="2361" max="2361" width="18" style="26" customWidth="1"/>
    <col min="2362" max="2362" width="11.42578125" style="26"/>
    <col min="2363" max="2363" width="11.140625" style="26" customWidth="1"/>
    <col min="2364" max="2364" width="11.42578125" style="26"/>
    <col min="2365" max="2365" width="17.42578125" style="26" customWidth="1"/>
    <col min="2366" max="2610" width="11.42578125" style="26"/>
    <col min="2611" max="2611" width="14.5703125" style="26" customWidth="1"/>
    <col min="2612" max="2612" width="12.7109375" style="26" customWidth="1"/>
    <col min="2613" max="2613" width="1.5703125" style="26" customWidth="1"/>
    <col min="2614" max="2614" width="18.28515625" style="26" customWidth="1"/>
    <col min="2615" max="2615" width="11" style="26" customWidth="1"/>
    <col min="2616" max="2616" width="13.28515625" style="26" bestFit="1" customWidth="1"/>
    <col min="2617" max="2617" width="18" style="26" customWidth="1"/>
    <col min="2618" max="2618" width="11.42578125" style="26"/>
    <col min="2619" max="2619" width="11.140625" style="26" customWidth="1"/>
    <col min="2620" max="2620" width="11.42578125" style="26"/>
    <col min="2621" max="2621" width="17.42578125" style="26" customWidth="1"/>
    <col min="2622" max="2866" width="11.42578125" style="26"/>
    <col min="2867" max="2867" width="14.5703125" style="26" customWidth="1"/>
    <col min="2868" max="2868" width="12.7109375" style="26" customWidth="1"/>
    <col min="2869" max="2869" width="1.5703125" style="26" customWidth="1"/>
    <col min="2870" max="2870" width="18.28515625" style="26" customWidth="1"/>
    <col min="2871" max="2871" width="11" style="26" customWidth="1"/>
    <col min="2872" max="2872" width="13.28515625" style="26" bestFit="1" customWidth="1"/>
    <col min="2873" max="2873" width="18" style="26" customWidth="1"/>
    <col min="2874" max="2874" width="11.42578125" style="26"/>
    <col min="2875" max="2875" width="11.140625" style="26" customWidth="1"/>
    <col min="2876" max="2876" width="11.42578125" style="26"/>
    <col min="2877" max="2877" width="17.42578125" style="26" customWidth="1"/>
    <col min="2878" max="3122" width="11.42578125" style="26"/>
    <col min="3123" max="3123" width="14.5703125" style="26" customWidth="1"/>
    <col min="3124" max="3124" width="12.7109375" style="26" customWidth="1"/>
    <col min="3125" max="3125" width="1.5703125" style="26" customWidth="1"/>
    <col min="3126" max="3126" width="18.28515625" style="26" customWidth="1"/>
    <col min="3127" max="3127" width="11" style="26" customWidth="1"/>
    <col min="3128" max="3128" width="13.28515625" style="26" bestFit="1" customWidth="1"/>
    <col min="3129" max="3129" width="18" style="26" customWidth="1"/>
    <col min="3130" max="3130" width="11.42578125" style="26"/>
    <col min="3131" max="3131" width="11.140625" style="26" customWidth="1"/>
    <col min="3132" max="3132" width="11.42578125" style="26"/>
    <col min="3133" max="3133" width="17.42578125" style="26" customWidth="1"/>
    <col min="3134" max="3378" width="11.42578125" style="26"/>
    <col min="3379" max="3379" width="14.5703125" style="26" customWidth="1"/>
    <col min="3380" max="3380" width="12.7109375" style="26" customWidth="1"/>
    <col min="3381" max="3381" width="1.5703125" style="26" customWidth="1"/>
    <col min="3382" max="3382" width="18.28515625" style="26" customWidth="1"/>
    <col min="3383" max="3383" width="11" style="26" customWidth="1"/>
    <col min="3384" max="3384" width="13.28515625" style="26" bestFit="1" customWidth="1"/>
    <col min="3385" max="3385" width="18" style="26" customWidth="1"/>
    <col min="3386" max="3386" width="11.42578125" style="26"/>
    <col min="3387" max="3387" width="11.140625" style="26" customWidth="1"/>
    <col min="3388" max="3388" width="11.42578125" style="26"/>
    <col min="3389" max="3389" width="17.42578125" style="26" customWidth="1"/>
    <col min="3390" max="3634" width="11.42578125" style="26"/>
    <col min="3635" max="3635" width="14.5703125" style="26" customWidth="1"/>
    <col min="3636" max="3636" width="12.7109375" style="26" customWidth="1"/>
    <col min="3637" max="3637" width="1.5703125" style="26" customWidth="1"/>
    <col min="3638" max="3638" width="18.28515625" style="26" customWidth="1"/>
    <col min="3639" max="3639" width="11" style="26" customWidth="1"/>
    <col min="3640" max="3640" width="13.28515625" style="26" bestFit="1" customWidth="1"/>
    <col min="3641" max="3641" width="18" style="26" customWidth="1"/>
    <col min="3642" max="3642" width="11.42578125" style="26"/>
    <col min="3643" max="3643" width="11.140625" style="26" customWidth="1"/>
    <col min="3644" max="3644" width="11.42578125" style="26"/>
    <col min="3645" max="3645" width="17.42578125" style="26" customWidth="1"/>
    <col min="3646" max="3890" width="11.42578125" style="26"/>
    <col min="3891" max="3891" width="14.5703125" style="26" customWidth="1"/>
    <col min="3892" max="3892" width="12.7109375" style="26" customWidth="1"/>
    <col min="3893" max="3893" width="1.5703125" style="26" customWidth="1"/>
    <col min="3894" max="3894" width="18.28515625" style="26" customWidth="1"/>
    <col min="3895" max="3895" width="11" style="26" customWidth="1"/>
    <col min="3896" max="3896" width="13.28515625" style="26" bestFit="1" customWidth="1"/>
    <col min="3897" max="3897" width="18" style="26" customWidth="1"/>
    <col min="3898" max="3898" width="11.42578125" style="26"/>
    <col min="3899" max="3899" width="11.140625" style="26" customWidth="1"/>
    <col min="3900" max="3900" width="11.42578125" style="26"/>
    <col min="3901" max="3901" width="17.42578125" style="26" customWidth="1"/>
    <col min="3902" max="4146" width="11.42578125" style="26"/>
    <col min="4147" max="4147" width="14.5703125" style="26" customWidth="1"/>
    <col min="4148" max="4148" width="12.7109375" style="26" customWidth="1"/>
    <col min="4149" max="4149" width="1.5703125" style="26" customWidth="1"/>
    <col min="4150" max="4150" width="18.28515625" style="26" customWidth="1"/>
    <col min="4151" max="4151" width="11" style="26" customWidth="1"/>
    <col min="4152" max="4152" width="13.28515625" style="26" bestFit="1" customWidth="1"/>
    <col min="4153" max="4153" width="18" style="26" customWidth="1"/>
    <col min="4154" max="4154" width="11.42578125" style="26"/>
    <col min="4155" max="4155" width="11.140625" style="26" customWidth="1"/>
    <col min="4156" max="4156" width="11.42578125" style="26"/>
    <col min="4157" max="4157" width="17.42578125" style="26" customWidth="1"/>
    <col min="4158" max="4402" width="11.42578125" style="26"/>
    <col min="4403" max="4403" width="14.5703125" style="26" customWidth="1"/>
    <col min="4404" max="4404" width="12.7109375" style="26" customWidth="1"/>
    <col min="4405" max="4405" width="1.5703125" style="26" customWidth="1"/>
    <col min="4406" max="4406" width="18.28515625" style="26" customWidth="1"/>
    <col min="4407" max="4407" width="11" style="26" customWidth="1"/>
    <col min="4408" max="4408" width="13.28515625" style="26" bestFit="1" customWidth="1"/>
    <col min="4409" max="4409" width="18" style="26" customWidth="1"/>
    <col min="4410" max="4410" width="11.42578125" style="26"/>
    <col min="4411" max="4411" width="11.140625" style="26" customWidth="1"/>
    <col min="4412" max="4412" width="11.42578125" style="26"/>
    <col min="4413" max="4413" width="17.42578125" style="26" customWidth="1"/>
    <col min="4414" max="4658" width="11.42578125" style="26"/>
    <col min="4659" max="4659" width="14.5703125" style="26" customWidth="1"/>
    <col min="4660" max="4660" width="12.7109375" style="26" customWidth="1"/>
    <col min="4661" max="4661" width="1.5703125" style="26" customWidth="1"/>
    <col min="4662" max="4662" width="18.28515625" style="26" customWidth="1"/>
    <col min="4663" max="4663" width="11" style="26" customWidth="1"/>
    <col min="4664" max="4664" width="13.28515625" style="26" bestFit="1" customWidth="1"/>
    <col min="4665" max="4665" width="18" style="26" customWidth="1"/>
    <col min="4666" max="4666" width="11.42578125" style="26"/>
    <col min="4667" max="4667" width="11.140625" style="26" customWidth="1"/>
    <col min="4668" max="4668" width="11.42578125" style="26"/>
    <col min="4669" max="4669" width="17.42578125" style="26" customWidth="1"/>
    <col min="4670" max="4914" width="11.42578125" style="26"/>
    <col min="4915" max="4915" width="14.5703125" style="26" customWidth="1"/>
    <col min="4916" max="4916" width="12.7109375" style="26" customWidth="1"/>
    <col min="4917" max="4917" width="1.5703125" style="26" customWidth="1"/>
    <col min="4918" max="4918" width="18.28515625" style="26" customWidth="1"/>
    <col min="4919" max="4919" width="11" style="26" customWidth="1"/>
    <col min="4920" max="4920" width="13.28515625" style="26" bestFit="1" customWidth="1"/>
    <col min="4921" max="4921" width="18" style="26" customWidth="1"/>
    <col min="4922" max="4922" width="11.42578125" style="26"/>
    <col min="4923" max="4923" width="11.140625" style="26" customWidth="1"/>
    <col min="4924" max="4924" width="11.42578125" style="26"/>
    <col min="4925" max="4925" width="17.42578125" style="26" customWidth="1"/>
    <col min="4926" max="5170" width="11.42578125" style="26"/>
    <col min="5171" max="5171" width="14.5703125" style="26" customWidth="1"/>
    <col min="5172" max="5172" width="12.7109375" style="26" customWidth="1"/>
    <col min="5173" max="5173" width="1.5703125" style="26" customWidth="1"/>
    <col min="5174" max="5174" width="18.28515625" style="26" customWidth="1"/>
    <col min="5175" max="5175" width="11" style="26" customWidth="1"/>
    <col min="5176" max="5176" width="13.28515625" style="26" bestFit="1" customWidth="1"/>
    <col min="5177" max="5177" width="18" style="26" customWidth="1"/>
    <col min="5178" max="5178" width="11.42578125" style="26"/>
    <col min="5179" max="5179" width="11.140625" style="26" customWidth="1"/>
    <col min="5180" max="5180" width="11.42578125" style="26"/>
    <col min="5181" max="5181" width="17.42578125" style="26" customWidth="1"/>
    <col min="5182" max="5426" width="11.42578125" style="26"/>
    <col min="5427" max="5427" width="14.5703125" style="26" customWidth="1"/>
    <col min="5428" max="5428" width="12.7109375" style="26" customWidth="1"/>
    <col min="5429" max="5429" width="1.5703125" style="26" customWidth="1"/>
    <col min="5430" max="5430" width="18.28515625" style="26" customWidth="1"/>
    <col min="5431" max="5431" width="11" style="26" customWidth="1"/>
    <col min="5432" max="5432" width="13.28515625" style="26" bestFit="1" customWidth="1"/>
    <col min="5433" max="5433" width="18" style="26" customWidth="1"/>
    <col min="5434" max="5434" width="11.42578125" style="26"/>
    <col min="5435" max="5435" width="11.140625" style="26" customWidth="1"/>
    <col min="5436" max="5436" width="11.42578125" style="26"/>
    <col min="5437" max="5437" width="17.42578125" style="26" customWidth="1"/>
    <col min="5438" max="5682" width="11.42578125" style="26"/>
    <col min="5683" max="5683" width="14.5703125" style="26" customWidth="1"/>
    <col min="5684" max="5684" width="12.7109375" style="26" customWidth="1"/>
    <col min="5685" max="5685" width="1.5703125" style="26" customWidth="1"/>
    <col min="5686" max="5686" width="18.28515625" style="26" customWidth="1"/>
    <col min="5687" max="5687" width="11" style="26" customWidth="1"/>
    <col min="5688" max="5688" width="13.28515625" style="26" bestFit="1" customWidth="1"/>
    <col min="5689" max="5689" width="18" style="26" customWidth="1"/>
    <col min="5690" max="5690" width="11.42578125" style="26"/>
    <col min="5691" max="5691" width="11.140625" style="26" customWidth="1"/>
    <col min="5692" max="5692" width="11.42578125" style="26"/>
    <col min="5693" max="5693" width="17.42578125" style="26" customWidth="1"/>
    <col min="5694" max="5938" width="11.42578125" style="26"/>
    <col min="5939" max="5939" width="14.5703125" style="26" customWidth="1"/>
    <col min="5940" max="5940" width="12.7109375" style="26" customWidth="1"/>
    <col min="5941" max="5941" width="1.5703125" style="26" customWidth="1"/>
    <col min="5942" max="5942" width="18.28515625" style="26" customWidth="1"/>
    <col min="5943" max="5943" width="11" style="26" customWidth="1"/>
    <col min="5944" max="5944" width="13.28515625" style="26" bestFit="1" customWidth="1"/>
    <col min="5945" max="5945" width="18" style="26" customWidth="1"/>
    <col min="5946" max="5946" width="11.42578125" style="26"/>
    <col min="5947" max="5947" width="11.140625" style="26" customWidth="1"/>
    <col min="5948" max="5948" width="11.42578125" style="26"/>
    <col min="5949" max="5949" width="17.42578125" style="26" customWidth="1"/>
    <col min="5950" max="6194" width="11.42578125" style="26"/>
    <col min="6195" max="6195" width="14.5703125" style="26" customWidth="1"/>
    <col min="6196" max="6196" width="12.7109375" style="26" customWidth="1"/>
    <col min="6197" max="6197" width="1.5703125" style="26" customWidth="1"/>
    <col min="6198" max="6198" width="18.28515625" style="26" customWidth="1"/>
    <col min="6199" max="6199" width="11" style="26" customWidth="1"/>
    <col min="6200" max="6200" width="13.28515625" style="26" bestFit="1" customWidth="1"/>
    <col min="6201" max="6201" width="18" style="26" customWidth="1"/>
    <col min="6202" max="6202" width="11.42578125" style="26"/>
    <col min="6203" max="6203" width="11.140625" style="26" customWidth="1"/>
    <col min="6204" max="6204" width="11.42578125" style="26"/>
    <col min="6205" max="6205" width="17.42578125" style="26" customWidth="1"/>
    <col min="6206" max="6450" width="11.42578125" style="26"/>
    <col min="6451" max="6451" width="14.5703125" style="26" customWidth="1"/>
    <col min="6452" max="6452" width="12.7109375" style="26" customWidth="1"/>
    <col min="6453" max="6453" width="1.5703125" style="26" customWidth="1"/>
    <col min="6454" max="6454" width="18.28515625" style="26" customWidth="1"/>
    <col min="6455" max="6455" width="11" style="26" customWidth="1"/>
    <col min="6456" max="6456" width="13.28515625" style="26" bestFit="1" customWidth="1"/>
    <col min="6457" max="6457" width="18" style="26" customWidth="1"/>
    <col min="6458" max="6458" width="11.42578125" style="26"/>
    <col min="6459" max="6459" width="11.140625" style="26" customWidth="1"/>
    <col min="6460" max="6460" width="11.42578125" style="26"/>
    <col min="6461" max="6461" width="17.42578125" style="26" customWidth="1"/>
    <col min="6462" max="6706" width="11.42578125" style="26"/>
    <col min="6707" max="6707" width="14.5703125" style="26" customWidth="1"/>
    <col min="6708" max="6708" width="12.7109375" style="26" customWidth="1"/>
    <col min="6709" max="6709" width="1.5703125" style="26" customWidth="1"/>
    <col min="6710" max="6710" width="18.28515625" style="26" customWidth="1"/>
    <col min="6711" max="6711" width="11" style="26" customWidth="1"/>
    <col min="6712" max="6712" width="13.28515625" style="26" bestFit="1" customWidth="1"/>
    <col min="6713" max="6713" width="18" style="26" customWidth="1"/>
    <col min="6714" max="6714" width="11.42578125" style="26"/>
    <col min="6715" max="6715" width="11.140625" style="26" customWidth="1"/>
    <col min="6716" max="6716" width="11.42578125" style="26"/>
    <col min="6717" max="6717" width="17.42578125" style="26" customWidth="1"/>
    <col min="6718" max="6962" width="11.42578125" style="26"/>
    <col min="6963" max="6963" width="14.5703125" style="26" customWidth="1"/>
    <col min="6964" max="6964" width="12.7109375" style="26" customWidth="1"/>
    <col min="6965" max="6965" width="1.5703125" style="26" customWidth="1"/>
    <col min="6966" max="6966" width="18.28515625" style="26" customWidth="1"/>
    <col min="6967" max="6967" width="11" style="26" customWidth="1"/>
    <col min="6968" max="6968" width="13.28515625" style="26" bestFit="1" customWidth="1"/>
    <col min="6969" max="6969" width="18" style="26" customWidth="1"/>
    <col min="6970" max="6970" width="11.42578125" style="26"/>
    <col min="6971" max="6971" width="11.140625" style="26" customWidth="1"/>
    <col min="6972" max="6972" width="11.42578125" style="26"/>
    <col min="6973" max="6973" width="17.42578125" style="26" customWidth="1"/>
    <col min="6974" max="7218" width="11.42578125" style="26"/>
    <col min="7219" max="7219" width="14.5703125" style="26" customWidth="1"/>
    <col min="7220" max="7220" width="12.7109375" style="26" customWidth="1"/>
    <col min="7221" max="7221" width="1.5703125" style="26" customWidth="1"/>
    <col min="7222" max="7222" width="18.28515625" style="26" customWidth="1"/>
    <col min="7223" max="7223" width="11" style="26" customWidth="1"/>
    <col min="7224" max="7224" width="13.28515625" style="26" bestFit="1" customWidth="1"/>
    <col min="7225" max="7225" width="18" style="26" customWidth="1"/>
    <col min="7226" max="7226" width="11.42578125" style="26"/>
    <col min="7227" max="7227" width="11.140625" style="26" customWidth="1"/>
    <col min="7228" max="7228" width="11.42578125" style="26"/>
    <col min="7229" max="7229" width="17.42578125" style="26" customWidth="1"/>
    <col min="7230" max="7474" width="11.42578125" style="26"/>
    <col min="7475" max="7475" width="14.5703125" style="26" customWidth="1"/>
    <col min="7476" max="7476" width="12.7109375" style="26" customWidth="1"/>
    <col min="7477" max="7477" width="1.5703125" style="26" customWidth="1"/>
    <col min="7478" max="7478" width="18.28515625" style="26" customWidth="1"/>
    <col min="7479" max="7479" width="11" style="26" customWidth="1"/>
    <col min="7480" max="7480" width="13.28515625" style="26" bestFit="1" customWidth="1"/>
    <col min="7481" max="7481" width="18" style="26" customWidth="1"/>
    <col min="7482" max="7482" width="11.42578125" style="26"/>
    <col min="7483" max="7483" width="11.140625" style="26" customWidth="1"/>
    <col min="7484" max="7484" width="11.42578125" style="26"/>
    <col min="7485" max="7485" width="17.42578125" style="26" customWidth="1"/>
    <col min="7486" max="7730" width="11.42578125" style="26"/>
    <col min="7731" max="7731" width="14.5703125" style="26" customWidth="1"/>
    <col min="7732" max="7732" width="12.7109375" style="26" customWidth="1"/>
    <col min="7733" max="7733" width="1.5703125" style="26" customWidth="1"/>
    <col min="7734" max="7734" width="18.28515625" style="26" customWidth="1"/>
    <col min="7735" max="7735" width="11" style="26" customWidth="1"/>
    <col min="7736" max="7736" width="13.28515625" style="26" bestFit="1" customWidth="1"/>
    <col min="7737" max="7737" width="18" style="26" customWidth="1"/>
    <col min="7738" max="7738" width="11.42578125" style="26"/>
    <col min="7739" max="7739" width="11.140625" style="26" customWidth="1"/>
    <col min="7740" max="7740" width="11.42578125" style="26"/>
    <col min="7741" max="7741" width="17.42578125" style="26" customWidth="1"/>
    <col min="7742" max="7986" width="11.42578125" style="26"/>
    <col min="7987" max="7987" width="14.5703125" style="26" customWidth="1"/>
    <col min="7988" max="7988" width="12.7109375" style="26" customWidth="1"/>
    <col min="7989" max="7989" width="1.5703125" style="26" customWidth="1"/>
    <col min="7990" max="7990" width="18.28515625" style="26" customWidth="1"/>
    <col min="7991" max="7991" width="11" style="26" customWidth="1"/>
    <col min="7992" max="7992" width="13.28515625" style="26" bestFit="1" customWidth="1"/>
    <col min="7993" max="7993" width="18" style="26" customWidth="1"/>
    <col min="7994" max="7994" width="11.42578125" style="26"/>
    <col min="7995" max="7995" width="11.140625" style="26" customWidth="1"/>
    <col min="7996" max="7996" width="11.42578125" style="26"/>
    <col min="7997" max="7997" width="17.42578125" style="26" customWidth="1"/>
    <col min="7998" max="8242" width="11.42578125" style="26"/>
    <col min="8243" max="8243" width="14.5703125" style="26" customWidth="1"/>
    <col min="8244" max="8244" width="12.7109375" style="26" customWidth="1"/>
    <col min="8245" max="8245" width="1.5703125" style="26" customWidth="1"/>
    <col min="8246" max="8246" width="18.28515625" style="26" customWidth="1"/>
    <col min="8247" max="8247" width="11" style="26" customWidth="1"/>
    <col min="8248" max="8248" width="13.28515625" style="26" bestFit="1" customWidth="1"/>
    <col min="8249" max="8249" width="18" style="26" customWidth="1"/>
    <col min="8250" max="8250" width="11.42578125" style="26"/>
    <col min="8251" max="8251" width="11.140625" style="26" customWidth="1"/>
    <col min="8252" max="8252" width="11.42578125" style="26"/>
    <col min="8253" max="8253" width="17.42578125" style="26" customWidth="1"/>
    <col min="8254" max="8498" width="11.42578125" style="26"/>
    <col min="8499" max="8499" width="14.5703125" style="26" customWidth="1"/>
    <col min="8500" max="8500" width="12.7109375" style="26" customWidth="1"/>
    <col min="8501" max="8501" width="1.5703125" style="26" customWidth="1"/>
    <col min="8502" max="8502" width="18.28515625" style="26" customWidth="1"/>
    <col min="8503" max="8503" width="11" style="26" customWidth="1"/>
    <col min="8504" max="8504" width="13.28515625" style="26" bestFit="1" customWidth="1"/>
    <col min="8505" max="8505" width="18" style="26" customWidth="1"/>
    <col min="8506" max="8506" width="11.42578125" style="26"/>
    <col min="8507" max="8507" width="11.140625" style="26" customWidth="1"/>
    <col min="8508" max="8508" width="11.42578125" style="26"/>
    <col min="8509" max="8509" width="17.42578125" style="26" customWidth="1"/>
    <col min="8510" max="8754" width="11.42578125" style="26"/>
    <col min="8755" max="8755" width="14.5703125" style="26" customWidth="1"/>
    <col min="8756" max="8756" width="12.7109375" style="26" customWidth="1"/>
    <col min="8757" max="8757" width="1.5703125" style="26" customWidth="1"/>
    <col min="8758" max="8758" width="18.28515625" style="26" customWidth="1"/>
    <col min="8759" max="8759" width="11" style="26" customWidth="1"/>
    <col min="8760" max="8760" width="13.28515625" style="26" bestFit="1" customWidth="1"/>
    <col min="8761" max="8761" width="18" style="26" customWidth="1"/>
    <col min="8762" max="8762" width="11.42578125" style="26"/>
    <col min="8763" max="8763" width="11.140625" style="26" customWidth="1"/>
    <col min="8764" max="8764" width="11.42578125" style="26"/>
    <col min="8765" max="8765" width="17.42578125" style="26" customWidth="1"/>
    <col min="8766" max="9010" width="11.42578125" style="26"/>
    <col min="9011" max="9011" width="14.5703125" style="26" customWidth="1"/>
    <col min="9012" max="9012" width="12.7109375" style="26" customWidth="1"/>
    <col min="9013" max="9013" width="1.5703125" style="26" customWidth="1"/>
    <col min="9014" max="9014" width="18.28515625" style="26" customWidth="1"/>
    <col min="9015" max="9015" width="11" style="26" customWidth="1"/>
    <col min="9016" max="9016" width="13.28515625" style="26" bestFit="1" customWidth="1"/>
    <col min="9017" max="9017" width="18" style="26" customWidth="1"/>
    <col min="9018" max="9018" width="11.42578125" style="26"/>
    <col min="9019" max="9019" width="11.140625" style="26" customWidth="1"/>
    <col min="9020" max="9020" width="11.42578125" style="26"/>
    <col min="9021" max="9021" width="17.42578125" style="26" customWidth="1"/>
    <col min="9022" max="9266" width="11.42578125" style="26"/>
    <col min="9267" max="9267" width="14.5703125" style="26" customWidth="1"/>
    <col min="9268" max="9268" width="12.7109375" style="26" customWidth="1"/>
    <col min="9269" max="9269" width="1.5703125" style="26" customWidth="1"/>
    <col min="9270" max="9270" width="18.28515625" style="26" customWidth="1"/>
    <col min="9271" max="9271" width="11" style="26" customWidth="1"/>
    <col min="9272" max="9272" width="13.28515625" style="26" bestFit="1" customWidth="1"/>
    <col min="9273" max="9273" width="18" style="26" customWidth="1"/>
    <col min="9274" max="9274" width="11.42578125" style="26"/>
    <col min="9275" max="9275" width="11.140625" style="26" customWidth="1"/>
    <col min="9276" max="9276" width="11.42578125" style="26"/>
    <col min="9277" max="9277" width="17.42578125" style="26" customWidth="1"/>
    <col min="9278" max="9522" width="11.42578125" style="26"/>
    <col min="9523" max="9523" width="14.5703125" style="26" customWidth="1"/>
    <col min="9524" max="9524" width="12.7109375" style="26" customWidth="1"/>
    <col min="9525" max="9525" width="1.5703125" style="26" customWidth="1"/>
    <col min="9526" max="9526" width="18.28515625" style="26" customWidth="1"/>
    <col min="9527" max="9527" width="11" style="26" customWidth="1"/>
    <col min="9528" max="9528" width="13.28515625" style="26" bestFit="1" customWidth="1"/>
    <col min="9529" max="9529" width="18" style="26" customWidth="1"/>
    <col min="9530" max="9530" width="11.42578125" style="26"/>
    <col min="9531" max="9531" width="11.140625" style="26" customWidth="1"/>
    <col min="9532" max="9532" width="11.42578125" style="26"/>
    <col min="9533" max="9533" width="17.42578125" style="26" customWidth="1"/>
    <col min="9534" max="9778" width="11.42578125" style="26"/>
    <col min="9779" max="9779" width="14.5703125" style="26" customWidth="1"/>
    <col min="9780" max="9780" width="12.7109375" style="26" customWidth="1"/>
    <col min="9781" max="9781" width="1.5703125" style="26" customWidth="1"/>
    <col min="9782" max="9782" width="18.28515625" style="26" customWidth="1"/>
    <col min="9783" max="9783" width="11" style="26" customWidth="1"/>
    <col min="9784" max="9784" width="13.28515625" style="26" bestFit="1" customWidth="1"/>
    <col min="9785" max="9785" width="18" style="26" customWidth="1"/>
    <col min="9786" max="9786" width="11.42578125" style="26"/>
    <col min="9787" max="9787" width="11.140625" style="26" customWidth="1"/>
    <col min="9788" max="9788" width="11.42578125" style="26"/>
    <col min="9789" max="9789" width="17.42578125" style="26" customWidth="1"/>
    <col min="9790" max="10034" width="11.42578125" style="26"/>
    <col min="10035" max="10035" width="14.5703125" style="26" customWidth="1"/>
    <col min="10036" max="10036" width="12.7109375" style="26" customWidth="1"/>
    <col min="10037" max="10037" width="1.5703125" style="26" customWidth="1"/>
    <col min="10038" max="10038" width="18.28515625" style="26" customWidth="1"/>
    <col min="10039" max="10039" width="11" style="26" customWidth="1"/>
    <col min="10040" max="10040" width="13.28515625" style="26" bestFit="1" customWidth="1"/>
    <col min="10041" max="10041" width="18" style="26" customWidth="1"/>
    <col min="10042" max="10042" width="11.42578125" style="26"/>
    <col min="10043" max="10043" width="11.140625" style="26" customWidth="1"/>
    <col min="10044" max="10044" width="11.42578125" style="26"/>
    <col min="10045" max="10045" width="17.42578125" style="26" customWidth="1"/>
    <col min="10046" max="10290" width="11.42578125" style="26"/>
    <col min="10291" max="10291" width="14.5703125" style="26" customWidth="1"/>
    <col min="10292" max="10292" width="12.7109375" style="26" customWidth="1"/>
    <col min="10293" max="10293" width="1.5703125" style="26" customWidth="1"/>
    <col min="10294" max="10294" width="18.28515625" style="26" customWidth="1"/>
    <col min="10295" max="10295" width="11" style="26" customWidth="1"/>
    <col min="10296" max="10296" width="13.28515625" style="26" bestFit="1" customWidth="1"/>
    <col min="10297" max="10297" width="18" style="26" customWidth="1"/>
    <col min="10298" max="10298" width="11.42578125" style="26"/>
    <col min="10299" max="10299" width="11.140625" style="26" customWidth="1"/>
    <col min="10300" max="10300" width="11.42578125" style="26"/>
    <col min="10301" max="10301" width="17.42578125" style="26" customWidth="1"/>
    <col min="10302" max="10546" width="11.42578125" style="26"/>
    <col min="10547" max="10547" width="14.5703125" style="26" customWidth="1"/>
    <col min="10548" max="10548" width="12.7109375" style="26" customWidth="1"/>
    <col min="10549" max="10549" width="1.5703125" style="26" customWidth="1"/>
    <col min="10550" max="10550" width="18.28515625" style="26" customWidth="1"/>
    <col min="10551" max="10551" width="11" style="26" customWidth="1"/>
    <col min="10552" max="10552" width="13.28515625" style="26" bestFit="1" customWidth="1"/>
    <col min="10553" max="10553" width="18" style="26" customWidth="1"/>
    <col min="10554" max="10554" width="11.42578125" style="26"/>
    <col min="10555" max="10555" width="11.140625" style="26" customWidth="1"/>
    <col min="10556" max="10556" width="11.42578125" style="26"/>
    <col min="10557" max="10557" width="17.42578125" style="26" customWidth="1"/>
    <col min="10558" max="10802" width="11.42578125" style="26"/>
    <col min="10803" max="10803" width="14.5703125" style="26" customWidth="1"/>
    <col min="10804" max="10804" width="12.7109375" style="26" customWidth="1"/>
    <col min="10805" max="10805" width="1.5703125" style="26" customWidth="1"/>
    <col min="10806" max="10806" width="18.28515625" style="26" customWidth="1"/>
    <col min="10807" max="10807" width="11" style="26" customWidth="1"/>
    <col min="10808" max="10808" width="13.28515625" style="26" bestFit="1" customWidth="1"/>
    <col min="10809" max="10809" width="18" style="26" customWidth="1"/>
    <col min="10810" max="10810" width="11.42578125" style="26"/>
    <col min="10811" max="10811" width="11.140625" style="26" customWidth="1"/>
    <col min="10812" max="10812" width="11.42578125" style="26"/>
    <col min="10813" max="10813" width="17.42578125" style="26" customWidth="1"/>
    <col min="10814" max="11058" width="11.42578125" style="26"/>
    <col min="11059" max="11059" width="14.5703125" style="26" customWidth="1"/>
    <col min="11060" max="11060" width="12.7109375" style="26" customWidth="1"/>
    <col min="11061" max="11061" width="1.5703125" style="26" customWidth="1"/>
    <col min="11062" max="11062" width="18.28515625" style="26" customWidth="1"/>
    <col min="11063" max="11063" width="11" style="26" customWidth="1"/>
    <col min="11064" max="11064" width="13.28515625" style="26" bestFit="1" customWidth="1"/>
    <col min="11065" max="11065" width="18" style="26" customWidth="1"/>
    <col min="11066" max="11066" width="11.42578125" style="26"/>
    <col min="11067" max="11067" width="11.140625" style="26" customWidth="1"/>
    <col min="11068" max="11068" width="11.42578125" style="26"/>
    <col min="11069" max="11069" width="17.42578125" style="26" customWidth="1"/>
    <col min="11070" max="11314" width="11.42578125" style="26"/>
    <col min="11315" max="11315" width="14.5703125" style="26" customWidth="1"/>
    <col min="11316" max="11316" width="12.7109375" style="26" customWidth="1"/>
    <col min="11317" max="11317" width="1.5703125" style="26" customWidth="1"/>
    <col min="11318" max="11318" width="18.28515625" style="26" customWidth="1"/>
    <col min="11319" max="11319" width="11" style="26" customWidth="1"/>
    <col min="11320" max="11320" width="13.28515625" style="26" bestFit="1" customWidth="1"/>
    <col min="11321" max="11321" width="18" style="26" customWidth="1"/>
    <col min="11322" max="11322" width="11.42578125" style="26"/>
    <col min="11323" max="11323" width="11.140625" style="26" customWidth="1"/>
    <col min="11324" max="11324" width="11.42578125" style="26"/>
    <col min="11325" max="11325" width="17.42578125" style="26" customWidth="1"/>
    <col min="11326" max="11570" width="11.42578125" style="26"/>
    <col min="11571" max="11571" width="14.5703125" style="26" customWidth="1"/>
    <col min="11572" max="11572" width="12.7109375" style="26" customWidth="1"/>
    <col min="11573" max="11573" width="1.5703125" style="26" customWidth="1"/>
    <col min="11574" max="11574" width="18.28515625" style="26" customWidth="1"/>
    <col min="11575" max="11575" width="11" style="26" customWidth="1"/>
    <col min="11576" max="11576" width="13.28515625" style="26" bestFit="1" customWidth="1"/>
    <col min="11577" max="11577" width="18" style="26" customWidth="1"/>
    <col min="11578" max="11578" width="11.42578125" style="26"/>
    <col min="11579" max="11579" width="11.140625" style="26" customWidth="1"/>
    <col min="11580" max="11580" width="11.42578125" style="26"/>
    <col min="11581" max="11581" width="17.42578125" style="26" customWidth="1"/>
    <col min="11582" max="11826" width="11.42578125" style="26"/>
    <col min="11827" max="11827" width="14.5703125" style="26" customWidth="1"/>
    <col min="11828" max="11828" width="12.7109375" style="26" customWidth="1"/>
    <col min="11829" max="11829" width="1.5703125" style="26" customWidth="1"/>
    <col min="11830" max="11830" width="18.28515625" style="26" customWidth="1"/>
    <col min="11831" max="11831" width="11" style="26" customWidth="1"/>
    <col min="11832" max="11832" width="13.28515625" style="26" bestFit="1" customWidth="1"/>
    <col min="11833" max="11833" width="18" style="26" customWidth="1"/>
    <col min="11834" max="11834" width="11.42578125" style="26"/>
    <col min="11835" max="11835" width="11.140625" style="26" customWidth="1"/>
    <col min="11836" max="11836" width="11.42578125" style="26"/>
    <col min="11837" max="11837" width="17.42578125" style="26" customWidth="1"/>
    <col min="11838" max="12082" width="11.42578125" style="26"/>
    <col min="12083" max="12083" width="14.5703125" style="26" customWidth="1"/>
    <col min="12084" max="12084" width="12.7109375" style="26" customWidth="1"/>
    <col min="12085" max="12085" width="1.5703125" style="26" customWidth="1"/>
    <col min="12086" max="12086" width="18.28515625" style="26" customWidth="1"/>
    <col min="12087" max="12087" width="11" style="26" customWidth="1"/>
    <col min="12088" max="12088" width="13.28515625" style="26" bestFit="1" customWidth="1"/>
    <col min="12089" max="12089" width="18" style="26" customWidth="1"/>
    <col min="12090" max="12090" width="11.42578125" style="26"/>
    <col min="12091" max="12091" width="11.140625" style="26" customWidth="1"/>
    <col min="12092" max="12092" width="11.42578125" style="26"/>
    <col min="12093" max="12093" width="17.42578125" style="26" customWidth="1"/>
    <col min="12094" max="12338" width="11.42578125" style="26"/>
    <col min="12339" max="12339" width="14.5703125" style="26" customWidth="1"/>
    <col min="12340" max="12340" width="12.7109375" style="26" customWidth="1"/>
    <col min="12341" max="12341" width="1.5703125" style="26" customWidth="1"/>
    <col min="12342" max="12342" width="18.28515625" style="26" customWidth="1"/>
    <col min="12343" max="12343" width="11" style="26" customWidth="1"/>
    <col min="12344" max="12344" width="13.28515625" style="26" bestFit="1" customWidth="1"/>
    <col min="12345" max="12345" width="18" style="26" customWidth="1"/>
    <col min="12346" max="12346" width="11.42578125" style="26"/>
    <col min="12347" max="12347" width="11.140625" style="26" customWidth="1"/>
    <col min="12348" max="12348" width="11.42578125" style="26"/>
    <col min="12349" max="12349" width="17.42578125" style="26" customWidth="1"/>
    <col min="12350" max="12594" width="11.42578125" style="26"/>
    <col min="12595" max="12595" width="14.5703125" style="26" customWidth="1"/>
    <col min="12596" max="12596" width="12.7109375" style="26" customWidth="1"/>
    <col min="12597" max="12597" width="1.5703125" style="26" customWidth="1"/>
    <col min="12598" max="12598" width="18.28515625" style="26" customWidth="1"/>
    <col min="12599" max="12599" width="11" style="26" customWidth="1"/>
    <col min="12600" max="12600" width="13.28515625" style="26" bestFit="1" customWidth="1"/>
    <col min="12601" max="12601" width="18" style="26" customWidth="1"/>
    <col min="12602" max="12602" width="11.42578125" style="26"/>
    <col min="12603" max="12603" width="11.140625" style="26" customWidth="1"/>
    <col min="12604" max="12604" width="11.42578125" style="26"/>
    <col min="12605" max="12605" width="17.42578125" style="26" customWidth="1"/>
    <col min="12606" max="12850" width="11.42578125" style="26"/>
    <col min="12851" max="12851" width="14.5703125" style="26" customWidth="1"/>
    <col min="12852" max="12852" width="12.7109375" style="26" customWidth="1"/>
    <col min="12853" max="12853" width="1.5703125" style="26" customWidth="1"/>
    <col min="12854" max="12854" width="18.28515625" style="26" customWidth="1"/>
    <col min="12855" max="12855" width="11" style="26" customWidth="1"/>
    <col min="12856" max="12856" width="13.28515625" style="26" bestFit="1" customWidth="1"/>
    <col min="12857" max="12857" width="18" style="26" customWidth="1"/>
    <col min="12858" max="12858" width="11.42578125" style="26"/>
    <col min="12859" max="12859" width="11.140625" style="26" customWidth="1"/>
    <col min="12860" max="12860" width="11.42578125" style="26"/>
    <col min="12861" max="12861" width="17.42578125" style="26" customWidth="1"/>
    <col min="12862" max="13106" width="11.42578125" style="26"/>
    <col min="13107" max="13107" width="14.5703125" style="26" customWidth="1"/>
    <col min="13108" max="13108" width="12.7109375" style="26" customWidth="1"/>
    <col min="13109" max="13109" width="1.5703125" style="26" customWidth="1"/>
    <col min="13110" max="13110" width="18.28515625" style="26" customWidth="1"/>
    <col min="13111" max="13111" width="11" style="26" customWidth="1"/>
    <col min="13112" max="13112" width="13.28515625" style="26" bestFit="1" customWidth="1"/>
    <col min="13113" max="13113" width="18" style="26" customWidth="1"/>
    <col min="13114" max="13114" width="11.42578125" style="26"/>
    <col min="13115" max="13115" width="11.140625" style="26" customWidth="1"/>
    <col min="13116" max="13116" width="11.42578125" style="26"/>
    <col min="13117" max="13117" width="17.42578125" style="26" customWidth="1"/>
    <col min="13118" max="13362" width="11.42578125" style="26"/>
    <col min="13363" max="13363" width="14.5703125" style="26" customWidth="1"/>
    <col min="13364" max="13364" width="12.7109375" style="26" customWidth="1"/>
    <col min="13365" max="13365" width="1.5703125" style="26" customWidth="1"/>
    <col min="13366" max="13366" width="18.28515625" style="26" customWidth="1"/>
    <col min="13367" max="13367" width="11" style="26" customWidth="1"/>
    <col min="13368" max="13368" width="13.28515625" style="26" bestFit="1" customWidth="1"/>
    <col min="13369" max="13369" width="18" style="26" customWidth="1"/>
    <col min="13370" max="13370" width="11.42578125" style="26"/>
    <col min="13371" max="13371" width="11.140625" style="26" customWidth="1"/>
    <col min="13372" max="13372" width="11.42578125" style="26"/>
    <col min="13373" max="13373" width="17.42578125" style="26" customWidth="1"/>
    <col min="13374" max="13618" width="11.42578125" style="26"/>
    <col min="13619" max="13619" width="14.5703125" style="26" customWidth="1"/>
    <col min="13620" max="13620" width="12.7109375" style="26" customWidth="1"/>
    <col min="13621" max="13621" width="1.5703125" style="26" customWidth="1"/>
    <col min="13622" max="13622" width="18.28515625" style="26" customWidth="1"/>
    <col min="13623" max="13623" width="11" style="26" customWidth="1"/>
    <col min="13624" max="13624" width="13.28515625" style="26" bestFit="1" customWidth="1"/>
    <col min="13625" max="13625" width="18" style="26" customWidth="1"/>
    <col min="13626" max="13626" width="11.42578125" style="26"/>
    <col min="13627" max="13627" width="11.140625" style="26" customWidth="1"/>
    <col min="13628" max="13628" width="11.42578125" style="26"/>
    <col min="13629" max="13629" width="17.42578125" style="26" customWidth="1"/>
    <col min="13630" max="13874" width="11.42578125" style="26"/>
    <col min="13875" max="13875" width="14.5703125" style="26" customWidth="1"/>
    <col min="13876" max="13876" width="12.7109375" style="26" customWidth="1"/>
    <col min="13877" max="13877" width="1.5703125" style="26" customWidth="1"/>
    <col min="13878" max="13878" width="18.28515625" style="26" customWidth="1"/>
    <col min="13879" max="13879" width="11" style="26" customWidth="1"/>
    <col min="13880" max="13880" width="13.28515625" style="26" bestFit="1" customWidth="1"/>
    <col min="13881" max="13881" width="18" style="26" customWidth="1"/>
    <col min="13882" max="13882" width="11.42578125" style="26"/>
    <col min="13883" max="13883" width="11.140625" style="26" customWidth="1"/>
    <col min="13884" max="13884" width="11.42578125" style="26"/>
    <col min="13885" max="13885" width="17.42578125" style="26" customWidth="1"/>
    <col min="13886" max="14130" width="11.42578125" style="26"/>
    <col min="14131" max="14131" width="14.5703125" style="26" customWidth="1"/>
    <col min="14132" max="14132" width="12.7109375" style="26" customWidth="1"/>
    <col min="14133" max="14133" width="1.5703125" style="26" customWidth="1"/>
    <col min="14134" max="14134" width="18.28515625" style="26" customWidth="1"/>
    <col min="14135" max="14135" width="11" style="26" customWidth="1"/>
    <col min="14136" max="14136" width="13.28515625" style="26" bestFit="1" customWidth="1"/>
    <col min="14137" max="14137" width="18" style="26" customWidth="1"/>
    <col min="14138" max="14138" width="11.42578125" style="26"/>
    <col min="14139" max="14139" width="11.140625" style="26" customWidth="1"/>
    <col min="14140" max="14140" width="11.42578125" style="26"/>
    <col min="14141" max="14141" width="17.42578125" style="26" customWidth="1"/>
    <col min="14142" max="14386" width="11.42578125" style="26"/>
    <col min="14387" max="14387" width="14.5703125" style="26" customWidth="1"/>
    <col min="14388" max="14388" width="12.7109375" style="26" customWidth="1"/>
    <col min="14389" max="14389" width="1.5703125" style="26" customWidth="1"/>
    <col min="14390" max="14390" width="18.28515625" style="26" customWidth="1"/>
    <col min="14391" max="14391" width="11" style="26" customWidth="1"/>
    <col min="14392" max="14392" width="13.28515625" style="26" bestFit="1" customWidth="1"/>
    <col min="14393" max="14393" width="18" style="26" customWidth="1"/>
    <col min="14394" max="14394" width="11.42578125" style="26"/>
    <col min="14395" max="14395" width="11.140625" style="26" customWidth="1"/>
    <col min="14396" max="14396" width="11.42578125" style="26"/>
    <col min="14397" max="14397" width="17.42578125" style="26" customWidth="1"/>
    <col min="14398" max="14642" width="11.42578125" style="26"/>
    <col min="14643" max="14643" width="14.5703125" style="26" customWidth="1"/>
    <col min="14644" max="14644" width="12.7109375" style="26" customWidth="1"/>
    <col min="14645" max="14645" width="1.5703125" style="26" customWidth="1"/>
    <col min="14646" max="14646" width="18.28515625" style="26" customWidth="1"/>
    <col min="14647" max="14647" width="11" style="26" customWidth="1"/>
    <col min="14648" max="14648" width="13.28515625" style="26" bestFit="1" customWidth="1"/>
    <col min="14649" max="14649" width="18" style="26" customWidth="1"/>
    <col min="14650" max="14650" width="11.42578125" style="26"/>
    <col min="14651" max="14651" width="11.140625" style="26" customWidth="1"/>
    <col min="14652" max="14652" width="11.42578125" style="26"/>
    <col min="14653" max="14653" width="17.42578125" style="26" customWidth="1"/>
    <col min="14654" max="14898" width="11.42578125" style="26"/>
    <col min="14899" max="14899" width="14.5703125" style="26" customWidth="1"/>
    <col min="14900" max="14900" width="12.7109375" style="26" customWidth="1"/>
    <col min="14901" max="14901" width="1.5703125" style="26" customWidth="1"/>
    <col min="14902" max="14902" width="18.28515625" style="26" customWidth="1"/>
    <col min="14903" max="14903" width="11" style="26" customWidth="1"/>
    <col min="14904" max="14904" width="13.28515625" style="26" bestFit="1" customWidth="1"/>
    <col min="14905" max="14905" width="18" style="26" customWidth="1"/>
    <col min="14906" max="14906" width="11.42578125" style="26"/>
    <col min="14907" max="14907" width="11.140625" style="26" customWidth="1"/>
    <col min="14908" max="14908" width="11.42578125" style="26"/>
    <col min="14909" max="14909" width="17.42578125" style="26" customWidth="1"/>
    <col min="14910" max="15154" width="11.42578125" style="26"/>
    <col min="15155" max="15155" width="14.5703125" style="26" customWidth="1"/>
    <col min="15156" max="15156" width="12.7109375" style="26" customWidth="1"/>
    <col min="15157" max="15157" width="1.5703125" style="26" customWidth="1"/>
    <col min="15158" max="15158" width="18.28515625" style="26" customWidth="1"/>
    <col min="15159" max="15159" width="11" style="26" customWidth="1"/>
    <col min="15160" max="15160" width="13.28515625" style="26" bestFit="1" customWidth="1"/>
    <col min="15161" max="15161" width="18" style="26" customWidth="1"/>
    <col min="15162" max="15162" width="11.42578125" style="26"/>
    <col min="15163" max="15163" width="11.140625" style="26" customWidth="1"/>
    <col min="15164" max="15164" width="11.42578125" style="26"/>
    <col min="15165" max="15165" width="17.42578125" style="26" customWidth="1"/>
    <col min="15166" max="15410" width="11.42578125" style="26"/>
    <col min="15411" max="15411" width="14.5703125" style="26" customWidth="1"/>
    <col min="15412" max="15412" width="12.7109375" style="26" customWidth="1"/>
    <col min="15413" max="15413" width="1.5703125" style="26" customWidth="1"/>
    <col min="15414" max="15414" width="18.28515625" style="26" customWidth="1"/>
    <col min="15415" max="15415" width="11" style="26" customWidth="1"/>
    <col min="15416" max="15416" width="13.28515625" style="26" bestFit="1" customWidth="1"/>
    <col min="15417" max="15417" width="18" style="26" customWidth="1"/>
    <col min="15418" max="15418" width="11.42578125" style="26"/>
    <col min="15419" max="15419" width="11.140625" style="26" customWidth="1"/>
    <col min="15420" max="15420" width="11.42578125" style="26"/>
    <col min="15421" max="15421" width="17.42578125" style="26" customWidth="1"/>
    <col min="15422" max="15666" width="11.42578125" style="26"/>
    <col min="15667" max="15667" width="14.5703125" style="26" customWidth="1"/>
    <col min="15668" max="15668" width="12.7109375" style="26" customWidth="1"/>
    <col min="15669" max="15669" width="1.5703125" style="26" customWidth="1"/>
    <col min="15670" max="15670" width="18.28515625" style="26" customWidth="1"/>
    <col min="15671" max="15671" width="11" style="26" customWidth="1"/>
    <col min="15672" max="15672" width="13.28515625" style="26" bestFit="1" customWidth="1"/>
    <col min="15673" max="15673" width="18" style="26" customWidth="1"/>
    <col min="15674" max="15674" width="11.42578125" style="26"/>
    <col min="15675" max="15675" width="11.140625" style="26" customWidth="1"/>
    <col min="15676" max="15676" width="11.42578125" style="26"/>
    <col min="15677" max="15677" width="17.42578125" style="26" customWidth="1"/>
    <col min="15678" max="15922" width="11.42578125" style="26"/>
    <col min="15923" max="15923" width="14.5703125" style="26" customWidth="1"/>
    <col min="15924" max="15924" width="12.7109375" style="26" customWidth="1"/>
    <col min="15925" max="15925" width="1.5703125" style="26" customWidth="1"/>
    <col min="15926" max="15926" width="18.28515625" style="26" customWidth="1"/>
    <col min="15927" max="15927" width="11" style="26" customWidth="1"/>
    <col min="15928" max="15928" width="13.28515625" style="26" bestFit="1" customWidth="1"/>
    <col min="15929" max="15929" width="18" style="26" customWidth="1"/>
    <col min="15930" max="15930" width="11.42578125" style="26"/>
    <col min="15931" max="15931" width="11.140625" style="26" customWidth="1"/>
    <col min="15932" max="15932" width="11.42578125" style="26"/>
    <col min="15933" max="15933" width="17.42578125" style="26" customWidth="1"/>
    <col min="15934" max="16178" width="11.42578125" style="26"/>
    <col min="16179" max="16179" width="14.5703125" style="26" customWidth="1"/>
    <col min="16180" max="16180" width="12.7109375" style="26" customWidth="1"/>
    <col min="16181" max="16181" width="1.5703125" style="26" customWidth="1"/>
    <col min="16182" max="16182" width="18.28515625" style="26" customWidth="1"/>
    <col min="16183" max="16183" width="11" style="26" customWidth="1"/>
    <col min="16184" max="16184" width="13.28515625" style="26" bestFit="1" customWidth="1"/>
    <col min="16185" max="16185" width="18" style="26" customWidth="1"/>
    <col min="16186" max="16186" width="11.42578125" style="26"/>
    <col min="16187" max="16187" width="11.140625" style="26" customWidth="1"/>
    <col min="16188" max="16188" width="11.42578125" style="26"/>
    <col min="16189" max="16189" width="17.42578125" style="26" customWidth="1"/>
    <col min="16190" max="16384" width="11.42578125" style="26"/>
  </cols>
  <sheetData>
    <row r="1" spans="1:92" ht="12.75" customHeight="1" x14ac:dyDescent="0.2">
      <c r="A1" s="406" t="s">
        <v>22</v>
      </c>
      <c r="B1" s="406"/>
      <c r="C1" s="406"/>
      <c r="D1" s="406"/>
      <c r="E1" s="406"/>
      <c r="F1" s="406"/>
      <c r="G1" s="406"/>
      <c r="H1" s="406"/>
      <c r="I1" s="406"/>
      <c r="J1" s="406"/>
      <c r="K1" s="406"/>
      <c r="L1" s="406"/>
      <c r="M1" s="406"/>
      <c r="N1" s="406"/>
      <c r="O1" s="406"/>
      <c r="P1" s="406"/>
      <c r="Q1" s="406"/>
      <c r="R1" s="406"/>
      <c r="S1" s="406"/>
      <c r="T1" s="406"/>
      <c r="U1" s="406"/>
      <c r="V1" s="406"/>
      <c r="W1" s="406"/>
      <c r="X1" s="406"/>
      <c r="Y1" s="406"/>
      <c r="Z1" s="406"/>
      <c r="AA1" s="406"/>
      <c r="AB1" s="406"/>
      <c r="AC1" s="406"/>
      <c r="AD1" s="406"/>
      <c r="AE1" s="406"/>
      <c r="AF1" s="406"/>
      <c r="AG1" s="406"/>
      <c r="AH1" s="406"/>
      <c r="AI1" s="406"/>
      <c r="AJ1" s="406"/>
      <c r="AK1" s="406"/>
      <c r="AL1" s="406"/>
      <c r="AM1" s="406"/>
      <c r="AN1" s="406"/>
      <c r="AO1" s="406"/>
      <c r="AP1" s="406"/>
      <c r="AQ1" s="406"/>
      <c r="AR1" s="406"/>
      <c r="AS1" s="406"/>
      <c r="AT1" s="269"/>
      <c r="AU1" s="269"/>
      <c r="AV1" s="269"/>
      <c r="AW1" s="269"/>
      <c r="AX1" s="364" t="s">
        <v>178</v>
      </c>
      <c r="AY1" s="364"/>
      <c r="AZ1" s="364"/>
      <c r="BA1" s="364"/>
      <c r="BB1" s="364"/>
      <c r="BC1" s="364"/>
      <c r="BD1" s="364"/>
      <c r="BE1" s="364"/>
      <c r="BF1" s="364"/>
      <c r="BG1" s="364"/>
      <c r="BH1" s="364"/>
      <c r="BI1" s="270"/>
      <c r="BJ1" s="270"/>
      <c r="BK1" s="364" t="s">
        <v>260</v>
      </c>
      <c r="BL1" s="364"/>
      <c r="BM1" s="364"/>
      <c r="BN1" s="364"/>
      <c r="BO1" s="364"/>
      <c r="BP1" s="364"/>
      <c r="BQ1" s="364"/>
      <c r="BR1" s="364"/>
      <c r="BS1" s="364"/>
      <c r="BT1" s="364"/>
      <c r="BU1" s="270"/>
      <c r="BV1" s="97"/>
      <c r="BW1" s="254"/>
      <c r="BX1" s="33"/>
      <c r="CE1" s="24"/>
      <c r="CN1" s="24"/>
    </row>
    <row r="2" spans="1:92" ht="12.75" customHeight="1" x14ac:dyDescent="0.2">
      <c r="A2" s="406"/>
      <c r="B2" s="406"/>
      <c r="C2" s="406"/>
      <c r="D2" s="406"/>
      <c r="E2" s="406"/>
      <c r="F2" s="406"/>
      <c r="G2" s="406"/>
      <c r="H2" s="406"/>
      <c r="I2" s="406"/>
      <c r="J2" s="406"/>
      <c r="K2" s="406"/>
      <c r="L2" s="406"/>
      <c r="M2" s="406"/>
      <c r="N2" s="406"/>
      <c r="O2" s="406"/>
      <c r="P2" s="406"/>
      <c r="Q2" s="406"/>
      <c r="R2" s="406"/>
      <c r="S2" s="406"/>
      <c r="T2" s="406"/>
      <c r="U2" s="406"/>
      <c r="V2" s="406"/>
      <c r="W2" s="406"/>
      <c r="X2" s="406"/>
      <c r="Y2" s="406"/>
      <c r="Z2" s="406"/>
      <c r="AA2" s="406"/>
      <c r="AB2" s="406"/>
      <c r="AC2" s="406"/>
      <c r="AD2" s="406"/>
      <c r="AE2" s="406"/>
      <c r="AF2" s="406"/>
      <c r="AG2" s="406"/>
      <c r="AH2" s="406"/>
      <c r="AI2" s="406"/>
      <c r="AJ2" s="406"/>
      <c r="AK2" s="406"/>
      <c r="AL2" s="406"/>
      <c r="AM2" s="406"/>
      <c r="AN2" s="406"/>
      <c r="AO2" s="406"/>
      <c r="AP2" s="406"/>
      <c r="AQ2" s="406"/>
      <c r="AR2" s="406"/>
      <c r="AS2" s="406"/>
      <c r="AT2" s="269"/>
      <c r="AU2" s="269"/>
      <c r="AV2" s="269"/>
      <c r="AW2" s="269"/>
      <c r="AX2" s="364"/>
      <c r="AY2" s="364"/>
      <c r="AZ2" s="364"/>
      <c r="BA2" s="364"/>
      <c r="BB2" s="364"/>
      <c r="BC2" s="364"/>
      <c r="BD2" s="364"/>
      <c r="BE2" s="364"/>
      <c r="BF2" s="364"/>
      <c r="BG2" s="364"/>
      <c r="BH2" s="364"/>
      <c r="BI2" s="270"/>
      <c r="BJ2" s="270"/>
      <c r="BK2" s="364"/>
      <c r="BL2" s="364"/>
      <c r="BM2" s="364"/>
      <c r="BN2" s="364"/>
      <c r="BO2" s="364"/>
      <c r="BP2" s="364"/>
      <c r="BQ2" s="364"/>
      <c r="BR2" s="364"/>
      <c r="BS2" s="364"/>
      <c r="BT2" s="364"/>
      <c r="BU2" s="270"/>
      <c r="BV2" s="97"/>
      <c r="BW2" s="254"/>
      <c r="BX2" s="33"/>
      <c r="CA2" s="25"/>
      <c r="CE2" s="24"/>
      <c r="CN2" s="24"/>
    </row>
    <row r="3" spans="1:92" ht="12.75" customHeight="1" x14ac:dyDescent="0.2">
      <c r="A3" s="406"/>
      <c r="B3" s="406"/>
      <c r="C3" s="406"/>
      <c r="D3" s="406"/>
      <c r="E3" s="406"/>
      <c r="F3" s="406"/>
      <c r="G3" s="406"/>
      <c r="H3" s="406"/>
      <c r="I3" s="406"/>
      <c r="J3" s="406"/>
      <c r="K3" s="406"/>
      <c r="L3" s="406"/>
      <c r="M3" s="406"/>
      <c r="N3" s="406"/>
      <c r="O3" s="406"/>
      <c r="P3" s="406"/>
      <c r="Q3" s="406"/>
      <c r="R3" s="406"/>
      <c r="S3" s="406"/>
      <c r="T3" s="406"/>
      <c r="U3" s="406"/>
      <c r="V3" s="406"/>
      <c r="W3" s="406"/>
      <c r="X3" s="406"/>
      <c r="Y3" s="406"/>
      <c r="Z3" s="406"/>
      <c r="AA3" s="406"/>
      <c r="AB3" s="406"/>
      <c r="AC3" s="406"/>
      <c r="AD3" s="406"/>
      <c r="AE3" s="406"/>
      <c r="AF3" s="406"/>
      <c r="AG3" s="406"/>
      <c r="AH3" s="406"/>
      <c r="AI3" s="406"/>
      <c r="AJ3" s="406"/>
      <c r="AK3" s="406"/>
      <c r="AL3" s="406"/>
      <c r="AM3" s="406"/>
      <c r="AN3" s="406"/>
      <c r="AO3" s="406"/>
      <c r="AP3" s="406"/>
      <c r="AQ3" s="406"/>
      <c r="AR3" s="406"/>
      <c r="AS3" s="406"/>
      <c r="AT3" s="269"/>
      <c r="AU3" s="269"/>
      <c r="AV3" s="269"/>
      <c r="AW3" s="269"/>
      <c r="AX3" s="364"/>
      <c r="AY3" s="364"/>
      <c r="AZ3" s="364"/>
      <c r="BA3" s="364"/>
      <c r="BB3" s="364"/>
      <c r="BC3" s="364"/>
      <c r="BD3" s="364"/>
      <c r="BE3" s="364"/>
      <c r="BF3" s="364"/>
      <c r="BG3" s="364"/>
      <c r="BH3" s="364"/>
      <c r="BI3" s="270"/>
      <c r="BJ3" s="270"/>
      <c r="BK3" s="364"/>
      <c r="BL3" s="364"/>
      <c r="BM3" s="364"/>
      <c r="BN3" s="364"/>
      <c r="BO3" s="364"/>
      <c r="BP3" s="364"/>
      <c r="BQ3" s="364"/>
      <c r="BR3" s="364"/>
      <c r="BS3" s="364"/>
      <c r="BT3" s="364"/>
      <c r="BU3" s="270"/>
      <c r="BV3" s="97"/>
      <c r="BW3" s="254"/>
      <c r="BX3" s="33"/>
      <c r="CE3" s="24"/>
      <c r="CN3" s="24"/>
    </row>
    <row r="4" spans="1:92" ht="12.75" customHeight="1" x14ac:dyDescent="0.25">
      <c r="A4" s="30" t="s">
        <v>273</v>
      </c>
      <c r="B4" s="27"/>
      <c r="C4" s="27"/>
      <c r="D4" s="27"/>
      <c r="E4" s="27"/>
      <c r="F4" s="27"/>
      <c r="G4" s="27"/>
      <c r="H4" s="27"/>
      <c r="I4" s="27"/>
      <c r="J4" s="27"/>
      <c r="K4" s="27"/>
      <c r="L4" s="27"/>
      <c r="M4" s="27"/>
      <c r="N4" s="27"/>
      <c r="O4" s="27"/>
      <c r="P4" s="27"/>
      <c r="Q4" s="27"/>
      <c r="R4" s="75"/>
      <c r="S4" s="75">
        <v>0</v>
      </c>
      <c r="T4" s="75">
        <v>0</v>
      </c>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79"/>
      <c r="AV4" s="79"/>
      <c r="AW4" s="79"/>
      <c r="AX4" s="365"/>
      <c r="AY4" s="365"/>
      <c r="AZ4" s="365"/>
      <c r="BA4" s="365"/>
      <c r="BB4" s="365"/>
      <c r="BC4" s="365"/>
      <c r="BD4" s="365"/>
      <c r="BE4" s="365"/>
      <c r="BF4" s="365"/>
      <c r="BG4" s="365"/>
      <c r="BH4" s="365"/>
      <c r="BI4" s="271"/>
      <c r="BJ4" s="271"/>
      <c r="BK4" s="365"/>
      <c r="BL4" s="365"/>
      <c r="BM4" s="365"/>
      <c r="BN4" s="365"/>
      <c r="BO4" s="365"/>
      <c r="BP4" s="365"/>
      <c r="BQ4" s="365"/>
      <c r="BR4" s="365"/>
      <c r="BS4" s="365"/>
      <c r="BT4" s="365"/>
      <c r="BU4" s="271"/>
      <c r="BV4" s="98"/>
      <c r="BW4" s="254"/>
      <c r="BX4" s="33"/>
      <c r="CE4" s="24"/>
      <c r="CN4" s="24"/>
    </row>
    <row r="5" spans="1:92" x14ac:dyDescent="0.2">
      <c r="A5" s="53">
        <v>17</v>
      </c>
      <c r="B5" s="72">
        <v>2018</v>
      </c>
      <c r="C5" s="28"/>
      <c r="D5" s="28"/>
      <c r="E5" s="28"/>
      <c r="F5" s="28"/>
      <c r="G5" s="28"/>
      <c r="H5" s="28"/>
      <c r="I5" s="28"/>
      <c r="J5" s="28"/>
      <c r="K5" s="28"/>
      <c r="L5" s="28"/>
      <c r="M5" s="28"/>
      <c r="N5" s="28"/>
      <c r="O5" s="28"/>
      <c r="P5" s="28"/>
      <c r="Q5" s="28"/>
      <c r="R5" s="28"/>
      <c r="S5" s="6"/>
      <c r="T5" s="7"/>
      <c r="U5" s="7"/>
      <c r="V5" s="7"/>
      <c r="W5" s="7"/>
      <c r="X5" s="7"/>
      <c r="Y5" s="7"/>
      <c r="Z5" s="7"/>
      <c r="AA5" s="7"/>
      <c r="AB5" s="7"/>
      <c r="AC5" s="7"/>
      <c r="AD5" s="7"/>
      <c r="AE5" s="7"/>
      <c r="AF5" s="7"/>
      <c r="AG5" s="7"/>
      <c r="AH5" s="7"/>
      <c r="AI5" s="7"/>
      <c r="AJ5" s="7"/>
      <c r="AK5" s="7"/>
      <c r="AL5" s="7"/>
      <c r="AM5" s="7"/>
      <c r="AN5" s="7"/>
      <c r="AO5" s="7"/>
      <c r="AP5" s="7"/>
      <c r="AQ5" s="7"/>
      <c r="AR5" s="7"/>
      <c r="AS5" s="7"/>
      <c r="AT5" s="7"/>
      <c r="AU5" s="80"/>
      <c r="AV5" s="80"/>
      <c r="AW5" s="80"/>
      <c r="AX5" s="7"/>
      <c r="AY5" s="7"/>
      <c r="AZ5" s="7"/>
      <c r="BA5" s="7"/>
      <c r="BB5" s="7"/>
      <c r="BC5" s="7"/>
      <c r="BD5" s="7"/>
      <c r="BE5" s="7"/>
      <c r="BF5" s="7"/>
      <c r="BG5" s="7"/>
      <c r="BH5" s="7"/>
      <c r="BI5" s="7"/>
      <c r="BJ5" s="7"/>
      <c r="BK5" s="7"/>
      <c r="BL5" s="7"/>
      <c r="BM5" s="7"/>
      <c r="BN5" s="7"/>
      <c r="BO5" s="7"/>
      <c r="BP5" s="7"/>
      <c r="BQ5" s="7"/>
      <c r="BR5" s="7"/>
      <c r="BS5" s="7"/>
      <c r="BT5" s="7"/>
      <c r="BU5" s="7"/>
      <c r="BV5" s="7"/>
      <c r="BW5" s="7"/>
      <c r="BX5" s="33"/>
      <c r="CE5" s="24"/>
      <c r="CN5" s="24"/>
    </row>
    <row r="6" spans="1:92" ht="12.75" customHeight="1" x14ac:dyDescent="0.2">
      <c r="A6" s="543" t="s">
        <v>190</v>
      </c>
      <c r="B6" s="543"/>
      <c r="C6" s="543"/>
      <c r="D6" s="543"/>
      <c r="E6" s="543"/>
      <c r="F6" s="543"/>
      <c r="G6" s="543"/>
      <c r="H6" s="543"/>
      <c r="I6" s="543"/>
      <c r="J6" s="543"/>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3"/>
      <c r="AP6" s="543"/>
      <c r="AQ6" s="543"/>
      <c r="AR6" s="543"/>
      <c r="AS6" s="543"/>
      <c r="AT6" s="543"/>
      <c r="AU6" s="543"/>
      <c r="AV6" s="543"/>
      <c r="AW6" s="543"/>
      <c r="AX6" s="543"/>
      <c r="AY6" s="543"/>
      <c r="AZ6" s="543"/>
      <c r="BA6" s="543"/>
      <c r="BB6" s="543"/>
      <c r="BC6" s="543"/>
      <c r="BD6" s="543"/>
      <c r="BE6" s="543"/>
      <c r="BF6" s="543"/>
      <c r="BG6" s="543"/>
      <c r="BH6" s="543"/>
      <c r="BI6" s="543"/>
      <c r="BJ6" s="543"/>
      <c r="BK6" s="543"/>
      <c r="BL6" s="543"/>
      <c r="BM6" s="543"/>
      <c r="BN6" s="543"/>
      <c r="BO6" s="543"/>
      <c r="BP6" s="543"/>
      <c r="BQ6" s="543"/>
      <c r="BR6" s="543"/>
      <c r="BS6" s="543"/>
      <c r="BT6" s="543"/>
      <c r="BU6" s="543"/>
      <c r="BV6" s="543"/>
      <c r="BW6" s="251"/>
      <c r="BX6" s="33"/>
      <c r="CE6" s="24"/>
      <c r="CN6" s="24"/>
    </row>
    <row r="7" spans="1:92" ht="27" customHeight="1" x14ac:dyDescent="0.2">
      <c r="A7" s="543"/>
      <c r="B7" s="543"/>
      <c r="C7" s="543"/>
      <c r="D7" s="543"/>
      <c r="E7" s="543"/>
      <c r="F7" s="543"/>
      <c r="G7" s="543"/>
      <c r="H7" s="543"/>
      <c r="I7" s="543"/>
      <c r="J7" s="543"/>
      <c r="K7" s="543"/>
      <c r="L7" s="543"/>
      <c r="M7" s="543"/>
      <c r="N7" s="543"/>
      <c r="O7" s="543"/>
      <c r="P7" s="543"/>
      <c r="Q7" s="543"/>
      <c r="R7" s="543"/>
      <c r="S7" s="543"/>
      <c r="T7" s="543"/>
      <c r="U7" s="543"/>
      <c r="V7" s="543"/>
      <c r="W7" s="543"/>
      <c r="X7" s="543"/>
      <c r="Y7" s="543"/>
      <c r="Z7" s="543"/>
      <c r="AA7" s="543"/>
      <c r="AB7" s="543"/>
      <c r="AC7" s="543"/>
      <c r="AD7" s="543"/>
      <c r="AE7" s="543"/>
      <c r="AF7" s="543"/>
      <c r="AG7" s="543"/>
      <c r="AH7" s="543"/>
      <c r="AI7" s="543"/>
      <c r="AJ7" s="543"/>
      <c r="AK7" s="543"/>
      <c r="AL7" s="543"/>
      <c r="AM7" s="543"/>
      <c r="AN7" s="543"/>
      <c r="AO7" s="543"/>
      <c r="AP7" s="543"/>
      <c r="AQ7" s="543"/>
      <c r="AR7" s="543"/>
      <c r="AS7" s="543"/>
      <c r="AT7" s="543"/>
      <c r="AU7" s="543"/>
      <c r="AV7" s="543"/>
      <c r="AW7" s="543"/>
      <c r="AX7" s="543"/>
      <c r="AY7" s="543"/>
      <c r="AZ7" s="543"/>
      <c r="BA7" s="543"/>
      <c r="BB7" s="543"/>
      <c r="BC7" s="543"/>
      <c r="BD7" s="543"/>
      <c r="BE7" s="543"/>
      <c r="BF7" s="543"/>
      <c r="BG7" s="543"/>
      <c r="BH7" s="543"/>
      <c r="BI7" s="543"/>
      <c r="BJ7" s="543"/>
      <c r="BK7" s="543"/>
      <c r="BL7" s="543"/>
      <c r="BM7" s="543"/>
      <c r="BN7" s="543"/>
      <c r="BO7" s="543"/>
      <c r="BP7" s="543"/>
      <c r="BQ7" s="543"/>
      <c r="BR7" s="543"/>
      <c r="BS7" s="543"/>
      <c r="BT7" s="543"/>
      <c r="BU7" s="543"/>
      <c r="BV7" s="543"/>
      <c r="BW7" s="251"/>
      <c r="BX7" s="33"/>
      <c r="CE7" s="24"/>
      <c r="CN7" s="24"/>
    </row>
    <row r="8" spans="1:92" ht="9.75" customHeight="1" x14ac:dyDescent="0.2">
      <c r="A8" s="54"/>
      <c r="B8" s="54"/>
      <c r="C8" s="54"/>
      <c r="D8" s="54"/>
      <c r="E8" s="54"/>
      <c r="F8" s="54"/>
      <c r="G8" s="54"/>
      <c r="H8" s="54"/>
      <c r="I8" s="54"/>
      <c r="J8" s="54"/>
      <c r="K8" s="54"/>
      <c r="L8" s="54"/>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81"/>
      <c r="AV8" s="81"/>
      <c r="AW8" s="81"/>
      <c r="AX8" s="54"/>
      <c r="AY8" s="54"/>
      <c r="AZ8" s="54"/>
      <c r="BA8" s="54"/>
      <c r="BB8" s="54"/>
      <c r="BC8" s="54"/>
      <c r="BD8" s="54"/>
      <c r="BE8" s="54"/>
      <c r="BF8" s="54"/>
      <c r="BG8" s="54"/>
      <c r="BH8" s="54"/>
      <c r="BI8" s="54"/>
      <c r="BJ8" s="54"/>
      <c r="BK8" s="54"/>
      <c r="BL8" s="54"/>
      <c r="BM8" s="54"/>
      <c r="BN8" s="54"/>
      <c r="BO8" s="54"/>
      <c r="BP8" s="54"/>
      <c r="BQ8" s="54"/>
      <c r="BR8" s="54"/>
      <c r="BS8" s="54"/>
      <c r="BT8" s="54"/>
      <c r="BU8" s="54"/>
      <c r="BV8" s="54"/>
      <c r="BW8" s="54"/>
      <c r="BX8" s="33"/>
      <c r="CE8" s="24"/>
      <c r="CN8" s="24"/>
    </row>
    <row r="9" spans="1:92" ht="15" x14ac:dyDescent="0.2">
      <c r="A9" s="268" t="s">
        <v>258</v>
      </c>
      <c r="B9" s="54"/>
      <c r="C9" s="54"/>
      <c r="D9" s="54"/>
      <c r="E9" s="54"/>
      <c r="F9" s="54"/>
      <c r="G9" s="54"/>
      <c r="H9" s="54"/>
      <c r="I9" s="54"/>
      <c r="J9" s="54"/>
      <c r="K9" s="54"/>
      <c r="L9" s="54"/>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81"/>
      <c r="AV9" s="81"/>
      <c r="AW9" s="81"/>
      <c r="AX9" s="54"/>
      <c r="AY9" s="54"/>
      <c r="AZ9" s="54"/>
      <c r="BA9" s="54"/>
      <c r="BB9" s="54"/>
      <c r="BC9" s="54"/>
      <c r="BD9" s="54"/>
      <c r="BE9" s="54"/>
      <c r="BF9" s="54"/>
      <c r="BG9" s="54"/>
      <c r="BH9" s="54"/>
      <c r="BI9" s="54"/>
      <c r="BJ9" s="54"/>
      <c r="BK9" s="54"/>
      <c r="BL9" s="54"/>
      <c r="BM9" s="54"/>
      <c r="BN9" s="54"/>
      <c r="BO9" s="54"/>
      <c r="BP9" s="54"/>
      <c r="BQ9" s="54"/>
      <c r="BR9" s="54"/>
      <c r="BS9" s="54"/>
      <c r="BT9" s="54"/>
      <c r="BU9" s="54"/>
      <c r="BV9" s="54"/>
      <c r="BW9" s="54"/>
      <c r="BX9" s="33"/>
      <c r="CE9" s="24"/>
      <c r="CN9" s="24"/>
    </row>
    <row r="10" spans="1:92" ht="15" x14ac:dyDescent="0.2">
      <c r="A10" s="268" t="s">
        <v>259</v>
      </c>
      <c r="B10" s="54"/>
      <c r="C10" s="54"/>
      <c r="D10" s="54"/>
      <c r="E10" s="54"/>
      <c r="F10" s="54"/>
      <c r="G10" s="54"/>
      <c r="H10" s="54"/>
      <c r="I10" s="54"/>
      <c r="J10" s="54"/>
      <c r="K10" s="54"/>
      <c r="L10" s="54"/>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81"/>
      <c r="AV10" s="81"/>
      <c r="AW10" s="81"/>
      <c r="AX10" s="54"/>
      <c r="AY10" s="54"/>
      <c r="AZ10" s="54"/>
      <c r="BA10" s="54"/>
      <c r="BB10" s="54"/>
      <c r="BC10" s="54"/>
      <c r="BD10" s="54"/>
      <c r="BE10" s="54"/>
      <c r="BF10" s="54"/>
      <c r="BG10" s="54"/>
      <c r="BH10" s="54"/>
      <c r="BI10" s="54"/>
      <c r="BJ10" s="54"/>
      <c r="BK10" s="54"/>
      <c r="BL10" s="54"/>
      <c r="BM10" s="54"/>
      <c r="BN10" s="54"/>
      <c r="BO10" s="54"/>
      <c r="BP10" s="54"/>
      <c r="BQ10" s="54"/>
      <c r="BR10" s="54"/>
      <c r="BS10" s="54"/>
      <c r="BT10" s="54"/>
      <c r="BU10" s="54"/>
      <c r="BV10" s="54"/>
      <c r="BW10" s="54"/>
      <c r="BX10" s="33"/>
      <c r="CE10" s="24"/>
      <c r="CN10" s="24"/>
    </row>
    <row r="11" spans="1:92" ht="8.25" customHeight="1" x14ac:dyDescent="0.2">
      <c r="A11" s="51"/>
      <c r="B11" s="51"/>
      <c r="C11" s="51"/>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82"/>
      <c r="AV11" s="82"/>
      <c r="AW11" s="82"/>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33"/>
      <c r="CE11" s="24"/>
      <c r="CN11" s="24"/>
    </row>
    <row r="12" spans="1:92" ht="13.5" customHeight="1" x14ac:dyDescent="0.2">
      <c r="A12" s="475" t="s">
        <v>90</v>
      </c>
      <c r="B12" s="476"/>
      <c r="C12" s="475" t="s">
        <v>21</v>
      </c>
      <c r="D12" s="476"/>
      <c r="E12" s="482" t="s">
        <v>180</v>
      </c>
      <c r="F12" s="464" t="s">
        <v>2</v>
      </c>
      <c r="G12" s="465"/>
      <c r="H12" s="465"/>
      <c r="I12" s="465"/>
      <c r="J12" s="465"/>
      <c r="K12" s="466"/>
      <c r="L12" s="464" t="s">
        <v>3</v>
      </c>
      <c r="M12" s="465"/>
      <c r="N12" s="465"/>
      <c r="O12" s="465"/>
      <c r="P12" s="465"/>
      <c r="Q12" s="465"/>
      <c r="R12" s="465"/>
      <c r="S12" s="465"/>
      <c r="T12" s="466"/>
      <c r="U12" s="464" t="s">
        <v>4</v>
      </c>
      <c r="V12" s="465"/>
      <c r="W12" s="465"/>
      <c r="X12" s="465"/>
      <c r="Y12" s="465"/>
      <c r="Z12" s="466"/>
      <c r="AA12" s="475" t="s">
        <v>14</v>
      </c>
      <c r="AB12" s="544"/>
      <c r="AC12" s="544"/>
      <c r="AD12" s="544"/>
      <c r="AE12" s="544"/>
      <c r="AF12" s="544"/>
      <c r="AG12" s="544"/>
      <c r="AH12" s="544"/>
      <c r="AI12" s="544"/>
      <c r="AJ12" s="544"/>
      <c r="AK12" s="544"/>
      <c r="AL12" s="544"/>
      <c r="AM12" s="544"/>
      <c r="AN12" s="544"/>
      <c r="AO12" s="544"/>
      <c r="AP12" s="544"/>
      <c r="AQ12" s="544"/>
      <c r="AR12" s="544"/>
      <c r="AS12" s="544"/>
      <c r="AT12" s="544"/>
      <c r="AU12" s="544"/>
      <c r="AV12" s="544"/>
      <c r="AW12" s="476"/>
      <c r="AX12" s="465" t="s">
        <v>15</v>
      </c>
      <c r="AY12" s="465"/>
      <c r="AZ12" s="465"/>
      <c r="BA12" s="465"/>
      <c r="BB12" s="465"/>
      <c r="BC12" s="465"/>
      <c r="BD12" s="465"/>
      <c r="BE12" s="465"/>
      <c r="BF12" s="466"/>
      <c r="BG12" s="464" t="s">
        <v>16</v>
      </c>
      <c r="BH12" s="465"/>
      <c r="BI12" s="465"/>
      <c r="BJ12" s="465"/>
      <c r="BK12" s="465"/>
      <c r="BL12" s="465"/>
      <c r="BM12" s="465"/>
      <c r="BN12" s="465"/>
      <c r="BO12" s="465"/>
      <c r="BP12" s="465"/>
      <c r="BQ12" s="465"/>
      <c r="BR12" s="465"/>
      <c r="BS12" s="466"/>
      <c r="BT12" s="456" t="s">
        <v>186</v>
      </c>
      <c r="BU12" s="456" t="s">
        <v>187</v>
      </c>
      <c r="BV12" s="535" t="s">
        <v>182</v>
      </c>
      <c r="BW12" s="475" t="s">
        <v>90</v>
      </c>
      <c r="BX12" s="33"/>
      <c r="BY12" s="23"/>
      <c r="CE12" s="24"/>
      <c r="CN12" s="24"/>
    </row>
    <row r="13" spans="1:92" ht="60" customHeight="1" x14ac:dyDescent="0.2">
      <c r="A13" s="477"/>
      <c r="B13" s="478"/>
      <c r="C13" s="477"/>
      <c r="D13" s="478"/>
      <c r="E13" s="483"/>
      <c r="F13" s="493" t="s">
        <v>158</v>
      </c>
      <c r="G13" s="494"/>
      <c r="H13" s="495"/>
      <c r="I13" s="451" t="s">
        <v>12</v>
      </c>
      <c r="J13" s="452"/>
      <c r="K13" s="453"/>
      <c r="L13" s="451" t="s">
        <v>13</v>
      </c>
      <c r="M13" s="452"/>
      <c r="N13" s="453"/>
      <c r="O13" s="451" t="s">
        <v>19</v>
      </c>
      <c r="P13" s="452"/>
      <c r="Q13" s="453"/>
      <c r="R13" s="451" t="s">
        <v>162</v>
      </c>
      <c r="S13" s="452"/>
      <c r="T13" s="453"/>
      <c r="U13" s="451" t="s">
        <v>18</v>
      </c>
      <c r="V13" s="452"/>
      <c r="W13" s="453"/>
      <c r="X13" s="451" t="s">
        <v>5</v>
      </c>
      <c r="Y13" s="452"/>
      <c r="Z13" s="453"/>
      <c r="AA13" s="451" t="s">
        <v>159</v>
      </c>
      <c r="AB13" s="452"/>
      <c r="AC13" s="453"/>
      <c r="AD13" s="451" t="s">
        <v>160</v>
      </c>
      <c r="AE13" s="452"/>
      <c r="AF13" s="453"/>
      <c r="AG13" s="451" t="s">
        <v>161</v>
      </c>
      <c r="AH13" s="452"/>
      <c r="AI13" s="453"/>
      <c r="AJ13" s="451" t="s">
        <v>6</v>
      </c>
      <c r="AK13" s="452"/>
      <c r="AL13" s="453"/>
      <c r="AM13" s="451" t="s">
        <v>7</v>
      </c>
      <c r="AN13" s="452"/>
      <c r="AO13" s="453"/>
      <c r="AP13" s="451" t="s">
        <v>8</v>
      </c>
      <c r="AQ13" s="452"/>
      <c r="AR13" s="453"/>
      <c r="AS13" s="265" t="s">
        <v>170</v>
      </c>
      <c r="AT13" s="265" t="s">
        <v>169</v>
      </c>
      <c r="AU13" s="266" t="s">
        <v>171</v>
      </c>
      <c r="AV13" s="265" t="s">
        <v>221</v>
      </c>
      <c r="AW13" s="265" t="s">
        <v>193</v>
      </c>
      <c r="AX13" s="451" t="s">
        <v>256</v>
      </c>
      <c r="AY13" s="452"/>
      <c r="AZ13" s="453"/>
      <c r="BA13" s="451" t="s">
        <v>257</v>
      </c>
      <c r="BB13" s="452"/>
      <c r="BC13" s="453"/>
      <c r="BD13" s="451" t="s">
        <v>17</v>
      </c>
      <c r="BE13" s="452"/>
      <c r="BF13" s="453"/>
      <c r="BG13" s="451" t="s">
        <v>188</v>
      </c>
      <c r="BH13" s="452"/>
      <c r="BI13" s="453"/>
      <c r="BJ13" s="451" t="s">
        <v>9</v>
      </c>
      <c r="BK13" s="452"/>
      <c r="BL13" s="453"/>
      <c r="BM13" s="451" t="s">
        <v>10</v>
      </c>
      <c r="BN13" s="452"/>
      <c r="BO13" s="453"/>
      <c r="BP13" s="451" t="s">
        <v>11</v>
      </c>
      <c r="BQ13" s="452"/>
      <c r="BR13" s="453"/>
      <c r="BS13" s="267" t="s">
        <v>166</v>
      </c>
      <c r="BT13" s="457"/>
      <c r="BU13" s="457"/>
      <c r="BV13" s="535"/>
      <c r="BW13" s="477"/>
      <c r="BX13" s="33"/>
      <c r="BY13" s="34"/>
      <c r="BZ13" s="99"/>
      <c r="CA13" s="99"/>
      <c r="CB13" s="99"/>
      <c r="CE13" s="107"/>
      <c r="CF13" s="107"/>
      <c r="CG13" s="107"/>
      <c r="CN13" s="24"/>
    </row>
    <row r="14" spans="1:92" s="42" customFormat="1" ht="12.75" customHeight="1" x14ac:dyDescent="0.2">
      <c r="A14" s="536" t="s">
        <v>203</v>
      </c>
      <c r="B14" s="536"/>
      <c r="C14" s="536"/>
      <c r="D14" s="536"/>
      <c r="E14" s="536"/>
      <c r="F14" s="536"/>
      <c r="G14" s="536"/>
      <c r="H14" s="536"/>
      <c r="I14" s="536"/>
      <c r="J14" s="536"/>
      <c r="K14" s="536"/>
      <c r="L14" s="536"/>
      <c r="M14" s="536"/>
      <c r="N14" s="536"/>
      <c r="O14" s="536"/>
      <c r="P14" s="536"/>
      <c r="Q14" s="536"/>
      <c r="R14" s="536"/>
      <c r="S14" s="536"/>
      <c r="T14" s="536"/>
      <c r="U14" s="536"/>
      <c r="V14" s="536"/>
      <c r="W14" s="536"/>
      <c r="X14" s="536"/>
      <c r="Y14" s="536"/>
      <c r="Z14" s="536"/>
      <c r="AA14" s="536"/>
      <c r="AB14" s="536"/>
      <c r="AC14" s="536"/>
      <c r="AD14" s="536"/>
      <c r="AE14" s="536"/>
      <c r="AF14" s="536"/>
      <c r="AG14" s="536"/>
      <c r="AH14" s="536"/>
      <c r="AI14" s="536"/>
      <c r="AJ14" s="536"/>
      <c r="AK14" s="536"/>
      <c r="AL14" s="536"/>
      <c r="AM14" s="536"/>
      <c r="AN14" s="536"/>
      <c r="AO14" s="536"/>
      <c r="AP14" s="536"/>
      <c r="AQ14" s="536"/>
      <c r="AR14" s="536"/>
      <c r="AS14" s="536"/>
      <c r="AT14" s="536"/>
      <c r="AU14" s="536"/>
      <c r="AV14" s="536"/>
      <c r="AW14" s="536"/>
      <c r="AX14" s="536"/>
      <c r="AY14" s="536"/>
      <c r="AZ14" s="536"/>
      <c r="BA14" s="536"/>
      <c r="BB14" s="536"/>
      <c r="BC14" s="536"/>
      <c r="BD14" s="536"/>
      <c r="BE14" s="536"/>
      <c r="BF14" s="536"/>
      <c r="BG14" s="536"/>
      <c r="BH14" s="536"/>
      <c r="BI14" s="536"/>
      <c r="BJ14" s="536"/>
      <c r="BK14" s="536"/>
      <c r="BL14" s="536"/>
      <c r="BM14" s="536"/>
      <c r="BN14" s="536"/>
      <c r="BO14" s="536"/>
      <c r="BP14" s="536"/>
      <c r="BQ14" s="536"/>
      <c r="BR14" s="536"/>
      <c r="BS14" s="536"/>
      <c r="BT14" s="536"/>
      <c r="BU14" s="536"/>
      <c r="BV14" s="537"/>
      <c r="BW14" s="261"/>
      <c r="BX14" s="41"/>
      <c r="BY14" s="44"/>
      <c r="CN14" s="43"/>
    </row>
    <row r="15" spans="1:92" s="37" customFormat="1" ht="11.25" customHeight="1" x14ac:dyDescent="0.2">
      <c r="A15" s="474" t="s">
        <v>195</v>
      </c>
      <c r="B15" s="471"/>
      <c r="C15" s="458">
        <v>144.9</v>
      </c>
      <c r="D15" s="459"/>
      <c r="E15" s="128">
        <v>1</v>
      </c>
      <c r="F15" s="339">
        <v>5.2175678420000003E-3</v>
      </c>
      <c r="G15" s="340"/>
      <c r="H15" s="341"/>
      <c r="I15" s="343">
        <v>6.2841975705488258</v>
      </c>
      <c r="J15" s="344"/>
      <c r="K15" s="345"/>
      <c r="L15" s="343">
        <v>0.93918000000000001</v>
      </c>
      <c r="M15" s="344"/>
      <c r="N15" s="345"/>
      <c r="O15" s="343">
        <v>0.73858000000000001</v>
      </c>
      <c r="P15" s="344"/>
      <c r="Q15" s="345"/>
      <c r="R15" s="346">
        <v>5.0237403102739699E-2</v>
      </c>
      <c r="S15" s="347"/>
      <c r="T15" s="348"/>
      <c r="U15" s="343">
        <v>4.8306664064463813</v>
      </c>
      <c r="V15" s="344"/>
      <c r="W15" s="345"/>
      <c r="X15" s="448">
        <v>18.344427547418395</v>
      </c>
      <c r="Y15" s="449"/>
      <c r="Z15" s="450"/>
      <c r="AA15" s="439">
        <v>0.15124589999999999</v>
      </c>
      <c r="AB15" s="440"/>
      <c r="AC15" s="441"/>
      <c r="AD15" s="439">
        <v>2.61582E-2</v>
      </c>
      <c r="AE15" s="440"/>
      <c r="AF15" s="441"/>
      <c r="AG15" s="439">
        <v>6.0289405972573261E-3</v>
      </c>
      <c r="AH15" s="440"/>
      <c r="AI15" s="441"/>
      <c r="AJ15" s="439">
        <v>-1.2278114811838402E-2</v>
      </c>
      <c r="AK15" s="440"/>
      <c r="AL15" s="441"/>
      <c r="AM15" s="439">
        <v>0.14645223668915794</v>
      </c>
      <c r="AN15" s="440"/>
      <c r="AO15" s="441"/>
      <c r="AP15" s="439">
        <v>2.3299075824951113E-2</v>
      </c>
      <c r="AQ15" s="440"/>
      <c r="AR15" s="441"/>
      <c r="AS15" s="129">
        <v>-0.76718973318423833</v>
      </c>
      <c r="AT15" s="129" t="s">
        <v>189</v>
      </c>
      <c r="AU15" s="130" t="s">
        <v>189</v>
      </c>
      <c r="AV15" s="328">
        <v>4917.5592500000002</v>
      </c>
      <c r="AW15" s="183">
        <v>0.69304217515674416</v>
      </c>
      <c r="AX15" s="343">
        <v>4.7402907048000094</v>
      </c>
      <c r="AY15" s="344"/>
      <c r="AZ15" s="345"/>
      <c r="BA15" s="343">
        <v>7.1659755040000004</v>
      </c>
      <c r="BB15" s="344"/>
      <c r="BC15" s="345"/>
      <c r="BD15" s="343">
        <v>2.0055927664313198</v>
      </c>
      <c r="BE15" s="344"/>
      <c r="BF15" s="345"/>
      <c r="BG15" s="343">
        <v>6.4799555679339669</v>
      </c>
      <c r="BH15" s="344"/>
      <c r="BI15" s="345"/>
      <c r="BJ15" s="343">
        <v>42.7720036720754</v>
      </c>
      <c r="BK15" s="344"/>
      <c r="BL15" s="345"/>
      <c r="BM15" s="343">
        <v>0.25982691914706862</v>
      </c>
      <c r="BN15" s="344"/>
      <c r="BO15" s="345"/>
      <c r="BP15" s="343" t="s">
        <v>189</v>
      </c>
      <c r="BQ15" s="344"/>
      <c r="BR15" s="345"/>
      <c r="BS15" s="131">
        <v>0.46493248998902997</v>
      </c>
      <c r="BT15" s="129" t="s">
        <v>189</v>
      </c>
      <c r="BU15" s="132" t="s">
        <v>189</v>
      </c>
      <c r="BV15" s="180">
        <v>43100</v>
      </c>
      <c r="BW15" s="263" t="s">
        <v>195</v>
      </c>
      <c r="BX15" s="33"/>
      <c r="BY15" s="110"/>
      <c r="BZ15" s="100"/>
      <c r="CA15" s="100"/>
      <c r="CB15" s="100"/>
      <c r="CD15" s="100"/>
      <c r="CE15" s="109"/>
      <c r="CF15" s="100"/>
      <c r="CG15" s="100"/>
      <c r="CN15" s="38"/>
    </row>
    <row r="16" spans="1:92" s="47" customFormat="1" ht="11.25" customHeight="1" x14ac:dyDescent="0.2">
      <c r="A16" s="366" t="s">
        <v>70</v>
      </c>
      <c r="B16" s="367"/>
      <c r="C16" s="368">
        <v>11.700000000000001</v>
      </c>
      <c r="D16" s="369"/>
      <c r="E16" s="133">
        <v>1</v>
      </c>
      <c r="F16" s="370">
        <v>1.7673541937749999</v>
      </c>
      <c r="G16" s="371"/>
      <c r="H16" s="372"/>
      <c r="I16" s="358">
        <v>6.1526545886622603</v>
      </c>
      <c r="J16" s="359"/>
      <c r="K16" s="360"/>
      <c r="L16" s="358">
        <v>0.86094000000000004</v>
      </c>
      <c r="M16" s="359"/>
      <c r="N16" s="360"/>
      <c r="O16" s="358">
        <v>0.54866000000000004</v>
      </c>
      <c r="P16" s="359"/>
      <c r="Q16" s="360"/>
      <c r="R16" s="373" t="s">
        <v>189</v>
      </c>
      <c r="S16" s="374"/>
      <c r="T16" s="375"/>
      <c r="U16" s="358">
        <v>2.2060204830042167</v>
      </c>
      <c r="V16" s="359"/>
      <c r="W16" s="360"/>
      <c r="X16" s="376">
        <v>21.685976435663854</v>
      </c>
      <c r="Y16" s="377"/>
      <c r="Z16" s="378"/>
      <c r="AA16" s="379">
        <v>0.11192669999999999</v>
      </c>
      <c r="AB16" s="380"/>
      <c r="AC16" s="381"/>
      <c r="AD16" s="379" t="s">
        <v>189</v>
      </c>
      <c r="AE16" s="380"/>
      <c r="AF16" s="381"/>
      <c r="AG16" s="379" t="s">
        <v>189</v>
      </c>
      <c r="AH16" s="380"/>
      <c r="AI16" s="381"/>
      <c r="AJ16" s="379">
        <v>-1.5764063833271124E-5</v>
      </c>
      <c r="AK16" s="380"/>
      <c r="AL16" s="381"/>
      <c r="AM16" s="382">
        <v>-2.256267104709313</v>
      </c>
      <c r="AN16" s="383"/>
      <c r="AO16" s="384"/>
      <c r="AP16" s="379">
        <v>-0.22208780503564873</v>
      </c>
      <c r="AQ16" s="380"/>
      <c r="AR16" s="381"/>
      <c r="AS16" s="134">
        <v>-2.0858738685034113</v>
      </c>
      <c r="AT16" s="134">
        <v>-2.0523902809524097</v>
      </c>
      <c r="AU16" s="135">
        <v>1.8078949896526433</v>
      </c>
      <c r="AV16" s="329">
        <v>910.34595652173925</v>
      </c>
      <c r="AW16" s="184">
        <v>0.10604736413881029</v>
      </c>
      <c r="AX16" s="358">
        <v>2.5775223595000001</v>
      </c>
      <c r="AY16" s="359"/>
      <c r="AZ16" s="360"/>
      <c r="BA16" s="358">
        <v>1.6770283595</v>
      </c>
      <c r="BB16" s="359"/>
      <c r="BC16" s="360"/>
      <c r="BD16" s="358">
        <v>45.041893569244202</v>
      </c>
      <c r="BE16" s="359"/>
      <c r="BF16" s="360"/>
      <c r="BG16" s="358">
        <v>6.5029076831505028</v>
      </c>
      <c r="BH16" s="359"/>
      <c r="BI16" s="360"/>
      <c r="BJ16" s="358" t="s">
        <v>189</v>
      </c>
      <c r="BK16" s="359"/>
      <c r="BL16" s="360"/>
      <c r="BM16" s="358">
        <v>0.28426647429423607</v>
      </c>
      <c r="BN16" s="359"/>
      <c r="BO16" s="360"/>
      <c r="BP16" s="358" t="s">
        <v>189</v>
      </c>
      <c r="BQ16" s="359"/>
      <c r="BR16" s="360"/>
      <c r="BS16" s="136">
        <v>0.61524372105742298</v>
      </c>
      <c r="BT16" s="134">
        <v>0.52128284270913117</v>
      </c>
      <c r="BU16" s="137">
        <v>-9.7014431839558601E-2</v>
      </c>
      <c r="BV16" s="179">
        <v>43100</v>
      </c>
      <c r="BW16" s="264" t="s">
        <v>70</v>
      </c>
      <c r="BX16" s="46"/>
      <c r="BY16" s="100"/>
      <c r="BZ16" s="100"/>
      <c r="CA16" s="100"/>
      <c r="CB16" s="100"/>
      <c r="CD16" s="110"/>
      <c r="CE16" s="111"/>
      <c r="CF16" s="100"/>
      <c r="CG16" s="100"/>
      <c r="CN16" s="48"/>
    </row>
    <row r="17" spans="1:92" s="37" customFormat="1" ht="11.25" customHeight="1" x14ac:dyDescent="0.2">
      <c r="A17" s="472" t="s">
        <v>69</v>
      </c>
      <c r="B17" s="473"/>
      <c r="C17" s="460">
        <v>26</v>
      </c>
      <c r="D17" s="461"/>
      <c r="E17" s="138">
        <v>1</v>
      </c>
      <c r="F17" s="490">
        <v>1.171539044013</v>
      </c>
      <c r="G17" s="491"/>
      <c r="H17" s="492"/>
      <c r="I17" s="487">
        <v>4.0681826143495465</v>
      </c>
      <c r="J17" s="488"/>
      <c r="K17" s="489"/>
      <c r="L17" s="487">
        <v>1.20106</v>
      </c>
      <c r="M17" s="488"/>
      <c r="N17" s="489"/>
      <c r="O17" s="487">
        <v>0.66608999999999996</v>
      </c>
      <c r="P17" s="488"/>
      <c r="Q17" s="489"/>
      <c r="R17" s="484">
        <v>5.3076923076923101E-3</v>
      </c>
      <c r="S17" s="485"/>
      <c r="T17" s="486"/>
      <c r="U17" s="487">
        <v>4.4871063345586188</v>
      </c>
      <c r="V17" s="488"/>
      <c r="W17" s="489"/>
      <c r="X17" s="467">
        <v>31.067875323092814</v>
      </c>
      <c r="Y17" s="468"/>
      <c r="Z17" s="469"/>
      <c r="AA17" s="479">
        <v>0.31228590000000001</v>
      </c>
      <c r="AB17" s="480"/>
      <c r="AC17" s="481"/>
      <c r="AD17" s="479">
        <v>2.0658599999999999E-2</v>
      </c>
      <c r="AE17" s="480"/>
      <c r="AF17" s="481"/>
      <c r="AG17" s="479">
        <v>3.6716831314397452E-3</v>
      </c>
      <c r="AH17" s="480"/>
      <c r="AI17" s="481"/>
      <c r="AJ17" s="479">
        <v>5.9414317029106902E-3</v>
      </c>
      <c r="AK17" s="480"/>
      <c r="AL17" s="481"/>
      <c r="AM17" s="479">
        <v>4.6274082524804819E-2</v>
      </c>
      <c r="AN17" s="480"/>
      <c r="AO17" s="481"/>
      <c r="AP17" s="479">
        <v>1.3180201477296019E-2</v>
      </c>
      <c r="AQ17" s="480"/>
      <c r="AR17" s="481"/>
      <c r="AS17" s="139">
        <v>-0.61268109461634768</v>
      </c>
      <c r="AT17" s="139">
        <v>0.27063404161498239</v>
      </c>
      <c r="AU17" s="175">
        <v>0.6599680330045038</v>
      </c>
      <c r="AV17" s="328">
        <v>4492.5981039130429</v>
      </c>
      <c r="AW17" s="183">
        <v>7.3238213356432436E-2</v>
      </c>
      <c r="AX17" s="487">
        <v>15.576449999999999</v>
      </c>
      <c r="AY17" s="488"/>
      <c r="AZ17" s="489"/>
      <c r="BA17" s="487">
        <v>13</v>
      </c>
      <c r="BB17" s="488"/>
      <c r="BC17" s="489"/>
      <c r="BD17" s="487">
        <v>25.746113235989299</v>
      </c>
      <c r="BE17" s="488"/>
      <c r="BF17" s="489"/>
      <c r="BG17" s="487">
        <v>5.0535521028996504</v>
      </c>
      <c r="BH17" s="488"/>
      <c r="BI17" s="489"/>
      <c r="BJ17" s="487">
        <v>106.72796683223186</v>
      </c>
      <c r="BK17" s="488"/>
      <c r="BL17" s="489"/>
      <c r="BM17" s="487">
        <v>0.39187127547076628</v>
      </c>
      <c r="BN17" s="488"/>
      <c r="BO17" s="489"/>
      <c r="BP17" s="487" t="s">
        <v>189</v>
      </c>
      <c r="BQ17" s="488"/>
      <c r="BR17" s="489"/>
      <c r="BS17" s="140">
        <v>6.2606035567757998E-2</v>
      </c>
      <c r="BT17" s="139">
        <v>0.31840965653451481</v>
      </c>
      <c r="BU17" s="141">
        <v>7.4942521429199882E-2</v>
      </c>
      <c r="BV17" s="180">
        <v>43100</v>
      </c>
      <c r="BW17" s="263" t="s">
        <v>69</v>
      </c>
      <c r="BX17" s="33"/>
      <c r="BY17" s="100"/>
      <c r="BZ17" s="100"/>
      <c r="CA17" s="100"/>
      <c r="CB17" s="100"/>
      <c r="CC17" s="47"/>
      <c r="CD17" s="100"/>
      <c r="CE17" s="111"/>
      <c r="CF17" s="110"/>
      <c r="CG17" s="110"/>
      <c r="CN17" s="38"/>
    </row>
    <row r="18" spans="1:92" s="47" customFormat="1" ht="11.25" customHeight="1" x14ac:dyDescent="0.2">
      <c r="A18" s="366" t="s">
        <v>61</v>
      </c>
      <c r="B18" s="367"/>
      <c r="C18" s="368">
        <v>12.5</v>
      </c>
      <c r="D18" s="369"/>
      <c r="E18" s="133">
        <v>1</v>
      </c>
      <c r="F18" s="370">
        <v>7.7256219020139998</v>
      </c>
      <c r="G18" s="371"/>
      <c r="H18" s="372"/>
      <c r="I18" s="358">
        <v>11.852735446898436</v>
      </c>
      <c r="J18" s="359"/>
      <c r="K18" s="360"/>
      <c r="L18" s="358">
        <v>1.26261</v>
      </c>
      <c r="M18" s="359"/>
      <c r="N18" s="360"/>
      <c r="O18" s="358">
        <v>0.55701999999999996</v>
      </c>
      <c r="P18" s="359"/>
      <c r="Q18" s="360"/>
      <c r="R18" s="373">
        <v>7.71626245059289E-3</v>
      </c>
      <c r="S18" s="374"/>
      <c r="T18" s="375"/>
      <c r="U18" s="358">
        <v>1.6633033902141394</v>
      </c>
      <c r="V18" s="359"/>
      <c r="W18" s="360"/>
      <c r="X18" s="376">
        <v>177.91738865563946</v>
      </c>
      <c r="Y18" s="377"/>
      <c r="Z18" s="378"/>
      <c r="AA18" s="379">
        <v>0.3817236</v>
      </c>
      <c r="AB18" s="380"/>
      <c r="AC18" s="381"/>
      <c r="AD18" s="379">
        <v>6.7893800000000004E-2</v>
      </c>
      <c r="AE18" s="380"/>
      <c r="AF18" s="381"/>
      <c r="AG18" s="379" t="s">
        <v>189</v>
      </c>
      <c r="AH18" s="380"/>
      <c r="AI18" s="381"/>
      <c r="AJ18" s="379">
        <v>-9.2360787693284624E-2</v>
      </c>
      <c r="AK18" s="380"/>
      <c r="AL18" s="381"/>
      <c r="AM18" s="382">
        <v>-0.39847459414023945</v>
      </c>
      <c r="AN18" s="383"/>
      <c r="AO18" s="384"/>
      <c r="AP18" s="379">
        <v>-4.5012168137956686E-2</v>
      </c>
      <c r="AQ18" s="380"/>
      <c r="AR18" s="381"/>
      <c r="AS18" s="134" t="s">
        <v>189</v>
      </c>
      <c r="AT18" s="134">
        <v>-0.88388584154294247</v>
      </c>
      <c r="AU18" s="174">
        <v>0.92409620673672288</v>
      </c>
      <c r="AV18" s="329">
        <v>1545.0876521739133</v>
      </c>
      <c r="AW18" s="184">
        <v>0.1832692485596967</v>
      </c>
      <c r="AX18" s="358">
        <v>11.894951000000001</v>
      </c>
      <c r="AY18" s="359"/>
      <c r="AZ18" s="360"/>
      <c r="BA18" s="358">
        <v>5.5659999999999998</v>
      </c>
      <c r="BB18" s="359"/>
      <c r="BC18" s="360"/>
      <c r="BD18" s="358">
        <v>10.046114346282</v>
      </c>
      <c r="BE18" s="359"/>
      <c r="BF18" s="360"/>
      <c r="BG18" s="358">
        <v>6.9536667911813614</v>
      </c>
      <c r="BH18" s="359"/>
      <c r="BI18" s="360"/>
      <c r="BJ18" s="358" t="s">
        <v>189</v>
      </c>
      <c r="BK18" s="359"/>
      <c r="BL18" s="360"/>
      <c r="BM18" s="358">
        <v>0.45081857670597897</v>
      </c>
      <c r="BN18" s="359"/>
      <c r="BO18" s="360"/>
      <c r="BP18" s="358" t="s">
        <v>189</v>
      </c>
      <c r="BQ18" s="359"/>
      <c r="BR18" s="360"/>
      <c r="BS18" s="136">
        <v>0.47218796724290502</v>
      </c>
      <c r="BT18" s="134">
        <v>0.41354313191933728</v>
      </c>
      <c r="BU18" s="137">
        <v>-7.1793801383093103E-2</v>
      </c>
      <c r="BV18" s="179">
        <v>43159</v>
      </c>
      <c r="BW18" s="264" t="s">
        <v>61</v>
      </c>
      <c r="BX18" s="46"/>
      <c r="BY18" s="100"/>
      <c r="BZ18" s="100"/>
      <c r="CA18" s="100"/>
      <c r="CB18" s="100"/>
      <c r="CC18" s="37"/>
      <c r="CD18" s="100"/>
      <c r="CE18" s="109"/>
      <c r="CF18" s="100"/>
      <c r="CG18" s="100"/>
      <c r="CN18" s="48"/>
    </row>
    <row r="19" spans="1:92" s="37" customFormat="1" ht="11.25" customHeight="1" x14ac:dyDescent="0.2">
      <c r="A19" s="470" t="s">
        <v>80</v>
      </c>
      <c r="B19" s="471"/>
      <c r="C19" s="458">
        <v>3.06</v>
      </c>
      <c r="D19" s="459"/>
      <c r="E19" s="128">
        <v>1</v>
      </c>
      <c r="F19" s="339">
        <v>0.54060166314699998</v>
      </c>
      <c r="G19" s="340"/>
      <c r="H19" s="341"/>
      <c r="I19" s="343">
        <v>2.1018834402422946</v>
      </c>
      <c r="J19" s="344"/>
      <c r="K19" s="345"/>
      <c r="L19" s="343">
        <v>1.4980199999999999</v>
      </c>
      <c r="M19" s="344"/>
      <c r="N19" s="345"/>
      <c r="O19" s="343">
        <v>0.99875999999999998</v>
      </c>
      <c r="P19" s="344"/>
      <c r="Q19" s="345"/>
      <c r="R19" s="346">
        <v>8.1196682200647304E-3</v>
      </c>
      <c r="S19" s="347"/>
      <c r="T19" s="348"/>
      <c r="U19" s="343">
        <v>2.4508743475032384</v>
      </c>
      <c r="V19" s="344"/>
      <c r="W19" s="345"/>
      <c r="X19" s="448">
        <v>76.589342013529972</v>
      </c>
      <c r="Y19" s="449"/>
      <c r="Z19" s="450"/>
      <c r="AA19" s="439">
        <v>0.14601790000000001</v>
      </c>
      <c r="AB19" s="440"/>
      <c r="AC19" s="441"/>
      <c r="AD19" s="439">
        <v>4.5905100000000004E-2</v>
      </c>
      <c r="AE19" s="440"/>
      <c r="AF19" s="441"/>
      <c r="AG19" s="439">
        <v>2.3446780342474018E-2</v>
      </c>
      <c r="AH19" s="440"/>
      <c r="AI19" s="441"/>
      <c r="AJ19" s="439">
        <v>-6.3200230517452549E-2</v>
      </c>
      <c r="AK19" s="440"/>
      <c r="AL19" s="441"/>
      <c r="AM19" s="439">
        <v>8.9136989080096179E-2</v>
      </c>
      <c r="AN19" s="440"/>
      <c r="AO19" s="441"/>
      <c r="AP19" s="439">
        <v>4.5973494550629171E-2</v>
      </c>
      <c r="AQ19" s="440"/>
      <c r="AR19" s="441"/>
      <c r="AS19" s="129">
        <v>-0.5964645726807889</v>
      </c>
      <c r="AT19" s="129">
        <v>0.98459095209242187</v>
      </c>
      <c r="AU19" s="175">
        <v>2.958466105286393</v>
      </c>
      <c r="AV19" s="328">
        <v>92.935078695652166</v>
      </c>
      <c r="AW19" s="183">
        <v>0.36491193202821237</v>
      </c>
      <c r="AX19" s="343">
        <v>0.59869444000000005</v>
      </c>
      <c r="AY19" s="344"/>
      <c r="AZ19" s="345"/>
      <c r="BA19" s="343">
        <v>0.51881100000000002</v>
      </c>
      <c r="BB19" s="344"/>
      <c r="BC19" s="345"/>
      <c r="BD19" s="343">
        <v>11.828516334252001</v>
      </c>
      <c r="BE19" s="344"/>
      <c r="BF19" s="345"/>
      <c r="BG19" s="343">
        <v>2.8360001263819057</v>
      </c>
      <c r="BH19" s="344"/>
      <c r="BI19" s="345"/>
      <c r="BJ19" s="343">
        <v>31.706558905812869</v>
      </c>
      <c r="BK19" s="344"/>
      <c r="BL19" s="345"/>
      <c r="BM19" s="343">
        <v>0.75080979153878169</v>
      </c>
      <c r="BN19" s="344"/>
      <c r="BO19" s="345"/>
      <c r="BP19" s="343">
        <v>106.1866536767</v>
      </c>
      <c r="BQ19" s="344"/>
      <c r="BR19" s="345"/>
      <c r="BS19" s="131">
        <v>0.68852070255242703</v>
      </c>
      <c r="BT19" s="129">
        <v>0.49113188363279675</v>
      </c>
      <c r="BU19" s="132">
        <v>-5.1375340034541694E-2</v>
      </c>
      <c r="BV19" s="180">
        <v>43069</v>
      </c>
      <c r="BW19" s="263" t="s">
        <v>80</v>
      </c>
      <c r="BX19" s="33"/>
      <c r="BY19" s="110"/>
      <c r="BZ19" s="100"/>
      <c r="CA19" s="100"/>
      <c r="CB19" s="100"/>
      <c r="CD19" s="110"/>
      <c r="CE19" s="109"/>
      <c r="CF19" s="100"/>
      <c r="CG19" s="100"/>
      <c r="CN19" s="38"/>
    </row>
    <row r="20" spans="1:92" s="37" customFormat="1" ht="11.25" customHeight="1" x14ac:dyDescent="0.2">
      <c r="A20" s="366" t="s">
        <v>65</v>
      </c>
      <c r="B20" s="367"/>
      <c r="C20" s="368">
        <v>44.6</v>
      </c>
      <c r="D20" s="369"/>
      <c r="E20" s="133">
        <v>1</v>
      </c>
      <c r="F20" s="370">
        <v>1.1776702339729999</v>
      </c>
      <c r="G20" s="371"/>
      <c r="H20" s="372"/>
      <c r="I20" s="358">
        <v>3.4984949431361141</v>
      </c>
      <c r="J20" s="359"/>
      <c r="K20" s="360"/>
      <c r="L20" s="358">
        <v>1.5916999999999999</v>
      </c>
      <c r="M20" s="359"/>
      <c r="N20" s="360"/>
      <c r="O20" s="358">
        <v>0.78388999999999998</v>
      </c>
      <c r="P20" s="359"/>
      <c r="Q20" s="360"/>
      <c r="R20" s="373" t="s">
        <v>189</v>
      </c>
      <c r="S20" s="374"/>
      <c r="T20" s="375"/>
      <c r="U20" s="358">
        <v>1.8069750057143064</v>
      </c>
      <c r="V20" s="359"/>
      <c r="W20" s="360"/>
      <c r="X20" s="376">
        <v>121.69182453174948</v>
      </c>
      <c r="Y20" s="377"/>
      <c r="Z20" s="378"/>
      <c r="AA20" s="379">
        <v>0.31808399999999998</v>
      </c>
      <c r="AB20" s="380"/>
      <c r="AC20" s="381"/>
      <c r="AD20" s="379">
        <v>4.3004999999999996E-3</v>
      </c>
      <c r="AE20" s="380"/>
      <c r="AF20" s="381"/>
      <c r="AG20" s="379" t="s">
        <v>189</v>
      </c>
      <c r="AH20" s="380"/>
      <c r="AI20" s="381"/>
      <c r="AJ20" s="379">
        <v>-7.4308632682842241E-2</v>
      </c>
      <c r="AK20" s="380"/>
      <c r="AL20" s="381"/>
      <c r="AM20" s="382">
        <v>-7.0797670245582131E-2</v>
      </c>
      <c r="AN20" s="383"/>
      <c r="AO20" s="384"/>
      <c r="AP20" s="379">
        <v>-2.1995021049175296E-2</v>
      </c>
      <c r="AQ20" s="380"/>
      <c r="AR20" s="381"/>
      <c r="AS20" s="134" t="s">
        <v>189</v>
      </c>
      <c r="AT20" s="134">
        <v>-15.603264832066372</v>
      </c>
      <c r="AU20" s="174">
        <v>33.395049769244906</v>
      </c>
      <c r="AV20" s="329">
        <v>4690.974608695652</v>
      </c>
      <c r="AW20" s="184">
        <v>0.60030152077469368</v>
      </c>
      <c r="AX20" s="358">
        <v>11.891481714999999</v>
      </c>
      <c r="AY20" s="359"/>
      <c r="AZ20" s="360"/>
      <c r="BA20" s="358">
        <v>9.0636807150000003</v>
      </c>
      <c r="BB20" s="359"/>
      <c r="BC20" s="360"/>
      <c r="BD20" s="358">
        <v>45.859406620825901</v>
      </c>
      <c r="BE20" s="359"/>
      <c r="BF20" s="360"/>
      <c r="BG20" s="358">
        <v>3.8597334011564279</v>
      </c>
      <c r="BH20" s="359"/>
      <c r="BI20" s="360"/>
      <c r="BJ20" s="358" t="s">
        <v>189</v>
      </c>
      <c r="BK20" s="359"/>
      <c r="BL20" s="360"/>
      <c r="BM20" s="358">
        <v>0.73577866983350559</v>
      </c>
      <c r="BN20" s="359"/>
      <c r="BO20" s="360"/>
      <c r="BP20" s="358" t="s">
        <v>189</v>
      </c>
      <c r="BQ20" s="359"/>
      <c r="BR20" s="360"/>
      <c r="BS20" s="136">
        <v>0.64954619749582598</v>
      </c>
      <c r="BT20" s="134">
        <v>0.43702523816305616</v>
      </c>
      <c r="BU20" s="137">
        <v>1.1579047036569978E-2</v>
      </c>
      <c r="BV20" s="179">
        <v>43100</v>
      </c>
      <c r="BW20" s="264" t="s">
        <v>65</v>
      </c>
      <c r="BX20" s="33"/>
      <c r="BY20" s="112"/>
      <c r="BZ20" s="100"/>
      <c r="CA20" s="100"/>
      <c r="CB20" s="100"/>
      <c r="CC20" s="49"/>
      <c r="CD20" s="112"/>
      <c r="CE20" s="109"/>
      <c r="CF20" s="100"/>
      <c r="CG20" s="100"/>
      <c r="CN20" s="38"/>
    </row>
    <row r="21" spans="1:92" s="49" customFormat="1" ht="11.25" customHeight="1" x14ac:dyDescent="0.2">
      <c r="A21" s="470" t="s">
        <v>57</v>
      </c>
      <c r="B21" s="471"/>
      <c r="C21" s="458">
        <v>9.8000000000000007</v>
      </c>
      <c r="D21" s="459"/>
      <c r="E21" s="128">
        <v>1</v>
      </c>
      <c r="F21" s="339">
        <v>0.26890303247300001</v>
      </c>
      <c r="G21" s="340"/>
      <c r="H21" s="341"/>
      <c r="I21" s="343">
        <v>1.9299793652756809</v>
      </c>
      <c r="J21" s="344"/>
      <c r="K21" s="345"/>
      <c r="L21" s="343">
        <v>1.7492000000000001</v>
      </c>
      <c r="M21" s="344"/>
      <c r="N21" s="345"/>
      <c r="O21" s="343">
        <v>1.2384900000000001</v>
      </c>
      <c r="P21" s="344"/>
      <c r="Q21" s="345"/>
      <c r="R21" s="346">
        <v>1.0677026040816299E-2</v>
      </c>
      <c r="S21" s="347"/>
      <c r="T21" s="348"/>
      <c r="U21" s="343">
        <v>2.3848327911893761</v>
      </c>
      <c r="V21" s="344"/>
      <c r="W21" s="345"/>
      <c r="X21" s="448">
        <v>92.847956592039054</v>
      </c>
      <c r="Y21" s="449"/>
      <c r="Z21" s="450"/>
      <c r="AA21" s="439">
        <v>0.52823450000000005</v>
      </c>
      <c r="AB21" s="440"/>
      <c r="AC21" s="441"/>
      <c r="AD21" s="439">
        <v>0.14012370000000002</v>
      </c>
      <c r="AE21" s="440"/>
      <c r="AF21" s="441"/>
      <c r="AG21" s="439">
        <v>9.5131522674270441E-2</v>
      </c>
      <c r="AH21" s="440"/>
      <c r="AI21" s="441"/>
      <c r="AJ21" s="439">
        <v>-3.1837531111743436E-2</v>
      </c>
      <c r="AK21" s="440"/>
      <c r="AL21" s="441"/>
      <c r="AM21" s="439">
        <v>0.31988947517609645</v>
      </c>
      <c r="AN21" s="440"/>
      <c r="AO21" s="441"/>
      <c r="AP21" s="439">
        <v>0.1815020256957697</v>
      </c>
      <c r="AQ21" s="440"/>
      <c r="AR21" s="441"/>
      <c r="AS21" s="129">
        <v>0.22518415131683356</v>
      </c>
      <c r="AT21" s="129">
        <v>0.4932083904154535</v>
      </c>
      <c r="AU21" s="175">
        <v>0.29520911416038381</v>
      </c>
      <c r="AV21" s="328">
        <v>113.90002173913041</v>
      </c>
      <c r="AW21" s="183">
        <v>8.3441061138676401E-2</v>
      </c>
      <c r="AX21" s="343">
        <v>0.84835632859999999</v>
      </c>
      <c r="AY21" s="344"/>
      <c r="AZ21" s="345"/>
      <c r="BA21" s="343">
        <v>0.84364090860000007</v>
      </c>
      <c r="BB21" s="344"/>
      <c r="BC21" s="345"/>
      <c r="BD21" s="343">
        <v>5.9348717731671004</v>
      </c>
      <c r="BE21" s="344"/>
      <c r="BF21" s="345"/>
      <c r="BG21" s="343">
        <v>2.8147247829103645</v>
      </c>
      <c r="BH21" s="344"/>
      <c r="BI21" s="345"/>
      <c r="BJ21" s="343">
        <v>9.8758465011286685</v>
      </c>
      <c r="BK21" s="344"/>
      <c r="BL21" s="345"/>
      <c r="BM21" s="343">
        <v>0.86053373659087018</v>
      </c>
      <c r="BN21" s="344"/>
      <c r="BO21" s="345"/>
      <c r="BP21" s="343">
        <v>24.5264556164</v>
      </c>
      <c r="BQ21" s="344"/>
      <c r="BR21" s="345"/>
      <c r="BS21" s="131">
        <v>0.28996010077182399</v>
      </c>
      <c r="BT21" s="129">
        <v>0.4031522529303076</v>
      </c>
      <c r="BU21" s="132">
        <v>0.16235215605992015</v>
      </c>
      <c r="BV21" s="180">
        <v>43100</v>
      </c>
      <c r="BW21" s="263" t="s">
        <v>57</v>
      </c>
      <c r="BX21" s="46"/>
      <c r="BY21" s="100"/>
      <c r="BZ21" s="100"/>
      <c r="CA21" s="100"/>
      <c r="CB21" s="100"/>
      <c r="CC21" s="37"/>
      <c r="CD21" s="100"/>
      <c r="CE21" s="113"/>
      <c r="CF21" s="112"/>
      <c r="CG21" s="112"/>
      <c r="CN21" s="50"/>
    </row>
    <row r="22" spans="1:92" s="37" customFormat="1" ht="11.25" customHeight="1" x14ac:dyDescent="0.2">
      <c r="A22" s="455" t="s">
        <v>66</v>
      </c>
      <c r="B22" s="455"/>
      <c r="C22" s="454">
        <v>4.3</v>
      </c>
      <c r="D22" s="454"/>
      <c r="E22" s="142">
        <v>1</v>
      </c>
      <c r="F22" s="370">
        <v>3.2662685377999998</v>
      </c>
      <c r="G22" s="371"/>
      <c r="H22" s="372"/>
      <c r="I22" s="355">
        <v>9.6299067451335443</v>
      </c>
      <c r="J22" s="355"/>
      <c r="K22" s="355"/>
      <c r="L22" s="358">
        <v>2.3401100000000001</v>
      </c>
      <c r="M22" s="359"/>
      <c r="N22" s="360"/>
      <c r="O22" s="358">
        <v>1.60504</v>
      </c>
      <c r="P22" s="359"/>
      <c r="Q22" s="360"/>
      <c r="R22" s="373" t="s">
        <v>189</v>
      </c>
      <c r="S22" s="374"/>
      <c r="T22" s="375"/>
      <c r="U22" s="355">
        <v>1.041317800665442</v>
      </c>
      <c r="V22" s="355"/>
      <c r="W22" s="355"/>
      <c r="X22" s="356">
        <v>-1.9869873694246678</v>
      </c>
      <c r="Y22" s="356"/>
      <c r="Z22" s="356"/>
      <c r="AA22" s="379">
        <v>2.4386E-3</v>
      </c>
      <c r="AB22" s="380"/>
      <c r="AC22" s="381"/>
      <c r="AD22" s="357" t="s">
        <v>189</v>
      </c>
      <c r="AE22" s="357"/>
      <c r="AF22" s="357"/>
      <c r="AG22" s="357" t="s">
        <v>189</v>
      </c>
      <c r="AH22" s="357"/>
      <c r="AI22" s="357"/>
      <c r="AJ22" s="357">
        <v>-0.66398814855510402</v>
      </c>
      <c r="AK22" s="357"/>
      <c r="AL22" s="357"/>
      <c r="AM22" s="420">
        <v>-2.6701486530281708</v>
      </c>
      <c r="AN22" s="420"/>
      <c r="AO22" s="420"/>
      <c r="AP22" s="357">
        <v>-0.28696919047073643</v>
      </c>
      <c r="AQ22" s="357"/>
      <c r="AR22" s="357"/>
      <c r="AS22" s="134">
        <v>-0.10060681087361845</v>
      </c>
      <c r="AT22" s="134">
        <v>-0.29184590814734845</v>
      </c>
      <c r="AU22" s="174">
        <v>0.38017710148331113</v>
      </c>
      <c r="AV22" s="329">
        <v>39.75402913043478</v>
      </c>
      <c r="AW22" s="184">
        <v>0.33167802538715002</v>
      </c>
      <c r="AX22" s="355">
        <v>0.25755472740000002</v>
      </c>
      <c r="AY22" s="355"/>
      <c r="AZ22" s="355"/>
      <c r="BA22" s="355">
        <v>0.20167867740000001</v>
      </c>
      <c r="BB22" s="355"/>
      <c r="BC22" s="355"/>
      <c r="BD22" s="355" t="s">
        <v>189</v>
      </c>
      <c r="BE22" s="355"/>
      <c r="BF22" s="355"/>
      <c r="BG22" s="355">
        <v>5.0006577514794666</v>
      </c>
      <c r="BH22" s="355"/>
      <c r="BI22" s="355"/>
      <c r="BJ22" s="358" t="s">
        <v>189</v>
      </c>
      <c r="BK22" s="359"/>
      <c r="BL22" s="360"/>
      <c r="BM22" s="355">
        <v>0.9064163779115918</v>
      </c>
      <c r="BN22" s="355"/>
      <c r="BO22" s="355"/>
      <c r="BP22" s="358" t="s">
        <v>189</v>
      </c>
      <c r="BQ22" s="359"/>
      <c r="BR22" s="360"/>
      <c r="BS22" s="136">
        <v>0.98461124121294197</v>
      </c>
      <c r="BT22" s="134">
        <v>0.54502826073225652</v>
      </c>
      <c r="BU22" s="137">
        <v>-9.6447705166719522E-2</v>
      </c>
      <c r="BV22" s="179">
        <v>43159</v>
      </c>
      <c r="BW22" s="264" t="s">
        <v>66</v>
      </c>
      <c r="BX22" s="33"/>
      <c r="BY22" s="110"/>
      <c r="BZ22" s="100"/>
      <c r="CA22" s="100"/>
      <c r="CB22" s="100"/>
      <c r="CD22" s="110"/>
      <c r="CE22" s="109"/>
      <c r="CF22" s="110"/>
      <c r="CG22" s="110"/>
      <c r="CN22" s="38"/>
    </row>
    <row r="23" spans="1:92" s="47" customFormat="1" ht="11.25" customHeight="1" x14ac:dyDescent="0.2">
      <c r="A23" s="470" t="s">
        <v>79</v>
      </c>
      <c r="B23" s="471"/>
      <c r="C23" s="338">
        <v>96</v>
      </c>
      <c r="D23" s="338"/>
      <c r="E23" s="143">
        <v>0.1</v>
      </c>
      <c r="F23" s="339">
        <v>1.2593121200919999</v>
      </c>
      <c r="G23" s="340"/>
      <c r="H23" s="341"/>
      <c r="I23" s="342">
        <v>2.9095106884924054</v>
      </c>
      <c r="J23" s="342"/>
      <c r="K23" s="342"/>
      <c r="L23" s="343">
        <v>0.88082000000000005</v>
      </c>
      <c r="M23" s="344"/>
      <c r="N23" s="345"/>
      <c r="O23" s="343">
        <v>0.47154000000000001</v>
      </c>
      <c r="P23" s="344"/>
      <c r="Q23" s="345"/>
      <c r="R23" s="346" t="s">
        <v>189</v>
      </c>
      <c r="S23" s="347"/>
      <c r="T23" s="348"/>
      <c r="U23" s="342">
        <v>0.69766869305950563</v>
      </c>
      <c r="V23" s="342"/>
      <c r="W23" s="342"/>
      <c r="X23" s="349">
        <v>111.5373921579999</v>
      </c>
      <c r="Y23" s="349"/>
      <c r="Z23" s="349"/>
      <c r="AA23" s="439">
        <v>0.1901322</v>
      </c>
      <c r="AB23" s="440"/>
      <c r="AC23" s="441"/>
      <c r="AD23" s="350" t="s">
        <v>189</v>
      </c>
      <c r="AE23" s="350"/>
      <c r="AF23" s="350"/>
      <c r="AG23" s="350">
        <v>4.3808637216435894E-2</v>
      </c>
      <c r="AH23" s="350"/>
      <c r="AI23" s="350"/>
      <c r="AJ23" s="350">
        <v>-0.60051758016284706</v>
      </c>
      <c r="AK23" s="350"/>
      <c r="AL23" s="350"/>
      <c r="AM23" s="350">
        <v>7.9732330865859111E-2</v>
      </c>
      <c r="AN23" s="350"/>
      <c r="AO23" s="350"/>
      <c r="AP23" s="350">
        <v>2.4451169804757405E-2</v>
      </c>
      <c r="AQ23" s="350"/>
      <c r="AR23" s="350"/>
      <c r="AS23" s="129">
        <v>2.4286816108911378</v>
      </c>
      <c r="AT23" s="129">
        <v>1.7688485366016586</v>
      </c>
      <c r="AU23" s="175">
        <v>2.463542187214224</v>
      </c>
      <c r="AV23" s="328">
        <v>607.42848130434777</v>
      </c>
      <c r="AW23" s="183">
        <v>3.5102338881477886</v>
      </c>
      <c r="AX23" s="342">
        <v>6.5862978200000004</v>
      </c>
      <c r="AY23" s="342"/>
      <c r="AZ23" s="342"/>
      <c r="BA23" s="342">
        <v>6.6881928720000001</v>
      </c>
      <c r="BB23" s="342"/>
      <c r="BC23" s="342"/>
      <c r="BD23" s="342">
        <v>90.089739877297006</v>
      </c>
      <c r="BE23" s="342"/>
      <c r="BF23" s="342"/>
      <c r="BG23" s="342">
        <v>2.757596932426805</v>
      </c>
      <c r="BH23" s="342"/>
      <c r="BI23" s="342"/>
      <c r="BJ23" s="343">
        <v>403.63269424823409</v>
      </c>
      <c r="BK23" s="344"/>
      <c r="BL23" s="345"/>
      <c r="BM23" s="342">
        <v>1.7314405192218774</v>
      </c>
      <c r="BN23" s="342"/>
      <c r="BO23" s="342"/>
      <c r="BP23" s="343" t="s">
        <v>189</v>
      </c>
      <c r="BQ23" s="344"/>
      <c r="BR23" s="345"/>
      <c r="BS23" s="131">
        <v>0.67402016908553497</v>
      </c>
      <c r="BT23" s="129">
        <v>0.60862941645622837</v>
      </c>
      <c r="BU23" s="132">
        <v>0.28385819041541116</v>
      </c>
      <c r="BV23" s="180">
        <v>43100</v>
      </c>
      <c r="BW23" s="263" t="s">
        <v>79</v>
      </c>
      <c r="BX23" s="46"/>
      <c r="BY23" s="100"/>
      <c r="BZ23" s="100"/>
      <c r="CA23" s="100"/>
      <c r="CB23" s="100"/>
      <c r="CD23" s="100"/>
      <c r="CE23" s="109"/>
      <c r="CF23" s="100"/>
      <c r="CG23" s="100"/>
      <c r="CN23" s="48"/>
    </row>
    <row r="24" spans="1:92" s="37" customFormat="1" ht="11.25" customHeight="1" x14ac:dyDescent="0.2">
      <c r="A24" s="455" t="s">
        <v>47</v>
      </c>
      <c r="B24" s="455"/>
      <c r="C24" s="454">
        <v>95</v>
      </c>
      <c r="D24" s="454"/>
      <c r="E24" s="144">
        <v>0.01</v>
      </c>
      <c r="F24" s="370">
        <v>7.8637893163000003E-2</v>
      </c>
      <c r="G24" s="371"/>
      <c r="H24" s="372"/>
      <c r="I24" s="355">
        <v>1.8978539223970532</v>
      </c>
      <c r="J24" s="355"/>
      <c r="K24" s="355"/>
      <c r="L24" s="358">
        <v>2.3041800000000001</v>
      </c>
      <c r="M24" s="359"/>
      <c r="N24" s="360"/>
      <c r="O24" s="358">
        <v>1.43418</v>
      </c>
      <c r="P24" s="359"/>
      <c r="Q24" s="360"/>
      <c r="R24" s="373">
        <v>5.6888888889999999E-3</v>
      </c>
      <c r="S24" s="374"/>
      <c r="T24" s="375"/>
      <c r="U24" s="355">
        <v>1.3034111973884042</v>
      </c>
      <c r="V24" s="355"/>
      <c r="W24" s="355"/>
      <c r="X24" s="356">
        <v>166.99657461210552</v>
      </c>
      <c r="Y24" s="356"/>
      <c r="Z24" s="356"/>
      <c r="AA24" s="379">
        <v>0.41666350000000002</v>
      </c>
      <c r="AB24" s="380"/>
      <c r="AC24" s="381"/>
      <c r="AD24" s="357">
        <v>0.16901070000000001</v>
      </c>
      <c r="AE24" s="357"/>
      <c r="AF24" s="357"/>
      <c r="AG24" s="357">
        <v>0.11234125772961055</v>
      </c>
      <c r="AH24" s="357"/>
      <c r="AI24" s="357"/>
      <c r="AJ24" s="357">
        <v>5.7673184658676838E-2</v>
      </c>
      <c r="AK24" s="357"/>
      <c r="AL24" s="357"/>
      <c r="AM24" s="420">
        <v>0.2188754469933962</v>
      </c>
      <c r="AN24" s="420"/>
      <c r="AO24" s="420"/>
      <c r="AP24" s="357">
        <v>0.11714191856373388</v>
      </c>
      <c r="AQ24" s="357"/>
      <c r="AR24" s="357"/>
      <c r="AS24" s="134">
        <v>0.35878516937175542</v>
      </c>
      <c r="AT24" s="134">
        <v>0.47035630194950384</v>
      </c>
      <c r="AU24" s="174">
        <v>0.39440583686483288</v>
      </c>
      <c r="AV24" s="329">
        <v>365.71002260869562</v>
      </c>
      <c r="AW24" s="184">
        <v>0.38324963852558902</v>
      </c>
      <c r="AX24" s="355">
        <v>5.4675619800000002</v>
      </c>
      <c r="AY24" s="355"/>
      <c r="AZ24" s="355"/>
      <c r="BA24" s="355">
        <v>5.8936903999999997</v>
      </c>
      <c r="BB24" s="355"/>
      <c r="BC24" s="355"/>
      <c r="BD24" s="355">
        <v>11.2273669321066</v>
      </c>
      <c r="BE24" s="355"/>
      <c r="BF24" s="355"/>
      <c r="BG24" s="355">
        <v>3.4031521218809591</v>
      </c>
      <c r="BH24" s="355"/>
      <c r="BI24" s="355"/>
      <c r="BJ24" s="358" t="s">
        <v>189</v>
      </c>
      <c r="BK24" s="359"/>
      <c r="BL24" s="360"/>
      <c r="BM24" s="355">
        <v>1.9522429783647852</v>
      </c>
      <c r="BN24" s="355"/>
      <c r="BO24" s="355"/>
      <c r="BP24" s="358">
        <v>18.181085785</v>
      </c>
      <c r="BQ24" s="359"/>
      <c r="BR24" s="360"/>
      <c r="BS24" s="136">
        <v>0.19219339355364601</v>
      </c>
      <c r="BT24" s="134">
        <v>0.34146883702674835</v>
      </c>
      <c r="BU24" s="137">
        <v>8.1863576995334641E-2</v>
      </c>
      <c r="BV24" s="179">
        <v>43100</v>
      </c>
      <c r="BW24" s="264" t="s">
        <v>47</v>
      </c>
      <c r="BX24" s="33"/>
      <c r="BY24" s="100"/>
      <c r="BZ24" s="100"/>
      <c r="CA24" s="100"/>
      <c r="CB24" s="100"/>
      <c r="CD24" s="100"/>
      <c r="CE24" s="109"/>
      <c r="CF24" s="100"/>
      <c r="CG24" s="100"/>
      <c r="CH24" s="100"/>
      <c r="CN24" s="38"/>
    </row>
    <row r="25" spans="1:92" s="37" customFormat="1" ht="11.25" customHeight="1" x14ac:dyDescent="0.2">
      <c r="A25" s="470" t="s">
        <v>58</v>
      </c>
      <c r="B25" s="471"/>
      <c r="C25" s="338">
        <v>10</v>
      </c>
      <c r="D25" s="338"/>
      <c r="E25" s="143">
        <v>1</v>
      </c>
      <c r="F25" s="339">
        <v>0.30182590413400001</v>
      </c>
      <c r="G25" s="340"/>
      <c r="H25" s="341"/>
      <c r="I25" s="342">
        <v>1.7123689718547712</v>
      </c>
      <c r="J25" s="342"/>
      <c r="K25" s="342"/>
      <c r="L25" s="343" t="s">
        <v>189</v>
      </c>
      <c r="M25" s="344"/>
      <c r="N25" s="345"/>
      <c r="O25" s="343" t="s">
        <v>189</v>
      </c>
      <c r="P25" s="344"/>
      <c r="Q25" s="345"/>
      <c r="R25" s="346" t="s">
        <v>189</v>
      </c>
      <c r="S25" s="347"/>
      <c r="T25" s="348"/>
      <c r="U25" s="342">
        <v>0.63326852785132837</v>
      </c>
      <c r="V25" s="342"/>
      <c r="W25" s="342"/>
      <c r="X25" s="349">
        <v>201.10106760489444</v>
      </c>
      <c r="Y25" s="349"/>
      <c r="Z25" s="349"/>
      <c r="AA25" s="439">
        <v>0.24398069999999999</v>
      </c>
      <c r="AB25" s="440"/>
      <c r="AC25" s="441"/>
      <c r="AD25" s="350">
        <v>6.7732700000000007E-2</v>
      </c>
      <c r="AE25" s="350"/>
      <c r="AF25" s="350"/>
      <c r="AG25" s="350">
        <v>4.1632704946761794E-2</v>
      </c>
      <c r="AH25" s="350"/>
      <c r="AI25" s="350"/>
      <c r="AJ25" s="350">
        <v>-8.9842145141343768E-2</v>
      </c>
      <c r="AK25" s="350"/>
      <c r="AL25" s="350"/>
      <c r="AM25" s="350">
        <v>3.9776700628362971E-2</v>
      </c>
      <c r="AN25" s="350"/>
      <c r="AO25" s="350"/>
      <c r="AP25" s="350">
        <v>2.109179213911214E-2</v>
      </c>
      <c r="AQ25" s="350"/>
      <c r="AR25" s="350"/>
      <c r="AS25" s="129">
        <v>0.40791796615476383</v>
      </c>
      <c r="AT25" s="129">
        <v>-7.3303017147781002</v>
      </c>
      <c r="AU25" s="175">
        <v>22.519596894554695</v>
      </c>
      <c r="AV25" s="328">
        <v>291.61399826086961</v>
      </c>
      <c r="AW25" s="183">
        <v>0.42341322912951429</v>
      </c>
      <c r="AX25" s="342">
        <v>4.9691534391999994</v>
      </c>
      <c r="AY25" s="342"/>
      <c r="AZ25" s="342"/>
      <c r="BA25" s="342">
        <v>5.5239389043999996</v>
      </c>
      <c r="BB25" s="342"/>
      <c r="BC25" s="342"/>
      <c r="BD25" s="342">
        <v>12.8957507910958</v>
      </c>
      <c r="BE25" s="342"/>
      <c r="BF25" s="342"/>
      <c r="BG25" s="342">
        <v>1.7607129970755904</v>
      </c>
      <c r="BH25" s="342"/>
      <c r="BI25" s="342"/>
      <c r="BJ25" s="343">
        <v>46.55926995064717</v>
      </c>
      <c r="BK25" s="344"/>
      <c r="BL25" s="345"/>
      <c r="BM25" s="342">
        <v>2.2415907498898711</v>
      </c>
      <c r="BN25" s="342"/>
      <c r="BO25" s="342"/>
      <c r="BP25" s="343" t="s">
        <v>189</v>
      </c>
      <c r="BQ25" s="344"/>
      <c r="BR25" s="345"/>
      <c r="BS25" s="131">
        <v>0.52629602557312305</v>
      </c>
      <c r="BT25" s="129" t="s">
        <v>189</v>
      </c>
      <c r="BU25" s="132" t="s">
        <v>189</v>
      </c>
      <c r="BV25" s="180">
        <v>43100</v>
      </c>
      <c r="BW25" s="263" t="s">
        <v>58</v>
      </c>
      <c r="BX25" s="33"/>
      <c r="BY25" s="100"/>
      <c r="BZ25" s="100"/>
      <c r="CA25" s="100"/>
      <c r="CB25" s="100"/>
      <c r="CD25" s="100"/>
      <c r="CE25" s="111"/>
      <c r="CF25" s="110"/>
      <c r="CG25" s="110"/>
      <c r="CH25" s="100"/>
      <c r="CN25" s="38"/>
    </row>
    <row r="26" spans="1:92" s="37" customFormat="1" ht="11.25" customHeight="1" x14ac:dyDescent="0.2">
      <c r="A26" s="548" t="s">
        <v>194</v>
      </c>
      <c r="B26" s="534"/>
      <c r="C26" s="538">
        <v>8.75</v>
      </c>
      <c r="D26" s="538"/>
      <c r="E26" s="235">
        <v>1</v>
      </c>
      <c r="F26" s="407" t="s">
        <v>189</v>
      </c>
      <c r="G26" s="408"/>
      <c r="H26" s="409"/>
      <c r="I26" s="410" t="s">
        <v>189</v>
      </c>
      <c r="J26" s="410"/>
      <c r="K26" s="410"/>
      <c r="L26" s="411" t="s">
        <v>189</v>
      </c>
      <c r="M26" s="412"/>
      <c r="N26" s="413"/>
      <c r="O26" s="411" t="s">
        <v>189</v>
      </c>
      <c r="P26" s="412"/>
      <c r="Q26" s="413"/>
      <c r="R26" s="414">
        <v>2.5750091862857101E-2</v>
      </c>
      <c r="S26" s="415"/>
      <c r="T26" s="416"/>
      <c r="U26" s="410" t="s">
        <v>189</v>
      </c>
      <c r="V26" s="410"/>
      <c r="W26" s="410"/>
      <c r="X26" s="418" t="s">
        <v>189</v>
      </c>
      <c r="Y26" s="418"/>
      <c r="Z26" s="418"/>
      <c r="AA26" s="516" t="s">
        <v>189</v>
      </c>
      <c r="AB26" s="517"/>
      <c r="AC26" s="518"/>
      <c r="AD26" s="419" t="s">
        <v>189</v>
      </c>
      <c r="AE26" s="419"/>
      <c r="AF26" s="419"/>
      <c r="AG26" s="419" t="s">
        <v>189</v>
      </c>
      <c r="AH26" s="419"/>
      <c r="AI26" s="419"/>
      <c r="AJ26" s="419" t="s">
        <v>189</v>
      </c>
      <c r="AK26" s="419"/>
      <c r="AL26" s="419"/>
      <c r="AM26" s="523" t="s">
        <v>189</v>
      </c>
      <c r="AN26" s="523"/>
      <c r="AO26" s="523"/>
      <c r="AP26" s="419" t="s">
        <v>189</v>
      </c>
      <c r="AQ26" s="419"/>
      <c r="AR26" s="419"/>
      <c r="AS26" s="228" t="s">
        <v>189</v>
      </c>
      <c r="AT26" s="228" t="s">
        <v>189</v>
      </c>
      <c r="AU26" s="229" t="s">
        <v>189</v>
      </c>
      <c r="AV26" s="330" t="s">
        <v>189</v>
      </c>
      <c r="AW26" s="231" t="s">
        <v>189</v>
      </c>
      <c r="AX26" s="410" t="s">
        <v>189</v>
      </c>
      <c r="AY26" s="410"/>
      <c r="AZ26" s="410"/>
      <c r="BA26" s="410">
        <v>0.11650443874999999</v>
      </c>
      <c r="BB26" s="410"/>
      <c r="BC26" s="410"/>
      <c r="BD26" s="410" t="s">
        <v>189</v>
      </c>
      <c r="BE26" s="410"/>
      <c r="BF26" s="410"/>
      <c r="BG26" s="410" t="s">
        <v>189</v>
      </c>
      <c r="BH26" s="410"/>
      <c r="BI26" s="410"/>
      <c r="BJ26" s="411" t="s">
        <v>189</v>
      </c>
      <c r="BK26" s="412"/>
      <c r="BL26" s="413"/>
      <c r="BM26" s="410" t="s">
        <v>189</v>
      </c>
      <c r="BN26" s="410"/>
      <c r="BO26" s="410"/>
      <c r="BP26" s="411" t="s">
        <v>189</v>
      </c>
      <c r="BQ26" s="412"/>
      <c r="BR26" s="413"/>
      <c r="BS26" s="230" t="s">
        <v>189</v>
      </c>
      <c r="BT26" s="228" t="s">
        <v>189</v>
      </c>
      <c r="BU26" s="231" t="s">
        <v>189</v>
      </c>
      <c r="BV26" s="232" t="s">
        <v>189</v>
      </c>
      <c r="BW26" s="264" t="s">
        <v>194</v>
      </c>
      <c r="BX26" s="33"/>
      <c r="BY26" s="100"/>
      <c r="BZ26" s="100"/>
      <c r="CA26" s="100"/>
      <c r="CB26" s="100"/>
      <c r="CD26" s="100"/>
      <c r="CE26" s="42"/>
      <c r="CF26" s="42"/>
      <c r="CG26" s="42"/>
      <c r="CH26" s="100"/>
      <c r="CN26" s="38"/>
    </row>
    <row r="27" spans="1:92" s="37" customFormat="1" ht="11.25" customHeight="1" x14ac:dyDescent="0.2">
      <c r="A27" s="402" t="s">
        <v>252</v>
      </c>
      <c r="B27" s="403"/>
      <c r="C27" s="404"/>
      <c r="D27" s="405"/>
      <c r="E27" s="233"/>
      <c r="F27" s="385">
        <v>1.5966320084023631</v>
      </c>
      <c r="G27" s="386"/>
      <c r="H27" s="387"/>
      <c r="I27" s="385">
        <v>4.7307062088173568</v>
      </c>
      <c r="J27" s="386"/>
      <c r="K27" s="387"/>
      <c r="L27" s="385">
        <v>1.4627820000000002</v>
      </c>
      <c r="M27" s="386"/>
      <c r="N27" s="387"/>
      <c r="O27" s="385">
        <v>0.90422499999999995</v>
      </c>
      <c r="P27" s="386"/>
      <c r="Q27" s="387"/>
      <c r="R27" s="436">
        <v>1.6213861839109004E-2</v>
      </c>
      <c r="S27" s="437"/>
      <c r="T27" s="438"/>
      <c r="U27" s="385">
        <v>2.1368586343268139</v>
      </c>
      <c r="V27" s="386"/>
      <c r="W27" s="387"/>
      <c r="X27" s="385">
        <v>92.526621645882557</v>
      </c>
      <c r="Y27" s="386"/>
      <c r="Z27" s="387"/>
      <c r="AA27" s="361">
        <v>0.2547939545454545</v>
      </c>
      <c r="AB27" s="362"/>
      <c r="AC27" s="363"/>
      <c r="AD27" s="361">
        <v>6.772291250000001E-2</v>
      </c>
      <c r="AE27" s="362"/>
      <c r="AF27" s="363"/>
      <c r="AG27" s="361">
        <v>4.6580218091178537E-2</v>
      </c>
      <c r="AH27" s="362"/>
      <c r="AI27" s="363"/>
      <c r="AJ27" s="361">
        <v>-0.14224857439806382</v>
      </c>
      <c r="AK27" s="362"/>
      <c r="AL27" s="363"/>
      <c r="AM27" s="361">
        <v>-0.40505006910595748</v>
      </c>
      <c r="AN27" s="362"/>
      <c r="AO27" s="363"/>
      <c r="AP27" s="361">
        <v>-1.3584046057933431E-2</v>
      </c>
      <c r="AQ27" s="362"/>
      <c r="AR27" s="363"/>
      <c r="AS27" s="236">
        <v>-8.2471909124879408E-2</v>
      </c>
      <c r="AT27" s="236">
        <v>-2.2174050354813155</v>
      </c>
      <c r="AU27" s="241">
        <v>6.5798406238202629</v>
      </c>
      <c r="AV27" s="331">
        <v>1642.5370184584981</v>
      </c>
      <c r="AW27" s="236">
        <v>0.61389329966757344</v>
      </c>
      <c r="AX27" s="421">
        <v>5.9462104104090914</v>
      </c>
      <c r="AY27" s="422"/>
      <c r="AZ27" s="423"/>
      <c r="BA27" s="421">
        <v>4.6882618149708328</v>
      </c>
      <c r="BB27" s="422"/>
      <c r="BC27" s="423"/>
      <c r="BD27" s="421">
        <v>26.067536624669124</v>
      </c>
      <c r="BE27" s="422"/>
      <c r="BF27" s="423"/>
      <c r="BG27" s="421">
        <v>4.3111509325888191</v>
      </c>
      <c r="BH27" s="422"/>
      <c r="BI27" s="423"/>
      <c r="BJ27" s="421">
        <v>106.87905668502168</v>
      </c>
      <c r="BK27" s="422"/>
      <c r="BL27" s="423"/>
      <c r="BM27" s="421">
        <v>0.96050873354266664</v>
      </c>
      <c r="BN27" s="422"/>
      <c r="BO27" s="423"/>
      <c r="BP27" s="421">
        <v>49.631398359366663</v>
      </c>
      <c r="BQ27" s="422"/>
      <c r="BR27" s="423"/>
      <c r="BS27" s="242">
        <v>0.51091982219113075</v>
      </c>
      <c r="BT27" s="236">
        <v>0.45329683556715306</v>
      </c>
      <c r="BU27" s="236">
        <v>3.3107134834724765E-2</v>
      </c>
      <c r="BV27" s="234"/>
      <c r="BW27" s="234"/>
      <c r="BX27" s="33"/>
      <c r="BY27" s="100"/>
      <c r="BZ27" s="100"/>
      <c r="CA27" s="100"/>
      <c r="CB27" s="100"/>
      <c r="CD27" s="100"/>
      <c r="CE27" s="109"/>
      <c r="CF27" s="100"/>
      <c r="CG27" s="100"/>
      <c r="CH27" s="100"/>
      <c r="CN27" s="38"/>
    </row>
    <row r="28" spans="1:92" s="63" customFormat="1" ht="11.25" customHeight="1" x14ac:dyDescent="0.2">
      <c r="A28" s="181" t="s">
        <v>202</v>
      </c>
      <c r="B28" s="181"/>
      <c r="C28" s="181"/>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81"/>
      <c r="AB28" s="181"/>
      <c r="AC28" s="181"/>
      <c r="AD28" s="181"/>
      <c r="AE28" s="181"/>
      <c r="AF28" s="181"/>
      <c r="AG28" s="181"/>
      <c r="AH28" s="181"/>
      <c r="AI28" s="181"/>
      <c r="AJ28" s="181"/>
      <c r="AK28" s="181"/>
      <c r="AL28" s="181"/>
      <c r="AM28" s="181"/>
      <c r="AN28" s="181"/>
      <c r="AO28" s="181"/>
      <c r="AP28" s="181"/>
      <c r="AQ28" s="181"/>
      <c r="AR28" s="181"/>
      <c r="AS28" s="181"/>
      <c r="AT28" s="181"/>
      <c r="AU28" s="181"/>
      <c r="AV28" s="186"/>
      <c r="AW28" s="237"/>
      <c r="AX28" s="181"/>
      <c r="AY28" s="181"/>
      <c r="AZ28" s="181"/>
      <c r="BA28" s="181"/>
      <c r="BB28" s="181"/>
      <c r="BC28" s="181"/>
      <c r="BD28" s="181"/>
      <c r="BE28" s="181"/>
      <c r="BF28" s="181"/>
      <c r="BG28" s="181"/>
      <c r="BH28" s="181"/>
      <c r="BI28" s="181"/>
      <c r="BJ28" s="181"/>
      <c r="BK28" s="181"/>
      <c r="BL28" s="181"/>
      <c r="BM28" s="181"/>
      <c r="BN28" s="181"/>
      <c r="BO28" s="181"/>
      <c r="BP28" s="181"/>
      <c r="BQ28" s="181"/>
      <c r="BR28" s="181"/>
      <c r="BS28" s="181"/>
      <c r="BT28" s="181"/>
      <c r="BU28" s="181"/>
      <c r="BV28" s="182"/>
      <c r="BW28" s="262"/>
      <c r="BX28" s="62"/>
      <c r="BY28" s="114"/>
      <c r="BZ28" s="101"/>
      <c r="CA28" s="101"/>
      <c r="CB28" s="106"/>
      <c r="CD28" s="114"/>
      <c r="CN28" s="64"/>
    </row>
    <row r="29" spans="1:92" s="37" customFormat="1" ht="11.25" customHeight="1" x14ac:dyDescent="0.2">
      <c r="A29" s="455" t="s">
        <v>54</v>
      </c>
      <c r="B29" s="455"/>
      <c r="C29" s="368">
        <v>55.800000000000004</v>
      </c>
      <c r="D29" s="369"/>
      <c r="E29" s="145">
        <v>1</v>
      </c>
      <c r="F29" s="370">
        <v>0.246808555964</v>
      </c>
      <c r="G29" s="371"/>
      <c r="H29" s="372"/>
      <c r="I29" s="358">
        <v>2.3852372561110236</v>
      </c>
      <c r="J29" s="359"/>
      <c r="K29" s="360"/>
      <c r="L29" s="358">
        <v>1.5194000000000001</v>
      </c>
      <c r="M29" s="359"/>
      <c r="N29" s="360"/>
      <c r="O29" s="358">
        <v>1.3758999999999999</v>
      </c>
      <c r="P29" s="359"/>
      <c r="Q29" s="360"/>
      <c r="R29" s="373">
        <v>8.1734399801818208E-2</v>
      </c>
      <c r="S29" s="374"/>
      <c r="T29" s="375"/>
      <c r="U29" s="355">
        <v>1.0431883680956788</v>
      </c>
      <c r="V29" s="355"/>
      <c r="W29" s="355"/>
      <c r="X29" s="356" t="s">
        <v>189</v>
      </c>
      <c r="Y29" s="356"/>
      <c r="Z29" s="356"/>
      <c r="AA29" s="357">
        <v>0.3812103</v>
      </c>
      <c r="AB29" s="357"/>
      <c r="AC29" s="357"/>
      <c r="AD29" s="357">
        <v>8.1906300000000001E-2</v>
      </c>
      <c r="AE29" s="357"/>
      <c r="AF29" s="357"/>
      <c r="AG29" s="357" t="s">
        <v>189</v>
      </c>
      <c r="AH29" s="357"/>
      <c r="AI29" s="357"/>
      <c r="AJ29" s="357">
        <v>-0.72273269034180976</v>
      </c>
      <c r="AK29" s="357"/>
      <c r="AL29" s="357"/>
      <c r="AM29" s="357">
        <v>-0.11820290122217766</v>
      </c>
      <c r="AN29" s="357"/>
      <c r="AO29" s="357"/>
      <c r="AP29" s="357">
        <v>-4.0111069089743073E-2</v>
      </c>
      <c r="AQ29" s="357"/>
      <c r="AR29" s="357"/>
      <c r="AS29" s="134">
        <v>0.92918845324209487</v>
      </c>
      <c r="AT29" s="134">
        <v>4.8967934992707898</v>
      </c>
      <c r="AU29" s="174">
        <v>12.414269386851881</v>
      </c>
      <c r="AV29" s="329">
        <v>3714.1392360869568</v>
      </c>
      <c r="AW29" s="184">
        <v>0.28501329259724867</v>
      </c>
      <c r="AX29" s="355">
        <v>3.8108633099999998</v>
      </c>
      <c r="AY29" s="355"/>
      <c r="AZ29" s="355"/>
      <c r="BA29" s="355">
        <v>5.8726802200000003</v>
      </c>
      <c r="BB29" s="355"/>
      <c r="BC29" s="355"/>
      <c r="BD29" s="358">
        <v>2.7151773548565798</v>
      </c>
      <c r="BE29" s="359"/>
      <c r="BF29" s="360"/>
      <c r="BG29" s="355">
        <v>1.5933611365980023</v>
      </c>
      <c r="BH29" s="355"/>
      <c r="BI29" s="355"/>
      <c r="BJ29" s="355" t="s">
        <v>189</v>
      </c>
      <c r="BK29" s="355"/>
      <c r="BL29" s="355"/>
      <c r="BM29" s="355">
        <v>0.41480053790516475</v>
      </c>
      <c r="BN29" s="355"/>
      <c r="BO29" s="355"/>
      <c r="BP29" s="355">
        <v>95.280142567400006</v>
      </c>
      <c r="BQ29" s="355"/>
      <c r="BR29" s="358"/>
      <c r="BS29" s="136">
        <v>0.785787184187134</v>
      </c>
      <c r="BT29" s="134">
        <v>0.49348186857122034</v>
      </c>
      <c r="BU29" s="137">
        <v>8.1979355885374749E-2</v>
      </c>
      <c r="BV29" s="179">
        <v>43100</v>
      </c>
      <c r="BW29" s="264" t="s">
        <v>54</v>
      </c>
      <c r="BX29" s="33"/>
      <c r="BY29" s="100"/>
      <c r="BZ29" s="100"/>
      <c r="CA29" s="100"/>
      <c r="CB29" s="100"/>
      <c r="CD29" s="100"/>
      <c r="CE29" s="109"/>
      <c r="CF29" s="100"/>
      <c r="CG29" s="100"/>
      <c r="CN29" s="38"/>
    </row>
    <row r="30" spans="1:92" s="37" customFormat="1" ht="11.25" customHeight="1" x14ac:dyDescent="0.2">
      <c r="A30" s="337" t="s">
        <v>64</v>
      </c>
      <c r="B30" s="337"/>
      <c r="C30" s="458">
        <v>580</v>
      </c>
      <c r="D30" s="459"/>
      <c r="E30" s="128">
        <v>0.1</v>
      </c>
      <c r="F30" s="339">
        <v>0.202540068938</v>
      </c>
      <c r="G30" s="340"/>
      <c r="H30" s="341"/>
      <c r="I30" s="343">
        <v>4.2252805536511469</v>
      </c>
      <c r="J30" s="344"/>
      <c r="K30" s="345"/>
      <c r="L30" s="343">
        <v>1.14459</v>
      </c>
      <c r="M30" s="344"/>
      <c r="N30" s="345"/>
      <c r="O30" s="343">
        <v>0.74961999999999995</v>
      </c>
      <c r="P30" s="344"/>
      <c r="Q30" s="345"/>
      <c r="R30" s="346">
        <v>2.8146593291405E-4</v>
      </c>
      <c r="S30" s="347"/>
      <c r="T30" s="348"/>
      <c r="U30" s="342">
        <v>2.8957925838146914</v>
      </c>
      <c r="V30" s="342"/>
      <c r="W30" s="342"/>
      <c r="X30" s="349">
        <v>18.994198902113254</v>
      </c>
      <c r="Y30" s="349"/>
      <c r="Z30" s="349"/>
      <c r="AA30" s="350">
        <v>0.154138</v>
      </c>
      <c r="AB30" s="350"/>
      <c r="AC30" s="350"/>
      <c r="AD30" s="350">
        <v>5.4199299999999999E-2</v>
      </c>
      <c r="AE30" s="350"/>
      <c r="AF30" s="350"/>
      <c r="AG30" s="350">
        <v>4.2998974991806382E-2</v>
      </c>
      <c r="AH30" s="350"/>
      <c r="AI30" s="350"/>
      <c r="AJ30" s="350">
        <v>0.17893296312660115</v>
      </c>
      <c r="AK30" s="350"/>
      <c r="AL30" s="350"/>
      <c r="AM30" s="350">
        <v>0.41397903958227067</v>
      </c>
      <c r="AN30" s="350"/>
      <c r="AO30" s="350"/>
      <c r="AP30" s="350">
        <v>9.9613010814371974E-2</v>
      </c>
      <c r="AQ30" s="350"/>
      <c r="AR30" s="350"/>
      <c r="AS30" s="129">
        <v>2.3095549306188192</v>
      </c>
      <c r="AT30" s="129">
        <v>0.76612237755700574</v>
      </c>
      <c r="AU30" s="175">
        <v>1.2858351316725649</v>
      </c>
      <c r="AV30" s="328">
        <v>2592.5362173913045</v>
      </c>
      <c r="AW30" s="183">
        <v>0.49688542682740483</v>
      </c>
      <c r="AX30" s="342">
        <v>9.7142389999999814</v>
      </c>
      <c r="AY30" s="342"/>
      <c r="AZ30" s="342"/>
      <c r="BA30" s="342">
        <v>10.3032</v>
      </c>
      <c r="BB30" s="342"/>
      <c r="BC30" s="342"/>
      <c r="BD30" s="343">
        <v>5.44121487228806</v>
      </c>
      <c r="BE30" s="344"/>
      <c r="BF30" s="345"/>
      <c r="BG30" s="342">
        <v>4.1157533663796251</v>
      </c>
      <c r="BH30" s="342"/>
      <c r="BI30" s="342"/>
      <c r="BJ30" s="342">
        <v>117.66257214440037</v>
      </c>
      <c r="BK30" s="342"/>
      <c r="BL30" s="342"/>
      <c r="BM30" s="342">
        <v>0.49930804314251781</v>
      </c>
      <c r="BN30" s="342"/>
      <c r="BO30" s="342"/>
      <c r="BP30" s="342">
        <v>10.9154474473</v>
      </c>
      <c r="BQ30" s="342"/>
      <c r="BR30" s="343"/>
      <c r="BS30" s="131">
        <v>0.86874048217107502</v>
      </c>
      <c r="BT30" s="139">
        <v>0.49232158948267835</v>
      </c>
      <c r="BU30" s="141">
        <v>0.18302209532807168</v>
      </c>
      <c r="BV30" s="180">
        <v>43100</v>
      </c>
      <c r="BW30" s="263" t="s">
        <v>64</v>
      </c>
      <c r="BX30" s="33"/>
      <c r="BY30" s="100"/>
      <c r="BZ30" s="100"/>
      <c r="CA30" s="100"/>
      <c r="CB30" s="100"/>
      <c r="CD30" s="100"/>
      <c r="CE30" s="109"/>
      <c r="CF30" s="100"/>
      <c r="CG30" s="100"/>
      <c r="CN30" s="38"/>
    </row>
    <row r="31" spans="1:92" s="37" customFormat="1" ht="11.25" customHeight="1" x14ac:dyDescent="0.2">
      <c r="A31" s="455" t="s">
        <v>56</v>
      </c>
      <c r="B31" s="455"/>
      <c r="C31" s="368">
        <v>39</v>
      </c>
      <c r="D31" s="369"/>
      <c r="E31" s="145">
        <v>1</v>
      </c>
      <c r="F31" s="370">
        <v>1.309453813842</v>
      </c>
      <c r="G31" s="371"/>
      <c r="H31" s="372"/>
      <c r="I31" s="358">
        <v>3.4099517628760285</v>
      </c>
      <c r="J31" s="359"/>
      <c r="K31" s="360"/>
      <c r="L31" s="358">
        <v>1.67842</v>
      </c>
      <c r="M31" s="359"/>
      <c r="N31" s="360"/>
      <c r="O31" s="358">
        <v>1.1069100000000001</v>
      </c>
      <c r="P31" s="359"/>
      <c r="Q31" s="360"/>
      <c r="R31" s="373">
        <v>6.2066221975E-3</v>
      </c>
      <c r="S31" s="374"/>
      <c r="T31" s="375"/>
      <c r="U31" s="355">
        <v>2.4418877684537232</v>
      </c>
      <c r="V31" s="355"/>
      <c r="W31" s="355"/>
      <c r="X31" s="356">
        <v>111.17247761678652</v>
      </c>
      <c r="Y31" s="356"/>
      <c r="Z31" s="356"/>
      <c r="AA31" s="357">
        <v>0.43465760000000003</v>
      </c>
      <c r="AB31" s="357"/>
      <c r="AC31" s="357"/>
      <c r="AD31" s="357">
        <v>0.1198888</v>
      </c>
      <c r="AE31" s="357"/>
      <c r="AF31" s="357"/>
      <c r="AG31" s="357">
        <v>1.9885719448692121E-2</v>
      </c>
      <c r="AH31" s="357"/>
      <c r="AI31" s="357"/>
      <c r="AJ31" s="357">
        <v>8.8706358289466269E-2</v>
      </c>
      <c r="AK31" s="357"/>
      <c r="AL31" s="357"/>
      <c r="AM31" s="357">
        <v>0.13266141306136969</v>
      </c>
      <c r="AN31" s="357"/>
      <c r="AO31" s="357"/>
      <c r="AP31" s="357">
        <v>3.8847177961419732E-2</v>
      </c>
      <c r="AQ31" s="357"/>
      <c r="AR31" s="357"/>
      <c r="AS31" s="287">
        <v>0.55608171576099497</v>
      </c>
      <c r="AT31" s="287">
        <v>0.57700525861304119</v>
      </c>
      <c r="AU31" s="285">
        <v>0.83222623753229019</v>
      </c>
      <c r="AV31" s="329">
        <v>570.45646869565212</v>
      </c>
      <c r="AW31" s="288">
        <v>0.13050135973917287</v>
      </c>
      <c r="AX31" s="355">
        <v>2.0123994500000002</v>
      </c>
      <c r="AY31" s="355"/>
      <c r="AZ31" s="355"/>
      <c r="BA31" s="355">
        <v>1.7723005599999999</v>
      </c>
      <c r="BB31" s="355"/>
      <c r="BC31" s="355"/>
      <c r="BD31" s="358">
        <v>4.1806425518895098</v>
      </c>
      <c r="BE31" s="359"/>
      <c r="BF31" s="360"/>
      <c r="BG31" s="355">
        <v>3.069569945817769</v>
      </c>
      <c r="BH31" s="355"/>
      <c r="BI31" s="355"/>
      <c r="BJ31" s="355">
        <v>23.580199887540584</v>
      </c>
      <c r="BK31" s="355"/>
      <c r="BL31" s="355"/>
      <c r="BM31" s="355">
        <v>0.48093194057281946</v>
      </c>
      <c r="BN31" s="355"/>
      <c r="BO31" s="355"/>
      <c r="BP31" s="355">
        <v>36.5266898458</v>
      </c>
      <c r="BQ31" s="355"/>
      <c r="BR31" s="358"/>
      <c r="BS31" s="286">
        <v>0.55770756504961305</v>
      </c>
      <c r="BT31" s="287">
        <v>0.47956168196737664</v>
      </c>
      <c r="BU31" s="288">
        <v>0.18402860173927849</v>
      </c>
      <c r="BV31" s="179">
        <v>43100</v>
      </c>
      <c r="BW31" s="264" t="s">
        <v>56</v>
      </c>
      <c r="BX31" s="33"/>
      <c r="BY31" s="100"/>
      <c r="BZ31" s="100"/>
      <c r="CA31" s="100"/>
      <c r="CB31" s="100"/>
      <c r="CD31" s="100"/>
      <c r="CE31" s="109"/>
      <c r="CF31" s="115"/>
      <c r="CG31" s="115"/>
      <c r="CN31" s="38"/>
    </row>
    <row r="32" spans="1:92" s="37" customFormat="1" ht="11.25" customHeight="1" x14ac:dyDescent="0.2">
      <c r="A32" s="337" t="s">
        <v>62</v>
      </c>
      <c r="B32" s="337"/>
      <c r="C32" s="458">
        <v>4.4000000000000004</v>
      </c>
      <c r="D32" s="459"/>
      <c r="E32" s="128">
        <v>1</v>
      </c>
      <c r="F32" s="339">
        <v>1.1384407391589999</v>
      </c>
      <c r="G32" s="340"/>
      <c r="H32" s="341"/>
      <c r="I32" s="343">
        <v>3.0381810980079975</v>
      </c>
      <c r="J32" s="344"/>
      <c r="K32" s="345"/>
      <c r="L32" s="343">
        <v>1.8796999999999999</v>
      </c>
      <c r="M32" s="344"/>
      <c r="N32" s="345"/>
      <c r="O32" s="343">
        <v>0.88407999999999998</v>
      </c>
      <c r="P32" s="344"/>
      <c r="Q32" s="345"/>
      <c r="R32" s="346">
        <v>1.9943013461538497E-2</v>
      </c>
      <c r="S32" s="347"/>
      <c r="T32" s="348"/>
      <c r="U32" s="342">
        <v>1.8895486589717096</v>
      </c>
      <c r="V32" s="342"/>
      <c r="W32" s="342"/>
      <c r="X32" s="349">
        <v>148.67076595367956</v>
      </c>
      <c r="Y32" s="349"/>
      <c r="Z32" s="349"/>
      <c r="AA32" s="350">
        <v>0.19927869999999998</v>
      </c>
      <c r="AB32" s="350"/>
      <c r="AC32" s="350"/>
      <c r="AD32" s="350">
        <v>1.6721200000000002E-2</v>
      </c>
      <c r="AE32" s="350"/>
      <c r="AF32" s="350"/>
      <c r="AG32" s="350" t="s">
        <v>189</v>
      </c>
      <c r="AH32" s="350"/>
      <c r="AI32" s="350"/>
      <c r="AJ32" s="350">
        <v>-8.1504453836649254E-2</v>
      </c>
      <c r="AK32" s="350"/>
      <c r="AL32" s="350"/>
      <c r="AM32" s="350">
        <v>-3.1168152580471229E-3</v>
      </c>
      <c r="AN32" s="350"/>
      <c r="AO32" s="350"/>
      <c r="AP32" s="350">
        <v>-1.1890477939324117E-3</v>
      </c>
      <c r="AQ32" s="350"/>
      <c r="AR32" s="350"/>
      <c r="AS32" s="290">
        <v>4.9385239476838594E-2</v>
      </c>
      <c r="AT32" s="290">
        <v>0.28875420822772396</v>
      </c>
      <c r="AU32" s="293">
        <v>1.2958212047448447</v>
      </c>
      <c r="AV32" s="328">
        <v>203.06044565217394</v>
      </c>
      <c r="AW32" s="290">
        <v>0.45355119423727208</v>
      </c>
      <c r="AX32" s="342">
        <v>0.93267763745999999</v>
      </c>
      <c r="AY32" s="342"/>
      <c r="AZ32" s="342"/>
      <c r="BA32" s="342">
        <v>0.67909548746000004</v>
      </c>
      <c r="BB32" s="342"/>
      <c r="BC32" s="342"/>
      <c r="BD32" s="343">
        <v>21.8742263383539</v>
      </c>
      <c r="BE32" s="344"/>
      <c r="BF32" s="345"/>
      <c r="BG32" s="342">
        <v>2.2806332964128671</v>
      </c>
      <c r="BH32" s="342"/>
      <c r="BI32" s="342"/>
      <c r="BJ32" s="342" t="s">
        <v>189</v>
      </c>
      <c r="BK32" s="342"/>
      <c r="BL32" s="342"/>
      <c r="BM32" s="342">
        <v>0.54911301322233463</v>
      </c>
      <c r="BN32" s="342"/>
      <c r="BO32" s="342"/>
      <c r="BP32" s="342" t="s">
        <v>189</v>
      </c>
      <c r="BQ32" s="342"/>
      <c r="BR32" s="343"/>
      <c r="BS32" s="289">
        <v>0.68712889183378401</v>
      </c>
      <c r="BT32" s="139">
        <v>0.43751394676515221</v>
      </c>
      <c r="BU32" s="292">
        <v>1.4597759891278539E-2</v>
      </c>
      <c r="BV32" s="180">
        <v>43100</v>
      </c>
      <c r="BW32" s="263" t="s">
        <v>62</v>
      </c>
      <c r="BX32" s="33"/>
      <c r="BY32" s="100"/>
      <c r="BZ32" s="100"/>
      <c r="CA32" s="100"/>
      <c r="CB32" s="100"/>
      <c r="CD32" s="100"/>
      <c r="CE32" s="109"/>
      <c r="CF32" s="114"/>
      <c r="CG32" s="114"/>
      <c r="CN32" s="38"/>
    </row>
    <row r="33" spans="1:140" s="37" customFormat="1" ht="11.25" customHeight="1" x14ac:dyDescent="0.2">
      <c r="A33" s="455" t="s">
        <v>200</v>
      </c>
      <c r="B33" s="455"/>
      <c r="C33" s="368">
        <v>10.9</v>
      </c>
      <c r="D33" s="369"/>
      <c r="E33" s="145">
        <v>1</v>
      </c>
      <c r="F33" s="370">
        <v>0.10304168156099999</v>
      </c>
      <c r="G33" s="371"/>
      <c r="H33" s="372"/>
      <c r="I33" s="358">
        <v>2.2639340080590706</v>
      </c>
      <c r="J33" s="359"/>
      <c r="K33" s="360"/>
      <c r="L33" s="358">
        <v>1.7481599999999999</v>
      </c>
      <c r="M33" s="359"/>
      <c r="N33" s="360"/>
      <c r="O33" s="358">
        <v>1.02756</v>
      </c>
      <c r="P33" s="359"/>
      <c r="Q33" s="360"/>
      <c r="R33" s="373">
        <v>0</v>
      </c>
      <c r="S33" s="374"/>
      <c r="T33" s="375"/>
      <c r="U33" s="355">
        <v>2.2825386973153474</v>
      </c>
      <c r="V33" s="355"/>
      <c r="W33" s="355"/>
      <c r="X33" s="356">
        <v>200.05228571064788</v>
      </c>
      <c r="Y33" s="356"/>
      <c r="Z33" s="356"/>
      <c r="AA33" s="357">
        <v>0.25213830000000004</v>
      </c>
      <c r="AB33" s="357"/>
      <c r="AC33" s="357"/>
      <c r="AD33" s="357">
        <v>6.6638599999999992E-2</v>
      </c>
      <c r="AE33" s="357"/>
      <c r="AF33" s="357"/>
      <c r="AG33" s="357">
        <v>3.9977049781149188E-2</v>
      </c>
      <c r="AH33" s="357"/>
      <c r="AI33" s="357"/>
      <c r="AJ33" s="357" t="s">
        <v>189</v>
      </c>
      <c r="AK33" s="357"/>
      <c r="AL33" s="357"/>
      <c r="AM33" s="357">
        <v>0.1726261580926671</v>
      </c>
      <c r="AN33" s="357"/>
      <c r="AO33" s="357"/>
      <c r="AP33" s="357">
        <v>7.3003698058945604E-2</v>
      </c>
      <c r="AQ33" s="357"/>
      <c r="AR33" s="357"/>
      <c r="AS33" s="287">
        <v>1.4970370715398431</v>
      </c>
      <c r="AT33" s="287">
        <v>9.9656440448035163E-2</v>
      </c>
      <c r="AU33" s="285">
        <v>0.53256479039687343</v>
      </c>
      <c r="AV33" s="329">
        <v>40.14171043478261</v>
      </c>
      <c r="AW33" s="288">
        <v>0.47079275266349169</v>
      </c>
      <c r="AX33" s="355">
        <v>0.21304612000000001</v>
      </c>
      <c r="AY33" s="355"/>
      <c r="AZ33" s="355"/>
      <c r="BA33" s="355">
        <v>0.20710000000000001</v>
      </c>
      <c r="BB33" s="355"/>
      <c r="BC33" s="355"/>
      <c r="BD33" s="358">
        <v>5.9706219312602196</v>
      </c>
      <c r="BE33" s="359"/>
      <c r="BF33" s="360"/>
      <c r="BG33" s="355">
        <v>2.5607314368918184</v>
      </c>
      <c r="BH33" s="355"/>
      <c r="BI33" s="355"/>
      <c r="BJ33" s="355">
        <v>15.740526802218115</v>
      </c>
      <c r="BK33" s="355"/>
      <c r="BL33" s="355"/>
      <c r="BM33" s="355">
        <v>0.62926843245283459</v>
      </c>
      <c r="BN33" s="355"/>
      <c r="BO33" s="355"/>
      <c r="BP33" s="355">
        <v>15.0492206161</v>
      </c>
      <c r="BQ33" s="355"/>
      <c r="BR33" s="358"/>
      <c r="BS33" s="286" t="s">
        <v>189</v>
      </c>
      <c r="BT33" s="287">
        <v>0.3977337421634205</v>
      </c>
      <c r="BU33" s="288">
        <v>-4.8007782521277576E-2</v>
      </c>
      <c r="BV33" s="179">
        <v>43131</v>
      </c>
      <c r="BW33" s="264" t="s">
        <v>200</v>
      </c>
      <c r="BX33" s="33"/>
      <c r="BY33" s="100"/>
      <c r="BZ33" s="100"/>
      <c r="CA33" s="100"/>
      <c r="CB33" s="100"/>
      <c r="CD33" s="100"/>
      <c r="CE33" s="109"/>
      <c r="CF33" s="100"/>
      <c r="CG33" s="100"/>
      <c r="CN33" s="38"/>
    </row>
    <row r="34" spans="1:140" s="37" customFormat="1" ht="11.25" customHeight="1" x14ac:dyDescent="0.2">
      <c r="A34" s="337" t="s">
        <v>84</v>
      </c>
      <c r="B34" s="337"/>
      <c r="C34" s="458">
        <v>13.200000000000001</v>
      </c>
      <c r="D34" s="459"/>
      <c r="E34" s="128">
        <v>1</v>
      </c>
      <c r="F34" s="339">
        <v>5.1492245404499997</v>
      </c>
      <c r="G34" s="340"/>
      <c r="H34" s="341"/>
      <c r="I34" s="343">
        <v>12.449257814904751</v>
      </c>
      <c r="J34" s="344"/>
      <c r="K34" s="345"/>
      <c r="L34" s="343">
        <v>1.6133299999999999</v>
      </c>
      <c r="M34" s="344"/>
      <c r="N34" s="345"/>
      <c r="O34" s="343">
        <v>0.93130000000000002</v>
      </c>
      <c r="P34" s="344"/>
      <c r="Q34" s="345"/>
      <c r="R34" s="346" t="s">
        <v>189</v>
      </c>
      <c r="S34" s="347"/>
      <c r="T34" s="348"/>
      <c r="U34" s="342">
        <v>0.24220905628484918</v>
      </c>
      <c r="V34" s="342"/>
      <c r="W34" s="342"/>
      <c r="X34" s="349">
        <v>7.1147741098509876</v>
      </c>
      <c r="Y34" s="349"/>
      <c r="Z34" s="349"/>
      <c r="AA34" s="350">
        <v>9.036580000000001E-2</v>
      </c>
      <c r="AB34" s="350"/>
      <c r="AC34" s="350"/>
      <c r="AD34" s="350" t="s">
        <v>189</v>
      </c>
      <c r="AE34" s="350"/>
      <c r="AF34" s="350"/>
      <c r="AG34" s="350" t="s">
        <v>189</v>
      </c>
      <c r="AH34" s="350"/>
      <c r="AI34" s="350"/>
      <c r="AJ34" s="350">
        <v>-0.36931653287944816</v>
      </c>
      <c r="AK34" s="350"/>
      <c r="AL34" s="350"/>
      <c r="AM34" s="350">
        <v>-0.91944643543173099</v>
      </c>
      <c r="AN34" s="350"/>
      <c r="AO34" s="350"/>
      <c r="AP34" s="350">
        <v>-6.3914161854314824E-2</v>
      </c>
      <c r="AQ34" s="350"/>
      <c r="AR34" s="350"/>
      <c r="AS34" s="290">
        <v>-2.246943749284672</v>
      </c>
      <c r="AT34" s="290">
        <v>-14.743550903953434</v>
      </c>
      <c r="AU34" s="293">
        <v>33.52398085204932</v>
      </c>
      <c r="AV34" s="328">
        <v>143.66116652173915</v>
      </c>
      <c r="AW34" s="290">
        <v>1.3528135596920841</v>
      </c>
      <c r="AX34" s="342">
        <v>1.394050864</v>
      </c>
      <c r="AY34" s="342"/>
      <c r="AZ34" s="342"/>
      <c r="BA34" s="342">
        <v>0.88473361399999995</v>
      </c>
      <c r="BB34" s="342"/>
      <c r="BC34" s="342"/>
      <c r="BD34" s="343" t="s">
        <v>189</v>
      </c>
      <c r="BE34" s="344"/>
      <c r="BF34" s="345"/>
      <c r="BG34" s="342">
        <v>1.9723532680208322</v>
      </c>
      <c r="BH34" s="342"/>
      <c r="BI34" s="342"/>
      <c r="BJ34" s="342" t="s">
        <v>189</v>
      </c>
      <c r="BK34" s="342"/>
      <c r="BL34" s="342"/>
      <c r="BM34" s="342">
        <v>0.82911840744241339</v>
      </c>
      <c r="BN34" s="342"/>
      <c r="BO34" s="342"/>
      <c r="BP34" s="342" t="s">
        <v>189</v>
      </c>
      <c r="BQ34" s="342"/>
      <c r="BR34" s="343"/>
      <c r="BS34" s="289">
        <v>0.90493402345290597</v>
      </c>
      <c r="BT34" s="139" t="s">
        <v>189</v>
      </c>
      <c r="BU34" s="292" t="s">
        <v>189</v>
      </c>
      <c r="BV34" s="180">
        <v>43100</v>
      </c>
      <c r="BW34" s="263" t="s">
        <v>84</v>
      </c>
      <c r="BX34" s="33"/>
      <c r="BY34" s="100"/>
      <c r="BZ34" s="100"/>
      <c r="CA34" s="100"/>
      <c r="CB34" s="100"/>
      <c r="CD34" s="100"/>
      <c r="CE34" s="109"/>
      <c r="CF34" s="100"/>
      <c r="CG34" s="100"/>
      <c r="CN34" s="38"/>
    </row>
    <row r="35" spans="1:140" s="37" customFormat="1" ht="11.25" customHeight="1" x14ac:dyDescent="0.2">
      <c r="A35" s="531" t="s">
        <v>197</v>
      </c>
      <c r="B35" s="531"/>
      <c r="C35" s="539">
        <v>54</v>
      </c>
      <c r="D35" s="540"/>
      <c r="E35" s="302">
        <v>1</v>
      </c>
      <c r="F35" s="498">
        <v>0.35208755527199997</v>
      </c>
      <c r="G35" s="499"/>
      <c r="H35" s="500"/>
      <c r="I35" s="399">
        <v>2.1527157130920362</v>
      </c>
      <c r="J35" s="400"/>
      <c r="K35" s="401"/>
      <c r="L35" s="399">
        <v>1.22343</v>
      </c>
      <c r="M35" s="400"/>
      <c r="N35" s="401"/>
      <c r="O35" s="399">
        <v>0.80867999999999995</v>
      </c>
      <c r="P35" s="400"/>
      <c r="Q35" s="401"/>
      <c r="R35" s="513">
        <v>3.5604035570370403E-2</v>
      </c>
      <c r="S35" s="514"/>
      <c r="T35" s="515"/>
      <c r="U35" s="447">
        <v>2.6091409414799558</v>
      </c>
      <c r="V35" s="447"/>
      <c r="W35" s="447"/>
      <c r="X35" s="497">
        <v>97.631050356896679</v>
      </c>
      <c r="Y35" s="497"/>
      <c r="Z35" s="497"/>
      <c r="AA35" s="496">
        <v>0.55305000000000004</v>
      </c>
      <c r="AB35" s="496"/>
      <c r="AC35" s="496"/>
      <c r="AD35" s="496">
        <v>0.12756040000000002</v>
      </c>
      <c r="AE35" s="496"/>
      <c r="AF35" s="496"/>
      <c r="AG35" s="496">
        <v>7.456174085097432E-2</v>
      </c>
      <c r="AH35" s="496"/>
      <c r="AI35" s="496"/>
      <c r="AJ35" s="496">
        <v>0.1291820136884686</v>
      </c>
      <c r="AK35" s="496"/>
      <c r="AL35" s="496"/>
      <c r="AM35" s="496">
        <v>0.32397412696993355</v>
      </c>
      <c r="AN35" s="496"/>
      <c r="AO35" s="496"/>
      <c r="AP35" s="496">
        <v>0.15563641784983012</v>
      </c>
      <c r="AQ35" s="496"/>
      <c r="AR35" s="496"/>
      <c r="AS35" s="303">
        <v>-0.14467163332140665</v>
      </c>
      <c r="AT35" s="303">
        <v>0.36894921459719798</v>
      </c>
      <c r="AU35" s="304">
        <v>0.20946250230719551</v>
      </c>
      <c r="AV35" s="332">
        <v>259.72941250000002</v>
      </c>
      <c r="AW35" s="305">
        <v>0.37724984863647953</v>
      </c>
      <c r="AX35" s="447" t="s">
        <v>189</v>
      </c>
      <c r="AY35" s="447"/>
      <c r="AZ35" s="447"/>
      <c r="BA35" s="447">
        <v>2.53671129</v>
      </c>
      <c r="BB35" s="447"/>
      <c r="BC35" s="447"/>
      <c r="BD35" s="399" t="s">
        <v>189</v>
      </c>
      <c r="BE35" s="400"/>
      <c r="BF35" s="401"/>
      <c r="BG35" s="447">
        <v>9.988087702162197</v>
      </c>
      <c r="BH35" s="447"/>
      <c r="BI35" s="447"/>
      <c r="BJ35" s="447">
        <v>26.702269692923899</v>
      </c>
      <c r="BK35" s="447"/>
      <c r="BL35" s="447"/>
      <c r="BM35" s="447">
        <v>1.9894837191555419</v>
      </c>
      <c r="BN35" s="447"/>
      <c r="BO35" s="447"/>
      <c r="BP35" s="447" t="s">
        <v>189</v>
      </c>
      <c r="BQ35" s="447"/>
      <c r="BR35" s="399"/>
      <c r="BS35" s="306">
        <v>0.14470888866208201</v>
      </c>
      <c r="BT35" s="303" t="s">
        <v>189</v>
      </c>
      <c r="BU35" s="305" t="s">
        <v>189</v>
      </c>
      <c r="BV35" s="307">
        <v>43100</v>
      </c>
      <c r="BW35" s="308" t="s">
        <v>197</v>
      </c>
      <c r="BX35" s="33"/>
      <c r="BY35" s="100"/>
      <c r="BZ35" s="100"/>
      <c r="CA35" s="100"/>
      <c r="CB35" s="100"/>
      <c r="CD35" s="100"/>
      <c r="CE35" s="109"/>
      <c r="CF35" s="100"/>
      <c r="CG35" s="100"/>
      <c r="CN35" s="38"/>
    </row>
    <row r="36" spans="1:140" s="37" customFormat="1" ht="11.25" customHeight="1" x14ac:dyDescent="0.2">
      <c r="A36" s="424" t="s">
        <v>252</v>
      </c>
      <c r="B36" s="424"/>
      <c r="C36" s="462"/>
      <c r="D36" s="463"/>
      <c r="E36" s="294"/>
      <c r="F36" s="426">
        <v>1.214513850740857</v>
      </c>
      <c r="G36" s="427"/>
      <c r="H36" s="428"/>
      <c r="I36" s="430">
        <v>4.2749368866717221</v>
      </c>
      <c r="J36" s="431"/>
      <c r="K36" s="432"/>
      <c r="L36" s="430">
        <v>1.5438614285714285</v>
      </c>
      <c r="M36" s="431"/>
      <c r="N36" s="432"/>
      <c r="O36" s="430">
        <v>0.9834357142857143</v>
      </c>
      <c r="P36" s="431"/>
      <c r="Q36" s="432"/>
      <c r="R36" s="433">
        <v>2.3961589494023525E-2</v>
      </c>
      <c r="S36" s="434"/>
      <c r="T36" s="435"/>
      <c r="U36" s="429">
        <v>1.914900867773708</v>
      </c>
      <c r="V36" s="429"/>
      <c r="W36" s="429"/>
      <c r="X36" s="442">
        <v>97.27259210832915</v>
      </c>
      <c r="Y36" s="442"/>
      <c r="Z36" s="442"/>
      <c r="AA36" s="443">
        <v>0.29497695714285715</v>
      </c>
      <c r="AB36" s="443"/>
      <c r="AC36" s="443"/>
      <c r="AD36" s="443">
        <v>7.7819100000000002E-2</v>
      </c>
      <c r="AE36" s="443"/>
      <c r="AF36" s="443"/>
      <c r="AG36" s="443">
        <v>4.4355871268155503E-2</v>
      </c>
      <c r="AH36" s="443"/>
      <c r="AI36" s="443"/>
      <c r="AJ36" s="443">
        <v>-0.12945539032556189</v>
      </c>
      <c r="AK36" s="443"/>
      <c r="AL36" s="443"/>
      <c r="AM36" s="443">
        <v>3.5351225632645241E-4</v>
      </c>
      <c r="AN36" s="443"/>
      <c r="AO36" s="443"/>
      <c r="AP36" s="443">
        <v>3.741228942093959E-2</v>
      </c>
      <c r="AQ36" s="443"/>
      <c r="AR36" s="443"/>
      <c r="AS36" s="295">
        <v>0.42137600400464459</v>
      </c>
      <c r="AT36" s="295">
        <v>-1.1066099864628058</v>
      </c>
      <c r="AU36" s="296">
        <v>7.1563085865078531</v>
      </c>
      <c r="AV36" s="333">
        <v>1074.8178081832298</v>
      </c>
      <c r="AW36" s="295">
        <v>0.50954391919902198</v>
      </c>
      <c r="AX36" s="429">
        <v>3.0128793969099976</v>
      </c>
      <c r="AY36" s="429"/>
      <c r="AZ36" s="429"/>
      <c r="BA36" s="429">
        <v>3.1794030244942855</v>
      </c>
      <c r="BB36" s="429"/>
      <c r="BC36" s="429"/>
      <c r="BD36" s="430">
        <v>8.0363766097296541</v>
      </c>
      <c r="BE36" s="431"/>
      <c r="BF36" s="432"/>
      <c r="BG36" s="429">
        <v>3.6543557360404444</v>
      </c>
      <c r="BH36" s="429"/>
      <c r="BI36" s="429"/>
      <c r="BJ36" s="429">
        <v>45.921392131770737</v>
      </c>
      <c r="BK36" s="429"/>
      <c r="BL36" s="429"/>
      <c r="BM36" s="429">
        <v>0.77028915627051808</v>
      </c>
      <c r="BN36" s="429"/>
      <c r="BO36" s="429"/>
      <c r="BP36" s="429">
        <v>39.442875119150003</v>
      </c>
      <c r="BQ36" s="429"/>
      <c r="BR36" s="430"/>
      <c r="BS36" s="297">
        <v>0.65816783922609901</v>
      </c>
      <c r="BT36" s="298">
        <v>0.46012256578996957</v>
      </c>
      <c r="BU36" s="299">
        <v>8.3124006064545175E-2</v>
      </c>
      <c r="BV36" s="300"/>
      <c r="BW36" s="301"/>
      <c r="BX36" s="33"/>
      <c r="BY36" s="100"/>
      <c r="BZ36" s="100"/>
      <c r="CA36" s="100"/>
      <c r="CB36" s="100"/>
      <c r="CD36" s="100"/>
      <c r="CE36" s="100"/>
      <c r="CF36" s="100"/>
      <c r="CG36" s="100"/>
      <c r="CN36" s="38"/>
    </row>
    <row r="37" spans="1:140" s="66" customFormat="1" ht="11.25" customHeight="1" x14ac:dyDescent="0.2">
      <c r="A37" s="181" t="s">
        <v>212</v>
      </c>
      <c r="B37" s="181"/>
      <c r="C37" s="181"/>
      <c r="D37" s="181"/>
      <c r="E37" s="181"/>
      <c r="F37" s="181"/>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c r="AG37" s="181"/>
      <c r="AH37" s="181"/>
      <c r="AI37" s="181"/>
      <c r="AJ37" s="181"/>
      <c r="AK37" s="181"/>
      <c r="AL37" s="181"/>
      <c r="AM37" s="181"/>
      <c r="AN37" s="181"/>
      <c r="AO37" s="181"/>
      <c r="AP37" s="181"/>
      <c r="AQ37" s="181"/>
      <c r="AR37" s="181"/>
      <c r="AS37" s="181"/>
      <c r="AT37" s="181"/>
      <c r="AU37" s="181"/>
      <c r="AV37" s="186"/>
      <c r="AW37" s="237"/>
      <c r="AX37" s="181"/>
      <c r="AY37" s="181"/>
      <c r="AZ37" s="181"/>
      <c r="BA37" s="181"/>
      <c r="BB37" s="181"/>
      <c r="BC37" s="181"/>
      <c r="BD37" s="181"/>
      <c r="BE37" s="181"/>
      <c r="BF37" s="181"/>
      <c r="BG37" s="181"/>
      <c r="BH37" s="181"/>
      <c r="BI37" s="181"/>
      <c r="BJ37" s="181"/>
      <c r="BK37" s="181"/>
      <c r="BL37" s="181"/>
      <c r="BM37" s="181"/>
      <c r="BN37" s="181"/>
      <c r="BO37" s="181"/>
      <c r="BP37" s="181"/>
      <c r="BQ37" s="181"/>
      <c r="BR37" s="181"/>
      <c r="BS37" s="181"/>
      <c r="BT37" s="181"/>
      <c r="BU37" s="181"/>
      <c r="BV37" s="182"/>
      <c r="BW37" s="262"/>
      <c r="BX37" s="62"/>
      <c r="BY37" s="115"/>
      <c r="BZ37" s="101"/>
      <c r="CA37" s="102"/>
      <c r="CB37" s="106"/>
      <c r="CD37" s="115"/>
      <c r="CE37" s="109"/>
      <c r="CF37" s="100"/>
      <c r="CG37" s="100"/>
      <c r="CN37" s="67"/>
    </row>
    <row r="38" spans="1:140" s="35" customFormat="1" ht="11.25" customHeight="1" x14ac:dyDescent="0.2">
      <c r="A38" s="455" t="s">
        <v>78</v>
      </c>
      <c r="B38" s="455"/>
      <c r="C38" s="368">
        <v>7.95</v>
      </c>
      <c r="D38" s="369"/>
      <c r="E38" s="145">
        <v>1</v>
      </c>
      <c r="F38" s="370">
        <v>0.55547686481400005</v>
      </c>
      <c r="G38" s="371"/>
      <c r="H38" s="372"/>
      <c r="I38" s="358">
        <v>2.7691205857876566</v>
      </c>
      <c r="J38" s="359"/>
      <c r="K38" s="360"/>
      <c r="L38" s="358">
        <v>1.64053</v>
      </c>
      <c r="M38" s="359"/>
      <c r="N38" s="360"/>
      <c r="O38" s="358">
        <v>0.97609000000000001</v>
      </c>
      <c r="P38" s="359"/>
      <c r="Q38" s="360"/>
      <c r="R38" s="373" t="s">
        <v>189</v>
      </c>
      <c r="S38" s="374"/>
      <c r="T38" s="375"/>
      <c r="U38" s="355">
        <v>1.0385770870224955</v>
      </c>
      <c r="V38" s="355"/>
      <c r="W38" s="355"/>
      <c r="X38" s="356">
        <v>281.52459600091629</v>
      </c>
      <c r="Y38" s="356"/>
      <c r="Z38" s="356"/>
      <c r="AA38" s="357">
        <v>0.33270710000000003</v>
      </c>
      <c r="AB38" s="357"/>
      <c r="AC38" s="357"/>
      <c r="AD38" s="357">
        <v>4.2233000000000001E-3</v>
      </c>
      <c r="AE38" s="357"/>
      <c r="AF38" s="357"/>
      <c r="AG38" s="357" t="s">
        <v>189</v>
      </c>
      <c r="AH38" s="357"/>
      <c r="AI38" s="357"/>
      <c r="AJ38" s="357">
        <v>-9.5889273772900463E-2</v>
      </c>
      <c r="AK38" s="357"/>
      <c r="AL38" s="357"/>
      <c r="AM38" s="357">
        <v>-9.1253845118679524E-4</v>
      </c>
      <c r="AN38" s="357"/>
      <c r="AO38" s="357"/>
      <c r="AP38" s="357">
        <v>-3.4908554502501211E-4</v>
      </c>
      <c r="AQ38" s="357"/>
      <c r="AR38" s="357"/>
      <c r="AS38" s="287">
        <v>-1.4262981029234141</v>
      </c>
      <c r="AT38" s="287">
        <v>2.5617208176944217</v>
      </c>
      <c r="AU38" s="285">
        <v>7.0902392727767003</v>
      </c>
      <c r="AV38" s="329">
        <v>31.797056086956523</v>
      </c>
      <c r="AW38" s="288">
        <v>0.49758837854636068</v>
      </c>
      <c r="AX38" s="355">
        <v>0.38553377675</v>
      </c>
      <c r="AY38" s="355"/>
      <c r="AZ38" s="355"/>
      <c r="BA38" s="355">
        <v>0.33858624674999999</v>
      </c>
      <c r="BB38" s="355"/>
      <c r="BC38" s="355"/>
      <c r="BD38" s="358">
        <v>119.235529616067</v>
      </c>
      <c r="BE38" s="359"/>
      <c r="BF38" s="360"/>
      <c r="BG38" s="355">
        <v>4.3910349056064222</v>
      </c>
      <c r="BH38" s="355"/>
      <c r="BI38" s="355"/>
      <c r="BJ38" s="355" t="s">
        <v>189</v>
      </c>
      <c r="BK38" s="355"/>
      <c r="BL38" s="355"/>
      <c r="BM38" s="355">
        <v>1.9669415311885015</v>
      </c>
      <c r="BN38" s="355"/>
      <c r="BO38" s="355"/>
      <c r="BP38" s="355">
        <v>82.128501821599997</v>
      </c>
      <c r="BQ38" s="355"/>
      <c r="BR38" s="358"/>
      <c r="BS38" s="286">
        <v>0.40900982872205399</v>
      </c>
      <c r="BT38" s="287">
        <v>0.40845273758618988</v>
      </c>
      <c r="BU38" s="288">
        <v>-5.122919560327599E-2</v>
      </c>
      <c r="BV38" s="179">
        <v>43100</v>
      </c>
      <c r="BW38" s="264" t="s">
        <v>78</v>
      </c>
      <c r="BX38" s="33"/>
      <c r="BY38" s="116"/>
      <c r="BZ38" s="100"/>
      <c r="CA38" s="100"/>
      <c r="CB38" s="100"/>
      <c r="CD38" s="116"/>
      <c r="CE38" s="109"/>
      <c r="CF38" s="100"/>
      <c r="CG38" s="100"/>
      <c r="CN38" s="36"/>
    </row>
    <row r="39" spans="1:140" s="35" customFormat="1" ht="11.25" customHeight="1" x14ac:dyDescent="0.2">
      <c r="A39" s="532" t="s">
        <v>265</v>
      </c>
      <c r="B39" s="532"/>
      <c r="C39" s="541">
        <v>31.7</v>
      </c>
      <c r="D39" s="542"/>
      <c r="E39" s="315">
        <v>1</v>
      </c>
      <c r="F39" s="528">
        <v>1.3323284293539999</v>
      </c>
      <c r="G39" s="529"/>
      <c r="H39" s="530"/>
      <c r="I39" s="503">
        <v>5.3709958833511573</v>
      </c>
      <c r="J39" s="504"/>
      <c r="K39" s="505"/>
      <c r="L39" s="503">
        <v>1.1874899999999999</v>
      </c>
      <c r="M39" s="504"/>
      <c r="N39" s="505"/>
      <c r="O39" s="503">
        <v>0.69504999999999995</v>
      </c>
      <c r="P39" s="504"/>
      <c r="Q39" s="505"/>
      <c r="R39" s="525">
        <v>0</v>
      </c>
      <c r="S39" s="526"/>
      <c r="T39" s="527"/>
      <c r="U39" s="502">
        <v>1.5978763600818435</v>
      </c>
      <c r="V39" s="502"/>
      <c r="W39" s="502"/>
      <c r="X39" s="506" t="s">
        <v>189</v>
      </c>
      <c r="Y39" s="506"/>
      <c r="Z39" s="506"/>
      <c r="AA39" s="501">
        <v>0.55327389999999999</v>
      </c>
      <c r="AB39" s="501"/>
      <c r="AC39" s="501"/>
      <c r="AD39" s="501">
        <v>0.28097759999999999</v>
      </c>
      <c r="AE39" s="501"/>
      <c r="AF39" s="501"/>
      <c r="AG39" s="501">
        <v>9.5681457884069815E-2</v>
      </c>
      <c r="AH39" s="501"/>
      <c r="AI39" s="501"/>
      <c r="AJ39" s="501">
        <v>0.12796937877280082</v>
      </c>
      <c r="AK39" s="501"/>
      <c r="AL39" s="501"/>
      <c r="AM39" s="501">
        <v>0.61672253312624481</v>
      </c>
      <c r="AN39" s="501"/>
      <c r="AO39" s="501"/>
      <c r="AP39" s="501">
        <v>0.12231131599562117</v>
      </c>
      <c r="AQ39" s="501"/>
      <c r="AR39" s="501"/>
      <c r="AS39" s="316">
        <v>-0.13124633321389623</v>
      </c>
      <c r="AT39" s="316">
        <v>18.534964102686569</v>
      </c>
      <c r="AU39" s="317">
        <v>28.595483936070764</v>
      </c>
      <c r="AV39" s="334">
        <v>213.99543499999999</v>
      </c>
      <c r="AW39" s="316">
        <v>0.55529450154548388</v>
      </c>
      <c r="AX39" s="502">
        <v>0.78871742199999995</v>
      </c>
      <c r="AY39" s="502"/>
      <c r="AZ39" s="502"/>
      <c r="BA39" s="502">
        <v>2.5840475839999999</v>
      </c>
      <c r="BB39" s="502"/>
      <c r="BC39" s="502"/>
      <c r="BD39" s="503">
        <v>3.0570922605568001</v>
      </c>
      <c r="BE39" s="504"/>
      <c r="BF39" s="505"/>
      <c r="BG39" s="502">
        <v>25.245825566281578</v>
      </c>
      <c r="BH39" s="502"/>
      <c r="BI39" s="502"/>
      <c r="BJ39" s="502">
        <v>21.052072334123615</v>
      </c>
      <c r="BK39" s="502"/>
      <c r="BL39" s="502"/>
      <c r="BM39" s="502">
        <v>2.4659836596663189</v>
      </c>
      <c r="BN39" s="502"/>
      <c r="BO39" s="502"/>
      <c r="BP39" s="502">
        <v>0</v>
      </c>
      <c r="BQ39" s="502"/>
      <c r="BR39" s="503"/>
      <c r="BS39" s="318" t="s">
        <v>189</v>
      </c>
      <c r="BT39" s="319" t="s">
        <v>189</v>
      </c>
      <c r="BU39" s="320" t="s">
        <v>189</v>
      </c>
      <c r="BV39" s="321">
        <v>43008</v>
      </c>
      <c r="BW39" s="322" t="s">
        <v>265</v>
      </c>
      <c r="BX39" s="33"/>
      <c r="BY39" s="116"/>
      <c r="BZ39" s="100"/>
      <c r="CA39" s="100"/>
      <c r="CB39" s="100"/>
      <c r="CD39" s="116"/>
      <c r="CE39" s="109"/>
      <c r="CF39" s="100"/>
      <c r="CG39" s="100"/>
      <c r="CN39" s="36"/>
    </row>
    <row r="40" spans="1:140" s="37" customFormat="1" ht="11.25" customHeight="1" x14ac:dyDescent="0.2">
      <c r="A40" s="388" t="s">
        <v>252</v>
      </c>
      <c r="B40" s="388"/>
      <c r="C40" s="389"/>
      <c r="D40" s="390"/>
      <c r="E40" s="309"/>
      <c r="F40" s="391">
        <v>0.94390264708399996</v>
      </c>
      <c r="G40" s="392"/>
      <c r="H40" s="393"/>
      <c r="I40" s="351">
        <v>4.070058234569407</v>
      </c>
      <c r="J40" s="352"/>
      <c r="K40" s="353"/>
      <c r="L40" s="351">
        <v>1.41401</v>
      </c>
      <c r="M40" s="352"/>
      <c r="N40" s="353"/>
      <c r="O40" s="351">
        <v>0.83556999999999992</v>
      </c>
      <c r="P40" s="352"/>
      <c r="Q40" s="353"/>
      <c r="R40" s="394">
        <v>0</v>
      </c>
      <c r="S40" s="395"/>
      <c r="T40" s="396"/>
      <c r="U40" s="354">
        <v>1.3182267235521694</v>
      </c>
      <c r="V40" s="354"/>
      <c r="W40" s="354"/>
      <c r="X40" s="397">
        <v>281.52459600091629</v>
      </c>
      <c r="Y40" s="397"/>
      <c r="Z40" s="397"/>
      <c r="AA40" s="398">
        <v>0.44299050000000001</v>
      </c>
      <c r="AB40" s="398"/>
      <c r="AC40" s="398"/>
      <c r="AD40" s="398">
        <v>0.14260044999999999</v>
      </c>
      <c r="AE40" s="398"/>
      <c r="AF40" s="398"/>
      <c r="AG40" s="398">
        <v>9.5681457884069815E-2</v>
      </c>
      <c r="AH40" s="398"/>
      <c r="AI40" s="398"/>
      <c r="AJ40" s="398">
        <v>1.6040052499950178E-2</v>
      </c>
      <c r="AK40" s="398"/>
      <c r="AL40" s="398"/>
      <c r="AM40" s="398">
        <v>0.30790499733752902</v>
      </c>
      <c r="AN40" s="398"/>
      <c r="AO40" s="398"/>
      <c r="AP40" s="398">
        <v>6.0981115225298081E-2</v>
      </c>
      <c r="AQ40" s="398"/>
      <c r="AR40" s="398"/>
      <c r="AS40" s="310">
        <v>-0.77877221806865515</v>
      </c>
      <c r="AT40" s="310">
        <v>10.548342460190495</v>
      </c>
      <c r="AU40" s="311">
        <v>17.842861604423732</v>
      </c>
      <c r="AV40" s="335">
        <v>122.89624554347826</v>
      </c>
      <c r="AW40" s="312">
        <v>0.5264414400459223</v>
      </c>
      <c r="AX40" s="354">
        <v>0.58712559937499997</v>
      </c>
      <c r="AY40" s="354"/>
      <c r="AZ40" s="354"/>
      <c r="BA40" s="354">
        <v>1.4613169153749999</v>
      </c>
      <c r="BB40" s="354"/>
      <c r="BC40" s="354"/>
      <c r="BD40" s="351">
        <v>61.146310938311899</v>
      </c>
      <c r="BE40" s="352"/>
      <c r="BF40" s="353"/>
      <c r="BG40" s="354">
        <v>14.818430235944</v>
      </c>
      <c r="BH40" s="354"/>
      <c r="BI40" s="354"/>
      <c r="BJ40" s="354">
        <v>21.052072334123615</v>
      </c>
      <c r="BK40" s="354"/>
      <c r="BL40" s="354"/>
      <c r="BM40" s="354">
        <v>2.2164625954274104</v>
      </c>
      <c r="BN40" s="354"/>
      <c r="BO40" s="354"/>
      <c r="BP40" s="354">
        <v>41.064250910799998</v>
      </c>
      <c r="BQ40" s="354"/>
      <c r="BR40" s="351"/>
      <c r="BS40" s="313">
        <v>0.40900982872205399</v>
      </c>
      <c r="BT40" s="310">
        <v>0.40845273758618988</v>
      </c>
      <c r="BU40" s="312">
        <v>-5.122919560327599E-2</v>
      </c>
      <c r="BV40" s="314"/>
      <c r="BW40" s="264"/>
      <c r="BX40" s="33"/>
      <c r="BY40" s="100"/>
      <c r="BZ40" s="100"/>
      <c r="CA40" s="100"/>
      <c r="CB40" s="100"/>
      <c r="CD40" s="100"/>
      <c r="CE40" s="100"/>
      <c r="CF40" s="100"/>
      <c r="CG40" s="100"/>
      <c r="CN40" s="38"/>
    </row>
    <row r="41" spans="1:140" s="66" customFormat="1" ht="11.25" customHeight="1" x14ac:dyDescent="0.2">
      <c r="A41" s="181" t="s">
        <v>204</v>
      </c>
      <c r="B41" s="181"/>
      <c r="C41" s="181"/>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81"/>
      <c r="AD41" s="181"/>
      <c r="AE41" s="181"/>
      <c r="AF41" s="181"/>
      <c r="AG41" s="181"/>
      <c r="AH41" s="181"/>
      <c r="AI41" s="181"/>
      <c r="AJ41" s="181"/>
      <c r="AK41" s="181"/>
      <c r="AL41" s="181"/>
      <c r="AM41" s="181"/>
      <c r="AN41" s="181"/>
      <c r="AO41" s="181"/>
      <c r="AP41" s="181"/>
      <c r="AQ41" s="181"/>
      <c r="AR41" s="181"/>
      <c r="AS41" s="181"/>
      <c r="AT41" s="181"/>
      <c r="AU41" s="181"/>
      <c r="AV41" s="186"/>
      <c r="AW41" s="237"/>
      <c r="AX41" s="181"/>
      <c r="AY41" s="181"/>
      <c r="AZ41" s="181"/>
      <c r="BA41" s="181"/>
      <c r="BB41" s="181"/>
      <c r="BC41" s="181"/>
      <c r="BD41" s="181"/>
      <c r="BE41" s="181"/>
      <c r="BF41" s="181"/>
      <c r="BG41" s="181"/>
      <c r="BH41" s="181"/>
      <c r="BI41" s="181"/>
      <c r="BJ41" s="181"/>
      <c r="BK41" s="181"/>
      <c r="BL41" s="181"/>
      <c r="BM41" s="181"/>
      <c r="BN41" s="181"/>
      <c r="BO41" s="181"/>
      <c r="BP41" s="181"/>
      <c r="BQ41" s="181"/>
      <c r="BR41" s="181"/>
      <c r="BS41" s="181"/>
      <c r="BT41" s="181"/>
      <c r="BU41" s="181"/>
      <c r="BV41" s="182"/>
      <c r="BW41" s="262"/>
      <c r="BX41" s="61"/>
      <c r="BY41" s="117"/>
      <c r="BZ41" s="101"/>
      <c r="CA41" s="103"/>
      <c r="CB41" s="106"/>
      <c r="CC41" s="61"/>
      <c r="CD41" s="117"/>
      <c r="CE41" s="118"/>
      <c r="CH41" s="108"/>
      <c r="CI41" s="60"/>
      <c r="CJ41" s="61"/>
      <c r="CK41" s="61"/>
      <c r="CL41" s="61"/>
      <c r="CM41" s="61"/>
      <c r="CN41" s="61"/>
      <c r="CO41" s="61"/>
      <c r="CP41" s="61"/>
      <c r="CQ41" s="65"/>
      <c r="CR41" s="65"/>
      <c r="CS41" s="65"/>
      <c r="CT41" s="65"/>
      <c r="CU41" s="65"/>
      <c r="CV41" s="65"/>
      <c r="CW41" s="60"/>
      <c r="CX41" s="61"/>
      <c r="CY41" s="61"/>
      <c r="CZ41" s="61"/>
      <c r="DA41" s="61"/>
      <c r="DB41" s="61"/>
      <c r="DC41" s="61"/>
      <c r="DD41" s="61"/>
      <c r="DE41" s="65"/>
      <c r="DF41" s="65"/>
      <c r="DG41" s="65"/>
      <c r="DH41" s="65"/>
      <c r="DI41" s="65"/>
      <c r="DJ41" s="65"/>
      <c r="DK41" s="60"/>
      <c r="DL41" s="61"/>
      <c r="DM41" s="61"/>
      <c r="DN41" s="61"/>
      <c r="DO41" s="61"/>
      <c r="DP41" s="61"/>
      <c r="DQ41" s="61"/>
      <c r="DR41" s="61"/>
      <c r="DS41" s="65"/>
      <c r="DT41" s="65"/>
      <c r="DU41" s="65"/>
      <c r="DV41" s="65"/>
      <c r="DW41" s="65"/>
      <c r="DX41" s="65"/>
      <c r="DY41" s="60"/>
      <c r="DZ41" s="61"/>
      <c r="EA41" s="61"/>
      <c r="EB41" s="61"/>
      <c r="EC41" s="61"/>
      <c r="ED41" s="61"/>
      <c r="EE41" s="61"/>
      <c r="EF41" s="61"/>
      <c r="EG41" s="65"/>
      <c r="EH41" s="65"/>
      <c r="EI41" s="65"/>
      <c r="EJ41" s="65"/>
    </row>
    <row r="42" spans="1:140" s="35" customFormat="1" ht="11.25" customHeight="1" x14ac:dyDescent="0.2">
      <c r="A42" s="337" t="s">
        <v>73</v>
      </c>
      <c r="B42" s="337"/>
      <c r="C42" s="338">
        <v>99.95</v>
      </c>
      <c r="D42" s="338"/>
      <c r="E42" s="146">
        <v>1</v>
      </c>
      <c r="F42" s="339" t="s">
        <v>189</v>
      </c>
      <c r="G42" s="340"/>
      <c r="H42" s="341"/>
      <c r="I42" s="342">
        <v>5.1942621320604614</v>
      </c>
      <c r="J42" s="342"/>
      <c r="K42" s="342"/>
      <c r="L42" s="343">
        <v>0.87694000000000005</v>
      </c>
      <c r="M42" s="344"/>
      <c r="N42" s="345"/>
      <c r="O42" s="343">
        <v>0.87434000000000001</v>
      </c>
      <c r="P42" s="344"/>
      <c r="Q42" s="345"/>
      <c r="R42" s="346" t="s">
        <v>189</v>
      </c>
      <c r="S42" s="347"/>
      <c r="T42" s="348"/>
      <c r="U42" s="342">
        <v>2.0519946732799017</v>
      </c>
      <c r="V42" s="342"/>
      <c r="W42" s="342"/>
      <c r="X42" s="349" t="s">
        <v>189</v>
      </c>
      <c r="Y42" s="349"/>
      <c r="Z42" s="349"/>
      <c r="AA42" s="350" t="s">
        <v>189</v>
      </c>
      <c r="AB42" s="350"/>
      <c r="AC42" s="350"/>
      <c r="AD42" s="439" t="s">
        <v>189</v>
      </c>
      <c r="AE42" s="440"/>
      <c r="AF42" s="441"/>
      <c r="AG42" s="350">
        <v>1.7195774922041034E-2</v>
      </c>
      <c r="AH42" s="350"/>
      <c r="AI42" s="350"/>
      <c r="AJ42" s="350" t="s">
        <v>189</v>
      </c>
      <c r="AK42" s="350"/>
      <c r="AL42" s="350"/>
      <c r="AM42" s="350">
        <v>0.13796410669112449</v>
      </c>
      <c r="AN42" s="350"/>
      <c r="AO42" s="350"/>
      <c r="AP42" s="350">
        <v>2.8228520751762947E-2</v>
      </c>
      <c r="AQ42" s="350"/>
      <c r="AR42" s="350"/>
      <c r="AS42" s="129" t="s">
        <v>189</v>
      </c>
      <c r="AT42" s="129" t="s">
        <v>189</v>
      </c>
      <c r="AU42" s="175" t="s">
        <v>189</v>
      </c>
      <c r="AV42" s="328">
        <v>2379.4146039130437</v>
      </c>
      <c r="AW42" s="183">
        <v>13.438928553284047</v>
      </c>
      <c r="AX42" s="342">
        <v>14.082480589999999</v>
      </c>
      <c r="AY42" s="342"/>
      <c r="AZ42" s="342"/>
      <c r="BA42" s="342">
        <v>11.8803</v>
      </c>
      <c r="BB42" s="342"/>
      <c r="BC42" s="342"/>
      <c r="BD42" s="343">
        <v>5.08656283201426</v>
      </c>
      <c r="BE42" s="344"/>
      <c r="BF42" s="345"/>
      <c r="BG42" s="342">
        <v>0.59070704057279233</v>
      </c>
      <c r="BH42" s="342"/>
      <c r="BI42" s="342"/>
      <c r="BJ42" s="342">
        <v>13.784533739353016</v>
      </c>
      <c r="BK42" s="342"/>
      <c r="BL42" s="342"/>
      <c r="BM42" s="342">
        <v>0.23596837944664031</v>
      </c>
      <c r="BN42" s="342"/>
      <c r="BO42" s="342"/>
      <c r="BP42" s="342">
        <v>13.730752770600001</v>
      </c>
      <c r="BQ42" s="342"/>
      <c r="BR42" s="343"/>
      <c r="BS42" s="131">
        <v>0.98534831212089702</v>
      </c>
      <c r="BT42" s="129" t="s">
        <v>189</v>
      </c>
      <c r="BU42" s="132" t="s">
        <v>189</v>
      </c>
      <c r="BV42" s="180">
        <v>43100</v>
      </c>
      <c r="BW42" s="263" t="s">
        <v>73</v>
      </c>
      <c r="BX42" s="33"/>
      <c r="BY42" s="116"/>
      <c r="BZ42" s="100"/>
      <c r="CA42" s="100"/>
      <c r="CB42" s="100"/>
      <c r="CC42" s="45"/>
      <c r="CD42" s="116"/>
      <c r="CE42" s="118"/>
      <c r="CF42" s="116"/>
      <c r="CG42" s="116"/>
      <c r="CN42" s="36"/>
    </row>
    <row r="43" spans="1:140" s="35" customFormat="1" ht="11.25" customHeight="1" x14ac:dyDescent="0.2">
      <c r="A43" s="455" t="s">
        <v>89</v>
      </c>
      <c r="B43" s="455"/>
      <c r="C43" s="454">
        <v>453</v>
      </c>
      <c r="D43" s="454"/>
      <c r="E43" s="144">
        <v>10</v>
      </c>
      <c r="F43" s="370">
        <v>1.254558586953</v>
      </c>
      <c r="G43" s="371"/>
      <c r="H43" s="372"/>
      <c r="I43" s="355">
        <v>3.3206474276896811</v>
      </c>
      <c r="J43" s="355"/>
      <c r="K43" s="355"/>
      <c r="L43" s="358">
        <v>1.1904300000000001</v>
      </c>
      <c r="M43" s="359"/>
      <c r="N43" s="360"/>
      <c r="O43" s="358">
        <v>0.92479</v>
      </c>
      <c r="P43" s="359"/>
      <c r="Q43" s="360"/>
      <c r="R43" s="373">
        <v>5.3228070175438602E-3</v>
      </c>
      <c r="S43" s="374"/>
      <c r="T43" s="375"/>
      <c r="U43" s="355">
        <v>0.7005668368514516</v>
      </c>
      <c r="V43" s="355"/>
      <c r="W43" s="355"/>
      <c r="X43" s="356">
        <v>17.105247906932647</v>
      </c>
      <c r="Y43" s="356"/>
      <c r="Z43" s="356"/>
      <c r="AA43" s="357">
        <v>0.1561352</v>
      </c>
      <c r="AB43" s="357"/>
      <c r="AC43" s="357"/>
      <c r="AD43" s="379">
        <v>6.3576599999999997E-2</v>
      </c>
      <c r="AE43" s="380"/>
      <c r="AF43" s="381"/>
      <c r="AG43" s="357">
        <v>4.8810781091162242E-2</v>
      </c>
      <c r="AH43" s="357"/>
      <c r="AI43" s="357"/>
      <c r="AJ43" s="357">
        <v>0.14783654321573653</v>
      </c>
      <c r="AK43" s="357"/>
      <c r="AL43" s="357"/>
      <c r="AM43" s="420">
        <v>9.4509597434301859E-2</v>
      </c>
      <c r="AN43" s="420"/>
      <c r="AO43" s="420"/>
      <c r="AP43" s="357">
        <v>2.7356172264077955E-2</v>
      </c>
      <c r="AQ43" s="357"/>
      <c r="AR43" s="357"/>
      <c r="AS43" s="134">
        <v>5.9785008715862871</v>
      </c>
      <c r="AT43" s="134">
        <v>-1.0302066896292119</v>
      </c>
      <c r="AU43" s="174">
        <v>3.5011032203637495</v>
      </c>
      <c r="AV43" s="329">
        <v>39260.086956521736</v>
      </c>
      <c r="AW43" s="184">
        <v>9.8519472431150945E-2</v>
      </c>
      <c r="AX43" s="355">
        <v>330.48772608170003</v>
      </c>
      <c r="AY43" s="355"/>
      <c r="AZ43" s="355"/>
      <c r="BA43" s="355">
        <v>180.88455350070001</v>
      </c>
      <c r="BB43" s="355"/>
      <c r="BC43" s="355"/>
      <c r="BD43" s="358">
        <v>4.45966218770005</v>
      </c>
      <c r="BE43" s="359"/>
      <c r="BF43" s="360"/>
      <c r="BG43" s="355">
        <v>1.2709796548647756</v>
      </c>
      <c r="BH43" s="355"/>
      <c r="BI43" s="355"/>
      <c r="BJ43" s="355">
        <v>14.401361167063421</v>
      </c>
      <c r="BK43" s="355"/>
      <c r="BL43" s="355"/>
      <c r="BM43" s="355">
        <v>0.71548754811144999</v>
      </c>
      <c r="BN43" s="355"/>
      <c r="BO43" s="355"/>
      <c r="BP43" s="355" t="s">
        <v>189</v>
      </c>
      <c r="BQ43" s="355"/>
      <c r="BR43" s="358"/>
      <c r="BS43" s="136">
        <v>0.91923318975234103</v>
      </c>
      <c r="BT43" s="134">
        <v>0.45138982188109256</v>
      </c>
      <c r="BU43" s="137">
        <v>-3.1204042595124215E-2</v>
      </c>
      <c r="BV43" s="179">
        <v>43100</v>
      </c>
      <c r="BW43" s="264" t="s">
        <v>89</v>
      </c>
      <c r="BX43" s="33"/>
      <c r="BY43" s="116"/>
      <c r="BZ43" s="100"/>
      <c r="CA43" s="100"/>
      <c r="CB43" s="100"/>
      <c r="CC43" s="45"/>
      <c r="CD43" s="116"/>
      <c r="CE43" s="118"/>
      <c r="CF43" s="116"/>
      <c r="CG43" s="116"/>
      <c r="CN43" s="36"/>
    </row>
    <row r="44" spans="1:140" s="35" customFormat="1" ht="11.25" customHeight="1" x14ac:dyDescent="0.2">
      <c r="A44" s="337" t="s">
        <v>25</v>
      </c>
      <c r="B44" s="337"/>
      <c r="C44" s="338">
        <v>146.9</v>
      </c>
      <c r="D44" s="338"/>
      <c r="E44" s="146">
        <v>1</v>
      </c>
      <c r="F44" s="339">
        <v>1.3693315908100001</v>
      </c>
      <c r="G44" s="340"/>
      <c r="H44" s="341"/>
      <c r="I44" s="342">
        <v>3.1498569994507233</v>
      </c>
      <c r="J44" s="342"/>
      <c r="K44" s="342"/>
      <c r="L44" s="343">
        <v>1.889</v>
      </c>
      <c r="M44" s="344"/>
      <c r="N44" s="345"/>
      <c r="O44" s="343">
        <v>1.54877</v>
      </c>
      <c r="P44" s="344"/>
      <c r="Q44" s="345"/>
      <c r="R44" s="346" t="s">
        <v>189</v>
      </c>
      <c r="S44" s="347"/>
      <c r="T44" s="348"/>
      <c r="U44" s="342">
        <v>0.43975405457401112</v>
      </c>
      <c r="V44" s="342"/>
      <c r="W44" s="342"/>
      <c r="X44" s="349">
        <v>37.091489188553489</v>
      </c>
      <c r="Y44" s="349"/>
      <c r="Z44" s="349"/>
      <c r="AA44" s="350">
        <v>0.32286430000000005</v>
      </c>
      <c r="AB44" s="350"/>
      <c r="AC44" s="350"/>
      <c r="AD44" s="439">
        <v>0.1331465</v>
      </c>
      <c r="AE44" s="440"/>
      <c r="AF44" s="441"/>
      <c r="AG44" s="350" t="s">
        <v>189</v>
      </c>
      <c r="AH44" s="350"/>
      <c r="AI44" s="350"/>
      <c r="AJ44" s="350">
        <v>0.10371804752482967</v>
      </c>
      <c r="AK44" s="350"/>
      <c r="AL44" s="350"/>
      <c r="AM44" s="350">
        <v>-4.2430046600458269E-3</v>
      </c>
      <c r="AN44" s="350"/>
      <c r="AO44" s="350"/>
      <c r="AP44" s="350">
        <v>-1.3680016912961249E-3</v>
      </c>
      <c r="AQ44" s="350"/>
      <c r="AR44" s="350"/>
      <c r="AS44" s="129">
        <v>-3.5136818837739363</v>
      </c>
      <c r="AT44" s="129">
        <v>-0.21950270120323673</v>
      </c>
      <c r="AU44" s="175">
        <v>1.1815479446340222</v>
      </c>
      <c r="AV44" s="328">
        <v>267887.24426473916</v>
      </c>
      <c r="AW44" s="183">
        <v>0.19964371484350449</v>
      </c>
      <c r="AX44" s="342">
        <v>3516.4130966415</v>
      </c>
      <c r="AY44" s="342"/>
      <c r="AZ44" s="342"/>
      <c r="BA44" s="342">
        <v>1632.6215162992</v>
      </c>
      <c r="BB44" s="342"/>
      <c r="BC44" s="342"/>
      <c r="BD44" s="343">
        <v>7.4321032053393097</v>
      </c>
      <c r="BE44" s="344"/>
      <c r="BF44" s="345"/>
      <c r="BG44" s="342">
        <v>1.1349081894340831</v>
      </c>
      <c r="BH44" s="342"/>
      <c r="BI44" s="342"/>
      <c r="BJ44" s="342" t="s">
        <v>189</v>
      </c>
      <c r="BK44" s="342"/>
      <c r="BL44" s="342"/>
      <c r="BM44" s="342">
        <v>1.091908631118389</v>
      </c>
      <c r="BN44" s="342"/>
      <c r="BO44" s="342"/>
      <c r="BP44" s="342" t="s">
        <v>189</v>
      </c>
      <c r="BQ44" s="342"/>
      <c r="BR44" s="343"/>
      <c r="BS44" s="131">
        <v>0.82330732092025904</v>
      </c>
      <c r="BT44" s="129">
        <v>0.5403953067856927</v>
      </c>
      <c r="BU44" s="132">
        <v>-0.12224960731976886</v>
      </c>
      <c r="BV44" s="180">
        <v>43100</v>
      </c>
      <c r="BW44" s="263" t="s">
        <v>25</v>
      </c>
      <c r="BX44" s="33"/>
      <c r="BY44" s="116"/>
      <c r="BZ44" s="100"/>
      <c r="CA44" s="100"/>
      <c r="CB44" s="100"/>
      <c r="CC44" s="45"/>
      <c r="CD44" s="116"/>
      <c r="CE44" s="122"/>
      <c r="CF44" s="121"/>
      <c r="CG44" s="121"/>
      <c r="CN44" s="36"/>
    </row>
    <row r="45" spans="1:140" s="35" customFormat="1" ht="11.25" customHeight="1" x14ac:dyDescent="0.2">
      <c r="A45" s="455" t="s">
        <v>218</v>
      </c>
      <c r="B45" s="455"/>
      <c r="C45" s="454">
        <v>31.900000000000002</v>
      </c>
      <c r="D45" s="454"/>
      <c r="E45" s="144">
        <v>1</v>
      </c>
      <c r="F45" s="370">
        <v>0.67773652725900002</v>
      </c>
      <c r="G45" s="371"/>
      <c r="H45" s="372"/>
      <c r="I45" s="355">
        <v>2.4150245370275445</v>
      </c>
      <c r="J45" s="355"/>
      <c r="K45" s="355"/>
      <c r="L45" s="358">
        <v>0.98243000000000003</v>
      </c>
      <c r="M45" s="359"/>
      <c r="N45" s="360"/>
      <c r="O45" s="358">
        <v>0.96331</v>
      </c>
      <c r="P45" s="359"/>
      <c r="Q45" s="360"/>
      <c r="R45" s="373" t="s">
        <v>189</v>
      </c>
      <c r="S45" s="374"/>
      <c r="T45" s="375"/>
      <c r="U45" s="355">
        <v>0.52215858304659957</v>
      </c>
      <c r="V45" s="355"/>
      <c r="W45" s="355"/>
      <c r="X45" s="356">
        <v>-2.8973605097164778</v>
      </c>
      <c r="Y45" s="356"/>
      <c r="Z45" s="356"/>
      <c r="AA45" s="357" t="s">
        <v>189</v>
      </c>
      <c r="AB45" s="357"/>
      <c r="AC45" s="357"/>
      <c r="AD45" s="379">
        <v>0.52232250000000002</v>
      </c>
      <c r="AE45" s="380"/>
      <c r="AF45" s="381"/>
      <c r="AG45" s="357">
        <v>0.50746315513088347</v>
      </c>
      <c r="AH45" s="357"/>
      <c r="AI45" s="357"/>
      <c r="AJ45" s="357">
        <v>-0.11782232671143049</v>
      </c>
      <c r="AK45" s="357"/>
      <c r="AL45" s="357"/>
      <c r="AM45" s="357">
        <v>0.49500625931948355</v>
      </c>
      <c r="AN45" s="357"/>
      <c r="AO45" s="357"/>
      <c r="AP45" s="357">
        <v>0.2119811538053849</v>
      </c>
      <c r="AQ45" s="357"/>
      <c r="AR45" s="357"/>
      <c r="AS45" s="134">
        <v>-0.29587209560069394</v>
      </c>
      <c r="AT45" s="134">
        <v>2.0342461465099708</v>
      </c>
      <c r="AU45" s="174">
        <v>1.3859569620848144</v>
      </c>
      <c r="AV45" s="329">
        <v>826.5183913043478</v>
      </c>
      <c r="AW45" s="184">
        <v>0.90542835899428675</v>
      </c>
      <c r="AX45" s="355">
        <v>50.968695161599996</v>
      </c>
      <c r="AY45" s="355"/>
      <c r="AZ45" s="355"/>
      <c r="BA45" s="355">
        <v>6.2119811138000003</v>
      </c>
      <c r="BB45" s="355"/>
      <c r="BC45" s="355"/>
      <c r="BD45" s="358">
        <v>16.039043234651501</v>
      </c>
      <c r="BE45" s="359"/>
      <c r="BF45" s="360"/>
      <c r="BG45" s="355">
        <v>0.90236228965394627</v>
      </c>
      <c r="BH45" s="355"/>
      <c r="BI45" s="355"/>
      <c r="BJ45" s="355">
        <v>15.977961432506886</v>
      </c>
      <c r="BK45" s="355"/>
      <c r="BL45" s="355"/>
      <c r="BM45" s="355">
        <v>1.0428743385987567</v>
      </c>
      <c r="BN45" s="355"/>
      <c r="BO45" s="355"/>
      <c r="BP45" s="355" t="s">
        <v>189</v>
      </c>
      <c r="BQ45" s="355"/>
      <c r="BR45" s="358"/>
      <c r="BS45" s="136">
        <v>1.11612651741879</v>
      </c>
      <c r="BT45" s="134">
        <v>0.42338034023060506</v>
      </c>
      <c r="BU45" s="137">
        <v>0.25092889010454877</v>
      </c>
      <c r="BV45" s="179">
        <v>43100</v>
      </c>
      <c r="BW45" s="264" t="s">
        <v>218</v>
      </c>
      <c r="BX45" s="33"/>
      <c r="BY45" s="116"/>
      <c r="BZ45" s="100"/>
      <c r="CA45" s="100"/>
      <c r="CB45" s="100"/>
      <c r="CC45" s="45"/>
      <c r="CD45" s="116"/>
      <c r="CE45" s="118"/>
      <c r="CF45" s="116"/>
      <c r="CG45" s="116"/>
      <c r="CN45" s="36"/>
    </row>
    <row r="46" spans="1:140" s="35" customFormat="1" ht="11.25" customHeight="1" x14ac:dyDescent="0.2">
      <c r="A46" s="337" t="s">
        <v>76</v>
      </c>
      <c r="B46" s="337"/>
      <c r="C46" s="338">
        <v>389</v>
      </c>
      <c r="D46" s="338"/>
      <c r="E46" s="146">
        <v>1</v>
      </c>
      <c r="F46" s="339" t="s">
        <v>189</v>
      </c>
      <c r="G46" s="340"/>
      <c r="H46" s="341"/>
      <c r="I46" s="342" t="s">
        <v>189</v>
      </c>
      <c r="J46" s="342"/>
      <c r="K46" s="342"/>
      <c r="L46" s="343">
        <v>1.11738</v>
      </c>
      <c r="M46" s="344"/>
      <c r="N46" s="345"/>
      <c r="O46" s="343">
        <v>0.86751</v>
      </c>
      <c r="P46" s="344"/>
      <c r="Q46" s="345"/>
      <c r="R46" s="346">
        <v>4.2832107334645306E-2</v>
      </c>
      <c r="S46" s="347"/>
      <c r="T46" s="348"/>
      <c r="U46" s="342">
        <v>0.32624796541167722</v>
      </c>
      <c r="V46" s="342"/>
      <c r="W46" s="342"/>
      <c r="X46" s="349">
        <v>93.933181364711174</v>
      </c>
      <c r="Y46" s="349"/>
      <c r="Z46" s="349"/>
      <c r="AA46" s="350">
        <v>0.2789431</v>
      </c>
      <c r="AB46" s="350"/>
      <c r="AC46" s="350"/>
      <c r="AD46" s="439">
        <v>6.6597900000000002E-2</v>
      </c>
      <c r="AE46" s="440"/>
      <c r="AF46" s="441"/>
      <c r="AG46" s="350">
        <v>5.9438154185123729E-2</v>
      </c>
      <c r="AH46" s="350"/>
      <c r="AI46" s="350"/>
      <c r="AJ46" s="350" t="s">
        <v>189</v>
      </c>
      <c r="AK46" s="350"/>
      <c r="AL46" s="350"/>
      <c r="AM46" s="350">
        <v>7.8810890936270098E-2</v>
      </c>
      <c r="AN46" s="350"/>
      <c r="AO46" s="350"/>
      <c r="AP46" s="350">
        <v>1.9391576870722183E-2</v>
      </c>
      <c r="AQ46" s="350"/>
      <c r="AR46" s="350"/>
      <c r="AS46" s="129" t="s">
        <v>189</v>
      </c>
      <c r="AT46" s="129">
        <v>0.11567511873306144</v>
      </c>
      <c r="AU46" s="175">
        <v>1.8828170218616374</v>
      </c>
      <c r="AV46" s="328">
        <v>133995.93766531476</v>
      </c>
      <c r="AW46" s="183" t="s">
        <v>189</v>
      </c>
      <c r="AX46" s="342">
        <v>887.97203185649198</v>
      </c>
      <c r="AY46" s="342"/>
      <c r="AZ46" s="342"/>
      <c r="BA46" s="342">
        <v>570.13555489999999</v>
      </c>
      <c r="BB46" s="342"/>
      <c r="BC46" s="342"/>
      <c r="BD46" s="343">
        <v>6.8133680464782804</v>
      </c>
      <c r="BE46" s="344"/>
      <c r="BF46" s="345"/>
      <c r="BG46" s="342" t="s">
        <v>189</v>
      </c>
      <c r="BH46" s="342"/>
      <c r="BI46" s="342"/>
      <c r="BJ46" s="342">
        <v>27.69918143053296</v>
      </c>
      <c r="BK46" s="342"/>
      <c r="BL46" s="342"/>
      <c r="BM46" s="342">
        <v>1.5377554135249318</v>
      </c>
      <c r="BN46" s="342"/>
      <c r="BO46" s="342"/>
      <c r="BP46" s="342">
        <v>12.759299155500001</v>
      </c>
      <c r="BQ46" s="342"/>
      <c r="BR46" s="343"/>
      <c r="BS46" s="131">
        <v>0.23550932270462199</v>
      </c>
      <c r="BT46" s="129">
        <v>0.37697241733923692</v>
      </c>
      <c r="BU46" s="132">
        <v>-5.1336023967470501E-2</v>
      </c>
      <c r="BV46" s="180" t="s">
        <v>189</v>
      </c>
      <c r="BW46" s="263" t="s">
        <v>76</v>
      </c>
      <c r="BX46" s="33"/>
      <c r="BY46" s="116"/>
      <c r="BZ46" s="100"/>
      <c r="CA46" s="100"/>
      <c r="CB46" s="100"/>
      <c r="CC46" s="45"/>
      <c r="CD46" s="116"/>
      <c r="CE46" s="118"/>
      <c r="CF46" s="116"/>
      <c r="CG46" s="116"/>
      <c r="CN46" s="36"/>
    </row>
    <row r="47" spans="1:140" s="35" customFormat="1" ht="11.25" customHeight="1" x14ac:dyDescent="0.2">
      <c r="A47" s="455" t="s">
        <v>72</v>
      </c>
      <c r="B47" s="455"/>
      <c r="C47" s="454">
        <v>23.3</v>
      </c>
      <c r="D47" s="454"/>
      <c r="E47" s="144">
        <v>1</v>
      </c>
      <c r="F47" s="370">
        <v>0.54891967553999998</v>
      </c>
      <c r="G47" s="371"/>
      <c r="H47" s="372"/>
      <c r="I47" s="355">
        <v>2.598162371689039</v>
      </c>
      <c r="J47" s="355"/>
      <c r="K47" s="355"/>
      <c r="L47" s="358">
        <v>2.0988199999999999</v>
      </c>
      <c r="M47" s="359"/>
      <c r="N47" s="360"/>
      <c r="O47" s="358">
        <v>1.7402599999999999</v>
      </c>
      <c r="P47" s="359"/>
      <c r="Q47" s="360"/>
      <c r="R47" s="373" t="s">
        <v>189</v>
      </c>
      <c r="S47" s="374"/>
      <c r="T47" s="375"/>
      <c r="U47" s="355">
        <v>1.0796059164639464</v>
      </c>
      <c r="V47" s="355"/>
      <c r="W47" s="355"/>
      <c r="X47" s="356">
        <v>30.923490275610305</v>
      </c>
      <c r="Y47" s="356"/>
      <c r="Z47" s="356"/>
      <c r="AA47" s="357">
        <v>0.2915509</v>
      </c>
      <c r="AB47" s="357"/>
      <c r="AC47" s="357"/>
      <c r="AD47" s="379">
        <v>8.74061E-2</v>
      </c>
      <c r="AE47" s="380"/>
      <c r="AF47" s="381"/>
      <c r="AG47" s="357" t="s">
        <v>189</v>
      </c>
      <c r="AH47" s="357"/>
      <c r="AI47" s="357"/>
      <c r="AJ47" s="357">
        <v>-6.0746488486546679E-2</v>
      </c>
      <c r="AK47" s="357"/>
      <c r="AL47" s="357"/>
      <c r="AM47" s="420">
        <v>-1.1577633459360697E-2</v>
      </c>
      <c r="AN47" s="420"/>
      <c r="AO47" s="420"/>
      <c r="AP47" s="357">
        <v>-4.9642419447417816E-3</v>
      </c>
      <c r="AQ47" s="357"/>
      <c r="AR47" s="357"/>
      <c r="AS47" s="134">
        <v>-2.1002277904328017</v>
      </c>
      <c r="AT47" s="134">
        <v>5.0718935781049739</v>
      </c>
      <c r="AU47" s="174">
        <v>11.565328761769361</v>
      </c>
      <c r="AV47" s="329" t="s">
        <v>189</v>
      </c>
      <c r="AW47" s="184" t="s">
        <v>189</v>
      </c>
      <c r="AX47" s="355">
        <v>45.331866609000102</v>
      </c>
      <c r="AY47" s="355"/>
      <c r="AZ47" s="355"/>
      <c r="BA47" s="355">
        <v>45.331866609000002</v>
      </c>
      <c r="BB47" s="355"/>
      <c r="BC47" s="355"/>
      <c r="BD47" s="358" t="s">
        <v>189</v>
      </c>
      <c r="BE47" s="359"/>
      <c r="BF47" s="360"/>
      <c r="BG47" s="355">
        <v>3.2540281823989665</v>
      </c>
      <c r="BH47" s="355"/>
      <c r="BI47" s="355"/>
      <c r="BJ47" s="355" t="s">
        <v>189</v>
      </c>
      <c r="BK47" s="355"/>
      <c r="BL47" s="355"/>
      <c r="BM47" s="355">
        <v>1.6284752886086862</v>
      </c>
      <c r="BN47" s="355"/>
      <c r="BO47" s="355"/>
      <c r="BP47" s="355" t="s">
        <v>189</v>
      </c>
      <c r="BQ47" s="355"/>
      <c r="BR47" s="358"/>
      <c r="BS47" s="136">
        <v>0.99241156282947096</v>
      </c>
      <c r="BT47" s="134">
        <v>0.40681342469908022</v>
      </c>
      <c r="BU47" s="137">
        <v>-1.620995550680826E-2</v>
      </c>
      <c r="BV47" s="179">
        <v>42643</v>
      </c>
      <c r="BW47" s="264" t="s">
        <v>72</v>
      </c>
      <c r="BX47" s="33"/>
      <c r="BY47" s="116"/>
      <c r="BZ47" s="100"/>
      <c r="CA47" s="100"/>
      <c r="CB47" s="100"/>
      <c r="CC47" s="71"/>
      <c r="CD47" s="116"/>
      <c r="CE47" s="118"/>
      <c r="CF47" s="116"/>
      <c r="CG47" s="116"/>
      <c r="CN47" s="36"/>
    </row>
    <row r="48" spans="1:140" s="35" customFormat="1" ht="11.25" customHeight="1" x14ac:dyDescent="0.2">
      <c r="A48" s="337" t="s">
        <v>40</v>
      </c>
      <c r="B48" s="337"/>
      <c r="C48" s="338">
        <v>4.0999999999999996</v>
      </c>
      <c r="D48" s="338"/>
      <c r="E48" s="146">
        <v>10</v>
      </c>
      <c r="F48" s="339">
        <v>0.31778530729900001</v>
      </c>
      <c r="G48" s="340"/>
      <c r="H48" s="341"/>
      <c r="I48" s="342">
        <v>2.97564394570899</v>
      </c>
      <c r="J48" s="342"/>
      <c r="K48" s="342"/>
      <c r="L48" s="343">
        <v>0.98346999999999996</v>
      </c>
      <c r="M48" s="344"/>
      <c r="N48" s="345"/>
      <c r="O48" s="343">
        <v>0.81847999999999999</v>
      </c>
      <c r="P48" s="344"/>
      <c r="Q48" s="345"/>
      <c r="R48" s="346" t="s">
        <v>189</v>
      </c>
      <c r="S48" s="347"/>
      <c r="T48" s="348"/>
      <c r="U48" s="342">
        <v>0.70040334038216778</v>
      </c>
      <c r="V48" s="342"/>
      <c r="W48" s="342"/>
      <c r="X48" s="349">
        <v>59.343984324762843</v>
      </c>
      <c r="Y48" s="349"/>
      <c r="Z48" s="349"/>
      <c r="AA48" s="350">
        <v>0.13844670000000001</v>
      </c>
      <c r="AB48" s="350"/>
      <c r="AC48" s="350"/>
      <c r="AD48" s="439" t="s">
        <v>189</v>
      </c>
      <c r="AE48" s="440"/>
      <c r="AF48" s="441"/>
      <c r="AG48" s="350" t="s">
        <v>189</v>
      </c>
      <c r="AH48" s="350"/>
      <c r="AI48" s="350"/>
      <c r="AJ48" s="350">
        <v>-1.4341510915578302E-3</v>
      </c>
      <c r="AK48" s="350"/>
      <c r="AL48" s="350"/>
      <c r="AM48" s="350">
        <v>-0.22217597635330419</v>
      </c>
      <c r="AN48" s="350"/>
      <c r="AO48" s="350"/>
      <c r="AP48" s="350">
        <v>-8.7965379785833228E-2</v>
      </c>
      <c r="AQ48" s="350"/>
      <c r="AR48" s="350"/>
      <c r="AS48" s="129">
        <v>-3.8031919224818824</v>
      </c>
      <c r="AT48" s="129">
        <v>-1.9262301378201621</v>
      </c>
      <c r="AU48" s="175">
        <v>4.4756371942476294</v>
      </c>
      <c r="AV48" s="328">
        <v>402.80139130434776</v>
      </c>
      <c r="AW48" s="183">
        <v>73.559195319958661</v>
      </c>
      <c r="AX48" s="342">
        <v>11.2107906777062</v>
      </c>
      <c r="AY48" s="342"/>
      <c r="AZ48" s="342"/>
      <c r="BA48" s="342">
        <v>6.3798989241000008</v>
      </c>
      <c r="BB48" s="342"/>
      <c r="BC48" s="342"/>
      <c r="BD48" s="343" t="s">
        <v>189</v>
      </c>
      <c r="BE48" s="344"/>
      <c r="BF48" s="345"/>
      <c r="BG48" s="342">
        <v>3.9134626007517896</v>
      </c>
      <c r="BH48" s="342"/>
      <c r="BI48" s="342"/>
      <c r="BJ48" s="342" t="s">
        <v>189</v>
      </c>
      <c r="BK48" s="342"/>
      <c r="BL48" s="342"/>
      <c r="BM48" s="342">
        <v>2.7271949347322328</v>
      </c>
      <c r="BN48" s="342"/>
      <c r="BO48" s="342"/>
      <c r="BP48" s="342" t="s">
        <v>189</v>
      </c>
      <c r="BQ48" s="342"/>
      <c r="BR48" s="343"/>
      <c r="BS48" s="131">
        <v>0.930881053575211</v>
      </c>
      <c r="BT48" s="129">
        <v>0.51171182071048704</v>
      </c>
      <c r="BU48" s="132">
        <v>1.5207853928885795E-2</v>
      </c>
      <c r="BV48" s="180">
        <v>43100</v>
      </c>
      <c r="BW48" s="263" t="s">
        <v>40</v>
      </c>
      <c r="BX48" s="33"/>
      <c r="BY48" s="116"/>
      <c r="BZ48" s="100"/>
      <c r="CA48" s="100"/>
      <c r="CB48" s="100"/>
      <c r="CC48" s="45"/>
      <c r="CD48" s="116"/>
      <c r="CE48" s="118"/>
      <c r="CF48" s="116"/>
      <c r="CG48" s="116"/>
      <c r="CN48" s="36"/>
    </row>
    <row r="49" spans="1:92" s="35" customFormat="1" ht="11.25" customHeight="1" x14ac:dyDescent="0.2">
      <c r="A49" s="455" t="s">
        <v>88</v>
      </c>
      <c r="B49" s="455"/>
      <c r="C49" s="454">
        <v>383</v>
      </c>
      <c r="D49" s="454"/>
      <c r="E49" s="144">
        <v>1</v>
      </c>
      <c r="F49" s="370">
        <v>8.5578030302000008E-2</v>
      </c>
      <c r="G49" s="371"/>
      <c r="H49" s="372"/>
      <c r="I49" s="355">
        <v>1.2530484133561963</v>
      </c>
      <c r="J49" s="355"/>
      <c r="K49" s="355"/>
      <c r="L49" s="358">
        <v>2.57681</v>
      </c>
      <c r="M49" s="359"/>
      <c r="N49" s="360"/>
      <c r="O49" s="358">
        <v>1.4765200000000001</v>
      </c>
      <c r="P49" s="359"/>
      <c r="Q49" s="360"/>
      <c r="R49" s="373">
        <v>2.6465348512083101E-2</v>
      </c>
      <c r="S49" s="374"/>
      <c r="T49" s="375"/>
      <c r="U49" s="355">
        <v>0.5257786461164633</v>
      </c>
      <c r="V49" s="355"/>
      <c r="W49" s="355"/>
      <c r="X49" s="356">
        <v>170.34418449383247</v>
      </c>
      <c r="Y49" s="356"/>
      <c r="Z49" s="356"/>
      <c r="AA49" s="357">
        <v>0.30319479999999999</v>
      </c>
      <c r="AB49" s="357"/>
      <c r="AC49" s="357"/>
      <c r="AD49" s="379">
        <v>6.3267000000000004E-2</v>
      </c>
      <c r="AE49" s="380"/>
      <c r="AF49" s="381"/>
      <c r="AG49" s="357">
        <v>9.7563226814706625E-2</v>
      </c>
      <c r="AH49" s="357"/>
      <c r="AI49" s="357"/>
      <c r="AJ49" s="357">
        <v>-7.6553701811501645E-2</v>
      </c>
      <c r="AK49" s="357"/>
      <c r="AL49" s="357"/>
      <c r="AM49" s="357">
        <v>5.1405962403036888E-2</v>
      </c>
      <c r="AN49" s="357"/>
      <c r="AO49" s="357"/>
      <c r="AP49" s="357">
        <v>4.1037330734993285E-2</v>
      </c>
      <c r="AQ49" s="357"/>
      <c r="AR49" s="357"/>
      <c r="AS49" s="134">
        <v>1.7073128278033209</v>
      </c>
      <c r="AT49" s="134">
        <v>7.2419529614979368</v>
      </c>
      <c r="AU49" s="174">
        <v>16.092011594817361</v>
      </c>
      <c r="AV49" s="329">
        <v>17529.880919947824</v>
      </c>
      <c r="AW49" s="184">
        <v>0.19046254709524402</v>
      </c>
      <c r="AX49" s="355">
        <v>440.497650803613</v>
      </c>
      <c r="AY49" s="355"/>
      <c r="AZ49" s="355"/>
      <c r="BA49" s="355">
        <v>456.51359216100002</v>
      </c>
      <c r="BB49" s="355"/>
      <c r="BC49" s="355"/>
      <c r="BD49" s="358">
        <v>22.747724657350499</v>
      </c>
      <c r="BE49" s="359"/>
      <c r="BF49" s="360"/>
      <c r="BG49" s="355">
        <v>2.2443097515534705</v>
      </c>
      <c r="BH49" s="355"/>
      <c r="BI49" s="355"/>
      <c r="BJ49" s="355">
        <v>42.038921130338828</v>
      </c>
      <c r="BK49" s="355"/>
      <c r="BL49" s="355"/>
      <c r="BM49" s="355">
        <v>4.1411430741729429</v>
      </c>
      <c r="BN49" s="355"/>
      <c r="BO49" s="355"/>
      <c r="BP49" s="355">
        <v>274.39504363050003</v>
      </c>
      <c r="BQ49" s="355"/>
      <c r="BR49" s="358"/>
      <c r="BS49" s="136">
        <v>0.50952864912993001</v>
      </c>
      <c r="BT49" s="134">
        <v>0.41375363617661559</v>
      </c>
      <c r="BU49" s="137">
        <v>-2.1972334296409657E-2</v>
      </c>
      <c r="BV49" s="179">
        <v>43190</v>
      </c>
      <c r="BW49" s="264" t="s">
        <v>88</v>
      </c>
      <c r="BX49" s="33"/>
      <c r="BY49" s="116"/>
      <c r="BZ49" s="100"/>
      <c r="CA49" s="100"/>
      <c r="CB49" s="100"/>
      <c r="CC49" s="45"/>
      <c r="CD49" s="116"/>
      <c r="CE49" s="118"/>
      <c r="CF49" s="116"/>
      <c r="CG49" s="116"/>
      <c r="CN49" s="36"/>
    </row>
    <row r="50" spans="1:92" s="35" customFormat="1" ht="11.25" customHeight="1" x14ac:dyDescent="0.2">
      <c r="A50" s="337" t="s">
        <v>86</v>
      </c>
      <c r="B50" s="337"/>
      <c r="C50" s="338">
        <v>78.3</v>
      </c>
      <c r="D50" s="338"/>
      <c r="E50" s="146">
        <v>1</v>
      </c>
      <c r="F50" s="339">
        <v>0.83866008024600003</v>
      </c>
      <c r="G50" s="340"/>
      <c r="H50" s="341"/>
      <c r="I50" s="342">
        <v>2.569143880629337</v>
      </c>
      <c r="J50" s="342"/>
      <c r="K50" s="342"/>
      <c r="L50" s="343">
        <v>1.5530600000000001</v>
      </c>
      <c r="M50" s="344"/>
      <c r="N50" s="345"/>
      <c r="O50" s="343">
        <v>1.5300499999999999</v>
      </c>
      <c r="P50" s="344"/>
      <c r="Q50" s="345"/>
      <c r="R50" s="346">
        <v>0</v>
      </c>
      <c r="S50" s="347"/>
      <c r="T50" s="348"/>
      <c r="U50" s="342">
        <v>1.3503202004991741</v>
      </c>
      <c r="V50" s="342"/>
      <c r="W50" s="342"/>
      <c r="X50" s="349" t="s">
        <v>189</v>
      </c>
      <c r="Y50" s="349"/>
      <c r="Z50" s="349"/>
      <c r="AA50" s="350">
        <v>0.46730240000000001</v>
      </c>
      <c r="AB50" s="350"/>
      <c r="AC50" s="350"/>
      <c r="AD50" s="439">
        <v>0.38508980000000004</v>
      </c>
      <c r="AE50" s="440"/>
      <c r="AF50" s="441"/>
      <c r="AG50" s="350">
        <v>0.22808374590827346</v>
      </c>
      <c r="AH50" s="350"/>
      <c r="AI50" s="350"/>
      <c r="AJ50" s="350">
        <v>0.14560014057705836</v>
      </c>
      <c r="AK50" s="350"/>
      <c r="AL50" s="350"/>
      <c r="AM50" s="350">
        <v>0.66974485094076075</v>
      </c>
      <c r="AN50" s="350"/>
      <c r="AO50" s="350"/>
      <c r="AP50" s="350">
        <v>0.24638910578325249</v>
      </c>
      <c r="AQ50" s="350"/>
      <c r="AR50" s="350"/>
      <c r="AS50" s="129">
        <v>1.1097256102180268</v>
      </c>
      <c r="AT50" s="129">
        <v>1.0415695195696408</v>
      </c>
      <c r="AU50" s="175">
        <v>3.4239323333003608</v>
      </c>
      <c r="AV50" s="328">
        <v>1433.6652173913044</v>
      </c>
      <c r="AW50" s="183">
        <v>0.47372305438324064</v>
      </c>
      <c r="AX50" s="342">
        <v>29.690985095099997</v>
      </c>
      <c r="AY50" s="342"/>
      <c r="AZ50" s="342"/>
      <c r="BA50" s="342">
        <v>60.302191979699998</v>
      </c>
      <c r="BB50" s="342"/>
      <c r="BC50" s="342"/>
      <c r="BD50" s="343">
        <v>5.8064714086435201</v>
      </c>
      <c r="BE50" s="344"/>
      <c r="BF50" s="345"/>
      <c r="BG50" s="342">
        <v>11.335782621749022</v>
      </c>
      <c r="BH50" s="342"/>
      <c r="BI50" s="342"/>
      <c r="BJ50" s="342">
        <v>22.271081441618762</v>
      </c>
      <c r="BK50" s="342"/>
      <c r="BL50" s="342"/>
      <c r="BM50" s="342">
        <v>4.9239688440623501</v>
      </c>
      <c r="BN50" s="342"/>
      <c r="BO50" s="342"/>
      <c r="BP50" s="342">
        <v>0</v>
      </c>
      <c r="BQ50" s="342"/>
      <c r="BR50" s="343"/>
      <c r="BS50" s="131">
        <v>1.1125823057150801</v>
      </c>
      <c r="BT50" s="129">
        <v>0.49037739970643157</v>
      </c>
      <c r="BU50" s="132">
        <v>0.23248569754263904</v>
      </c>
      <c r="BV50" s="180">
        <v>43100</v>
      </c>
      <c r="BW50" s="263" t="s">
        <v>86</v>
      </c>
      <c r="BX50" s="33"/>
      <c r="BY50" s="116"/>
      <c r="BZ50" s="100"/>
      <c r="CA50" s="100"/>
      <c r="CB50" s="100"/>
      <c r="CC50" s="45"/>
      <c r="CD50" s="116"/>
      <c r="CE50" s="118"/>
      <c r="CF50" s="116"/>
      <c r="CG50" s="116"/>
      <c r="CN50" s="36"/>
    </row>
    <row r="51" spans="1:92" s="35" customFormat="1" ht="11.25" customHeight="1" x14ac:dyDescent="0.2">
      <c r="A51" s="455" t="s">
        <v>85</v>
      </c>
      <c r="B51" s="455"/>
      <c r="C51" s="454">
        <v>56.7</v>
      </c>
      <c r="D51" s="454"/>
      <c r="E51" s="144">
        <v>1</v>
      </c>
      <c r="F51" s="370">
        <v>0.27126986165600003</v>
      </c>
      <c r="G51" s="371"/>
      <c r="H51" s="372"/>
      <c r="I51" s="355">
        <v>1.6667227120242101</v>
      </c>
      <c r="J51" s="355"/>
      <c r="K51" s="355"/>
      <c r="L51" s="358">
        <v>2.0950600000000001</v>
      </c>
      <c r="M51" s="359"/>
      <c r="N51" s="360"/>
      <c r="O51" s="358">
        <v>2.04792</v>
      </c>
      <c r="P51" s="359"/>
      <c r="Q51" s="360"/>
      <c r="R51" s="373">
        <v>1.5159420289855098E-2</v>
      </c>
      <c r="S51" s="374"/>
      <c r="T51" s="375"/>
      <c r="U51" s="355">
        <v>0.48253736239845713</v>
      </c>
      <c r="V51" s="355"/>
      <c r="W51" s="355"/>
      <c r="X51" s="356">
        <v>-5.4394623153805099</v>
      </c>
      <c r="Y51" s="356"/>
      <c r="Z51" s="356"/>
      <c r="AA51" s="357">
        <v>0.56158710000000001</v>
      </c>
      <c r="AB51" s="357"/>
      <c r="AC51" s="357"/>
      <c r="AD51" s="379">
        <v>0.40717100000000001</v>
      </c>
      <c r="AE51" s="380"/>
      <c r="AF51" s="381"/>
      <c r="AG51" s="357">
        <v>0.21723768836077739</v>
      </c>
      <c r="AH51" s="357"/>
      <c r="AI51" s="357"/>
      <c r="AJ51" s="357">
        <v>3.5342773005071125E-2</v>
      </c>
      <c r="AK51" s="357"/>
      <c r="AL51" s="357"/>
      <c r="AM51" s="357">
        <v>0.20642994599535869</v>
      </c>
      <c r="AN51" s="357"/>
      <c r="AO51" s="357"/>
      <c r="AP51" s="357">
        <v>8.3860330934404731E-2</v>
      </c>
      <c r="AQ51" s="357"/>
      <c r="AR51" s="357"/>
      <c r="AS51" s="282">
        <v>12.495336611836526</v>
      </c>
      <c r="AT51" s="282">
        <v>-1.4034360417807368</v>
      </c>
      <c r="AU51" s="279">
        <v>5.1967682172970537</v>
      </c>
      <c r="AV51" s="329">
        <v>344.0205217391304</v>
      </c>
      <c r="AW51" s="284">
        <v>0.78613740559451495</v>
      </c>
      <c r="AX51" s="355">
        <v>8.327216420800001</v>
      </c>
      <c r="AY51" s="355"/>
      <c r="AZ51" s="355"/>
      <c r="BA51" s="355">
        <v>24.253441432799999</v>
      </c>
      <c r="BB51" s="355"/>
      <c r="BC51" s="355"/>
      <c r="BD51" s="358">
        <v>4.59158021949907</v>
      </c>
      <c r="BE51" s="359"/>
      <c r="BF51" s="360"/>
      <c r="BG51" s="355">
        <v>1.6130848062787118</v>
      </c>
      <c r="BH51" s="355"/>
      <c r="BI51" s="355"/>
      <c r="BJ51" s="355">
        <v>29.592284085927222</v>
      </c>
      <c r="BK51" s="355"/>
      <c r="BL51" s="355"/>
      <c r="BM51" s="355">
        <v>6.2585068606210239</v>
      </c>
      <c r="BN51" s="355"/>
      <c r="BO51" s="355"/>
      <c r="BP51" s="355">
        <v>19.6997389476</v>
      </c>
      <c r="BQ51" s="355"/>
      <c r="BR51" s="358"/>
      <c r="BS51" s="280">
        <v>1.16219417719445</v>
      </c>
      <c r="BT51" s="282">
        <v>0.51462533310518788</v>
      </c>
      <c r="BU51" s="284">
        <v>0.20520509929519726</v>
      </c>
      <c r="BV51" s="179">
        <v>43100</v>
      </c>
      <c r="BW51" s="264" t="s">
        <v>85</v>
      </c>
      <c r="BX51" s="33"/>
      <c r="BY51" s="116"/>
      <c r="BZ51" s="100"/>
      <c r="CA51" s="100"/>
      <c r="CB51" s="100"/>
      <c r="CC51" s="45"/>
      <c r="CD51" s="116"/>
      <c r="CE51" s="118"/>
      <c r="CF51" s="116"/>
      <c r="CG51" s="116"/>
      <c r="CN51" s="36"/>
    </row>
    <row r="52" spans="1:92" s="35" customFormat="1" ht="11.25" customHeight="1" x14ac:dyDescent="0.2">
      <c r="A52" s="337" t="s">
        <v>35</v>
      </c>
      <c r="B52" s="337"/>
      <c r="C52" s="338">
        <v>1.2</v>
      </c>
      <c r="D52" s="338"/>
      <c r="E52" s="146">
        <v>1</v>
      </c>
      <c r="F52" s="339" t="s">
        <v>189</v>
      </c>
      <c r="G52" s="340"/>
      <c r="H52" s="341"/>
      <c r="I52" s="342">
        <v>-0.53738575472064742</v>
      </c>
      <c r="J52" s="342"/>
      <c r="K52" s="342"/>
      <c r="L52" s="343">
        <v>0.10389</v>
      </c>
      <c r="M52" s="344"/>
      <c r="N52" s="345"/>
      <c r="O52" s="343">
        <v>6.4089999999999994E-2</v>
      </c>
      <c r="P52" s="344"/>
      <c r="Q52" s="345"/>
      <c r="R52" s="346">
        <v>0</v>
      </c>
      <c r="S52" s="347"/>
      <c r="T52" s="348"/>
      <c r="U52" s="342">
        <v>0.26455369726244332</v>
      </c>
      <c r="V52" s="342"/>
      <c r="W52" s="342"/>
      <c r="X52" s="349">
        <v>258.99059723288417</v>
      </c>
      <c r="Y52" s="349"/>
      <c r="Z52" s="349"/>
      <c r="AA52" s="350">
        <v>0.59452879999999997</v>
      </c>
      <c r="AB52" s="350"/>
      <c r="AC52" s="350"/>
      <c r="AD52" s="439" t="s">
        <v>189</v>
      </c>
      <c r="AE52" s="440"/>
      <c r="AF52" s="441"/>
      <c r="AG52" s="350" t="s">
        <v>189</v>
      </c>
      <c r="AH52" s="350"/>
      <c r="AI52" s="350"/>
      <c r="AJ52" s="350" t="s">
        <v>189</v>
      </c>
      <c r="AK52" s="350"/>
      <c r="AL52" s="350"/>
      <c r="AM52" s="350" t="s">
        <v>189</v>
      </c>
      <c r="AN52" s="350"/>
      <c r="AO52" s="350"/>
      <c r="AP52" s="350">
        <v>-0.10075234011842082</v>
      </c>
      <c r="AQ52" s="350"/>
      <c r="AR52" s="350"/>
      <c r="AS52" s="278" t="s">
        <v>189</v>
      </c>
      <c r="AT52" s="278">
        <v>8.0177579238443736E-2</v>
      </c>
      <c r="AU52" s="281">
        <v>2.6541472245301563</v>
      </c>
      <c r="AV52" s="328">
        <v>144.93607869565218</v>
      </c>
      <c r="AW52" s="278">
        <v>0.34680300856558249</v>
      </c>
      <c r="AX52" s="342">
        <v>0.54626832926000002</v>
      </c>
      <c r="AY52" s="342"/>
      <c r="AZ52" s="342"/>
      <c r="BA52" s="342">
        <v>0.54061989925999998</v>
      </c>
      <c r="BB52" s="342"/>
      <c r="BC52" s="342"/>
      <c r="BD52" s="343" t="s">
        <v>189</v>
      </c>
      <c r="BE52" s="344"/>
      <c r="BF52" s="345"/>
      <c r="BG52" s="342" t="s">
        <v>189</v>
      </c>
      <c r="BH52" s="342"/>
      <c r="BI52" s="342"/>
      <c r="BJ52" s="342" t="s">
        <v>189</v>
      </c>
      <c r="BK52" s="342"/>
      <c r="BL52" s="342"/>
      <c r="BM52" s="342">
        <v>9.5298884670383064</v>
      </c>
      <c r="BN52" s="342"/>
      <c r="BO52" s="342"/>
      <c r="BP52" s="342" t="s">
        <v>189</v>
      </c>
      <c r="BQ52" s="342"/>
      <c r="BR52" s="343"/>
      <c r="BS52" s="277">
        <v>0.62821428880383601</v>
      </c>
      <c r="BT52" s="278">
        <v>0.52625542476270293</v>
      </c>
      <c r="BU52" s="283">
        <v>-0.12213757232653166</v>
      </c>
      <c r="BV52" s="180">
        <v>43100</v>
      </c>
      <c r="BW52" s="263" t="s">
        <v>35</v>
      </c>
      <c r="BX52" s="33"/>
      <c r="BY52" s="116"/>
      <c r="BZ52" s="100"/>
      <c r="CA52" s="100"/>
      <c r="CB52" s="100"/>
      <c r="CC52" s="45"/>
      <c r="CD52" s="116"/>
      <c r="CE52" s="118"/>
      <c r="CF52" s="116"/>
      <c r="CG52" s="116"/>
      <c r="CN52" s="36"/>
    </row>
    <row r="53" spans="1:92" s="35" customFormat="1" ht="11.25" customHeight="1" x14ac:dyDescent="0.2">
      <c r="A53" s="455" t="s">
        <v>253</v>
      </c>
      <c r="B53" s="455"/>
      <c r="C53" s="454">
        <v>7.3500000000000005</v>
      </c>
      <c r="D53" s="454"/>
      <c r="E53" s="144">
        <v>0.1</v>
      </c>
      <c r="F53" s="370" t="s">
        <v>189</v>
      </c>
      <c r="G53" s="371"/>
      <c r="H53" s="372"/>
      <c r="I53" s="355" t="s">
        <v>189</v>
      </c>
      <c r="J53" s="355"/>
      <c r="K53" s="355"/>
      <c r="L53" s="358" t="s">
        <v>189</v>
      </c>
      <c r="M53" s="359"/>
      <c r="N53" s="360"/>
      <c r="O53" s="358" t="s">
        <v>189</v>
      </c>
      <c r="P53" s="359"/>
      <c r="Q53" s="360"/>
      <c r="R53" s="373">
        <v>0</v>
      </c>
      <c r="S53" s="374"/>
      <c r="T53" s="375"/>
      <c r="U53" s="355" t="s">
        <v>189</v>
      </c>
      <c r="V53" s="355"/>
      <c r="W53" s="355"/>
      <c r="X53" s="356" t="s">
        <v>189</v>
      </c>
      <c r="Y53" s="356"/>
      <c r="Z53" s="356"/>
      <c r="AA53" s="357">
        <v>0.25961519999999999</v>
      </c>
      <c r="AB53" s="357"/>
      <c r="AC53" s="357"/>
      <c r="AD53" s="379">
        <v>0.1556737</v>
      </c>
      <c r="AE53" s="380"/>
      <c r="AF53" s="381"/>
      <c r="AG53" s="357" t="s">
        <v>189</v>
      </c>
      <c r="AH53" s="357"/>
      <c r="AI53" s="357"/>
      <c r="AJ53" s="357" t="s">
        <v>189</v>
      </c>
      <c r="AK53" s="357"/>
      <c r="AL53" s="357"/>
      <c r="AM53" s="357">
        <v>0</v>
      </c>
      <c r="AN53" s="357"/>
      <c r="AO53" s="357"/>
      <c r="AP53" s="357" t="s">
        <v>189</v>
      </c>
      <c r="AQ53" s="357"/>
      <c r="AR53" s="357"/>
      <c r="AS53" s="282" t="s">
        <v>189</v>
      </c>
      <c r="AT53" s="282">
        <v>-6.5876581469756559</v>
      </c>
      <c r="AU53" s="279">
        <v>14.504116845457022</v>
      </c>
      <c r="AV53" s="329" t="s">
        <v>189</v>
      </c>
      <c r="AW53" s="284" t="s">
        <v>189</v>
      </c>
      <c r="AX53" s="355">
        <v>21.197759697751302</v>
      </c>
      <c r="AY53" s="355"/>
      <c r="AZ53" s="355"/>
      <c r="BA53" s="355">
        <v>4.29325996748</v>
      </c>
      <c r="BB53" s="355"/>
      <c r="BC53" s="355"/>
      <c r="BD53" s="358">
        <v>29.240089621175098</v>
      </c>
      <c r="BE53" s="359"/>
      <c r="BF53" s="360"/>
      <c r="BG53" s="355" t="s">
        <v>189</v>
      </c>
      <c r="BH53" s="355"/>
      <c r="BI53" s="355"/>
      <c r="BJ53" s="355" t="s">
        <v>189</v>
      </c>
      <c r="BK53" s="355"/>
      <c r="BL53" s="355"/>
      <c r="BM53" s="355" t="s">
        <v>189</v>
      </c>
      <c r="BN53" s="355"/>
      <c r="BO53" s="355"/>
      <c r="BP53" s="355" t="s">
        <v>189</v>
      </c>
      <c r="BQ53" s="355"/>
      <c r="BR53" s="358"/>
      <c r="BS53" s="280">
        <v>1.0003681537247</v>
      </c>
      <c r="BT53" s="282" t="s">
        <v>189</v>
      </c>
      <c r="BU53" s="284" t="s">
        <v>189</v>
      </c>
      <c r="BV53" s="179" t="s">
        <v>189</v>
      </c>
      <c r="BW53" s="264" t="s">
        <v>253</v>
      </c>
      <c r="BX53" s="33"/>
      <c r="BY53" s="116"/>
      <c r="BZ53" s="100"/>
      <c r="CA53" s="100"/>
      <c r="CB53" s="100"/>
      <c r="CC53" s="45"/>
      <c r="CD53" s="116"/>
      <c r="CE53" s="116"/>
      <c r="CF53" s="116"/>
      <c r="CG53" s="116"/>
      <c r="CN53" s="36"/>
    </row>
    <row r="54" spans="1:92" s="37" customFormat="1" ht="11.25" customHeight="1" x14ac:dyDescent="0.2">
      <c r="A54" s="402" t="s">
        <v>252</v>
      </c>
      <c r="B54" s="403"/>
      <c r="C54" s="404"/>
      <c r="D54" s="405"/>
      <c r="E54" s="274"/>
      <c r="F54" s="385">
        <v>0.67047995750812506</v>
      </c>
      <c r="G54" s="386"/>
      <c r="H54" s="387"/>
      <c r="I54" s="385">
        <v>2.4605126664915531</v>
      </c>
      <c r="J54" s="386"/>
      <c r="K54" s="387"/>
      <c r="L54" s="385">
        <v>1.4061172727272728</v>
      </c>
      <c r="M54" s="386"/>
      <c r="N54" s="387"/>
      <c r="O54" s="385">
        <v>1.168730909090909</v>
      </c>
      <c r="P54" s="386"/>
      <c r="Q54" s="387"/>
      <c r="R54" s="436">
        <v>1.2825669022018196E-2</v>
      </c>
      <c r="S54" s="437"/>
      <c r="T54" s="438"/>
      <c r="U54" s="385">
        <v>0.76762920693511738</v>
      </c>
      <c r="V54" s="386"/>
      <c r="W54" s="387"/>
      <c r="X54" s="385">
        <v>73.26615021802111</v>
      </c>
      <c r="Y54" s="386"/>
      <c r="Z54" s="387"/>
      <c r="AA54" s="361">
        <v>0.33741684999999999</v>
      </c>
      <c r="AB54" s="362"/>
      <c r="AC54" s="363"/>
      <c r="AD54" s="361">
        <v>0.20936123333333334</v>
      </c>
      <c r="AE54" s="362"/>
      <c r="AF54" s="363"/>
      <c r="AG54" s="361">
        <v>0.16797036091613829</v>
      </c>
      <c r="AH54" s="362"/>
      <c r="AI54" s="363"/>
      <c r="AJ54" s="361">
        <v>2.199260452770738E-2</v>
      </c>
      <c r="AK54" s="362"/>
      <c r="AL54" s="363"/>
      <c r="AM54" s="361">
        <v>0.13598863629523869</v>
      </c>
      <c r="AN54" s="362"/>
      <c r="AO54" s="363"/>
      <c r="AP54" s="361">
        <v>4.2108566145846044E-2</v>
      </c>
      <c r="AQ54" s="362"/>
      <c r="AR54" s="363"/>
      <c r="AS54" s="276">
        <v>1.4472377786443558</v>
      </c>
      <c r="AT54" s="276">
        <v>0.40168010784045677</v>
      </c>
      <c r="AU54" s="275">
        <v>5.9875788473057439</v>
      </c>
      <c r="AV54" s="331">
        <v>46420.450601087134</v>
      </c>
      <c r="AW54" s="276">
        <v>9.9998712705722497</v>
      </c>
      <c r="AX54" s="421">
        <v>446.39388066371021</v>
      </c>
      <c r="AY54" s="422"/>
      <c r="AZ54" s="423"/>
      <c r="BA54" s="421">
        <v>249.94573139892</v>
      </c>
      <c r="BB54" s="422"/>
      <c r="BC54" s="423"/>
      <c r="BD54" s="421">
        <v>11.357400601427953</v>
      </c>
      <c r="BE54" s="422"/>
      <c r="BF54" s="423"/>
      <c r="BG54" s="421">
        <v>2.9177361263619503</v>
      </c>
      <c r="BH54" s="422"/>
      <c r="BI54" s="423"/>
      <c r="BJ54" s="421">
        <v>23.680760632477298</v>
      </c>
      <c r="BK54" s="422"/>
      <c r="BL54" s="423"/>
      <c r="BM54" s="421">
        <v>3.0757428890941552</v>
      </c>
      <c r="BN54" s="422"/>
      <c r="BO54" s="423"/>
      <c r="BP54" s="421">
        <v>64.116966900840012</v>
      </c>
      <c r="BQ54" s="422"/>
      <c r="BR54" s="423"/>
      <c r="BS54" s="273">
        <v>0.86797540449079902</v>
      </c>
      <c r="BT54" s="276">
        <v>0.46556749253971325</v>
      </c>
      <c r="BU54" s="276">
        <v>3.3871800485915773E-2</v>
      </c>
      <c r="BV54" s="234"/>
      <c r="BW54" s="234"/>
      <c r="BX54" s="33"/>
      <c r="BY54" s="100"/>
      <c r="BZ54" s="100"/>
      <c r="CA54" s="100"/>
      <c r="CB54" s="100"/>
      <c r="CD54" s="100"/>
      <c r="CE54" s="118"/>
      <c r="CF54" s="116"/>
      <c r="CG54" s="116"/>
      <c r="CN54" s="38"/>
    </row>
    <row r="55" spans="1:92" s="66" customFormat="1" ht="11.25" customHeight="1" x14ac:dyDescent="0.2">
      <c r="A55" s="181" t="s">
        <v>207</v>
      </c>
      <c r="B55" s="181"/>
      <c r="C55" s="181"/>
      <c r="D55" s="181"/>
      <c r="E55" s="181"/>
      <c r="F55" s="181"/>
      <c r="G55" s="181"/>
      <c r="H55" s="181"/>
      <c r="I55" s="181"/>
      <c r="J55" s="181"/>
      <c r="K55" s="181"/>
      <c r="L55" s="181"/>
      <c r="M55" s="181"/>
      <c r="N55" s="181"/>
      <c r="O55" s="181"/>
      <c r="P55" s="181"/>
      <c r="Q55" s="181"/>
      <c r="R55" s="181"/>
      <c r="S55" s="181"/>
      <c r="T55" s="181"/>
      <c r="U55" s="181"/>
      <c r="V55" s="181"/>
      <c r="W55" s="181"/>
      <c r="X55" s="181"/>
      <c r="Y55" s="181"/>
      <c r="Z55" s="181"/>
      <c r="AA55" s="181"/>
      <c r="AB55" s="181"/>
      <c r="AC55" s="181"/>
      <c r="AD55" s="181"/>
      <c r="AE55" s="181"/>
      <c r="AF55" s="181"/>
      <c r="AG55" s="181"/>
      <c r="AH55" s="181"/>
      <c r="AI55" s="181"/>
      <c r="AJ55" s="181"/>
      <c r="AK55" s="181"/>
      <c r="AL55" s="181"/>
      <c r="AM55" s="181"/>
      <c r="AN55" s="181"/>
      <c r="AO55" s="181"/>
      <c r="AP55" s="181"/>
      <c r="AQ55" s="181"/>
      <c r="AR55" s="181"/>
      <c r="AS55" s="181"/>
      <c r="AT55" s="181"/>
      <c r="AU55" s="181"/>
      <c r="AV55" s="181"/>
      <c r="AW55" s="237"/>
      <c r="AX55" s="181"/>
      <c r="AY55" s="181"/>
      <c r="AZ55" s="181"/>
      <c r="BA55" s="181"/>
      <c r="BB55" s="181"/>
      <c r="BC55" s="181"/>
      <c r="BD55" s="181"/>
      <c r="BE55" s="181"/>
      <c r="BF55" s="181"/>
      <c r="BG55" s="181"/>
      <c r="BH55" s="181"/>
      <c r="BI55" s="181"/>
      <c r="BJ55" s="181"/>
      <c r="BK55" s="181"/>
      <c r="BL55" s="181"/>
      <c r="BM55" s="181"/>
      <c r="BN55" s="181"/>
      <c r="BO55" s="181"/>
      <c r="BP55" s="181"/>
      <c r="BQ55" s="181"/>
      <c r="BR55" s="181"/>
      <c r="BS55" s="181"/>
      <c r="BT55" s="181"/>
      <c r="BU55" s="181"/>
      <c r="BV55" s="182"/>
      <c r="BW55" s="262"/>
      <c r="BX55" s="62"/>
      <c r="BY55" s="115"/>
      <c r="BZ55" s="101"/>
      <c r="CA55" s="102"/>
      <c r="CB55" s="106"/>
      <c r="CD55" s="115"/>
      <c r="CE55" s="109"/>
      <c r="CF55" s="100"/>
      <c r="CG55" s="100"/>
      <c r="CN55" s="67"/>
    </row>
    <row r="56" spans="1:92" s="35" customFormat="1" ht="11.25" customHeight="1" x14ac:dyDescent="0.2">
      <c r="A56" s="546" t="s">
        <v>30</v>
      </c>
      <c r="B56" s="337"/>
      <c r="C56" s="338">
        <v>54.9</v>
      </c>
      <c r="D56" s="338"/>
      <c r="E56" s="147">
        <v>1</v>
      </c>
      <c r="F56" s="417">
        <v>0.87937503574299991</v>
      </c>
      <c r="G56" s="417"/>
      <c r="H56" s="417"/>
      <c r="I56" s="342">
        <v>8.7485188642561305</v>
      </c>
      <c r="J56" s="342"/>
      <c r="K56" s="342"/>
      <c r="L56" s="343" t="s">
        <v>189</v>
      </c>
      <c r="M56" s="344"/>
      <c r="N56" s="345"/>
      <c r="O56" s="343" t="s">
        <v>189</v>
      </c>
      <c r="P56" s="344"/>
      <c r="Q56" s="345"/>
      <c r="R56" s="346" t="s">
        <v>189</v>
      </c>
      <c r="S56" s="347"/>
      <c r="T56" s="348"/>
      <c r="U56" s="342" t="s">
        <v>189</v>
      </c>
      <c r="V56" s="342"/>
      <c r="W56" s="342"/>
      <c r="X56" s="349" t="s">
        <v>189</v>
      </c>
      <c r="Y56" s="349"/>
      <c r="Z56" s="349"/>
      <c r="AA56" s="350" t="s">
        <v>189</v>
      </c>
      <c r="AB56" s="350"/>
      <c r="AC56" s="350"/>
      <c r="AD56" s="439" t="s">
        <v>189</v>
      </c>
      <c r="AE56" s="440"/>
      <c r="AF56" s="441"/>
      <c r="AG56" s="350" t="s">
        <v>189</v>
      </c>
      <c r="AH56" s="350"/>
      <c r="AI56" s="350"/>
      <c r="AJ56" s="350" t="s">
        <v>189</v>
      </c>
      <c r="AK56" s="350"/>
      <c r="AL56" s="350"/>
      <c r="AM56" s="350">
        <v>0.35149401548983222</v>
      </c>
      <c r="AN56" s="350"/>
      <c r="AO56" s="350"/>
      <c r="AP56" s="350">
        <v>4.0886397142818831E-2</v>
      </c>
      <c r="AQ56" s="350"/>
      <c r="AR56" s="350"/>
      <c r="AS56" s="129">
        <v>0.21099886844366389</v>
      </c>
      <c r="AT56" s="129">
        <v>0.34231445897457558</v>
      </c>
      <c r="AU56" s="175">
        <v>0.27661379060006563</v>
      </c>
      <c r="AV56" s="328" t="s">
        <v>189</v>
      </c>
      <c r="AW56" s="183" t="s">
        <v>189</v>
      </c>
      <c r="AX56" s="342">
        <v>33.898083045</v>
      </c>
      <c r="AY56" s="342"/>
      <c r="AZ56" s="342"/>
      <c r="BA56" s="342">
        <v>39.552988034999998</v>
      </c>
      <c r="BB56" s="342"/>
      <c r="BC56" s="342"/>
      <c r="BD56" s="343">
        <v>4.3702948884641604</v>
      </c>
      <c r="BE56" s="344"/>
      <c r="BF56" s="345"/>
      <c r="BG56" s="342">
        <v>3.575460475027544</v>
      </c>
      <c r="BH56" s="342"/>
      <c r="BI56" s="342"/>
      <c r="BJ56" s="342">
        <v>11.105132634525837</v>
      </c>
      <c r="BK56" s="342"/>
      <c r="BL56" s="342"/>
      <c r="BM56" s="342" t="s">
        <v>189</v>
      </c>
      <c r="BN56" s="342"/>
      <c r="BO56" s="342"/>
      <c r="BP56" s="342">
        <v>10.4298214014</v>
      </c>
      <c r="BQ56" s="342"/>
      <c r="BR56" s="343"/>
      <c r="BS56" s="131">
        <v>0.925392629915334</v>
      </c>
      <c r="BT56" s="129">
        <v>0.44155916779810639</v>
      </c>
      <c r="BU56" s="132">
        <v>0.16984858972959693</v>
      </c>
      <c r="BV56" s="180">
        <v>43100</v>
      </c>
      <c r="BW56" s="263" t="s">
        <v>30</v>
      </c>
      <c r="BX56" s="33"/>
      <c r="BY56" s="116"/>
      <c r="BZ56" s="100"/>
      <c r="CA56" s="100"/>
      <c r="CB56" s="100"/>
      <c r="CC56" s="45"/>
      <c r="CD56" s="119"/>
      <c r="CE56" s="116"/>
      <c r="CF56" s="118"/>
      <c r="CG56" s="116"/>
      <c r="CN56" s="36"/>
    </row>
    <row r="57" spans="1:92" s="35" customFormat="1" ht="11.25" customHeight="1" x14ac:dyDescent="0.2">
      <c r="A57" s="455" t="s">
        <v>28</v>
      </c>
      <c r="B57" s="455"/>
      <c r="C57" s="454">
        <v>201.5</v>
      </c>
      <c r="D57" s="454"/>
      <c r="E57" s="148">
        <v>1</v>
      </c>
      <c r="F57" s="507">
        <v>0.33658877546799998</v>
      </c>
      <c r="G57" s="507"/>
      <c r="H57" s="507"/>
      <c r="I57" s="355">
        <v>5.1991620695188496</v>
      </c>
      <c r="J57" s="355"/>
      <c r="K57" s="355"/>
      <c r="L57" s="358" t="s">
        <v>189</v>
      </c>
      <c r="M57" s="359"/>
      <c r="N57" s="360"/>
      <c r="O57" s="358" t="s">
        <v>189</v>
      </c>
      <c r="P57" s="359"/>
      <c r="Q57" s="360"/>
      <c r="R57" s="373">
        <v>6.95142378542714E-3</v>
      </c>
      <c r="S57" s="374"/>
      <c r="T57" s="375"/>
      <c r="U57" s="355" t="s">
        <v>189</v>
      </c>
      <c r="V57" s="355"/>
      <c r="W57" s="355"/>
      <c r="X57" s="356" t="s">
        <v>189</v>
      </c>
      <c r="Y57" s="356"/>
      <c r="Z57" s="356"/>
      <c r="AA57" s="357" t="s">
        <v>189</v>
      </c>
      <c r="AB57" s="357"/>
      <c r="AC57" s="357"/>
      <c r="AD57" s="379" t="s">
        <v>189</v>
      </c>
      <c r="AE57" s="380"/>
      <c r="AF57" s="381"/>
      <c r="AG57" s="357" t="s">
        <v>189</v>
      </c>
      <c r="AH57" s="357"/>
      <c r="AI57" s="357"/>
      <c r="AJ57" s="357" t="s">
        <v>189</v>
      </c>
      <c r="AK57" s="357"/>
      <c r="AL57" s="357"/>
      <c r="AM57" s="420">
        <v>0.2627204990562686</v>
      </c>
      <c r="AN57" s="420"/>
      <c r="AO57" s="420"/>
      <c r="AP57" s="357">
        <v>4.7819673311808128E-2</v>
      </c>
      <c r="AQ57" s="357"/>
      <c r="AR57" s="357"/>
      <c r="AS57" s="134">
        <v>0.77651949296063782</v>
      </c>
      <c r="AT57" s="134">
        <v>0.44815433500241814</v>
      </c>
      <c r="AU57" s="174">
        <v>0.11877595403933269</v>
      </c>
      <c r="AV57" s="329" t="s">
        <v>189</v>
      </c>
      <c r="AW57" s="184" t="s">
        <v>189</v>
      </c>
      <c r="AX57" s="355">
        <v>113.353628179</v>
      </c>
      <c r="AY57" s="355"/>
      <c r="AZ57" s="355"/>
      <c r="BA57" s="355">
        <v>133.26294117899999</v>
      </c>
      <c r="BB57" s="355"/>
      <c r="BC57" s="355"/>
      <c r="BD57" s="358">
        <v>5.8481198846840403</v>
      </c>
      <c r="BE57" s="359"/>
      <c r="BF57" s="360"/>
      <c r="BG57" s="355">
        <v>3.1543988330212773</v>
      </c>
      <c r="BH57" s="355"/>
      <c r="BI57" s="355"/>
      <c r="BJ57" s="355">
        <v>14.371546192931053</v>
      </c>
      <c r="BK57" s="355"/>
      <c r="BL57" s="355"/>
      <c r="BM57" s="355" t="s">
        <v>189</v>
      </c>
      <c r="BN57" s="355"/>
      <c r="BO57" s="355"/>
      <c r="BP57" s="355">
        <v>12.779409511400001</v>
      </c>
      <c r="BQ57" s="355"/>
      <c r="BR57" s="358"/>
      <c r="BS57" s="136">
        <v>1.0709670389733399</v>
      </c>
      <c r="BT57" s="134">
        <v>0.47269499739683574</v>
      </c>
      <c r="BU57" s="137">
        <v>0.16882179246170881</v>
      </c>
      <c r="BV57" s="179">
        <v>43100</v>
      </c>
      <c r="BW57" s="264" t="s">
        <v>28</v>
      </c>
      <c r="BX57" s="33"/>
      <c r="BY57" s="116"/>
      <c r="BZ57" s="100"/>
      <c r="CA57" s="100"/>
      <c r="CB57" s="100"/>
      <c r="CC57" s="45"/>
      <c r="CD57" s="116"/>
      <c r="CE57" s="116"/>
      <c r="CF57" s="118"/>
      <c r="CG57" s="116"/>
      <c r="CN57" s="36"/>
    </row>
    <row r="58" spans="1:92" s="35" customFormat="1" ht="11.25" customHeight="1" x14ac:dyDescent="0.2">
      <c r="A58" s="337" t="s">
        <v>27</v>
      </c>
      <c r="B58" s="337"/>
      <c r="C58" s="338">
        <v>16.649999999999999</v>
      </c>
      <c r="D58" s="338"/>
      <c r="E58" s="147">
        <v>1</v>
      </c>
      <c r="F58" s="417">
        <v>6.4053996570999999E-2</v>
      </c>
      <c r="G58" s="417"/>
      <c r="H58" s="417"/>
      <c r="I58" s="342">
        <v>8.5320737323212992</v>
      </c>
      <c r="J58" s="342"/>
      <c r="K58" s="342"/>
      <c r="L58" s="343" t="s">
        <v>189</v>
      </c>
      <c r="M58" s="344"/>
      <c r="N58" s="345"/>
      <c r="O58" s="343" t="s">
        <v>189</v>
      </c>
      <c r="P58" s="344"/>
      <c r="Q58" s="345"/>
      <c r="R58" s="346">
        <v>8.1799590981595106E-3</v>
      </c>
      <c r="S58" s="347"/>
      <c r="T58" s="348"/>
      <c r="U58" s="342" t="s">
        <v>189</v>
      </c>
      <c r="V58" s="342"/>
      <c r="W58" s="342"/>
      <c r="X58" s="349" t="s">
        <v>189</v>
      </c>
      <c r="Y58" s="349"/>
      <c r="Z58" s="349"/>
      <c r="AA58" s="350" t="s">
        <v>189</v>
      </c>
      <c r="AB58" s="350"/>
      <c r="AC58" s="350"/>
      <c r="AD58" s="439" t="s">
        <v>189</v>
      </c>
      <c r="AE58" s="440"/>
      <c r="AF58" s="441"/>
      <c r="AG58" s="350" t="s">
        <v>189</v>
      </c>
      <c r="AH58" s="350"/>
      <c r="AI58" s="350"/>
      <c r="AJ58" s="350" t="s">
        <v>189</v>
      </c>
      <c r="AK58" s="350"/>
      <c r="AL58" s="350"/>
      <c r="AM58" s="350">
        <v>0.22921215393088001</v>
      </c>
      <c r="AN58" s="350"/>
      <c r="AO58" s="350"/>
      <c r="AP58" s="350">
        <v>2.7460222276390334E-2</v>
      </c>
      <c r="AQ58" s="350"/>
      <c r="AR58" s="350"/>
      <c r="AS58" s="290">
        <v>2.5366579883392615</v>
      </c>
      <c r="AT58" s="290">
        <v>0.532435048414029</v>
      </c>
      <c r="AU58" s="293">
        <v>0.77313562929157897</v>
      </c>
      <c r="AV58" s="328" t="s">
        <v>189</v>
      </c>
      <c r="AW58" s="290" t="s">
        <v>189</v>
      </c>
      <c r="AX58" s="342">
        <v>7.8816778395000098</v>
      </c>
      <c r="AY58" s="342"/>
      <c r="AZ58" s="342"/>
      <c r="BA58" s="342">
        <v>24.45</v>
      </c>
      <c r="BB58" s="342"/>
      <c r="BC58" s="342"/>
      <c r="BD58" s="343">
        <v>2.0284796177335802</v>
      </c>
      <c r="BE58" s="344"/>
      <c r="BF58" s="345"/>
      <c r="BG58" s="342">
        <v>3.4385757855071275</v>
      </c>
      <c r="BH58" s="342"/>
      <c r="BI58" s="342"/>
      <c r="BJ58" s="342">
        <v>15.290800723672731</v>
      </c>
      <c r="BK58" s="342"/>
      <c r="BL58" s="342"/>
      <c r="BM58" s="342" t="s">
        <v>189</v>
      </c>
      <c r="BN58" s="342"/>
      <c r="BO58" s="342"/>
      <c r="BP58" s="342">
        <v>15.977289605899999</v>
      </c>
      <c r="BQ58" s="342"/>
      <c r="BR58" s="343"/>
      <c r="BS58" s="289">
        <v>1.16051731858909</v>
      </c>
      <c r="BT58" s="290">
        <v>0.53253001822391632</v>
      </c>
      <c r="BU58" s="291">
        <v>6.1112053260725441E-2</v>
      </c>
      <c r="BV58" s="180">
        <v>43100</v>
      </c>
      <c r="BW58" s="263" t="s">
        <v>27</v>
      </c>
      <c r="BX58" s="33"/>
      <c r="BY58" s="116"/>
      <c r="BZ58" s="100"/>
      <c r="CA58" s="100"/>
      <c r="CB58" s="100"/>
      <c r="CC58" s="45"/>
      <c r="CD58" s="116"/>
      <c r="CE58" s="116"/>
      <c r="CF58" s="118"/>
      <c r="CG58" s="116"/>
      <c r="CN58" s="36"/>
    </row>
    <row r="59" spans="1:92" s="35" customFormat="1" ht="11.25" customHeight="1" x14ac:dyDescent="0.2">
      <c r="A59" s="455" t="s">
        <v>209</v>
      </c>
      <c r="B59" s="455"/>
      <c r="C59" s="454">
        <v>114.95</v>
      </c>
      <c r="D59" s="454"/>
      <c r="E59" s="148">
        <v>1</v>
      </c>
      <c r="F59" s="507">
        <v>0.81900458494099992</v>
      </c>
      <c r="G59" s="507"/>
      <c r="H59" s="507"/>
      <c r="I59" s="355">
        <v>6.2048551588472822</v>
      </c>
      <c r="J59" s="355"/>
      <c r="K59" s="355"/>
      <c r="L59" s="358" t="s">
        <v>189</v>
      </c>
      <c r="M59" s="359"/>
      <c r="N59" s="360"/>
      <c r="O59" s="358" t="s">
        <v>189</v>
      </c>
      <c r="P59" s="359"/>
      <c r="Q59" s="360"/>
      <c r="R59" s="373">
        <v>1.6243126675687899E-3</v>
      </c>
      <c r="S59" s="374"/>
      <c r="T59" s="375"/>
      <c r="U59" s="355" t="s">
        <v>189</v>
      </c>
      <c r="V59" s="355"/>
      <c r="W59" s="355"/>
      <c r="X59" s="356" t="s">
        <v>189</v>
      </c>
      <c r="Y59" s="356"/>
      <c r="Z59" s="356"/>
      <c r="AA59" s="357" t="s">
        <v>189</v>
      </c>
      <c r="AB59" s="357"/>
      <c r="AC59" s="357"/>
      <c r="AD59" s="379" t="s">
        <v>189</v>
      </c>
      <c r="AE59" s="380"/>
      <c r="AF59" s="381"/>
      <c r="AG59" s="357" t="s">
        <v>189</v>
      </c>
      <c r="AH59" s="357"/>
      <c r="AI59" s="357"/>
      <c r="AJ59" s="357" t="s">
        <v>189</v>
      </c>
      <c r="AK59" s="357"/>
      <c r="AL59" s="357"/>
      <c r="AM59" s="420">
        <v>0.21863913130325641</v>
      </c>
      <c r="AN59" s="420"/>
      <c r="AO59" s="420"/>
      <c r="AP59" s="357">
        <v>3.2000118070617777E-2</v>
      </c>
      <c r="AQ59" s="357"/>
      <c r="AR59" s="357"/>
      <c r="AS59" s="287">
        <v>0.59953030473828584</v>
      </c>
      <c r="AT59" s="287">
        <v>0.65855040114497643</v>
      </c>
      <c r="AU59" s="285">
        <v>0.45887993371235269</v>
      </c>
      <c r="AV59" s="329" t="s">
        <v>189</v>
      </c>
      <c r="AW59" s="288" t="s">
        <v>189</v>
      </c>
      <c r="AX59" s="355">
        <v>24.800048253900101</v>
      </c>
      <c r="AY59" s="355"/>
      <c r="AZ59" s="355"/>
      <c r="BA59" s="355">
        <v>50.627669393699996</v>
      </c>
      <c r="BB59" s="355"/>
      <c r="BC59" s="355"/>
      <c r="BD59" s="358">
        <v>5.98963366793103</v>
      </c>
      <c r="BE59" s="359"/>
      <c r="BF59" s="360"/>
      <c r="BG59" s="355">
        <v>3.4161035634913386</v>
      </c>
      <c r="BH59" s="355"/>
      <c r="BI59" s="355"/>
      <c r="BJ59" s="355">
        <v>19.5695882299865</v>
      </c>
      <c r="BK59" s="355"/>
      <c r="BL59" s="355"/>
      <c r="BM59" s="355" t="s">
        <v>189</v>
      </c>
      <c r="BN59" s="355"/>
      <c r="BO59" s="355"/>
      <c r="BP59" s="355">
        <v>15.343734232099999</v>
      </c>
      <c r="BQ59" s="355"/>
      <c r="BR59" s="358"/>
      <c r="BS59" s="286">
        <v>1.12368398474663</v>
      </c>
      <c r="BT59" s="287" t="s">
        <v>189</v>
      </c>
      <c r="BU59" s="288" t="s">
        <v>189</v>
      </c>
      <c r="BV59" s="179">
        <v>43100</v>
      </c>
      <c r="BW59" s="264" t="s">
        <v>209</v>
      </c>
      <c r="BX59" s="33"/>
      <c r="BY59" s="116"/>
      <c r="BZ59" s="100"/>
      <c r="CA59" s="100"/>
      <c r="CB59" s="100"/>
      <c r="CC59" s="45"/>
      <c r="CD59" s="116"/>
      <c r="CE59" s="116"/>
      <c r="CF59" s="118"/>
      <c r="CG59" s="116"/>
      <c r="CN59" s="36"/>
    </row>
    <row r="60" spans="1:92" s="35" customFormat="1" ht="11.25" customHeight="1" x14ac:dyDescent="0.2">
      <c r="A60" s="337" t="s">
        <v>51</v>
      </c>
      <c r="B60" s="337"/>
      <c r="C60" s="338">
        <v>155</v>
      </c>
      <c r="D60" s="338"/>
      <c r="E60" s="147">
        <v>1</v>
      </c>
      <c r="F60" s="417">
        <v>0.10946518038000001</v>
      </c>
      <c r="G60" s="417"/>
      <c r="H60" s="417"/>
      <c r="I60" s="342">
        <v>8.1195843371019674</v>
      </c>
      <c r="J60" s="342"/>
      <c r="K60" s="342"/>
      <c r="L60" s="343" t="s">
        <v>189</v>
      </c>
      <c r="M60" s="344"/>
      <c r="N60" s="345"/>
      <c r="O60" s="343" t="s">
        <v>189</v>
      </c>
      <c r="P60" s="344"/>
      <c r="Q60" s="345"/>
      <c r="R60" s="346">
        <v>1.07412538670285E-2</v>
      </c>
      <c r="S60" s="347"/>
      <c r="T60" s="348"/>
      <c r="U60" s="342" t="s">
        <v>189</v>
      </c>
      <c r="V60" s="342"/>
      <c r="W60" s="342"/>
      <c r="X60" s="349" t="s">
        <v>189</v>
      </c>
      <c r="Y60" s="349"/>
      <c r="Z60" s="349"/>
      <c r="AA60" s="350" t="s">
        <v>189</v>
      </c>
      <c r="AB60" s="350"/>
      <c r="AC60" s="350"/>
      <c r="AD60" s="439" t="s">
        <v>189</v>
      </c>
      <c r="AE60" s="440"/>
      <c r="AF60" s="441"/>
      <c r="AG60" s="350" t="s">
        <v>189</v>
      </c>
      <c r="AH60" s="350"/>
      <c r="AI60" s="350"/>
      <c r="AJ60" s="350" t="s">
        <v>189</v>
      </c>
      <c r="AK60" s="350"/>
      <c r="AL60" s="350"/>
      <c r="AM60" s="350">
        <v>0.16184978669415703</v>
      </c>
      <c r="AN60" s="350"/>
      <c r="AO60" s="350"/>
      <c r="AP60" s="350">
        <v>1.715871937347305E-2</v>
      </c>
      <c r="AQ60" s="350"/>
      <c r="AR60" s="350"/>
      <c r="AS60" s="290">
        <v>0.21615349572580866</v>
      </c>
      <c r="AT60" s="290">
        <v>0.31707575914450759</v>
      </c>
      <c r="AU60" s="293">
        <v>0.27364967958342684</v>
      </c>
      <c r="AV60" s="328" t="s">
        <v>189</v>
      </c>
      <c r="AW60" s="290" t="s">
        <v>189</v>
      </c>
      <c r="AX60" s="342">
        <v>70.244276641200003</v>
      </c>
      <c r="AY60" s="342"/>
      <c r="AZ60" s="342"/>
      <c r="BA60" s="342">
        <v>90.306030641199996</v>
      </c>
      <c r="BB60" s="342"/>
      <c r="BC60" s="342"/>
      <c r="BD60" s="343">
        <v>9.0278201148252393</v>
      </c>
      <c r="BE60" s="344"/>
      <c r="BF60" s="345"/>
      <c r="BG60" s="342">
        <v>3.7268728272946685</v>
      </c>
      <c r="BH60" s="342"/>
      <c r="BI60" s="342"/>
      <c r="BJ60" s="342">
        <v>28.700939909490195</v>
      </c>
      <c r="BK60" s="342"/>
      <c r="BL60" s="342"/>
      <c r="BM60" s="342" t="s">
        <v>189</v>
      </c>
      <c r="BN60" s="342"/>
      <c r="BO60" s="342"/>
      <c r="BP60" s="342">
        <v>45.522934687899998</v>
      </c>
      <c r="BQ60" s="342"/>
      <c r="BR60" s="343"/>
      <c r="BS60" s="289">
        <v>0.97830298785168301</v>
      </c>
      <c r="BT60" s="290">
        <v>0.47760793154027587</v>
      </c>
      <c r="BU60" s="291">
        <v>0.16938787947974698</v>
      </c>
      <c r="BV60" s="180">
        <v>43008</v>
      </c>
      <c r="BW60" s="263" t="s">
        <v>51</v>
      </c>
      <c r="BX60" s="33"/>
      <c r="BY60" s="116"/>
      <c r="BZ60" s="100"/>
      <c r="CA60" s="100"/>
      <c r="CB60" s="100"/>
      <c r="CC60" s="45"/>
      <c r="CD60" s="116"/>
      <c r="CE60" s="116"/>
      <c r="CF60" s="118"/>
      <c r="CG60" s="116"/>
      <c r="CN60" s="36"/>
    </row>
    <row r="61" spans="1:92" s="35" customFormat="1" ht="11.25" customHeight="1" x14ac:dyDescent="0.2">
      <c r="A61" s="455" t="s">
        <v>264</v>
      </c>
      <c r="B61" s="455"/>
      <c r="C61" s="454">
        <v>7.18</v>
      </c>
      <c r="D61" s="454"/>
      <c r="E61" s="148">
        <v>1</v>
      </c>
      <c r="F61" s="507">
        <v>0</v>
      </c>
      <c r="G61" s="507"/>
      <c r="H61" s="507"/>
      <c r="I61" s="355">
        <v>5.4465282775727664</v>
      </c>
      <c r="J61" s="355"/>
      <c r="K61" s="355"/>
      <c r="L61" s="358">
        <v>1.1602399999999999</v>
      </c>
      <c r="M61" s="359"/>
      <c r="N61" s="360"/>
      <c r="O61" s="358">
        <v>1.1602399999999999</v>
      </c>
      <c r="P61" s="359"/>
      <c r="Q61" s="360"/>
      <c r="R61" s="373">
        <v>0</v>
      </c>
      <c r="S61" s="374"/>
      <c r="T61" s="375"/>
      <c r="U61" s="355">
        <v>0.18702260118733435</v>
      </c>
      <c r="V61" s="355"/>
      <c r="W61" s="355"/>
      <c r="X61" s="356" t="s">
        <v>189</v>
      </c>
      <c r="Y61" s="356"/>
      <c r="Z61" s="356"/>
      <c r="AA61" s="357">
        <v>0.97767939999999998</v>
      </c>
      <c r="AB61" s="357"/>
      <c r="AC61" s="357"/>
      <c r="AD61" s="379">
        <v>0.57028120000000004</v>
      </c>
      <c r="AE61" s="380"/>
      <c r="AF61" s="381"/>
      <c r="AG61" s="357">
        <v>0.40898263058741419</v>
      </c>
      <c r="AH61" s="357"/>
      <c r="AI61" s="357"/>
      <c r="AJ61" s="357">
        <v>0.6162256271467671</v>
      </c>
      <c r="AK61" s="357"/>
      <c r="AL61" s="357"/>
      <c r="AM61" s="420">
        <v>0.38346986167287372</v>
      </c>
      <c r="AN61" s="420"/>
      <c r="AO61" s="420"/>
      <c r="AP61" s="357">
        <v>6.1191274758985482E-2</v>
      </c>
      <c r="AQ61" s="357"/>
      <c r="AR61" s="357"/>
      <c r="AS61" s="287">
        <v>1.3768764651497651</v>
      </c>
      <c r="AT61" s="287">
        <v>0.68194314701275671</v>
      </c>
      <c r="AU61" s="285">
        <v>0.92532448485427288</v>
      </c>
      <c r="AV61" s="329">
        <v>190.2732147826087</v>
      </c>
      <c r="AW61" s="288">
        <v>0.43912927413395958</v>
      </c>
      <c r="AX61" s="355">
        <v>-0.371467739999989</v>
      </c>
      <c r="AY61" s="355"/>
      <c r="AZ61" s="355"/>
      <c r="BA61" s="355">
        <v>6.00058647</v>
      </c>
      <c r="BB61" s="355"/>
      <c r="BC61" s="355"/>
      <c r="BD61" s="358">
        <v>-0.62858610112489999</v>
      </c>
      <c r="BE61" s="359"/>
      <c r="BF61" s="360"/>
      <c r="BG61" s="355">
        <v>3.8540130217840476</v>
      </c>
      <c r="BH61" s="355"/>
      <c r="BI61" s="355"/>
      <c r="BJ61" s="355">
        <v>12.033048986911128</v>
      </c>
      <c r="BK61" s="355"/>
      <c r="BL61" s="355"/>
      <c r="BM61" s="355">
        <v>4.7706513456378081</v>
      </c>
      <c r="BN61" s="355"/>
      <c r="BO61" s="355"/>
      <c r="BP61" s="355">
        <v>0</v>
      </c>
      <c r="BQ61" s="355"/>
      <c r="BR61" s="358"/>
      <c r="BS61" s="286">
        <v>0.94889275847190002</v>
      </c>
      <c r="BT61" s="287">
        <v>0.36406117596984794</v>
      </c>
      <c r="BU61" s="288">
        <v>6.921015786508411E-2</v>
      </c>
      <c r="BV61" s="179">
        <v>43100</v>
      </c>
      <c r="BW61" s="264" t="s">
        <v>264</v>
      </c>
      <c r="BX61" s="33"/>
      <c r="BY61" s="116"/>
      <c r="BZ61" s="100"/>
      <c r="CA61" s="100"/>
      <c r="CB61" s="100"/>
      <c r="CC61" s="45"/>
      <c r="CD61" s="116"/>
      <c r="CE61" s="116"/>
      <c r="CF61" s="118"/>
      <c r="CG61" s="116"/>
      <c r="CN61" s="36"/>
    </row>
    <row r="62" spans="1:92" s="35" customFormat="1" ht="11.25" customHeight="1" x14ac:dyDescent="0.2">
      <c r="A62" s="337" t="s">
        <v>31</v>
      </c>
      <c r="B62" s="337"/>
      <c r="C62" s="338">
        <v>52.5</v>
      </c>
      <c r="D62" s="338"/>
      <c r="E62" s="147">
        <v>1</v>
      </c>
      <c r="F62" s="417">
        <v>1.816028868731</v>
      </c>
      <c r="G62" s="417"/>
      <c r="H62" s="417"/>
      <c r="I62" s="342">
        <v>13.121425207699179</v>
      </c>
      <c r="J62" s="342"/>
      <c r="K62" s="342"/>
      <c r="L62" s="343" t="s">
        <v>189</v>
      </c>
      <c r="M62" s="344"/>
      <c r="N62" s="345"/>
      <c r="O62" s="343" t="s">
        <v>189</v>
      </c>
      <c r="P62" s="344"/>
      <c r="Q62" s="345"/>
      <c r="R62" s="346">
        <v>1.3903846153846201E-2</v>
      </c>
      <c r="S62" s="347"/>
      <c r="T62" s="348"/>
      <c r="U62" s="342" t="s">
        <v>189</v>
      </c>
      <c r="V62" s="342"/>
      <c r="W62" s="342"/>
      <c r="X62" s="349" t="s">
        <v>189</v>
      </c>
      <c r="Y62" s="349"/>
      <c r="Z62" s="349"/>
      <c r="AA62" s="350" t="s">
        <v>189</v>
      </c>
      <c r="AB62" s="350"/>
      <c r="AC62" s="350"/>
      <c r="AD62" s="439" t="s">
        <v>189</v>
      </c>
      <c r="AE62" s="440"/>
      <c r="AF62" s="441"/>
      <c r="AG62" s="350" t="s">
        <v>189</v>
      </c>
      <c r="AH62" s="350"/>
      <c r="AI62" s="350"/>
      <c r="AJ62" s="350" t="s">
        <v>189</v>
      </c>
      <c r="AK62" s="350"/>
      <c r="AL62" s="350"/>
      <c r="AM62" s="350">
        <v>0.23287796797612387</v>
      </c>
      <c r="AN62" s="350"/>
      <c r="AO62" s="350"/>
      <c r="AP62" s="350">
        <v>1.9521838560184527E-2</v>
      </c>
      <c r="AQ62" s="350"/>
      <c r="AR62" s="350"/>
      <c r="AS62" s="290">
        <v>-4.7343666501403536E-2</v>
      </c>
      <c r="AT62" s="290">
        <v>0.2395332461183631</v>
      </c>
      <c r="AU62" s="293">
        <v>0.12621584070722022</v>
      </c>
      <c r="AV62" s="328" t="s">
        <v>189</v>
      </c>
      <c r="AW62" s="290" t="s">
        <v>189</v>
      </c>
      <c r="AX62" s="342">
        <v>71.240219853000198</v>
      </c>
      <c r="AY62" s="342"/>
      <c r="AZ62" s="342"/>
      <c r="BA62" s="342">
        <v>109.031393329</v>
      </c>
      <c r="BB62" s="342"/>
      <c r="BC62" s="342"/>
      <c r="BD62" s="343">
        <v>5.7000881056955199</v>
      </c>
      <c r="BE62" s="344"/>
      <c r="BF62" s="345"/>
      <c r="BG62" s="342">
        <v>4.9417480515289514</v>
      </c>
      <c r="BH62" s="342"/>
      <c r="BI62" s="342"/>
      <c r="BJ62" s="342">
        <v>20.223810165835243</v>
      </c>
      <c r="BK62" s="342"/>
      <c r="BL62" s="342"/>
      <c r="BM62" s="342" t="s">
        <v>189</v>
      </c>
      <c r="BN62" s="342"/>
      <c r="BO62" s="342"/>
      <c r="BP62" s="342">
        <v>25.900078383299999</v>
      </c>
      <c r="BQ62" s="342"/>
      <c r="BR62" s="343"/>
      <c r="BS62" s="289">
        <v>0.72806186294455</v>
      </c>
      <c r="BT62" s="290">
        <v>0.43916983557455308</v>
      </c>
      <c r="BU62" s="291">
        <v>0.17746831183994627</v>
      </c>
      <c r="BV62" s="180">
        <v>43100</v>
      </c>
      <c r="BW62" s="263" t="s">
        <v>31</v>
      </c>
      <c r="BX62" s="33"/>
      <c r="BY62" s="116"/>
      <c r="BZ62" s="100"/>
      <c r="CA62" s="100"/>
      <c r="CB62" s="100"/>
      <c r="CC62" s="45"/>
      <c r="CD62" s="119"/>
      <c r="CE62" s="116"/>
      <c r="CF62" s="118"/>
      <c r="CG62" s="116"/>
      <c r="CN62" s="36"/>
    </row>
    <row r="63" spans="1:92" s="35" customFormat="1" ht="11.25" customHeight="1" x14ac:dyDescent="0.2">
      <c r="A63" s="366" t="s">
        <v>55</v>
      </c>
      <c r="B63" s="367"/>
      <c r="C63" s="368">
        <v>130.5</v>
      </c>
      <c r="D63" s="369"/>
      <c r="E63" s="148">
        <v>1</v>
      </c>
      <c r="F63" s="370">
        <v>0.72087834455000011</v>
      </c>
      <c r="G63" s="371"/>
      <c r="H63" s="372"/>
      <c r="I63" s="358">
        <v>8.6771193350548508</v>
      </c>
      <c r="J63" s="359"/>
      <c r="K63" s="360"/>
      <c r="L63" s="358" t="s">
        <v>189</v>
      </c>
      <c r="M63" s="359"/>
      <c r="N63" s="360"/>
      <c r="O63" s="358" t="s">
        <v>189</v>
      </c>
      <c r="P63" s="359"/>
      <c r="Q63" s="360"/>
      <c r="R63" s="373">
        <v>1.4945572145749E-3</v>
      </c>
      <c r="S63" s="374"/>
      <c r="T63" s="375"/>
      <c r="U63" s="358" t="s">
        <v>189</v>
      </c>
      <c r="V63" s="359"/>
      <c r="W63" s="360"/>
      <c r="X63" s="376" t="s">
        <v>189</v>
      </c>
      <c r="Y63" s="377"/>
      <c r="Z63" s="378"/>
      <c r="AA63" s="379" t="s">
        <v>189</v>
      </c>
      <c r="AB63" s="380"/>
      <c r="AC63" s="381"/>
      <c r="AD63" s="379" t="s">
        <v>189</v>
      </c>
      <c r="AE63" s="380"/>
      <c r="AF63" s="381"/>
      <c r="AG63" s="379" t="s">
        <v>189</v>
      </c>
      <c r="AH63" s="380"/>
      <c r="AI63" s="381"/>
      <c r="AJ63" s="379" t="s">
        <v>189</v>
      </c>
      <c r="AK63" s="380"/>
      <c r="AL63" s="381"/>
      <c r="AM63" s="382">
        <v>0.27765498483846301</v>
      </c>
      <c r="AN63" s="383"/>
      <c r="AO63" s="384"/>
      <c r="AP63" s="379">
        <v>2.9625983705938195E-2</v>
      </c>
      <c r="AQ63" s="380"/>
      <c r="AR63" s="381"/>
      <c r="AS63" s="287">
        <v>0.51018963925426464</v>
      </c>
      <c r="AT63" s="287">
        <v>0.45321782008758882</v>
      </c>
      <c r="AU63" s="285">
        <v>0.21370488875665247</v>
      </c>
      <c r="AV63" s="329" t="s">
        <v>189</v>
      </c>
      <c r="AW63" s="288" t="s">
        <v>189</v>
      </c>
      <c r="AX63" s="358">
        <v>111.56169095449999</v>
      </c>
      <c r="AY63" s="359"/>
      <c r="AZ63" s="360"/>
      <c r="BA63" s="358">
        <v>176.2054277295</v>
      </c>
      <c r="BB63" s="359"/>
      <c r="BC63" s="360"/>
      <c r="BD63" s="358">
        <v>5.40578829015754</v>
      </c>
      <c r="BE63" s="359"/>
      <c r="BF63" s="360"/>
      <c r="BG63" s="358">
        <v>4.9325233046009167</v>
      </c>
      <c r="BH63" s="359"/>
      <c r="BI63" s="360"/>
      <c r="BJ63" s="358">
        <v>20.981753109881684</v>
      </c>
      <c r="BK63" s="359"/>
      <c r="BL63" s="360"/>
      <c r="BM63" s="358" t="s">
        <v>189</v>
      </c>
      <c r="BN63" s="359"/>
      <c r="BO63" s="360"/>
      <c r="BP63" s="358">
        <v>15.4004900909</v>
      </c>
      <c r="BQ63" s="359"/>
      <c r="BR63" s="360"/>
      <c r="BS63" s="286">
        <v>1.14242087614174</v>
      </c>
      <c r="BT63" s="287">
        <v>0.47308911229172512</v>
      </c>
      <c r="BU63" s="288">
        <v>0.25037175734133443</v>
      </c>
      <c r="BV63" s="179">
        <v>43100</v>
      </c>
      <c r="BW63" s="264" t="s">
        <v>55</v>
      </c>
      <c r="BX63" s="33"/>
      <c r="BY63" s="116"/>
      <c r="BZ63" s="100"/>
      <c r="CA63" s="100"/>
      <c r="CB63" s="100"/>
      <c r="CC63" s="45"/>
      <c r="CD63" s="116"/>
      <c r="CE63" s="116"/>
      <c r="CF63" s="118"/>
      <c r="CG63" s="116"/>
      <c r="CN63" s="36"/>
    </row>
    <row r="64" spans="1:92" s="35" customFormat="1" ht="11.25" customHeight="1" x14ac:dyDescent="0.2">
      <c r="A64" s="337" t="s">
        <v>208</v>
      </c>
      <c r="B64" s="337"/>
      <c r="C64" s="338">
        <v>362</v>
      </c>
      <c r="D64" s="338"/>
      <c r="E64" s="147">
        <v>1</v>
      </c>
      <c r="F64" s="417">
        <v>0.84236785537800007</v>
      </c>
      <c r="G64" s="417"/>
      <c r="H64" s="417"/>
      <c r="I64" s="342">
        <v>3.5650566123275276</v>
      </c>
      <c r="J64" s="342"/>
      <c r="K64" s="342"/>
      <c r="L64" s="343">
        <v>1.24342</v>
      </c>
      <c r="M64" s="344"/>
      <c r="N64" s="345"/>
      <c r="O64" s="343">
        <v>1.24342</v>
      </c>
      <c r="P64" s="344"/>
      <c r="Q64" s="345"/>
      <c r="R64" s="346">
        <v>4.5290358432897998E-3</v>
      </c>
      <c r="S64" s="347"/>
      <c r="T64" s="348"/>
      <c r="U64" s="342">
        <v>7.4778196163634209E-2</v>
      </c>
      <c r="V64" s="342"/>
      <c r="W64" s="342"/>
      <c r="X64" s="349" t="s">
        <v>189</v>
      </c>
      <c r="Y64" s="349"/>
      <c r="Z64" s="349"/>
      <c r="AA64" s="350">
        <v>0.99055809999999989</v>
      </c>
      <c r="AB64" s="350"/>
      <c r="AC64" s="350"/>
      <c r="AD64" s="439">
        <v>1.5872769</v>
      </c>
      <c r="AE64" s="440"/>
      <c r="AF64" s="441"/>
      <c r="AG64" s="350">
        <v>1.1909437033427757</v>
      </c>
      <c r="AH64" s="350"/>
      <c r="AI64" s="350"/>
      <c r="AJ64" s="350" t="s">
        <v>189</v>
      </c>
      <c r="AK64" s="350"/>
      <c r="AL64" s="350"/>
      <c r="AM64" s="350">
        <v>0.268783724011388</v>
      </c>
      <c r="AN64" s="350"/>
      <c r="AO64" s="350"/>
      <c r="AP64" s="350">
        <v>7.1245346463034431E-2</v>
      </c>
      <c r="AQ64" s="350"/>
      <c r="AR64" s="350"/>
      <c r="AS64" s="290" t="s">
        <v>189</v>
      </c>
      <c r="AT64" s="290" t="s">
        <v>189</v>
      </c>
      <c r="AU64" s="293" t="s">
        <v>189</v>
      </c>
      <c r="AV64" s="328">
        <v>234.45725999999996</v>
      </c>
      <c r="AW64" s="290">
        <v>0.1321575475740015</v>
      </c>
      <c r="AX64" s="342">
        <v>20.647347790000001</v>
      </c>
      <c r="AY64" s="342"/>
      <c r="AZ64" s="342"/>
      <c r="BA64" s="342">
        <v>27.442374999999998</v>
      </c>
      <c r="BB64" s="342"/>
      <c r="BC64" s="342"/>
      <c r="BD64" s="343">
        <v>52.387552331484599</v>
      </c>
      <c r="BE64" s="344"/>
      <c r="BF64" s="345"/>
      <c r="BG64" s="342">
        <v>7.8996026555889278</v>
      </c>
      <c r="BH64" s="342"/>
      <c r="BI64" s="342"/>
      <c r="BJ64" s="342">
        <v>25.961619832956341</v>
      </c>
      <c r="BK64" s="342"/>
      <c r="BL64" s="342"/>
      <c r="BM64" s="342">
        <v>29.26159654855644</v>
      </c>
      <c r="BN64" s="342"/>
      <c r="BO64" s="342"/>
      <c r="BP64" s="342" t="s">
        <v>189</v>
      </c>
      <c r="BQ64" s="342"/>
      <c r="BR64" s="343"/>
      <c r="BS64" s="289">
        <v>0.74817570623249197</v>
      </c>
      <c r="BT64" s="290" t="s">
        <v>189</v>
      </c>
      <c r="BU64" s="291" t="s">
        <v>189</v>
      </c>
      <c r="BV64" s="180">
        <v>43100</v>
      </c>
      <c r="BW64" s="263" t="s">
        <v>208</v>
      </c>
      <c r="BX64" s="33"/>
      <c r="BY64" s="119"/>
      <c r="BZ64" s="100"/>
      <c r="CA64" s="100"/>
      <c r="CB64" s="100"/>
      <c r="CC64" s="45"/>
      <c r="CD64" s="116"/>
      <c r="CE64" s="116"/>
      <c r="CF64" s="118"/>
      <c r="CG64" s="116"/>
      <c r="CN64" s="36"/>
    </row>
    <row r="65" spans="1:92" s="35" customFormat="1" ht="11.25" customHeight="1" x14ac:dyDescent="0.2">
      <c r="A65" s="531" t="s">
        <v>81</v>
      </c>
      <c r="B65" s="531"/>
      <c r="C65" s="533">
        <v>134</v>
      </c>
      <c r="D65" s="533"/>
      <c r="E65" s="325">
        <v>0.5</v>
      </c>
      <c r="F65" s="512">
        <v>2.3585312947519999</v>
      </c>
      <c r="G65" s="512"/>
      <c r="H65" s="512"/>
      <c r="I65" s="447">
        <v>15.1468915845337</v>
      </c>
      <c r="J65" s="447"/>
      <c r="K65" s="447"/>
      <c r="L65" s="399" t="s">
        <v>189</v>
      </c>
      <c r="M65" s="400"/>
      <c r="N65" s="401"/>
      <c r="O65" s="399" t="s">
        <v>189</v>
      </c>
      <c r="P65" s="400"/>
      <c r="Q65" s="401"/>
      <c r="R65" s="513">
        <v>4.0515624152638798E-2</v>
      </c>
      <c r="S65" s="514"/>
      <c r="T65" s="515"/>
      <c r="U65" s="447" t="s">
        <v>189</v>
      </c>
      <c r="V65" s="447"/>
      <c r="W65" s="447"/>
      <c r="X65" s="497" t="s">
        <v>189</v>
      </c>
      <c r="Y65" s="497"/>
      <c r="Z65" s="497"/>
      <c r="AA65" s="496" t="s">
        <v>189</v>
      </c>
      <c r="AB65" s="496"/>
      <c r="AC65" s="496"/>
      <c r="AD65" s="509" t="s">
        <v>189</v>
      </c>
      <c r="AE65" s="510"/>
      <c r="AF65" s="511"/>
      <c r="AG65" s="496" t="s">
        <v>189</v>
      </c>
      <c r="AH65" s="496"/>
      <c r="AI65" s="496"/>
      <c r="AJ65" s="496" t="s">
        <v>189</v>
      </c>
      <c r="AK65" s="496"/>
      <c r="AL65" s="496"/>
      <c r="AM65" s="508" t="s">
        <v>189</v>
      </c>
      <c r="AN65" s="508"/>
      <c r="AO65" s="508"/>
      <c r="AP65" s="496">
        <v>2.781615444055115E-3</v>
      </c>
      <c r="AQ65" s="496"/>
      <c r="AR65" s="496"/>
      <c r="AS65" s="303">
        <v>0.66578789590865717</v>
      </c>
      <c r="AT65" s="303">
        <v>0.65471904538243175</v>
      </c>
      <c r="AU65" s="304">
        <v>0.55326285764565264</v>
      </c>
      <c r="AV65" s="332" t="s">
        <v>189</v>
      </c>
      <c r="AW65" s="305" t="s">
        <v>189</v>
      </c>
      <c r="AX65" s="447">
        <v>4223.8873498317898</v>
      </c>
      <c r="AY65" s="447"/>
      <c r="AZ65" s="447"/>
      <c r="BA65" s="447">
        <v>2165.4774152099999</v>
      </c>
      <c r="BB65" s="447"/>
      <c r="BC65" s="447"/>
      <c r="BD65" s="399">
        <v>10.3068161120994</v>
      </c>
      <c r="BE65" s="400"/>
      <c r="BF65" s="401"/>
      <c r="BG65" s="447">
        <v>1.3153218138022018</v>
      </c>
      <c r="BH65" s="447"/>
      <c r="BI65" s="447"/>
      <c r="BJ65" s="447">
        <v>27.867073391639714</v>
      </c>
      <c r="BK65" s="447"/>
      <c r="BL65" s="447"/>
      <c r="BM65" s="447" t="s">
        <v>189</v>
      </c>
      <c r="BN65" s="447"/>
      <c r="BO65" s="447"/>
      <c r="BP65" s="447" t="s">
        <v>189</v>
      </c>
      <c r="BQ65" s="447"/>
      <c r="BR65" s="399"/>
      <c r="BS65" s="306">
        <v>0.23563071240632799</v>
      </c>
      <c r="BT65" s="303">
        <v>0.46986423807775629</v>
      </c>
      <c r="BU65" s="305">
        <v>-7.6172952494038548E-2</v>
      </c>
      <c r="BV65" s="307">
        <v>43190</v>
      </c>
      <c r="BW65" s="308" t="s">
        <v>81</v>
      </c>
      <c r="BX65" s="33"/>
      <c r="BY65" s="119"/>
      <c r="BZ65" s="100"/>
      <c r="CA65" s="100"/>
      <c r="CB65" s="100"/>
      <c r="CC65" s="45"/>
      <c r="CD65" s="116"/>
      <c r="CE65" s="115"/>
      <c r="CF65" s="118"/>
      <c r="CG65" s="115"/>
      <c r="CN65" s="36"/>
    </row>
    <row r="66" spans="1:92" s="35" customFormat="1" ht="11.25" customHeight="1" x14ac:dyDescent="0.2">
      <c r="A66" s="424" t="s">
        <v>252</v>
      </c>
      <c r="B66" s="424"/>
      <c r="C66" s="425"/>
      <c r="D66" s="425"/>
      <c r="E66" s="323"/>
      <c r="F66" s="545">
        <v>0.79462939365139995</v>
      </c>
      <c r="G66" s="545"/>
      <c r="H66" s="545"/>
      <c r="I66" s="429">
        <v>8.2761215179233556</v>
      </c>
      <c r="J66" s="429"/>
      <c r="K66" s="429"/>
      <c r="L66" s="430"/>
      <c r="M66" s="431"/>
      <c r="N66" s="432"/>
      <c r="O66" s="430"/>
      <c r="P66" s="431"/>
      <c r="Q66" s="432"/>
      <c r="R66" s="433">
        <v>9.7711125313926263E-3</v>
      </c>
      <c r="S66" s="434"/>
      <c r="T66" s="435"/>
      <c r="U66" s="429"/>
      <c r="V66" s="429"/>
      <c r="W66" s="429"/>
      <c r="X66" s="442"/>
      <c r="Y66" s="442"/>
      <c r="Z66" s="442"/>
      <c r="AA66" s="443"/>
      <c r="AB66" s="443"/>
      <c r="AC66" s="443"/>
      <c r="AD66" s="444"/>
      <c r="AE66" s="445"/>
      <c r="AF66" s="446"/>
      <c r="AG66" s="443"/>
      <c r="AH66" s="443"/>
      <c r="AI66" s="443"/>
      <c r="AJ66" s="443"/>
      <c r="AK66" s="443"/>
      <c r="AL66" s="443"/>
      <c r="AM66" s="443">
        <v>0.26518912499702701</v>
      </c>
      <c r="AN66" s="443"/>
      <c r="AO66" s="443"/>
      <c r="AP66" s="443">
        <v>3.4969118910730589E-2</v>
      </c>
      <c r="AQ66" s="443"/>
      <c r="AR66" s="443"/>
      <c r="AS66" s="295">
        <v>0.76059672044654902</v>
      </c>
      <c r="AT66" s="295">
        <v>0.48088258458684968</v>
      </c>
      <c r="AU66" s="296">
        <v>0.41328478435450605</v>
      </c>
      <c r="AV66" s="333">
        <v>212.36523739130433</v>
      </c>
      <c r="AW66" s="295">
        <v>0.28564341085398054</v>
      </c>
      <c r="AX66" s="429">
        <v>467.71428546478899</v>
      </c>
      <c r="AY66" s="429"/>
      <c r="AZ66" s="429"/>
      <c r="BA66" s="429">
        <v>282.23568269873999</v>
      </c>
      <c r="BB66" s="429"/>
      <c r="BC66" s="429"/>
      <c r="BD66" s="430">
        <v>10.043600691195021</v>
      </c>
      <c r="BE66" s="431"/>
      <c r="BF66" s="432"/>
      <c r="BG66" s="429">
        <v>4.0254620331646995</v>
      </c>
      <c r="BH66" s="429"/>
      <c r="BI66" s="429"/>
      <c r="BJ66" s="429">
        <v>19.610531317783042</v>
      </c>
      <c r="BK66" s="429"/>
      <c r="BL66" s="429"/>
      <c r="BM66" s="429"/>
      <c r="BN66" s="429"/>
      <c r="BO66" s="429"/>
      <c r="BP66" s="429">
        <v>17.669219739112499</v>
      </c>
      <c r="BQ66" s="429"/>
      <c r="BR66" s="430"/>
      <c r="BS66" s="297">
        <v>0.90620458762730893</v>
      </c>
      <c r="BT66" s="295">
        <v>0.45882205960912714</v>
      </c>
      <c r="BU66" s="324">
        <v>0.12375594868551305</v>
      </c>
      <c r="BV66" s="300"/>
      <c r="BW66" s="263"/>
      <c r="BX66" s="33"/>
      <c r="BY66" s="119"/>
      <c r="BZ66" s="100"/>
      <c r="CA66" s="100"/>
      <c r="CB66" s="100"/>
      <c r="CC66" s="45"/>
      <c r="CD66" s="119"/>
      <c r="CE66" s="116"/>
      <c r="CF66" s="118"/>
      <c r="CG66" s="116"/>
      <c r="CN66" s="36"/>
    </row>
    <row r="67" spans="1:92" s="66" customFormat="1" ht="11.25" customHeight="1" x14ac:dyDescent="0.2">
      <c r="A67" s="181" t="s">
        <v>213</v>
      </c>
      <c r="B67" s="181"/>
      <c r="C67" s="181"/>
      <c r="D67" s="18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c r="AG67" s="181"/>
      <c r="AH67" s="181"/>
      <c r="AI67" s="181"/>
      <c r="AJ67" s="181"/>
      <c r="AK67" s="181"/>
      <c r="AL67" s="181"/>
      <c r="AM67" s="181"/>
      <c r="AN67" s="181"/>
      <c r="AO67" s="181"/>
      <c r="AP67" s="181"/>
      <c r="AQ67" s="181"/>
      <c r="AR67" s="181"/>
      <c r="AS67" s="181"/>
      <c r="AT67" s="181"/>
      <c r="AU67" s="181"/>
      <c r="AV67" s="181"/>
      <c r="AW67" s="237"/>
      <c r="AX67" s="181"/>
      <c r="AY67" s="181"/>
      <c r="AZ67" s="181"/>
      <c r="BA67" s="181"/>
      <c r="BB67" s="181"/>
      <c r="BC67" s="181"/>
      <c r="BD67" s="181"/>
      <c r="BE67" s="181"/>
      <c r="BF67" s="181"/>
      <c r="BG67" s="181"/>
      <c r="BH67" s="181"/>
      <c r="BI67" s="181"/>
      <c r="BJ67" s="181"/>
      <c r="BK67" s="181"/>
      <c r="BL67" s="181"/>
      <c r="BM67" s="181"/>
      <c r="BN67" s="181"/>
      <c r="BO67" s="181"/>
      <c r="BP67" s="181"/>
      <c r="BQ67" s="181"/>
      <c r="BR67" s="181"/>
      <c r="BS67" s="181"/>
      <c r="BT67" s="181"/>
      <c r="BU67" s="181"/>
      <c r="BV67" s="182"/>
      <c r="BW67" s="262"/>
      <c r="BX67" s="62"/>
      <c r="BY67" s="115"/>
      <c r="BZ67" s="101"/>
      <c r="CA67" s="102"/>
      <c r="CB67" s="106"/>
      <c r="CD67" s="115"/>
      <c r="CE67" s="116"/>
      <c r="CF67" s="118"/>
      <c r="CG67" s="116"/>
      <c r="CN67" s="67"/>
    </row>
    <row r="68" spans="1:92" s="35" customFormat="1" ht="11.25" customHeight="1" x14ac:dyDescent="0.2">
      <c r="A68" s="337" t="s">
        <v>33</v>
      </c>
      <c r="B68" s="337"/>
      <c r="C68" s="338">
        <v>14.1</v>
      </c>
      <c r="D68" s="338"/>
      <c r="E68" s="146">
        <v>1</v>
      </c>
      <c r="F68" s="339">
        <v>0.10283975122399999</v>
      </c>
      <c r="G68" s="340"/>
      <c r="H68" s="341"/>
      <c r="I68" s="342">
        <v>2.3174152000352874</v>
      </c>
      <c r="J68" s="342"/>
      <c r="K68" s="342"/>
      <c r="L68" s="343">
        <v>1.4314499999999999</v>
      </c>
      <c r="M68" s="344"/>
      <c r="N68" s="345"/>
      <c r="O68" s="343">
        <v>1.42726</v>
      </c>
      <c r="P68" s="344"/>
      <c r="Q68" s="345"/>
      <c r="R68" s="346">
        <v>1.2622963604240301E-2</v>
      </c>
      <c r="S68" s="347"/>
      <c r="T68" s="348"/>
      <c r="U68" s="342">
        <v>2.1801344750164722</v>
      </c>
      <c r="V68" s="342"/>
      <c r="W68" s="342"/>
      <c r="X68" s="349">
        <v>67.669047515528007</v>
      </c>
      <c r="Y68" s="349"/>
      <c r="Z68" s="349"/>
      <c r="AA68" s="350">
        <v>0.14262169999999999</v>
      </c>
      <c r="AB68" s="350"/>
      <c r="AC68" s="350"/>
      <c r="AD68" s="350">
        <v>0.13281109999999999</v>
      </c>
      <c r="AE68" s="350"/>
      <c r="AF68" s="350"/>
      <c r="AG68" s="350">
        <v>0.11215291356618047</v>
      </c>
      <c r="AH68" s="350"/>
      <c r="AI68" s="350"/>
      <c r="AJ68" s="439">
        <v>5.7760270564923361E-2</v>
      </c>
      <c r="AK68" s="440"/>
      <c r="AL68" s="441"/>
      <c r="AM68" s="439">
        <v>0.52182709369789304</v>
      </c>
      <c r="AN68" s="440"/>
      <c r="AO68" s="441"/>
      <c r="AP68" s="439">
        <v>0.1956084047843587</v>
      </c>
      <c r="AQ68" s="440"/>
      <c r="AR68" s="441"/>
      <c r="AS68" s="129">
        <v>0.14361666443043064</v>
      </c>
      <c r="AT68" s="129">
        <v>0.66524122316770185</v>
      </c>
      <c r="AU68" s="175">
        <v>0.64403721214950937</v>
      </c>
      <c r="AV68" s="328">
        <v>285.52395826086956</v>
      </c>
      <c r="AW68" s="183">
        <v>0.34696252698673663</v>
      </c>
      <c r="AX68" s="343">
        <v>2.2931469820000001</v>
      </c>
      <c r="AY68" s="344"/>
      <c r="AZ68" s="345"/>
      <c r="BA68" s="343">
        <v>2.3766209819999999</v>
      </c>
      <c r="BB68" s="344"/>
      <c r="BC68" s="345"/>
      <c r="BD68" s="343">
        <v>15.037226599693099</v>
      </c>
      <c r="BE68" s="344"/>
      <c r="BF68" s="345"/>
      <c r="BG68" s="343">
        <v>4.2020877327915898</v>
      </c>
      <c r="BH68" s="344"/>
      <c r="BI68" s="345"/>
      <c r="BJ68" s="343">
        <v>9.5246458655606361</v>
      </c>
      <c r="BK68" s="344"/>
      <c r="BL68" s="345"/>
      <c r="BM68" s="343">
        <v>1.0720029905398805</v>
      </c>
      <c r="BN68" s="344"/>
      <c r="BO68" s="345"/>
      <c r="BP68" s="343">
        <v>9.3699450881999997</v>
      </c>
      <c r="BQ68" s="344"/>
      <c r="BR68" s="345"/>
      <c r="BS68" s="131">
        <v>0.73970110688620605</v>
      </c>
      <c r="BT68" s="129">
        <v>0.54335771534756672</v>
      </c>
      <c r="BU68" s="132">
        <v>0.24238493123438754</v>
      </c>
      <c r="BV68" s="180">
        <v>43100</v>
      </c>
      <c r="BW68" s="263" t="s">
        <v>33</v>
      </c>
      <c r="BX68" s="33"/>
      <c r="BY68" s="116"/>
      <c r="BZ68" s="100"/>
      <c r="CA68" s="100"/>
      <c r="CB68" s="100"/>
      <c r="CD68" s="116"/>
      <c r="CE68" s="116"/>
      <c r="CF68" s="116"/>
      <c r="CG68" s="118"/>
      <c r="CN68" s="36"/>
    </row>
    <row r="69" spans="1:92" s="35" customFormat="1" ht="11.25" customHeight="1" x14ac:dyDescent="0.2">
      <c r="A69" s="455" t="s">
        <v>67</v>
      </c>
      <c r="B69" s="455"/>
      <c r="C69" s="454">
        <v>32.950000000000003</v>
      </c>
      <c r="D69" s="454"/>
      <c r="E69" s="144">
        <v>1</v>
      </c>
      <c r="F69" s="370">
        <v>0</v>
      </c>
      <c r="G69" s="371"/>
      <c r="H69" s="372"/>
      <c r="I69" s="355">
        <v>2.4904998831719976</v>
      </c>
      <c r="J69" s="355"/>
      <c r="K69" s="355"/>
      <c r="L69" s="358">
        <v>1.6570199999999999</v>
      </c>
      <c r="M69" s="359"/>
      <c r="N69" s="360"/>
      <c r="O69" s="358">
        <v>1.62582</v>
      </c>
      <c r="P69" s="359"/>
      <c r="Q69" s="360"/>
      <c r="R69" s="373">
        <v>7.7113818037974693E-2</v>
      </c>
      <c r="S69" s="374"/>
      <c r="T69" s="375"/>
      <c r="U69" s="355">
        <v>2.488676839202832</v>
      </c>
      <c r="V69" s="355"/>
      <c r="W69" s="355"/>
      <c r="X69" s="356">
        <v>-0.67980456296875857</v>
      </c>
      <c r="Y69" s="356"/>
      <c r="Z69" s="356"/>
      <c r="AA69" s="357">
        <v>0.41534329999999997</v>
      </c>
      <c r="AB69" s="357"/>
      <c r="AC69" s="357"/>
      <c r="AD69" s="357">
        <v>0.26131319999999997</v>
      </c>
      <c r="AE69" s="357"/>
      <c r="AF69" s="357"/>
      <c r="AG69" s="357">
        <v>0.21224927364483628</v>
      </c>
      <c r="AH69" s="357"/>
      <c r="AI69" s="357"/>
      <c r="AJ69" s="379">
        <v>0.22786231263418502</v>
      </c>
      <c r="AK69" s="380"/>
      <c r="AL69" s="381"/>
      <c r="AM69" s="382">
        <v>1.0746391393465258</v>
      </c>
      <c r="AN69" s="383"/>
      <c r="AO69" s="384"/>
      <c r="AP69" s="379">
        <v>0.42258081622655397</v>
      </c>
      <c r="AQ69" s="380"/>
      <c r="AR69" s="381"/>
      <c r="AS69" s="134">
        <v>2.8116452612977594</v>
      </c>
      <c r="AT69" s="134">
        <v>0.71918961421436234</v>
      </c>
      <c r="AU69" s="174">
        <v>0.89166425532497628</v>
      </c>
      <c r="AV69" s="329">
        <v>235.80539478260872</v>
      </c>
      <c r="AW69" s="184">
        <v>8.7000964476656173E-2</v>
      </c>
      <c r="AX69" s="358">
        <v>4.2959068900000092</v>
      </c>
      <c r="AY69" s="359"/>
      <c r="AZ69" s="360"/>
      <c r="BA69" s="358">
        <v>5.056</v>
      </c>
      <c r="BB69" s="359"/>
      <c r="BC69" s="360"/>
      <c r="BD69" s="358">
        <v>7.0740963930416401</v>
      </c>
      <c r="BE69" s="359"/>
      <c r="BF69" s="360"/>
      <c r="BG69" s="358">
        <v>15.577770927584471</v>
      </c>
      <c r="BH69" s="359"/>
      <c r="BI69" s="360"/>
      <c r="BJ69" s="358">
        <v>13.521887401048099</v>
      </c>
      <c r="BK69" s="359"/>
      <c r="BL69" s="360"/>
      <c r="BM69" s="358">
        <v>2.7524155304305942</v>
      </c>
      <c r="BN69" s="359"/>
      <c r="BO69" s="360"/>
      <c r="BP69" s="358">
        <v>10.1497687103</v>
      </c>
      <c r="BQ69" s="359"/>
      <c r="BR69" s="360"/>
      <c r="BS69" s="136">
        <v>1.0608715845868799</v>
      </c>
      <c r="BT69" s="134">
        <v>0.40945323497485703</v>
      </c>
      <c r="BU69" s="137">
        <v>0.26019144522822191</v>
      </c>
      <c r="BV69" s="179">
        <v>43100</v>
      </c>
      <c r="BW69" s="264" t="s">
        <v>67</v>
      </c>
      <c r="BX69" s="33"/>
      <c r="BY69" s="116"/>
      <c r="BZ69" s="100"/>
      <c r="CA69" s="100"/>
      <c r="CB69" s="100"/>
      <c r="CD69" s="116"/>
      <c r="CE69" s="116"/>
      <c r="CF69" s="116"/>
      <c r="CG69" s="118"/>
      <c r="CN69" s="36"/>
    </row>
    <row r="70" spans="1:92" s="35" customFormat="1" ht="11.25" customHeight="1" x14ac:dyDescent="0.2">
      <c r="A70" s="337" t="s">
        <v>23</v>
      </c>
      <c r="B70" s="337"/>
      <c r="C70" s="338">
        <v>15.450000000000001</v>
      </c>
      <c r="D70" s="338"/>
      <c r="E70" s="149">
        <v>1</v>
      </c>
      <c r="F70" s="339">
        <v>1.038833612563</v>
      </c>
      <c r="G70" s="340"/>
      <c r="H70" s="341"/>
      <c r="I70" s="342">
        <v>2.7444318115826092</v>
      </c>
      <c r="J70" s="342"/>
      <c r="K70" s="342"/>
      <c r="L70" s="343">
        <v>1.52013</v>
      </c>
      <c r="M70" s="344"/>
      <c r="N70" s="345"/>
      <c r="O70" s="343">
        <v>1.08145</v>
      </c>
      <c r="P70" s="344"/>
      <c r="Q70" s="345"/>
      <c r="R70" s="346">
        <v>0</v>
      </c>
      <c r="S70" s="347"/>
      <c r="T70" s="348"/>
      <c r="U70" s="342">
        <v>1.7459444718495225</v>
      </c>
      <c r="V70" s="342"/>
      <c r="W70" s="342"/>
      <c r="X70" s="349">
        <v>82.244776747728409</v>
      </c>
      <c r="Y70" s="349"/>
      <c r="Z70" s="349"/>
      <c r="AA70" s="350">
        <v>0.27405809999999997</v>
      </c>
      <c r="AB70" s="350"/>
      <c r="AC70" s="350"/>
      <c r="AD70" s="350">
        <v>0.15059229999999998</v>
      </c>
      <c r="AE70" s="350"/>
      <c r="AF70" s="350"/>
      <c r="AG70" s="350">
        <v>8.0840152904636628E-2</v>
      </c>
      <c r="AH70" s="350"/>
      <c r="AI70" s="350"/>
      <c r="AJ70" s="439">
        <v>-0.21925929031783284</v>
      </c>
      <c r="AK70" s="440"/>
      <c r="AL70" s="441"/>
      <c r="AM70" s="439">
        <v>0.35929396422429349</v>
      </c>
      <c r="AN70" s="440"/>
      <c r="AO70" s="441"/>
      <c r="AP70" s="439">
        <v>0.11291602401058443</v>
      </c>
      <c r="AQ70" s="440"/>
      <c r="AR70" s="441"/>
      <c r="AS70" s="129">
        <v>-0.78932066251672861</v>
      </c>
      <c r="AT70" s="129">
        <v>1.3108677764900258</v>
      </c>
      <c r="AU70" s="175">
        <v>5.5780301997533481</v>
      </c>
      <c r="AV70" s="328">
        <v>101.16831000000001</v>
      </c>
      <c r="AW70" s="183">
        <v>5.6164315965117089</v>
      </c>
      <c r="AX70" s="343">
        <v>1.28844935</v>
      </c>
      <c r="AY70" s="344"/>
      <c r="AZ70" s="345"/>
      <c r="BA70" s="343">
        <v>1.125</v>
      </c>
      <c r="BB70" s="344"/>
      <c r="BC70" s="345"/>
      <c r="BD70" s="343">
        <v>10.1438231805037</v>
      </c>
      <c r="BE70" s="344"/>
      <c r="BF70" s="345"/>
      <c r="BG70" s="343">
        <v>5.2885650270908506</v>
      </c>
      <c r="BH70" s="344"/>
      <c r="BI70" s="345"/>
      <c r="BJ70" s="343">
        <v>17.718499489661344</v>
      </c>
      <c r="BK70" s="344"/>
      <c r="BL70" s="345"/>
      <c r="BM70" s="343">
        <v>1.3832905753093208</v>
      </c>
      <c r="BN70" s="344"/>
      <c r="BO70" s="345"/>
      <c r="BP70" s="343">
        <v>17.829682316300001</v>
      </c>
      <c r="BQ70" s="344"/>
      <c r="BR70" s="345"/>
      <c r="BS70" s="131">
        <v>1.1402640120682901</v>
      </c>
      <c r="BT70" s="129">
        <v>0.48322322055594896</v>
      </c>
      <c r="BU70" s="132">
        <v>8.3805623218103698E-2</v>
      </c>
      <c r="BV70" s="180">
        <v>43100</v>
      </c>
      <c r="BW70" s="263" t="s">
        <v>23</v>
      </c>
      <c r="BX70" s="33"/>
      <c r="BY70" s="116"/>
      <c r="BZ70" s="100"/>
      <c r="CA70" s="100"/>
      <c r="CB70" s="100"/>
      <c r="CD70" s="116"/>
      <c r="CE70" s="116"/>
      <c r="CF70" s="116"/>
      <c r="CG70" s="118"/>
      <c r="CN70" s="36"/>
    </row>
    <row r="71" spans="1:92" s="35" customFormat="1" ht="11.25" customHeight="1" x14ac:dyDescent="0.2">
      <c r="A71" s="455" t="s">
        <v>44</v>
      </c>
      <c r="B71" s="455"/>
      <c r="C71" s="454">
        <v>47</v>
      </c>
      <c r="D71" s="454"/>
      <c r="E71" s="144">
        <v>1</v>
      </c>
      <c r="F71" s="370">
        <v>0.27656658331599998</v>
      </c>
      <c r="G71" s="371"/>
      <c r="H71" s="372"/>
      <c r="I71" s="355">
        <v>3.8437966941572297</v>
      </c>
      <c r="J71" s="355"/>
      <c r="K71" s="355"/>
      <c r="L71" s="358">
        <v>1.4518899999999999</v>
      </c>
      <c r="M71" s="359"/>
      <c r="N71" s="360"/>
      <c r="O71" s="358">
        <v>1.3932</v>
      </c>
      <c r="P71" s="359"/>
      <c r="Q71" s="360"/>
      <c r="R71" s="373" t="s">
        <v>189</v>
      </c>
      <c r="S71" s="374"/>
      <c r="T71" s="375"/>
      <c r="U71" s="355">
        <v>1.8636270678103926</v>
      </c>
      <c r="V71" s="355"/>
      <c r="W71" s="355"/>
      <c r="X71" s="356">
        <v>37.557670684828452</v>
      </c>
      <c r="Y71" s="356"/>
      <c r="Z71" s="356"/>
      <c r="AA71" s="357">
        <v>0.16300930000000002</v>
      </c>
      <c r="AB71" s="357"/>
      <c r="AC71" s="357"/>
      <c r="AD71" s="357">
        <v>6.8524599999999991E-2</v>
      </c>
      <c r="AE71" s="357"/>
      <c r="AF71" s="357"/>
      <c r="AG71" s="357">
        <v>3.4889044690580469E-2</v>
      </c>
      <c r="AH71" s="357"/>
      <c r="AI71" s="357"/>
      <c r="AJ71" s="379">
        <v>-0.24354908862327615</v>
      </c>
      <c r="AK71" s="380"/>
      <c r="AL71" s="381"/>
      <c r="AM71" s="382">
        <v>0.22917609872104563</v>
      </c>
      <c r="AN71" s="383"/>
      <c r="AO71" s="384"/>
      <c r="AP71" s="379">
        <v>5.201651558177272E-2</v>
      </c>
      <c r="AQ71" s="380"/>
      <c r="AR71" s="381"/>
      <c r="AS71" s="134">
        <v>1.1429415797761688E-2</v>
      </c>
      <c r="AT71" s="134">
        <v>1.9898820182631709</v>
      </c>
      <c r="AU71" s="174">
        <v>2.3225377473468987</v>
      </c>
      <c r="AV71" s="329">
        <v>308.8478865217391</v>
      </c>
      <c r="AW71" s="184">
        <v>0.41673837980109507</v>
      </c>
      <c r="AX71" s="358">
        <v>1.2726178699999999</v>
      </c>
      <c r="AY71" s="359"/>
      <c r="AZ71" s="360"/>
      <c r="BA71" s="358">
        <v>1.395</v>
      </c>
      <c r="BB71" s="359"/>
      <c r="BC71" s="360"/>
      <c r="BD71" s="358">
        <v>8.4974811391753207</v>
      </c>
      <c r="BE71" s="359"/>
      <c r="BF71" s="360"/>
      <c r="BG71" s="358">
        <v>3.460319364408539</v>
      </c>
      <c r="BH71" s="359"/>
      <c r="BI71" s="360"/>
      <c r="BJ71" s="358">
        <v>18.433396608255023</v>
      </c>
      <c r="BK71" s="359"/>
      <c r="BL71" s="360"/>
      <c r="BM71" s="358">
        <v>0.6362800276338012</v>
      </c>
      <c r="BN71" s="359"/>
      <c r="BO71" s="360"/>
      <c r="BP71" s="358">
        <v>26.6670285991</v>
      </c>
      <c r="BQ71" s="359"/>
      <c r="BR71" s="360"/>
      <c r="BS71" s="136">
        <v>0.74212195770075895</v>
      </c>
      <c r="BT71" s="134">
        <v>0.42662566026401255</v>
      </c>
      <c r="BU71" s="137">
        <v>5.4285741292586787E-2</v>
      </c>
      <c r="BV71" s="179">
        <v>43100</v>
      </c>
      <c r="BW71" s="264" t="s">
        <v>44</v>
      </c>
      <c r="BX71" s="33"/>
      <c r="BY71" s="116"/>
      <c r="BZ71" s="100"/>
      <c r="CA71" s="100"/>
      <c r="CB71" s="100"/>
      <c r="CD71" s="116"/>
      <c r="CE71" s="116"/>
      <c r="CF71" s="116"/>
      <c r="CG71" s="118"/>
      <c r="CN71" s="36"/>
    </row>
    <row r="72" spans="1:92" s="35" customFormat="1" ht="11.25" customHeight="1" x14ac:dyDescent="0.2">
      <c r="A72" s="337" t="s">
        <v>26</v>
      </c>
      <c r="B72" s="337"/>
      <c r="C72" s="338">
        <v>111.25</v>
      </c>
      <c r="D72" s="338"/>
      <c r="E72" s="146">
        <v>1</v>
      </c>
      <c r="F72" s="339">
        <v>0</v>
      </c>
      <c r="G72" s="340"/>
      <c r="H72" s="341"/>
      <c r="I72" s="342">
        <v>3.6882466466471793</v>
      </c>
      <c r="J72" s="342"/>
      <c r="K72" s="342"/>
      <c r="L72" s="343">
        <v>1.3138300000000001</v>
      </c>
      <c r="M72" s="344"/>
      <c r="N72" s="345"/>
      <c r="O72" s="343">
        <v>1.3138300000000001</v>
      </c>
      <c r="P72" s="344"/>
      <c r="Q72" s="345"/>
      <c r="R72" s="346">
        <v>5.29209524013158E-2</v>
      </c>
      <c r="S72" s="347"/>
      <c r="T72" s="348"/>
      <c r="U72" s="342">
        <v>2.5180732594273243</v>
      </c>
      <c r="V72" s="342"/>
      <c r="W72" s="342"/>
      <c r="X72" s="349" t="s">
        <v>189</v>
      </c>
      <c r="Y72" s="349"/>
      <c r="Z72" s="349"/>
      <c r="AA72" s="350">
        <v>0.34793080000000004</v>
      </c>
      <c r="AB72" s="350"/>
      <c r="AC72" s="350"/>
      <c r="AD72" s="350">
        <v>0.23664380000000002</v>
      </c>
      <c r="AE72" s="350"/>
      <c r="AF72" s="350"/>
      <c r="AG72" s="350">
        <v>0.19137023410711276</v>
      </c>
      <c r="AH72" s="350"/>
      <c r="AI72" s="350"/>
      <c r="AJ72" s="439">
        <v>5.4975119383931174E-2</v>
      </c>
      <c r="AK72" s="440"/>
      <c r="AL72" s="441"/>
      <c r="AM72" s="439">
        <v>1.2613827240001967</v>
      </c>
      <c r="AN72" s="440"/>
      <c r="AO72" s="441"/>
      <c r="AP72" s="439">
        <v>0.38551083964775645</v>
      </c>
      <c r="AQ72" s="440"/>
      <c r="AR72" s="441"/>
      <c r="AS72" s="129">
        <v>1.4403210697241318</v>
      </c>
      <c r="AT72" s="129">
        <v>0.685599449190474</v>
      </c>
      <c r="AU72" s="175">
        <v>3.4543744603406297</v>
      </c>
      <c r="AV72" s="328">
        <v>351.85942000000006</v>
      </c>
      <c r="AW72" s="183">
        <v>0.12216900001404639</v>
      </c>
      <c r="AX72" s="343">
        <v>2.8798778839999999</v>
      </c>
      <c r="AY72" s="344"/>
      <c r="AZ72" s="345"/>
      <c r="BA72" s="343">
        <v>9.820598704</v>
      </c>
      <c r="BB72" s="344"/>
      <c r="BC72" s="345"/>
      <c r="BD72" s="343">
        <v>3.9907070837860301</v>
      </c>
      <c r="BE72" s="344"/>
      <c r="BF72" s="345"/>
      <c r="BG72" s="343" t="s">
        <v>189</v>
      </c>
      <c r="BH72" s="344"/>
      <c r="BI72" s="345"/>
      <c r="BJ72" s="343">
        <v>21.026271026271026</v>
      </c>
      <c r="BK72" s="344"/>
      <c r="BL72" s="345"/>
      <c r="BM72" s="343">
        <v>4.0188381432060121</v>
      </c>
      <c r="BN72" s="344"/>
      <c r="BO72" s="345"/>
      <c r="BP72" s="343">
        <v>10.378330067</v>
      </c>
      <c r="BQ72" s="344"/>
      <c r="BR72" s="345"/>
      <c r="BS72" s="131">
        <v>0.75816717527881194</v>
      </c>
      <c r="BT72" s="129">
        <v>0.63504793030302498</v>
      </c>
      <c r="BU72" s="132">
        <v>0.2892274754113302</v>
      </c>
      <c r="BV72" s="180">
        <v>43100</v>
      </c>
      <c r="BW72" s="263" t="s">
        <v>26</v>
      </c>
      <c r="BX72" s="33"/>
      <c r="BY72" s="116"/>
      <c r="BZ72" s="100"/>
      <c r="CA72" s="100"/>
      <c r="CB72" s="100"/>
      <c r="CD72" s="116"/>
      <c r="CE72" s="116"/>
      <c r="CF72" s="116"/>
      <c r="CG72" s="118"/>
      <c r="CN72" s="36"/>
    </row>
    <row r="73" spans="1:92" s="35" customFormat="1" ht="11.25" customHeight="1" x14ac:dyDescent="0.2">
      <c r="A73" s="455" t="s">
        <v>32</v>
      </c>
      <c r="B73" s="455"/>
      <c r="C73" s="454">
        <v>7.9</v>
      </c>
      <c r="D73" s="454"/>
      <c r="E73" s="144">
        <v>1</v>
      </c>
      <c r="F73" s="370">
        <v>1.01032331E-4</v>
      </c>
      <c r="G73" s="371"/>
      <c r="H73" s="372"/>
      <c r="I73" s="355">
        <v>1.1850606092701839</v>
      </c>
      <c r="J73" s="355"/>
      <c r="K73" s="355"/>
      <c r="L73" s="358">
        <v>3.6991100000000001</v>
      </c>
      <c r="M73" s="359"/>
      <c r="N73" s="360"/>
      <c r="O73" s="358">
        <v>3.3339599999999998</v>
      </c>
      <c r="P73" s="359"/>
      <c r="Q73" s="360"/>
      <c r="R73" s="373">
        <v>2.0697456471927601E-2</v>
      </c>
      <c r="S73" s="374"/>
      <c r="T73" s="375"/>
      <c r="U73" s="355">
        <v>0.16203262753733072</v>
      </c>
      <c r="V73" s="355"/>
      <c r="W73" s="355"/>
      <c r="X73" s="356">
        <v>7.2847190908235291</v>
      </c>
      <c r="Y73" s="356"/>
      <c r="Z73" s="356"/>
      <c r="AA73" s="357" t="s">
        <v>189</v>
      </c>
      <c r="AB73" s="357"/>
      <c r="AC73" s="357"/>
      <c r="AD73" s="357">
        <v>0.1153238</v>
      </c>
      <c r="AE73" s="357"/>
      <c r="AF73" s="357"/>
      <c r="AG73" s="357">
        <v>0.46035817079549896</v>
      </c>
      <c r="AH73" s="357"/>
      <c r="AI73" s="357"/>
      <c r="AJ73" s="379">
        <v>-1.0053889238432618</v>
      </c>
      <c r="AK73" s="380"/>
      <c r="AL73" s="381"/>
      <c r="AM73" s="382">
        <v>6.9720804114245333E-2</v>
      </c>
      <c r="AN73" s="383"/>
      <c r="AO73" s="384"/>
      <c r="AP73" s="379">
        <v>5.9675285442879505E-2</v>
      </c>
      <c r="AQ73" s="380"/>
      <c r="AR73" s="381"/>
      <c r="AS73" s="134">
        <v>5.068669357952194</v>
      </c>
      <c r="AT73" s="134">
        <v>-0.1172932603730715</v>
      </c>
      <c r="AU73" s="174">
        <v>0.31071918403161647</v>
      </c>
      <c r="AV73" s="329">
        <v>10.968518695652175</v>
      </c>
      <c r="AW73" s="184">
        <v>37.436695113774888</v>
      </c>
      <c r="AX73" s="358">
        <v>0.90949360999999995</v>
      </c>
      <c r="AY73" s="359"/>
      <c r="AZ73" s="360"/>
      <c r="BA73" s="358">
        <v>0.95233599999999996</v>
      </c>
      <c r="BB73" s="359"/>
      <c r="BC73" s="360"/>
      <c r="BD73" s="358">
        <v>67.586725264533897</v>
      </c>
      <c r="BE73" s="359"/>
      <c r="BF73" s="360"/>
      <c r="BG73" s="358">
        <v>1.3212953260490345</v>
      </c>
      <c r="BH73" s="359"/>
      <c r="BI73" s="360"/>
      <c r="BJ73" s="358">
        <v>22.857473525837626</v>
      </c>
      <c r="BK73" s="359"/>
      <c r="BL73" s="360"/>
      <c r="BM73" s="358">
        <v>9.7144866970728909</v>
      </c>
      <c r="BN73" s="359"/>
      <c r="BO73" s="360"/>
      <c r="BP73" s="358" t="s">
        <v>189</v>
      </c>
      <c r="BQ73" s="359"/>
      <c r="BR73" s="360"/>
      <c r="BS73" s="136">
        <v>0.42468781131629002</v>
      </c>
      <c r="BT73" s="134">
        <v>0.33524063386949132</v>
      </c>
      <c r="BU73" s="137">
        <v>-2.8419781488919105E-2</v>
      </c>
      <c r="BV73" s="179">
        <v>43100</v>
      </c>
      <c r="BW73" s="264" t="s">
        <v>32</v>
      </c>
      <c r="BX73" s="33"/>
      <c r="BY73" s="116"/>
      <c r="BZ73" s="100"/>
      <c r="CA73" s="100"/>
      <c r="CB73" s="100"/>
      <c r="CD73" s="116"/>
      <c r="CE73" s="116"/>
      <c r="CF73" s="116"/>
      <c r="CG73" s="118"/>
      <c r="CN73" s="36"/>
    </row>
    <row r="74" spans="1:92" s="35" customFormat="1" ht="11.25" customHeight="1" x14ac:dyDescent="0.2">
      <c r="A74" s="337" t="s">
        <v>214</v>
      </c>
      <c r="B74" s="337"/>
      <c r="C74" s="338">
        <v>28</v>
      </c>
      <c r="D74" s="338"/>
      <c r="E74" s="146">
        <v>0.1</v>
      </c>
      <c r="F74" s="339">
        <v>4.3015786961000002E-2</v>
      </c>
      <c r="G74" s="340"/>
      <c r="H74" s="341"/>
      <c r="I74" s="342">
        <v>13.275185772288255</v>
      </c>
      <c r="J74" s="342"/>
      <c r="K74" s="342"/>
      <c r="L74" s="343">
        <v>1.21167</v>
      </c>
      <c r="M74" s="344"/>
      <c r="N74" s="345"/>
      <c r="O74" s="343">
        <v>0.68615999999999999</v>
      </c>
      <c r="P74" s="344"/>
      <c r="Q74" s="345"/>
      <c r="R74" s="346">
        <v>5.3571428571428607E-3</v>
      </c>
      <c r="S74" s="347"/>
      <c r="T74" s="348"/>
      <c r="U74" s="342">
        <v>1.1467850240318271</v>
      </c>
      <c r="V74" s="342"/>
      <c r="W74" s="342"/>
      <c r="X74" s="349">
        <v>416.49481637443091</v>
      </c>
      <c r="Y74" s="349"/>
      <c r="Z74" s="349"/>
      <c r="AA74" s="350">
        <v>0.2136448</v>
      </c>
      <c r="AB74" s="350"/>
      <c r="AC74" s="350"/>
      <c r="AD74" s="350">
        <v>5.0478599999999998E-2</v>
      </c>
      <c r="AE74" s="350"/>
      <c r="AF74" s="350"/>
      <c r="AG74" s="350">
        <v>2.9679413762041779E-2</v>
      </c>
      <c r="AH74" s="350"/>
      <c r="AI74" s="350"/>
      <c r="AJ74" s="439">
        <v>1.4559978819488344E-3</v>
      </c>
      <c r="AK74" s="440"/>
      <c r="AL74" s="441"/>
      <c r="AM74" s="439">
        <v>0.33253768254078897</v>
      </c>
      <c r="AN74" s="440"/>
      <c r="AO74" s="441"/>
      <c r="AP74" s="439">
        <v>2.722945230799247E-2</v>
      </c>
      <c r="AQ74" s="440"/>
      <c r="AR74" s="441"/>
      <c r="AS74" s="129">
        <v>-8.9642374834493888E-2</v>
      </c>
      <c r="AT74" s="129">
        <v>0.34270439253761231</v>
      </c>
      <c r="AU74" s="175">
        <v>0.77316789712304979</v>
      </c>
      <c r="AV74" s="328">
        <v>55.463767826086951</v>
      </c>
      <c r="AW74" s="183">
        <v>0.68955458367655276</v>
      </c>
      <c r="AX74" s="343">
        <v>6.0620260000000002E-2</v>
      </c>
      <c r="AY74" s="344"/>
      <c r="AZ74" s="345"/>
      <c r="BA74" s="343">
        <v>6.1600000000000002E-2</v>
      </c>
      <c r="BB74" s="344"/>
      <c r="BC74" s="345"/>
      <c r="BD74" s="343">
        <v>1.6638842060133401</v>
      </c>
      <c r="BE74" s="344"/>
      <c r="BF74" s="345"/>
      <c r="BG74" s="343">
        <v>1.881842874062859</v>
      </c>
      <c r="BH74" s="344"/>
      <c r="BI74" s="345"/>
      <c r="BJ74" s="343">
        <v>56.140350877192986</v>
      </c>
      <c r="BK74" s="344"/>
      <c r="BL74" s="345"/>
      <c r="BM74" s="343">
        <v>0.16662233322443373</v>
      </c>
      <c r="BN74" s="344"/>
      <c r="BO74" s="345"/>
      <c r="BP74" s="343">
        <v>5.9745441743000001</v>
      </c>
      <c r="BQ74" s="344"/>
      <c r="BR74" s="345"/>
      <c r="BS74" s="131" t="s">
        <v>189</v>
      </c>
      <c r="BT74" s="129">
        <v>0.34855317384143464</v>
      </c>
      <c r="BU74" s="132">
        <v>1.626192175239205E-2</v>
      </c>
      <c r="BV74" s="180">
        <v>43008</v>
      </c>
      <c r="BW74" s="263" t="s">
        <v>214</v>
      </c>
      <c r="BX74" s="33"/>
      <c r="BY74" s="116"/>
      <c r="BZ74" s="100"/>
      <c r="CA74" s="100"/>
      <c r="CB74" s="100"/>
      <c r="CD74" s="116"/>
      <c r="CE74" s="115"/>
      <c r="CF74" s="115"/>
      <c r="CG74" s="118"/>
      <c r="CN74" s="36"/>
    </row>
    <row r="75" spans="1:92" s="35" customFormat="1" ht="11.25" customHeight="1" x14ac:dyDescent="0.2">
      <c r="A75" s="455" t="s">
        <v>49</v>
      </c>
      <c r="B75" s="455"/>
      <c r="C75" s="454">
        <v>7.9</v>
      </c>
      <c r="D75" s="454"/>
      <c r="E75" s="144">
        <v>0.1</v>
      </c>
      <c r="F75" s="370">
        <v>0.30402839609600002</v>
      </c>
      <c r="G75" s="371"/>
      <c r="H75" s="372"/>
      <c r="I75" s="355">
        <v>1.7878195802811159</v>
      </c>
      <c r="J75" s="355"/>
      <c r="K75" s="355"/>
      <c r="L75" s="358">
        <v>1.9846299999999999</v>
      </c>
      <c r="M75" s="359"/>
      <c r="N75" s="360"/>
      <c r="O75" s="358">
        <v>0.89893999999999996</v>
      </c>
      <c r="P75" s="359"/>
      <c r="Q75" s="360"/>
      <c r="R75" s="373">
        <v>9.6679128476821004E-4</v>
      </c>
      <c r="S75" s="374"/>
      <c r="T75" s="375"/>
      <c r="U75" s="355">
        <v>1.8734777480206228</v>
      </c>
      <c r="V75" s="355"/>
      <c r="W75" s="355"/>
      <c r="X75" s="356">
        <v>161.05091339917109</v>
      </c>
      <c r="Y75" s="356"/>
      <c r="Z75" s="356"/>
      <c r="AA75" s="357">
        <v>0.35846299999999998</v>
      </c>
      <c r="AB75" s="357"/>
      <c r="AC75" s="357"/>
      <c r="AD75" s="357">
        <v>7.0296799999999993E-2</v>
      </c>
      <c r="AE75" s="357"/>
      <c r="AF75" s="357"/>
      <c r="AG75" s="357">
        <v>3.577843792429513E-2</v>
      </c>
      <c r="AH75" s="357"/>
      <c r="AI75" s="357"/>
      <c r="AJ75" s="379">
        <v>-1.7870978552476477E-2</v>
      </c>
      <c r="AK75" s="380"/>
      <c r="AL75" s="381"/>
      <c r="AM75" s="382">
        <v>9.1750379148542893E-2</v>
      </c>
      <c r="AN75" s="383"/>
      <c r="AO75" s="384"/>
      <c r="AP75" s="379">
        <v>5.362444554798642E-2</v>
      </c>
      <c r="AQ75" s="380"/>
      <c r="AR75" s="381"/>
      <c r="AS75" s="134">
        <v>0.13204733995985385</v>
      </c>
      <c r="AT75" s="134">
        <v>0.3359834213615101</v>
      </c>
      <c r="AU75" s="174">
        <v>0.59165128585079774</v>
      </c>
      <c r="AV75" s="329">
        <v>367.92728782608697</v>
      </c>
      <c r="AW75" s="184">
        <v>0.15673101577027615</v>
      </c>
      <c r="AX75" s="358">
        <v>3.15248104245001</v>
      </c>
      <c r="AY75" s="359"/>
      <c r="AZ75" s="360"/>
      <c r="BA75" s="358">
        <v>3.1030500000000001</v>
      </c>
      <c r="BB75" s="359"/>
      <c r="BC75" s="360"/>
      <c r="BD75" s="358">
        <v>17.242420440450399</v>
      </c>
      <c r="BE75" s="359"/>
      <c r="BF75" s="360"/>
      <c r="BG75" s="358">
        <v>3.1708885606259729</v>
      </c>
      <c r="BH75" s="359"/>
      <c r="BI75" s="360"/>
      <c r="BJ75" s="358">
        <v>376.90839694656489</v>
      </c>
      <c r="BK75" s="359"/>
      <c r="BL75" s="360"/>
      <c r="BM75" s="358">
        <v>1.2888740346092367</v>
      </c>
      <c r="BN75" s="359"/>
      <c r="BO75" s="360"/>
      <c r="BP75" s="358">
        <v>49.824252996699997</v>
      </c>
      <c r="BQ75" s="359"/>
      <c r="BR75" s="360"/>
      <c r="BS75" s="136">
        <v>0.78857938920596704</v>
      </c>
      <c r="BT75" s="134">
        <v>0.44112295059930862</v>
      </c>
      <c r="BU75" s="137">
        <v>5.7187649819874231E-2</v>
      </c>
      <c r="BV75" s="179">
        <v>43100</v>
      </c>
      <c r="BW75" s="264" t="s">
        <v>49</v>
      </c>
      <c r="BX75" s="33"/>
      <c r="BY75" s="116"/>
      <c r="BZ75" s="100"/>
      <c r="CA75" s="100"/>
      <c r="CB75" s="100"/>
      <c r="CD75" s="116"/>
      <c r="CE75" s="116"/>
      <c r="CF75" s="116"/>
      <c r="CG75" s="118"/>
      <c r="CN75" s="36"/>
    </row>
    <row r="76" spans="1:92" s="35" customFormat="1" ht="11.25" customHeight="1" x14ac:dyDescent="0.2">
      <c r="A76" s="337" t="s">
        <v>52</v>
      </c>
      <c r="B76" s="337"/>
      <c r="C76" s="338">
        <v>12.55</v>
      </c>
      <c r="D76" s="338"/>
      <c r="E76" s="146">
        <v>1</v>
      </c>
      <c r="F76" s="339">
        <v>0.47556147546799998</v>
      </c>
      <c r="G76" s="340"/>
      <c r="H76" s="341"/>
      <c r="I76" s="342">
        <v>3.4569817813816095</v>
      </c>
      <c r="J76" s="342"/>
      <c r="K76" s="342"/>
      <c r="L76" s="343">
        <v>1.4226000000000001</v>
      </c>
      <c r="M76" s="344"/>
      <c r="N76" s="345"/>
      <c r="O76" s="343">
        <v>0.90039000000000002</v>
      </c>
      <c r="P76" s="344"/>
      <c r="Q76" s="345"/>
      <c r="R76" s="346" t="s">
        <v>189</v>
      </c>
      <c r="S76" s="347"/>
      <c r="T76" s="348"/>
      <c r="U76" s="342">
        <v>2.3863893650379464</v>
      </c>
      <c r="V76" s="342"/>
      <c r="W76" s="342"/>
      <c r="X76" s="349">
        <v>52.749380403002718</v>
      </c>
      <c r="Y76" s="349"/>
      <c r="Z76" s="349"/>
      <c r="AA76" s="350">
        <v>0.35204979999999997</v>
      </c>
      <c r="AB76" s="350"/>
      <c r="AC76" s="350"/>
      <c r="AD76" s="350">
        <v>0.12574439999999998</v>
      </c>
      <c r="AE76" s="350"/>
      <c r="AF76" s="350"/>
      <c r="AG76" s="350" t="s">
        <v>189</v>
      </c>
      <c r="AH76" s="350"/>
      <c r="AI76" s="350"/>
      <c r="AJ76" s="439">
        <v>-8.7507470768112706E-3</v>
      </c>
      <c r="AK76" s="440"/>
      <c r="AL76" s="441"/>
      <c r="AM76" s="439">
        <v>-5.7270265516670742E-2</v>
      </c>
      <c r="AN76" s="440"/>
      <c r="AO76" s="441"/>
      <c r="AP76" s="439">
        <v>-1.622703825936183E-2</v>
      </c>
      <c r="AQ76" s="440"/>
      <c r="AR76" s="441"/>
      <c r="AS76" s="129">
        <v>0.33108889453871448</v>
      </c>
      <c r="AT76" s="129">
        <v>0.45792441166253794</v>
      </c>
      <c r="AU76" s="175">
        <v>2.2392683078560869</v>
      </c>
      <c r="AV76" s="328">
        <v>181.98943739130434</v>
      </c>
      <c r="AW76" s="183">
        <v>0.35132346105401385</v>
      </c>
      <c r="AX76" s="343">
        <v>0.68724479999999999</v>
      </c>
      <c r="AY76" s="344"/>
      <c r="AZ76" s="345"/>
      <c r="BA76" s="343">
        <v>0.55879999999999996</v>
      </c>
      <c r="BB76" s="344"/>
      <c r="BC76" s="345"/>
      <c r="BD76" s="343">
        <v>3.97327258029771</v>
      </c>
      <c r="BE76" s="344"/>
      <c r="BF76" s="345"/>
      <c r="BG76" s="343">
        <v>3.4279493568944939</v>
      </c>
      <c r="BH76" s="344"/>
      <c r="BI76" s="345"/>
      <c r="BJ76" s="343" t="s">
        <v>189</v>
      </c>
      <c r="BK76" s="344"/>
      <c r="BL76" s="345"/>
      <c r="BM76" s="343">
        <v>0.49563423669236489</v>
      </c>
      <c r="BN76" s="344"/>
      <c r="BO76" s="345"/>
      <c r="BP76" s="343" t="s">
        <v>189</v>
      </c>
      <c r="BQ76" s="344"/>
      <c r="BR76" s="345"/>
      <c r="BS76" s="131">
        <v>0.60684983487068</v>
      </c>
      <c r="BT76" s="129">
        <v>0.44984684827762289</v>
      </c>
      <c r="BU76" s="132">
        <v>0.11450043682081401</v>
      </c>
      <c r="BV76" s="180">
        <v>43100</v>
      </c>
      <c r="BW76" s="263" t="s">
        <v>52</v>
      </c>
      <c r="BX76" s="33"/>
      <c r="BY76" s="116"/>
      <c r="BZ76" s="100"/>
      <c r="CA76" s="100"/>
      <c r="CB76" s="100"/>
      <c r="CD76" s="116"/>
      <c r="CE76" s="116"/>
      <c r="CF76" s="116"/>
      <c r="CG76" s="118"/>
      <c r="CN76" s="36"/>
    </row>
    <row r="77" spans="1:92" s="35" customFormat="1" ht="11.25" customHeight="1" x14ac:dyDescent="0.2">
      <c r="A77" s="534" t="s">
        <v>74</v>
      </c>
      <c r="B77" s="534"/>
      <c r="C77" s="538">
        <v>8.3000000000000007</v>
      </c>
      <c r="D77" s="538"/>
      <c r="E77" s="235">
        <v>1</v>
      </c>
      <c r="F77" s="407" t="s">
        <v>189</v>
      </c>
      <c r="G77" s="408"/>
      <c r="H77" s="409"/>
      <c r="I77" s="410">
        <v>-8.0536143460280069E-2</v>
      </c>
      <c r="J77" s="410"/>
      <c r="K77" s="410"/>
      <c r="L77" s="411">
        <v>2.0809999999999999E-2</v>
      </c>
      <c r="M77" s="412"/>
      <c r="N77" s="413"/>
      <c r="O77" s="411">
        <v>2.0809999999999999E-2</v>
      </c>
      <c r="P77" s="412"/>
      <c r="Q77" s="413"/>
      <c r="R77" s="414" t="s">
        <v>189</v>
      </c>
      <c r="S77" s="415"/>
      <c r="T77" s="416"/>
      <c r="U77" s="410" t="s">
        <v>189</v>
      </c>
      <c r="V77" s="410"/>
      <c r="W77" s="410"/>
      <c r="X77" s="418" t="s">
        <v>189</v>
      </c>
      <c r="Y77" s="418"/>
      <c r="Z77" s="418"/>
      <c r="AA77" s="419" t="s">
        <v>189</v>
      </c>
      <c r="AB77" s="419"/>
      <c r="AC77" s="419"/>
      <c r="AD77" s="419" t="s">
        <v>189</v>
      </c>
      <c r="AE77" s="419"/>
      <c r="AF77" s="419"/>
      <c r="AG77" s="419" t="s">
        <v>189</v>
      </c>
      <c r="AH77" s="419"/>
      <c r="AI77" s="419"/>
      <c r="AJ77" s="516" t="s">
        <v>189</v>
      </c>
      <c r="AK77" s="517"/>
      <c r="AL77" s="518"/>
      <c r="AM77" s="519" t="s">
        <v>189</v>
      </c>
      <c r="AN77" s="520"/>
      <c r="AO77" s="521"/>
      <c r="AP77" s="516">
        <v>-1.7922450669496077</v>
      </c>
      <c r="AQ77" s="517"/>
      <c r="AR77" s="518"/>
      <c r="AS77" s="228">
        <v>-1.7673316695071328E-2</v>
      </c>
      <c r="AT77" s="228">
        <v>-115.49278425185574</v>
      </c>
      <c r="AU77" s="229">
        <v>260.86414056878345</v>
      </c>
      <c r="AV77" s="330">
        <v>0</v>
      </c>
      <c r="AW77" s="231" t="s">
        <v>189</v>
      </c>
      <c r="AX77" s="411">
        <v>5.3189510200000005E-2</v>
      </c>
      <c r="AY77" s="412"/>
      <c r="AZ77" s="413"/>
      <c r="BA77" s="411">
        <v>5.3289270200000002E-2</v>
      </c>
      <c r="BB77" s="412"/>
      <c r="BC77" s="413"/>
      <c r="BD77" s="411" t="s">
        <v>189</v>
      </c>
      <c r="BE77" s="412"/>
      <c r="BF77" s="413"/>
      <c r="BG77" s="411" t="s">
        <v>189</v>
      </c>
      <c r="BH77" s="412"/>
      <c r="BI77" s="413"/>
      <c r="BJ77" s="411" t="s">
        <v>189</v>
      </c>
      <c r="BK77" s="412"/>
      <c r="BL77" s="413"/>
      <c r="BM77" s="411" t="s">
        <v>189</v>
      </c>
      <c r="BN77" s="412"/>
      <c r="BO77" s="413"/>
      <c r="BP77" s="411" t="s">
        <v>189</v>
      </c>
      <c r="BQ77" s="412"/>
      <c r="BR77" s="413"/>
      <c r="BS77" s="230">
        <v>0.32375321583890598</v>
      </c>
      <c r="BT77" s="228">
        <v>0.62729277025657482</v>
      </c>
      <c r="BU77" s="231">
        <v>-0.19192257415457969</v>
      </c>
      <c r="BV77" s="232">
        <v>43100</v>
      </c>
      <c r="BW77" s="264" t="s">
        <v>74</v>
      </c>
      <c r="BX77" s="33"/>
      <c r="BY77" s="116"/>
      <c r="BZ77" s="100"/>
      <c r="CA77" s="100"/>
      <c r="CB77" s="100"/>
      <c r="CD77" s="116"/>
      <c r="CE77" s="116"/>
      <c r="CF77" s="116"/>
      <c r="CG77" s="118"/>
      <c r="CN77" s="36"/>
    </row>
    <row r="78" spans="1:92" s="35" customFormat="1" ht="11.25" customHeight="1" x14ac:dyDescent="0.2">
      <c r="A78" s="402" t="s">
        <v>252</v>
      </c>
      <c r="B78" s="403"/>
      <c r="C78" s="404"/>
      <c r="D78" s="405"/>
      <c r="E78" s="233"/>
      <c r="F78" s="385">
        <v>0.24899407088433334</v>
      </c>
      <c r="G78" s="386"/>
      <c r="H78" s="387"/>
      <c r="I78" s="385">
        <v>3.4708901835355186</v>
      </c>
      <c r="J78" s="386"/>
      <c r="K78" s="387"/>
      <c r="L78" s="385">
        <v>1.5713139999999999</v>
      </c>
      <c r="M78" s="386"/>
      <c r="N78" s="387"/>
      <c r="O78" s="385">
        <v>1.2681819999999999</v>
      </c>
      <c r="P78" s="386"/>
      <c r="Q78" s="387"/>
      <c r="R78" s="436">
        <v>2.4239874951052783E-2</v>
      </c>
      <c r="S78" s="437"/>
      <c r="T78" s="438"/>
      <c r="U78" s="385">
        <v>1.8183489864371412</v>
      </c>
      <c r="V78" s="386"/>
      <c r="W78" s="387"/>
      <c r="X78" s="385">
        <v>103.04643995656805</v>
      </c>
      <c r="Y78" s="386"/>
      <c r="Z78" s="387"/>
      <c r="AA78" s="361">
        <v>0.28339009999999998</v>
      </c>
      <c r="AB78" s="362"/>
      <c r="AC78" s="363"/>
      <c r="AD78" s="361">
        <v>0.13463651111111108</v>
      </c>
      <c r="AE78" s="362"/>
      <c r="AF78" s="363"/>
      <c r="AG78" s="361">
        <v>0.14466470517439781</v>
      </c>
      <c r="AH78" s="362"/>
      <c r="AI78" s="363"/>
      <c r="AJ78" s="361">
        <v>-0.12808503643874114</v>
      </c>
      <c r="AK78" s="362"/>
      <c r="AL78" s="363"/>
      <c r="AM78" s="361">
        <v>0.431450846697429</v>
      </c>
      <c r="AN78" s="362"/>
      <c r="AO78" s="363"/>
      <c r="AP78" s="361">
        <v>-4.9931032165908482E-2</v>
      </c>
      <c r="AQ78" s="362"/>
      <c r="AR78" s="363"/>
      <c r="AS78" s="236">
        <v>0.90421816496545515</v>
      </c>
      <c r="AT78" s="236">
        <v>-10.910268520534142</v>
      </c>
      <c r="AU78" s="241">
        <v>27.766959111856039</v>
      </c>
      <c r="AV78" s="331">
        <v>189.95539813043479</v>
      </c>
      <c r="AW78" s="236">
        <v>5.0248451824517746</v>
      </c>
      <c r="AX78" s="421">
        <v>1.6893028198650017</v>
      </c>
      <c r="AY78" s="422"/>
      <c r="AZ78" s="423"/>
      <c r="BA78" s="421">
        <v>2.4502294956199995</v>
      </c>
      <c r="BB78" s="422"/>
      <c r="BC78" s="423"/>
      <c r="BD78" s="421">
        <v>15.023292987499458</v>
      </c>
      <c r="BE78" s="422"/>
      <c r="BF78" s="423"/>
      <c r="BG78" s="421">
        <v>4.791339896188477</v>
      </c>
      <c r="BH78" s="422"/>
      <c r="BI78" s="423"/>
      <c r="BJ78" s="421">
        <v>67.016365217548952</v>
      </c>
      <c r="BK78" s="422"/>
      <c r="BL78" s="423"/>
      <c r="BM78" s="421">
        <v>2.3920493965242815</v>
      </c>
      <c r="BN78" s="422"/>
      <c r="BO78" s="423"/>
      <c r="BP78" s="421">
        <v>18.599078850271432</v>
      </c>
      <c r="BQ78" s="422"/>
      <c r="BR78" s="423"/>
      <c r="BS78" s="242">
        <v>0.73166623197253222</v>
      </c>
      <c r="BT78" s="236">
        <v>0.46997641382898425</v>
      </c>
      <c r="BU78" s="236">
        <v>8.9750286913421157E-2</v>
      </c>
      <c r="BV78" s="234"/>
      <c r="BW78" s="234"/>
      <c r="BX78" s="33"/>
      <c r="BY78" s="116"/>
      <c r="BZ78" s="100"/>
      <c r="CA78" s="100"/>
      <c r="CB78" s="100"/>
      <c r="CD78" s="116"/>
      <c r="CE78" s="116"/>
      <c r="CF78" s="116"/>
      <c r="CG78" s="118"/>
      <c r="CN78" s="36"/>
    </row>
    <row r="79" spans="1:92" s="66" customFormat="1" ht="11.25" customHeight="1" x14ac:dyDescent="0.2">
      <c r="A79" s="181" t="s">
        <v>216</v>
      </c>
      <c r="B79" s="181"/>
      <c r="C79" s="181"/>
      <c r="D79" s="181"/>
      <c r="E79" s="181"/>
      <c r="F79" s="181"/>
      <c r="G79" s="181"/>
      <c r="H79" s="181"/>
      <c r="I79" s="181"/>
      <c r="J79" s="181"/>
      <c r="K79" s="181"/>
      <c r="L79" s="181"/>
      <c r="M79" s="181"/>
      <c r="N79" s="181"/>
      <c r="O79" s="181"/>
      <c r="P79" s="181"/>
      <c r="Q79" s="181"/>
      <c r="R79" s="181"/>
      <c r="S79" s="181"/>
      <c r="T79" s="181"/>
      <c r="U79" s="181"/>
      <c r="V79" s="181"/>
      <c r="W79" s="181"/>
      <c r="X79" s="181"/>
      <c r="Y79" s="181"/>
      <c r="Z79" s="181"/>
      <c r="AA79" s="181"/>
      <c r="AB79" s="181"/>
      <c r="AC79" s="181"/>
      <c r="AD79" s="181"/>
      <c r="AE79" s="181"/>
      <c r="AF79" s="181"/>
      <c r="AG79" s="181"/>
      <c r="AH79" s="181"/>
      <c r="AI79" s="181"/>
      <c r="AJ79" s="181"/>
      <c r="AK79" s="181"/>
      <c r="AL79" s="181"/>
      <c r="AM79" s="181"/>
      <c r="AN79" s="181"/>
      <c r="AO79" s="181"/>
      <c r="AP79" s="181"/>
      <c r="AQ79" s="181"/>
      <c r="AR79" s="181"/>
      <c r="AS79" s="181"/>
      <c r="AT79" s="181"/>
      <c r="AU79" s="181"/>
      <c r="AV79" s="181"/>
      <c r="AW79" s="237"/>
      <c r="AX79" s="181"/>
      <c r="AY79" s="181"/>
      <c r="AZ79" s="181"/>
      <c r="BA79" s="181"/>
      <c r="BB79" s="181"/>
      <c r="BC79" s="181"/>
      <c r="BD79" s="181"/>
      <c r="BE79" s="181"/>
      <c r="BF79" s="181"/>
      <c r="BG79" s="181"/>
      <c r="BH79" s="181"/>
      <c r="BI79" s="181"/>
      <c r="BJ79" s="181"/>
      <c r="BK79" s="181"/>
      <c r="BL79" s="181"/>
      <c r="BM79" s="181"/>
      <c r="BN79" s="181"/>
      <c r="BO79" s="181"/>
      <c r="BP79" s="181"/>
      <c r="BQ79" s="181"/>
      <c r="BR79" s="181"/>
      <c r="BS79" s="181"/>
      <c r="BT79" s="181"/>
      <c r="BU79" s="181"/>
      <c r="BV79" s="182"/>
      <c r="BW79" s="262"/>
      <c r="BX79" s="62"/>
      <c r="BY79" s="115"/>
      <c r="BZ79" s="101"/>
      <c r="CA79" s="102"/>
      <c r="CB79" s="106"/>
      <c r="CD79" s="115"/>
      <c r="CE79" s="116"/>
      <c r="CF79" s="116"/>
      <c r="CG79" s="118"/>
      <c r="CN79" s="67"/>
    </row>
    <row r="80" spans="1:92" s="66" customFormat="1" ht="11.25" customHeight="1" x14ac:dyDescent="0.2">
      <c r="A80" s="455" t="s">
        <v>37</v>
      </c>
      <c r="B80" s="455"/>
      <c r="C80" s="454">
        <v>12.6</v>
      </c>
      <c r="D80" s="454"/>
      <c r="E80" s="144">
        <v>0.01</v>
      </c>
      <c r="F80" s="370">
        <v>3.6296276747349996</v>
      </c>
      <c r="G80" s="371"/>
      <c r="H80" s="372"/>
      <c r="I80" s="355">
        <v>7.2688669784332145</v>
      </c>
      <c r="J80" s="355"/>
      <c r="K80" s="355"/>
      <c r="L80" s="358">
        <v>0.75831999999999999</v>
      </c>
      <c r="M80" s="359"/>
      <c r="N80" s="360"/>
      <c r="O80" s="358">
        <v>0.50422999999999996</v>
      </c>
      <c r="P80" s="359"/>
      <c r="Q80" s="360"/>
      <c r="R80" s="373" t="s">
        <v>189</v>
      </c>
      <c r="S80" s="374"/>
      <c r="T80" s="375"/>
      <c r="U80" s="355">
        <v>0.88262487824145297</v>
      </c>
      <c r="V80" s="355"/>
      <c r="W80" s="355"/>
      <c r="X80" s="356">
        <v>122.86760099740961</v>
      </c>
      <c r="Y80" s="356"/>
      <c r="Z80" s="356"/>
      <c r="AA80" s="357">
        <v>9.8205899999999999E-2</v>
      </c>
      <c r="AB80" s="357"/>
      <c r="AC80" s="357"/>
      <c r="AD80" s="357" t="s">
        <v>189</v>
      </c>
      <c r="AE80" s="357"/>
      <c r="AF80" s="357"/>
      <c r="AG80" s="357" t="s">
        <v>189</v>
      </c>
      <c r="AH80" s="357"/>
      <c r="AI80" s="357"/>
      <c r="AJ80" s="357">
        <v>3.2999396279755677E-2</v>
      </c>
      <c r="AK80" s="357"/>
      <c r="AL80" s="357"/>
      <c r="AM80" s="420">
        <v>-1.2036913623476522</v>
      </c>
      <c r="AN80" s="420"/>
      <c r="AO80" s="420"/>
      <c r="AP80" s="357">
        <v>-0.23260271539629709</v>
      </c>
      <c r="AQ80" s="357"/>
      <c r="AR80" s="357"/>
      <c r="AS80" s="134">
        <v>-5.3833959012862334</v>
      </c>
      <c r="AT80" s="134">
        <v>-3.4979689407344141</v>
      </c>
      <c r="AU80" s="174">
        <v>4.8375015280321598</v>
      </c>
      <c r="AV80" s="329">
        <v>742.76430434782617</v>
      </c>
      <c r="AW80" s="184">
        <v>0.14527598951073756</v>
      </c>
      <c r="AX80" s="355">
        <v>4.6692373749999998</v>
      </c>
      <c r="AY80" s="355"/>
      <c r="AZ80" s="355"/>
      <c r="BA80" s="355">
        <v>1.2617727086300001</v>
      </c>
      <c r="BB80" s="355"/>
      <c r="BC80" s="355"/>
      <c r="BD80" s="355">
        <v>10.544418844395899</v>
      </c>
      <c r="BE80" s="355"/>
      <c r="BF80" s="355"/>
      <c r="BG80" s="355">
        <v>1.341622026798996</v>
      </c>
      <c r="BH80" s="355"/>
      <c r="BI80" s="355"/>
      <c r="BJ80" s="355" t="s">
        <v>189</v>
      </c>
      <c r="BK80" s="355"/>
      <c r="BL80" s="355"/>
      <c r="BM80" s="355">
        <v>0.27371819185678359</v>
      </c>
      <c r="BN80" s="355"/>
      <c r="BO80" s="355"/>
      <c r="BP80" s="355" t="s">
        <v>189</v>
      </c>
      <c r="BQ80" s="355"/>
      <c r="BR80" s="358"/>
      <c r="BS80" s="136">
        <v>0.83789141528247102</v>
      </c>
      <c r="BT80" s="134">
        <v>0.4654615361344604</v>
      </c>
      <c r="BU80" s="137">
        <v>-9.1886564171678287E-2</v>
      </c>
      <c r="BV80" s="179">
        <v>43159</v>
      </c>
      <c r="BW80" s="264" t="s">
        <v>37</v>
      </c>
      <c r="BX80" s="62"/>
      <c r="BY80" s="115"/>
      <c r="BZ80" s="100"/>
      <c r="CA80" s="100"/>
      <c r="CB80" s="100"/>
      <c r="CD80" s="116"/>
      <c r="CE80" s="120"/>
      <c r="CF80" s="115"/>
      <c r="CG80" s="115"/>
      <c r="CN80" s="67"/>
    </row>
    <row r="81" spans="1:92" s="35" customFormat="1" ht="11.25" customHeight="1" x14ac:dyDescent="0.2">
      <c r="A81" s="337" t="s">
        <v>39</v>
      </c>
      <c r="B81" s="337"/>
      <c r="C81" s="338">
        <v>12.9</v>
      </c>
      <c r="D81" s="338"/>
      <c r="E81" s="143">
        <v>0</v>
      </c>
      <c r="F81" s="339">
        <v>5.8255492270139992</v>
      </c>
      <c r="G81" s="340"/>
      <c r="H81" s="341"/>
      <c r="I81" s="342">
        <v>31.142310821806348</v>
      </c>
      <c r="J81" s="342"/>
      <c r="K81" s="342"/>
      <c r="L81" s="343">
        <v>0.97157000000000004</v>
      </c>
      <c r="M81" s="344"/>
      <c r="N81" s="345"/>
      <c r="O81" s="343">
        <v>0.7147</v>
      </c>
      <c r="P81" s="344"/>
      <c r="Q81" s="345"/>
      <c r="R81" s="346" t="s">
        <v>189</v>
      </c>
      <c r="S81" s="347"/>
      <c r="T81" s="348"/>
      <c r="U81" s="342">
        <v>2.1667820462736396</v>
      </c>
      <c r="V81" s="342"/>
      <c r="W81" s="342"/>
      <c r="X81" s="349">
        <v>207.72114291935333</v>
      </c>
      <c r="Y81" s="349"/>
      <c r="Z81" s="349"/>
      <c r="AA81" s="350">
        <v>0.32077019999999995</v>
      </c>
      <c r="AB81" s="350"/>
      <c r="AC81" s="350"/>
      <c r="AD81" s="350" t="s">
        <v>189</v>
      </c>
      <c r="AE81" s="350"/>
      <c r="AF81" s="350"/>
      <c r="AG81" s="350" t="s">
        <v>189</v>
      </c>
      <c r="AH81" s="350"/>
      <c r="AI81" s="350"/>
      <c r="AJ81" s="350">
        <v>-0.14487015045237536</v>
      </c>
      <c r="AK81" s="350"/>
      <c r="AL81" s="350"/>
      <c r="AM81" s="350">
        <v>0</v>
      </c>
      <c r="AN81" s="350"/>
      <c r="AO81" s="350"/>
      <c r="AP81" s="350">
        <v>-0.26520733735744956</v>
      </c>
      <c r="AQ81" s="350"/>
      <c r="AR81" s="350"/>
      <c r="AS81" s="129">
        <v>0.81616985960301536</v>
      </c>
      <c r="AT81" s="129">
        <v>-5.6919863196042471</v>
      </c>
      <c r="AU81" s="175">
        <v>14.009411934822859</v>
      </c>
      <c r="AV81" s="328">
        <v>117.04004347826088</v>
      </c>
      <c r="AW81" s="183">
        <v>0.35686867005464584</v>
      </c>
      <c r="AX81" s="342">
        <v>0.25499183540000003</v>
      </c>
      <c r="AY81" s="342"/>
      <c r="AZ81" s="342"/>
      <c r="BA81" s="342">
        <v>0.18492183540000001</v>
      </c>
      <c r="BB81" s="342"/>
      <c r="BC81" s="342"/>
      <c r="BD81" s="342" t="s">
        <v>189</v>
      </c>
      <c r="BE81" s="342"/>
      <c r="BF81" s="342"/>
      <c r="BG81" s="342">
        <v>17.448748386488017</v>
      </c>
      <c r="BH81" s="342"/>
      <c r="BI81" s="342"/>
      <c r="BJ81" s="342" t="s">
        <v>189</v>
      </c>
      <c r="BK81" s="342"/>
      <c r="BL81" s="342"/>
      <c r="BM81" s="342">
        <v>0.30369969863540142</v>
      </c>
      <c r="BN81" s="342"/>
      <c r="BO81" s="342"/>
      <c r="BP81" s="342" t="s">
        <v>189</v>
      </c>
      <c r="BQ81" s="342"/>
      <c r="BR81" s="343"/>
      <c r="BS81" s="131">
        <v>0.353203614853562</v>
      </c>
      <c r="BT81" s="129">
        <v>1.4507383985200457</v>
      </c>
      <c r="BU81" s="132">
        <v>3.0776887273958442E-2</v>
      </c>
      <c r="BV81" s="180">
        <v>43100</v>
      </c>
      <c r="BW81" s="263" t="s">
        <v>39</v>
      </c>
      <c r="BX81" s="33"/>
      <c r="BY81" s="116"/>
      <c r="BZ81" s="100"/>
      <c r="CA81" s="100"/>
      <c r="CB81" s="100"/>
      <c r="CD81" s="115"/>
      <c r="CE81" s="118"/>
      <c r="CF81" s="116"/>
      <c r="CG81" s="116"/>
      <c r="CN81" s="36"/>
    </row>
    <row r="82" spans="1:92" s="35" customFormat="1" ht="11.25" customHeight="1" x14ac:dyDescent="0.2">
      <c r="A82" s="455" t="s">
        <v>176</v>
      </c>
      <c r="B82" s="455"/>
      <c r="C82" s="454">
        <v>13.950000000000001</v>
      </c>
      <c r="D82" s="454"/>
      <c r="E82" s="144">
        <v>1</v>
      </c>
      <c r="F82" s="370">
        <v>1.9693744359900001</v>
      </c>
      <c r="G82" s="371"/>
      <c r="H82" s="372"/>
      <c r="I82" s="355">
        <v>4.463178638582737</v>
      </c>
      <c r="J82" s="355"/>
      <c r="K82" s="355"/>
      <c r="L82" s="358">
        <v>1.1442600000000001</v>
      </c>
      <c r="M82" s="359"/>
      <c r="N82" s="360"/>
      <c r="O82" s="358">
        <v>0.92201999999999995</v>
      </c>
      <c r="P82" s="359"/>
      <c r="Q82" s="360"/>
      <c r="R82" s="373" t="s">
        <v>189</v>
      </c>
      <c r="S82" s="374"/>
      <c r="T82" s="375"/>
      <c r="U82" s="355">
        <v>1.7576286409103314</v>
      </c>
      <c r="V82" s="355"/>
      <c r="W82" s="355"/>
      <c r="X82" s="356">
        <v>21.968138262448363</v>
      </c>
      <c r="Y82" s="356"/>
      <c r="Z82" s="356"/>
      <c r="AA82" s="357">
        <v>0.14762819999999999</v>
      </c>
      <c r="AB82" s="357"/>
      <c r="AC82" s="357"/>
      <c r="AD82" s="357">
        <v>1.0839399999999999E-2</v>
      </c>
      <c r="AE82" s="357"/>
      <c r="AF82" s="357"/>
      <c r="AG82" s="357">
        <v>1.214986252683993E-2</v>
      </c>
      <c r="AH82" s="357"/>
      <c r="AI82" s="357"/>
      <c r="AJ82" s="357">
        <v>-6.8984996945989042E-3</v>
      </c>
      <c r="AK82" s="357"/>
      <c r="AL82" s="357"/>
      <c r="AM82" s="420">
        <v>8.2475806015606695E-2</v>
      </c>
      <c r="AN82" s="420"/>
      <c r="AO82" s="420"/>
      <c r="AP82" s="357">
        <v>1.708398157747856E-2</v>
      </c>
      <c r="AQ82" s="357"/>
      <c r="AR82" s="357"/>
      <c r="AS82" s="134">
        <v>131.19766309639726</v>
      </c>
      <c r="AT82" s="134">
        <v>-2.0723843978669096</v>
      </c>
      <c r="AU82" s="174">
        <v>3.5001906218445633</v>
      </c>
      <c r="AV82" s="329">
        <v>1299.2414782608694</v>
      </c>
      <c r="AW82" s="184">
        <v>0.19930557673853244</v>
      </c>
      <c r="AX82" s="355">
        <v>8.5963396040000095</v>
      </c>
      <c r="AY82" s="355"/>
      <c r="AZ82" s="355"/>
      <c r="BA82" s="355" t="s">
        <v>189</v>
      </c>
      <c r="BB82" s="355"/>
      <c r="BC82" s="355"/>
      <c r="BD82" s="355">
        <v>9.5634108343957802</v>
      </c>
      <c r="BE82" s="355"/>
      <c r="BF82" s="355"/>
      <c r="BG82" s="355" t="s">
        <v>189</v>
      </c>
      <c r="BH82" s="355"/>
      <c r="BI82" s="355"/>
      <c r="BJ82" s="355">
        <v>45.10038472729623</v>
      </c>
      <c r="BK82" s="355"/>
      <c r="BL82" s="355"/>
      <c r="BM82" s="355" t="s">
        <v>189</v>
      </c>
      <c r="BN82" s="355"/>
      <c r="BO82" s="355"/>
      <c r="BP82" s="355">
        <v>52.473646343600002</v>
      </c>
      <c r="BQ82" s="355"/>
      <c r="BR82" s="358"/>
      <c r="BS82" s="136">
        <v>0.76178067788928605</v>
      </c>
      <c r="BT82" s="134">
        <v>0.52359434046749687</v>
      </c>
      <c r="BU82" s="137">
        <v>-9.3222880867438018E-2</v>
      </c>
      <c r="BV82" s="179">
        <v>43008</v>
      </c>
      <c r="BW82" s="264" t="s">
        <v>176</v>
      </c>
      <c r="BX82" s="33"/>
      <c r="BY82" s="116"/>
      <c r="BZ82" s="100"/>
      <c r="CA82" s="100"/>
      <c r="CB82" s="100"/>
      <c r="CD82" s="116"/>
      <c r="CE82" s="118"/>
      <c r="CF82" s="116"/>
      <c r="CG82" s="116"/>
      <c r="CN82" s="36"/>
    </row>
    <row r="83" spans="1:92" s="35" customFormat="1" ht="11.25" customHeight="1" x14ac:dyDescent="0.2">
      <c r="A83" s="337" t="s">
        <v>50</v>
      </c>
      <c r="B83" s="337"/>
      <c r="C83" s="338">
        <v>7.55</v>
      </c>
      <c r="D83" s="338"/>
      <c r="E83" s="146">
        <v>1</v>
      </c>
      <c r="F83" s="339">
        <v>1.4768826207160002</v>
      </c>
      <c r="G83" s="340"/>
      <c r="H83" s="341"/>
      <c r="I83" s="342">
        <v>3.6848508161139022</v>
      </c>
      <c r="J83" s="342"/>
      <c r="K83" s="342"/>
      <c r="L83" s="343">
        <v>1.0587599999999999</v>
      </c>
      <c r="M83" s="344"/>
      <c r="N83" s="345"/>
      <c r="O83" s="343">
        <v>0.73933000000000004</v>
      </c>
      <c r="P83" s="344"/>
      <c r="Q83" s="345"/>
      <c r="R83" s="346">
        <v>3.7410361688311701E-3</v>
      </c>
      <c r="S83" s="347"/>
      <c r="T83" s="348"/>
      <c r="U83" s="342">
        <v>1.6528707260270539</v>
      </c>
      <c r="V83" s="342"/>
      <c r="W83" s="342"/>
      <c r="X83" s="349">
        <v>76.683252931030395</v>
      </c>
      <c r="Y83" s="349"/>
      <c r="Z83" s="349"/>
      <c r="AA83" s="350">
        <v>0.18921779999999999</v>
      </c>
      <c r="AB83" s="350"/>
      <c r="AC83" s="350"/>
      <c r="AD83" s="350">
        <v>6.8310300000000004E-2</v>
      </c>
      <c r="AE83" s="350"/>
      <c r="AF83" s="350"/>
      <c r="AG83" s="350">
        <v>1.412417477548287E-2</v>
      </c>
      <c r="AH83" s="350"/>
      <c r="AI83" s="350"/>
      <c r="AJ83" s="350">
        <v>-7.5751096237224924E-2</v>
      </c>
      <c r="AK83" s="350"/>
      <c r="AL83" s="350"/>
      <c r="AM83" s="350">
        <v>6.3414941872891331E-2</v>
      </c>
      <c r="AN83" s="350"/>
      <c r="AO83" s="350"/>
      <c r="AP83" s="350">
        <v>1.8676813769065864E-2</v>
      </c>
      <c r="AQ83" s="350"/>
      <c r="AR83" s="350"/>
      <c r="AS83" s="129">
        <v>0.90742373181605385</v>
      </c>
      <c r="AT83" s="129">
        <v>20.557726454300884</v>
      </c>
      <c r="AU83" s="175">
        <v>47.416149135945489</v>
      </c>
      <c r="AV83" s="328">
        <v>86.471233043478236</v>
      </c>
      <c r="AW83" s="183">
        <v>0.20477307623679067</v>
      </c>
      <c r="AX83" s="342">
        <v>0.69563580000000003</v>
      </c>
      <c r="AY83" s="342"/>
      <c r="AZ83" s="342"/>
      <c r="BA83" s="342">
        <v>0.53461099999999995</v>
      </c>
      <c r="BB83" s="342"/>
      <c r="BC83" s="342"/>
      <c r="BD83" s="342">
        <v>15.147372253427999</v>
      </c>
      <c r="BE83" s="342"/>
      <c r="BF83" s="342"/>
      <c r="BG83" s="342">
        <v>4.1046471542543186</v>
      </c>
      <c r="BH83" s="342"/>
      <c r="BI83" s="342"/>
      <c r="BJ83" s="342">
        <v>64.963001204611942</v>
      </c>
      <c r="BK83" s="342"/>
      <c r="BL83" s="342"/>
      <c r="BM83" s="342">
        <v>0.93572425974155815</v>
      </c>
      <c r="BN83" s="342"/>
      <c r="BO83" s="342"/>
      <c r="BP83" s="342" t="s">
        <v>189</v>
      </c>
      <c r="BQ83" s="342"/>
      <c r="BR83" s="343"/>
      <c r="BS83" s="131">
        <v>0.55306322810609898</v>
      </c>
      <c r="BT83" s="129">
        <v>0.38746644306132305</v>
      </c>
      <c r="BU83" s="132">
        <v>2.1587053164256353E-2</v>
      </c>
      <c r="BV83" s="180">
        <v>43100</v>
      </c>
      <c r="BW83" s="263" t="s">
        <v>50</v>
      </c>
      <c r="BX83" s="33"/>
      <c r="BY83" s="116"/>
      <c r="BZ83" s="100"/>
      <c r="CA83" s="100"/>
      <c r="CB83" s="100"/>
      <c r="CD83" s="116"/>
      <c r="CE83" s="118"/>
      <c r="CF83" s="116"/>
      <c r="CG83" s="116"/>
      <c r="CN83" s="36"/>
    </row>
    <row r="84" spans="1:92" s="35" customFormat="1" ht="11.25" customHeight="1" x14ac:dyDescent="0.2">
      <c r="A84" s="455" t="s">
        <v>24</v>
      </c>
      <c r="B84" s="455"/>
      <c r="C84" s="454">
        <v>15</v>
      </c>
      <c r="D84" s="454"/>
      <c r="E84" s="144">
        <v>1</v>
      </c>
      <c r="F84" s="370">
        <v>9.9707617260999998E-2</v>
      </c>
      <c r="G84" s="371"/>
      <c r="H84" s="372"/>
      <c r="I84" s="355">
        <v>1.6838128667490762</v>
      </c>
      <c r="J84" s="355"/>
      <c r="K84" s="355"/>
      <c r="L84" s="358">
        <v>1.9808699999999999</v>
      </c>
      <c r="M84" s="359"/>
      <c r="N84" s="360"/>
      <c r="O84" s="358">
        <v>0.58665</v>
      </c>
      <c r="P84" s="359"/>
      <c r="Q84" s="360"/>
      <c r="R84" s="373">
        <v>1.47052154217687E-2</v>
      </c>
      <c r="S84" s="374"/>
      <c r="T84" s="375"/>
      <c r="U84" s="355">
        <v>1.5423020844810666</v>
      </c>
      <c r="V84" s="355"/>
      <c r="W84" s="355"/>
      <c r="X84" s="356">
        <v>185.09878618083803</v>
      </c>
      <c r="Y84" s="356"/>
      <c r="Z84" s="356"/>
      <c r="AA84" s="357">
        <v>0.28514519999999999</v>
      </c>
      <c r="AB84" s="357"/>
      <c r="AC84" s="357"/>
      <c r="AD84" s="357">
        <v>0.213199</v>
      </c>
      <c r="AE84" s="357"/>
      <c r="AF84" s="357"/>
      <c r="AG84" s="357">
        <v>0.15685637518424858</v>
      </c>
      <c r="AH84" s="357"/>
      <c r="AI84" s="357"/>
      <c r="AJ84" s="357">
        <v>0.16276484522555651</v>
      </c>
      <c r="AK84" s="357"/>
      <c r="AL84" s="357"/>
      <c r="AM84" s="420">
        <v>0.3091700569085018</v>
      </c>
      <c r="AN84" s="420"/>
      <c r="AO84" s="420"/>
      <c r="AP84" s="357">
        <v>0.19353607529982511</v>
      </c>
      <c r="AQ84" s="357"/>
      <c r="AR84" s="357"/>
      <c r="AS84" s="134">
        <v>1.3555169931241693</v>
      </c>
      <c r="AT84" s="134">
        <v>0.6433355320352423</v>
      </c>
      <c r="AU84" s="174">
        <v>0.95046869685030333</v>
      </c>
      <c r="AV84" s="329">
        <v>2263.4539134782608</v>
      </c>
      <c r="AW84" s="184">
        <v>0.28845090749083063</v>
      </c>
      <c r="AX84" s="355">
        <v>41.715184139999998</v>
      </c>
      <c r="AY84" s="355"/>
      <c r="AZ84" s="355"/>
      <c r="BA84" s="355">
        <v>41.16</v>
      </c>
      <c r="BB84" s="355"/>
      <c r="BC84" s="355"/>
      <c r="BD84" s="355">
        <v>8.3583293946270096</v>
      </c>
      <c r="BE84" s="355"/>
      <c r="BF84" s="355"/>
      <c r="BG84" s="355">
        <v>4.5935657395689224</v>
      </c>
      <c r="BH84" s="355"/>
      <c r="BI84" s="355"/>
      <c r="BJ84" s="355">
        <v>14.9615488195338</v>
      </c>
      <c r="BK84" s="355"/>
      <c r="BL84" s="355"/>
      <c r="BM84" s="355">
        <v>2.2998978717945331</v>
      </c>
      <c r="BN84" s="355"/>
      <c r="BO84" s="355"/>
      <c r="BP84" s="355" t="s">
        <v>189</v>
      </c>
      <c r="BQ84" s="355"/>
      <c r="BR84" s="358"/>
      <c r="BS84" s="136">
        <v>0.92336543722251696</v>
      </c>
      <c r="BT84" s="134">
        <v>0.39420931432092965</v>
      </c>
      <c r="BU84" s="137">
        <v>-2.2888751125932583E-2</v>
      </c>
      <c r="BV84" s="179">
        <v>43100</v>
      </c>
      <c r="BW84" s="264" t="s">
        <v>24</v>
      </c>
      <c r="BX84" s="33"/>
      <c r="BY84" s="116"/>
      <c r="BZ84" s="100"/>
      <c r="CA84" s="100"/>
      <c r="CB84" s="100"/>
      <c r="CD84" s="116"/>
      <c r="CE84" s="118"/>
      <c r="CF84" s="116"/>
      <c r="CG84" s="116"/>
      <c r="CN84" s="36"/>
    </row>
    <row r="85" spans="1:92" s="35" customFormat="1" ht="11.25" customHeight="1" x14ac:dyDescent="0.2">
      <c r="A85" s="337" t="s">
        <v>77</v>
      </c>
      <c r="B85" s="337"/>
      <c r="C85" s="338">
        <v>68</v>
      </c>
      <c r="D85" s="338"/>
      <c r="E85" s="146">
        <v>1</v>
      </c>
      <c r="F85" s="339">
        <v>1.176566260178</v>
      </c>
      <c r="G85" s="340"/>
      <c r="H85" s="341"/>
      <c r="I85" s="342">
        <v>3.5519489609316817</v>
      </c>
      <c r="J85" s="342"/>
      <c r="K85" s="342"/>
      <c r="L85" s="343">
        <v>1.2225600000000001</v>
      </c>
      <c r="M85" s="344"/>
      <c r="N85" s="345"/>
      <c r="O85" s="343">
        <v>0.55193999999999999</v>
      </c>
      <c r="P85" s="344"/>
      <c r="Q85" s="345"/>
      <c r="R85" s="346">
        <v>8.0882352941176513E-3</v>
      </c>
      <c r="S85" s="347"/>
      <c r="T85" s="348"/>
      <c r="U85" s="342">
        <v>1.2144414005918196</v>
      </c>
      <c r="V85" s="342"/>
      <c r="W85" s="342"/>
      <c r="X85" s="349">
        <v>195.35720959134474</v>
      </c>
      <c r="Y85" s="349"/>
      <c r="Z85" s="349"/>
      <c r="AA85" s="350">
        <v>0.24748110000000001</v>
      </c>
      <c r="AB85" s="350"/>
      <c r="AC85" s="350"/>
      <c r="AD85" s="350">
        <v>0.14956250000000001</v>
      </c>
      <c r="AE85" s="350"/>
      <c r="AF85" s="350"/>
      <c r="AG85" s="350">
        <v>4.0829675578143862E-2</v>
      </c>
      <c r="AH85" s="350"/>
      <c r="AI85" s="350"/>
      <c r="AJ85" s="350">
        <v>-6.8155729611428864E-2</v>
      </c>
      <c r="AK85" s="350"/>
      <c r="AL85" s="350"/>
      <c r="AM85" s="350">
        <v>0.13391317076390755</v>
      </c>
      <c r="AN85" s="350"/>
      <c r="AO85" s="350"/>
      <c r="AP85" s="350">
        <v>3.9668414781054762E-2</v>
      </c>
      <c r="AQ85" s="350"/>
      <c r="AR85" s="350"/>
      <c r="AS85" s="129">
        <v>0.75340760177045452</v>
      </c>
      <c r="AT85" s="129">
        <v>1.8836499393011706E-2</v>
      </c>
      <c r="AU85" s="175">
        <v>0.35915835756614378</v>
      </c>
      <c r="AV85" s="328">
        <v>340.84448130434788</v>
      </c>
      <c r="AW85" s="183">
        <v>0.18178242747146603</v>
      </c>
      <c r="AX85" s="342">
        <v>5.5153347679999998</v>
      </c>
      <c r="AY85" s="342"/>
      <c r="AZ85" s="342"/>
      <c r="BA85" s="342">
        <v>4.932186948</v>
      </c>
      <c r="BB85" s="342"/>
      <c r="BC85" s="342"/>
      <c r="BD85" s="342">
        <v>16.2692719599053</v>
      </c>
      <c r="BE85" s="342"/>
      <c r="BF85" s="342"/>
      <c r="BG85" s="342">
        <v>7.9901017019421738</v>
      </c>
      <c r="BH85" s="342"/>
      <c r="BI85" s="342"/>
      <c r="BJ85" s="342">
        <v>62.765947627354869</v>
      </c>
      <c r="BK85" s="342"/>
      <c r="BL85" s="342"/>
      <c r="BM85" s="342">
        <v>2.5627223422244736</v>
      </c>
      <c r="BN85" s="342"/>
      <c r="BO85" s="342"/>
      <c r="BP85" s="342" t="s">
        <v>189</v>
      </c>
      <c r="BQ85" s="342"/>
      <c r="BR85" s="343"/>
      <c r="BS85" s="131">
        <v>0.25308730878335201</v>
      </c>
      <c r="BT85" s="129">
        <v>0.37710606552839598</v>
      </c>
      <c r="BU85" s="132">
        <v>9.5278446901744696E-2</v>
      </c>
      <c r="BV85" s="180">
        <v>43159</v>
      </c>
      <c r="BW85" s="263" t="s">
        <v>77</v>
      </c>
      <c r="BX85" s="33"/>
      <c r="BY85" s="116"/>
      <c r="BZ85" s="100"/>
      <c r="CA85" s="100"/>
      <c r="CB85" s="100"/>
      <c r="CD85" s="116"/>
      <c r="CE85" s="118"/>
      <c r="CF85" s="116"/>
      <c r="CG85" s="116"/>
      <c r="CN85" s="36"/>
    </row>
    <row r="86" spans="1:92" s="35" customFormat="1" ht="11.25" customHeight="1" x14ac:dyDescent="0.2">
      <c r="A86" s="455" t="s">
        <v>263</v>
      </c>
      <c r="B86" s="455"/>
      <c r="C86" s="454">
        <v>85.5</v>
      </c>
      <c r="D86" s="454"/>
      <c r="E86" s="144">
        <v>0.1</v>
      </c>
      <c r="F86" s="370">
        <v>1.1416142553599999</v>
      </c>
      <c r="G86" s="371"/>
      <c r="H86" s="372"/>
      <c r="I86" s="355">
        <v>3.3936138654530659</v>
      </c>
      <c r="J86" s="355"/>
      <c r="K86" s="355"/>
      <c r="L86" s="358">
        <v>1.19075</v>
      </c>
      <c r="M86" s="359"/>
      <c r="N86" s="360"/>
      <c r="O86" s="358">
        <v>0.85577000000000003</v>
      </c>
      <c r="P86" s="359"/>
      <c r="Q86" s="360"/>
      <c r="R86" s="373">
        <v>0</v>
      </c>
      <c r="S86" s="374"/>
      <c r="T86" s="375"/>
      <c r="U86" s="355">
        <v>1.8987479625039441</v>
      </c>
      <c r="V86" s="355"/>
      <c r="W86" s="355"/>
      <c r="X86" s="356" t="s">
        <v>189</v>
      </c>
      <c r="Y86" s="356"/>
      <c r="Z86" s="356"/>
      <c r="AA86" s="357">
        <v>0.2902208</v>
      </c>
      <c r="AB86" s="357"/>
      <c r="AC86" s="357"/>
      <c r="AD86" s="357">
        <v>0.20462730000000001</v>
      </c>
      <c r="AE86" s="357"/>
      <c r="AF86" s="357"/>
      <c r="AG86" s="357">
        <v>0.10406821351767795</v>
      </c>
      <c r="AH86" s="357"/>
      <c r="AI86" s="357"/>
      <c r="AJ86" s="357">
        <v>5.7034251683768765E-2</v>
      </c>
      <c r="AK86" s="357"/>
      <c r="AL86" s="357"/>
      <c r="AM86" s="420">
        <v>1.0639568307338014</v>
      </c>
      <c r="AN86" s="420"/>
      <c r="AO86" s="420"/>
      <c r="AP86" s="357">
        <v>0.14819967962929737</v>
      </c>
      <c r="AQ86" s="357"/>
      <c r="AR86" s="357"/>
      <c r="AS86" s="287">
        <v>2.0513805464721697</v>
      </c>
      <c r="AT86" s="287">
        <v>1.0388415221605205</v>
      </c>
      <c r="AU86" s="285">
        <v>0.9792893111525609</v>
      </c>
      <c r="AV86" s="329">
        <v>3145.116865</v>
      </c>
      <c r="AW86" s="288">
        <v>0.11493287005146421</v>
      </c>
      <c r="AX86" s="355">
        <v>51.724454092000002</v>
      </c>
      <c r="AY86" s="355"/>
      <c r="AZ86" s="355"/>
      <c r="BA86" s="355">
        <v>49.947019861999998</v>
      </c>
      <c r="BB86" s="355"/>
      <c r="BC86" s="355"/>
      <c r="BD86" s="355">
        <v>14.873828172813401</v>
      </c>
      <c r="BE86" s="355"/>
      <c r="BF86" s="355"/>
      <c r="BG86" s="355">
        <v>13.471024387995209</v>
      </c>
      <c r="BH86" s="355"/>
      <c r="BI86" s="355"/>
      <c r="BJ86" s="355">
        <v>30.892299687825183</v>
      </c>
      <c r="BK86" s="355"/>
      <c r="BL86" s="355"/>
      <c r="BM86" s="355">
        <v>3.2673866329675714</v>
      </c>
      <c r="BN86" s="355"/>
      <c r="BO86" s="355"/>
      <c r="BP86" s="355">
        <v>0</v>
      </c>
      <c r="BQ86" s="355"/>
      <c r="BR86" s="358"/>
      <c r="BS86" s="286" t="s">
        <v>189</v>
      </c>
      <c r="BT86" s="287" t="s">
        <v>189</v>
      </c>
      <c r="BU86" s="288" t="s">
        <v>189</v>
      </c>
      <c r="BV86" s="179">
        <v>43100</v>
      </c>
      <c r="BW86" s="264" t="s">
        <v>263</v>
      </c>
      <c r="BX86" s="33"/>
      <c r="BY86" s="116"/>
      <c r="BZ86" s="100"/>
      <c r="CA86" s="100"/>
      <c r="CB86" s="100"/>
      <c r="CD86" s="116"/>
      <c r="CE86" s="118"/>
      <c r="CF86" s="116"/>
      <c r="CG86" s="116"/>
      <c r="CN86" s="36"/>
    </row>
    <row r="87" spans="1:92" s="35" customFormat="1" ht="11.25" customHeight="1" x14ac:dyDescent="0.2">
      <c r="A87" s="337" t="s">
        <v>262</v>
      </c>
      <c r="B87" s="337"/>
      <c r="C87" s="338">
        <v>96.4</v>
      </c>
      <c r="D87" s="338"/>
      <c r="E87" s="146">
        <v>1</v>
      </c>
      <c r="F87" s="339">
        <v>3.4852161046000002E-2</v>
      </c>
      <c r="G87" s="340"/>
      <c r="H87" s="341"/>
      <c r="I87" s="342">
        <v>4.792544197550658</v>
      </c>
      <c r="J87" s="342"/>
      <c r="K87" s="342"/>
      <c r="L87" s="343">
        <v>0.68215999999999999</v>
      </c>
      <c r="M87" s="344"/>
      <c r="N87" s="345"/>
      <c r="O87" s="343">
        <v>0.49402000000000001</v>
      </c>
      <c r="P87" s="344"/>
      <c r="Q87" s="345"/>
      <c r="R87" s="346">
        <v>2.5852526334225998E-2</v>
      </c>
      <c r="S87" s="347"/>
      <c r="T87" s="348"/>
      <c r="U87" s="342">
        <v>2.5398821565704361</v>
      </c>
      <c r="V87" s="342"/>
      <c r="W87" s="342"/>
      <c r="X87" s="349">
        <v>-0.89062782014681829</v>
      </c>
      <c r="Y87" s="349"/>
      <c r="Z87" s="349"/>
      <c r="AA87" s="350">
        <v>0.44180100000000005</v>
      </c>
      <c r="AB87" s="350"/>
      <c r="AC87" s="350"/>
      <c r="AD87" s="350">
        <v>0.21554320000000002</v>
      </c>
      <c r="AE87" s="350"/>
      <c r="AF87" s="350"/>
      <c r="AG87" s="350">
        <v>0.14310963448536582</v>
      </c>
      <c r="AH87" s="350"/>
      <c r="AI87" s="350"/>
      <c r="AJ87" s="350">
        <v>0.16695673800069336</v>
      </c>
      <c r="AK87" s="350"/>
      <c r="AL87" s="350"/>
      <c r="AM87" s="350">
        <v>0.71063345597590089</v>
      </c>
      <c r="AN87" s="350"/>
      <c r="AO87" s="350"/>
      <c r="AP87" s="350">
        <v>0.29078614211585524</v>
      </c>
      <c r="AQ87" s="350"/>
      <c r="AR87" s="350"/>
      <c r="AS87" s="290">
        <v>0.62354523616366087</v>
      </c>
      <c r="AT87" s="290">
        <v>1.6161329314549495</v>
      </c>
      <c r="AU87" s="293">
        <v>2.0410956523495849</v>
      </c>
      <c r="AV87" s="328">
        <v>1047.9509391304348</v>
      </c>
      <c r="AW87" s="290">
        <v>0.14240165990243464</v>
      </c>
      <c r="AX87" s="342">
        <v>32.205989531650104</v>
      </c>
      <c r="AY87" s="342"/>
      <c r="AZ87" s="342"/>
      <c r="BA87" s="342">
        <v>32.864511521650002</v>
      </c>
      <c r="BB87" s="342"/>
      <c r="BC87" s="342"/>
      <c r="BD87" s="342">
        <v>18.432067813440099</v>
      </c>
      <c r="BE87" s="342"/>
      <c r="BF87" s="342"/>
      <c r="BG87" s="342">
        <v>39.25811713700876</v>
      </c>
      <c r="BH87" s="342"/>
      <c r="BI87" s="342"/>
      <c r="BJ87" s="342">
        <v>31.90341604834493</v>
      </c>
      <c r="BK87" s="342"/>
      <c r="BL87" s="342"/>
      <c r="BM87" s="342">
        <v>4.4212249932809904</v>
      </c>
      <c r="BN87" s="342"/>
      <c r="BO87" s="342"/>
      <c r="BP87" s="342">
        <v>99.407179345700001</v>
      </c>
      <c r="BQ87" s="342"/>
      <c r="BR87" s="343"/>
      <c r="BS87" s="289">
        <v>1.1535899791556301</v>
      </c>
      <c r="BT87" s="290">
        <v>0.46163094515470654</v>
      </c>
      <c r="BU87" s="291">
        <v>0.26719412327644454</v>
      </c>
      <c r="BV87" s="180">
        <v>43100</v>
      </c>
      <c r="BW87" s="263" t="s">
        <v>262</v>
      </c>
      <c r="BX87" s="33"/>
      <c r="BY87" s="116"/>
      <c r="BZ87" s="100"/>
      <c r="CA87" s="100"/>
      <c r="CB87" s="100"/>
      <c r="CD87" s="116"/>
      <c r="CE87" s="118"/>
      <c r="CF87" s="115"/>
      <c r="CG87" s="115"/>
      <c r="CN87" s="36"/>
    </row>
    <row r="88" spans="1:92" s="35" customFormat="1" ht="11.25" customHeight="1" x14ac:dyDescent="0.2">
      <c r="A88" s="531" t="s">
        <v>266</v>
      </c>
      <c r="B88" s="531"/>
      <c r="C88" s="533">
        <v>14.950000000000001</v>
      </c>
      <c r="D88" s="533"/>
      <c r="E88" s="327">
        <v>1</v>
      </c>
      <c r="F88" s="498" t="s">
        <v>189</v>
      </c>
      <c r="G88" s="499"/>
      <c r="H88" s="500"/>
      <c r="I88" s="447">
        <v>1.3927199561981585</v>
      </c>
      <c r="J88" s="447"/>
      <c r="K88" s="447"/>
      <c r="L88" s="399">
        <v>1.46584</v>
      </c>
      <c r="M88" s="400"/>
      <c r="N88" s="401"/>
      <c r="O88" s="399">
        <v>0.60885</v>
      </c>
      <c r="P88" s="400"/>
      <c r="Q88" s="401"/>
      <c r="R88" s="513">
        <v>2.2982700110726603E-2</v>
      </c>
      <c r="S88" s="514"/>
      <c r="T88" s="515"/>
      <c r="U88" s="447">
        <v>1.0364954494129552</v>
      </c>
      <c r="V88" s="447"/>
      <c r="W88" s="447"/>
      <c r="X88" s="497">
        <v>101.26434513809969</v>
      </c>
      <c r="Y88" s="497"/>
      <c r="Z88" s="497"/>
      <c r="AA88" s="496">
        <v>0.24256419999999998</v>
      </c>
      <c r="AB88" s="496"/>
      <c r="AC88" s="496"/>
      <c r="AD88" s="496">
        <v>0.13523019999999999</v>
      </c>
      <c r="AE88" s="496"/>
      <c r="AF88" s="496"/>
      <c r="AG88" s="496">
        <v>8.6982703063536365E-2</v>
      </c>
      <c r="AH88" s="496"/>
      <c r="AI88" s="496"/>
      <c r="AJ88" s="496">
        <v>-2.5675423795035231E-3</v>
      </c>
      <c r="AK88" s="496"/>
      <c r="AL88" s="496"/>
      <c r="AM88" s="508">
        <v>0.10343967579169684</v>
      </c>
      <c r="AN88" s="508"/>
      <c r="AO88" s="508"/>
      <c r="AP88" s="496">
        <v>7.2125755853035114E-2</v>
      </c>
      <c r="AQ88" s="496"/>
      <c r="AR88" s="496"/>
      <c r="AS88" s="303" t="s">
        <v>189</v>
      </c>
      <c r="AT88" s="303">
        <v>0.87539838956480465</v>
      </c>
      <c r="AU88" s="304">
        <v>1.2386004923278033</v>
      </c>
      <c r="AV88" s="332">
        <v>5940.6933478260862</v>
      </c>
      <c r="AW88" s="305">
        <v>7.9949816720582489E-2</v>
      </c>
      <c r="AX88" s="447">
        <v>72.945244632350011</v>
      </c>
      <c r="AY88" s="447"/>
      <c r="AZ88" s="447"/>
      <c r="BA88" s="447" t="s">
        <v>189</v>
      </c>
      <c r="BB88" s="447"/>
      <c r="BC88" s="447"/>
      <c r="BD88" s="447">
        <v>12.025496808601</v>
      </c>
      <c r="BE88" s="447"/>
      <c r="BF88" s="447"/>
      <c r="BG88" s="447" t="s">
        <v>189</v>
      </c>
      <c r="BH88" s="447"/>
      <c r="BI88" s="447"/>
      <c r="BJ88" s="447">
        <v>18.190888737467148</v>
      </c>
      <c r="BK88" s="447"/>
      <c r="BL88" s="447"/>
      <c r="BM88" s="447" t="s">
        <v>189</v>
      </c>
      <c r="BN88" s="447"/>
      <c r="BO88" s="447"/>
      <c r="BP88" s="447">
        <v>13.4610659121</v>
      </c>
      <c r="BQ88" s="447"/>
      <c r="BR88" s="399"/>
      <c r="BS88" s="306">
        <v>0.84703423099362196</v>
      </c>
      <c r="BT88" s="303">
        <v>0.42451364069345066</v>
      </c>
      <c r="BU88" s="305">
        <v>6.3850329157956187E-2</v>
      </c>
      <c r="BV88" s="307">
        <v>43190</v>
      </c>
      <c r="BW88" s="308" t="s">
        <v>266</v>
      </c>
      <c r="BX88" s="33"/>
      <c r="BY88" s="116"/>
      <c r="BZ88" s="100"/>
      <c r="CA88" s="100"/>
      <c r="CB88" s="100"/>
      <c r="CD88" s="116"/>
      <c r="CE88" s="118"/>
      <c r="CF88" s="116"/>
      <c r="CG88" s="116"/>
      <c r="CN88" s="36"/>
    </row>
    <row r="89" spans="1:92" s="35" customFormat="1" ht="11.25" customHeight="1" x14ac:dyDescent="0.2">
      <c r="A89" s="424" t="s">
        <v>252</v>
      </c>
      <c r="B89" s="424"/>
      <c r="C89" s="425"/>
      <c r="D89" s="425"/>
      <c r="E89" s="326"/>
      <c r="F89" s="426">
        <v>1.9192717815374998</v>
      </c>
      <c r="G89" s="427"/>
      <c r="H89" s="428"/>
      <c r="I89" s="429">
        <v>6.8193163446465386</v>
      </c>
      <c r="J89" s="429"/>
      <c r="K89" s="429"/>
      <c r="L89" s="430">
        <v>1.1638988888888888</v>
      </c>
      <c r="M89" s="431"/>
      <c r="N89" s="432"/>
      <c r="O89" s="430">
        <v>0.66416777777777769</v>
      </c>
      <c r="P89" s="431"/>
      <c r="Q89" s="432"/>
      <c r="R89" s="433">
        <v>1.2561618888278355E-2</v>
      </c>
      <c r="S89" s="434"/>
      <c r="T89" s="435"/>
      <c r="U89" s="429">
        <v>1.6324194827791887</v>
      </c>
      <c r="V89" s="429"/>
      <c r="W89" s="429"/>
      <c r="X89" s="442">
        <v>113.75873102504715</v>
      </c>
      <c r="Y89" s="442"/>
      <c r="Z89" s="442"/>
      <c r="AA89" s="443">
        <v>0.25144826666666664</v>
      </c>
      <c r="AB89" s="443"/>
      <c r="AC89" s="443"/>
      <c r="AD89" s="443">
        <v>0.1424731285714286</v>
      </c>
      <c r="AE89" s="443"/>
      <c r="AF89" s="443"/>
      <c r="AG89" s="443">
        <v>7.973151987589934E-2</v>
      </c>
      <c r="AH89" s="443"/>
      <c r="AI89" s="443"/>
      <c r="AJ89" s="443">
        <v>1.3501356979404747E-2</v>
      </c>
      <c r="AK89" s="443"/>
      <c r="AL89" s="443"/>
      <c r="AM89" s="443">
        <v>0.14036806396829493</v>
      </c>
      <c r="AN89" s="443"/>
      <c r="AO89" s="443"/>
      <c r="AP89" s="443">
        <v>3.1362978919096146E-2</v>
      </c>
      <c r="AQ89" s="443"/>
      <c r="AR89" s="443"/>
      <c r="AS89" s="295">
        <v>16.540213895507566</v>
      </c>
      <c r="AT89" s="295">
        <v>1.4986590745226493</v>
      </c>
      <c r="AU89" s="296">
        <v>8.3702073034323856</v>
      </c>
      <c r="AV89" s="333">
        <v>1664.841845096618</v>
      </c>
      <c r="AW89" s="295">
        <v>0.19041566601972051</v>
      </c>
      <c r="AX89" s="429">
        <v>24.258045753155571</v>
      </c>
      <c r="AY89" s="429"/>
      <c r="AZ89" s="429"/>
      <c r="BA89" s="429">
        <v>18.697860553668569</v>
      </c>
      <c r="BB89" s="429"/>
      <c r="BC89" s="429"/>
      <c r="BD89" s="429">
        <v>13.151774510200811</v>
      </c>
      <c r="BE89" s="429"/>
      <c r="BF89" s="429"/>
      <c r="BG89" s="429">
        <v>12.601118076293773</v>
      </c>
      <c r="BH89" s="429"/>
      <c r="BI89" s="429"/>
      <c r="BJ89" s="429">
        <v>38.396783836062014</v>
      </c>
      <c r="BK89" s="429"/>
      <c r="BL89" s="429"/>
      <c r="BM89" s="429">
        <v>2.0091962843573303</v>
      </c>
      <c r="BN89" s="429"/>
      <c r="BO89" s="429"/>
      <c r="BP89" s="429">
        <v>41.335472900349998</v>
      </c>
      <c r="BQ89" s="429"/>
      <c r="BR89" s="430"/>
      <c r="BS89" s="297">
        <v>0.71037698653581749</v>
      </c>
      <c r="BT89" s="295">
        <v>0.56059008548510114</v>
      </c>
      <c r="BU89" s="324">
        <v>3.3836080451163916E-2</v>
      </c>
      <c r="BV89" s="300"/>
      <c r="BW89" s="263"/>
      <c r="BX89" s="33"/>
      <c r="BY89" s="116"/>
      <c r="BZ89" s="100"/>
      <c r="CA89" s="100"/>
      <c r="CB89" s="100"/>
      <c r="CD89" s="116"/>
      <c r="CE89" s="118"/>
      <c r="CF89" s="116"/>
      <c r="CG89" s="116"/>
      <c r="CN89" s="36"/>
    </row>
    <row r="90" spans="1:92" s="68" customFormat="1" ht="11.25" customHeight="1" x14ac:dyDescent="0.2">
      <c r="A90" s="181" t="s">
        <v>255</v>
      </c>
      <c r="B90" s="181"/>
      <c r="C90" s="181"/>
      <c r="D90" s="181"/>
      <c r="E90" s="181"/>
      <c r="F90" s="181"/>
      <c r="G90" s="181"/>
      <c r="H90" s="181"/>
      <c r="I90" s="181"/>
      <c r="J90" s="181"/>
      <c r="K90" s="181"/>
      <c r="L90" s="181"/>
      <c r="M90" s="181"/>
      <c r="N90" s="181"/>
      <c r="O90" s="181"/>
      <c r="P90" s="181"/>
      <c r="Q90" s="181"/>
      <c r="R90" s="181"/>
      <c r="S90" s="181"/>
      <c r="T90" s="181"/>
      <c r="U90" s="181"/>
      <c r="V90" s="181"/>
      <c r="W90" s="181"/>
      <c r="X90" s="181"/>
      <c r="Y90" s="181"/>
      <c r="Z90" s="181"/>
      <c r="AA90" s="181"/>
      <c r="AB90" s="181"/>
      <c r="AC90" s="181"/>
      <c r="AD90" s="181"/>
      <c r="AE90" s="181"/>
      <c r="AF90" s="181"/>
      <c r="AG90" s="181"/>
      <c r="AH90" s="181"/>
      <c r="AI90" s="181"/>
      <c r="AJ90" s="181"/>
      <c r="AK90" s="181"/>
      <c r="AL90" s="181"/>
      <c r="AM90" s="181"/>
      <c r="AN90" s="181"/>
      <c r="AO90" s="181"/>
      <c r="AP90" s="181"/>
      <c r="AQ90" s="181"/>
      <c r="AR90" s="181"/>
      <c r="AS90" s="181"/>
      <c r="AT90" s="181"/>
      <c r="AU90" s="181"/>
      <c r="AV90" s="181"/>
      <c r="AW90" s="237"/>
      <c r="AX90" s="181"/>
      <c r="AY90" s="181"/>
      <c r="AZ90" s="181"/>
      <c r="BA90" s="181"/>
      <c r="BB90" s="181"/>
      <c r="BC90" s="181"/>
      <c r="BD90" s="181"/>
      <c r="BE90" s="181"/>
      <c r="BF90" s="181"/>
      <c r="BG90" s="181"/>
      <c r="BH90" s="181"/>
      <c r="BI90" s="181"/>
      <c r="BJ90" s="181"/>
      <c r="BK90" s="181"/>
      <c r="BL90" s="181"/>
      <c r="BM90" s="181"/>
      <c r="BN90" s="181"/>
      <c r="BO90" s="181"/>
      <c r="BP90" s="181"/>
      <c r="BQ90" s="181"/>
      <c r="BR90" s="181"/>
      <c r="BS90" s="181"/>
      <c r="BT90" s="181"/>
      <c r="BU90" s="181"/>
      <c r="BV90" s="182"/>
      <c r="BW90" s="262"/>
      <c r="BX90" s="62"/>
      <c r="BY90" s="117"/>
      <c r="BZ90" s="101"/>
      <c r="CA90" s="104"/>
      <c r="CB90" s="106"/>
      <c r="CD90" s="117"/>
      <c r="CE90" s="118"/>
      <c r="CF90" s="116"/>
      <c r="CG90" s="116"/>
      <c r="CN90" s="69"/>
    </row>
    <row r="91" spans="1:92" s="22" customFormat="1" ht="11.25" customHeight="1" x14ac:dyDescent="0.2">
      <c r="A91" s="337" t="s">
        <v>68</v>
      </c>
      <c r="B91" s="337"/>
      <c r="C91" s="338">
        <v>45.800000000000004</v>
      </c>
      <c r="D91" s="338"/>
      <c r="E91" s="146">
        <v>1</v>
      </c>
      <c r="F91" s="339">
        <v>2.5408633944409997</v>
      </c>
      <c r="G91" s="340"/>
      <c r="H91" s="341"/>
      <c r="I91" s="342">
        <v>6.1778237729154348</v>
      </c>
      <c r="J91" s="342"/>
      <c r="K91" s="342"/>
      <c r="L91" s="343">
        <v>1.2321200000000001</v>
      </c>
      <c r="M91" s="344"/>
      <c r="N91" s="345"/>
      <c r="O91" s="343">
        <v>1.15448</v>
      </c>
      <c r="P91" s="344"/>
      <c r="Q91" s="345"/>
      <c r="R91" s="346">
        <v>0</v>
      </c>
      <c r="S91" s="347"/>
      <c r="T91" s="348"/>
      <c r="U91" s="342">
        <v>0.67500307264021076</v>
      </c>
      <c r="V91" s="342"/>
      <c r="W91" s="342"/>
      <c r="X91" s="349">
        <v>-33.909662429884548</v>
      </c>
      <c r="Y91" s="349"/>
      <c r="Z91" s="349"/>
      <c r="AA91" s="350">
        <v>0.32154850000000001</v>
      </c>
      <c r="AB91" s="350"/>
      <c r="AC91" s="350"/>
      <c r="AD91" s="350">
        <v>0.2017002</v>
      </c>
      <c r="AE91" s="350"/>
      <c r="AF91" s="350"/>
      <c r="AG91" s="350">
        <v>8.961805072794804E-2</v>
      </c>
      <c r="AH91" s="350"/>
      <c r="AI91" s="350"/>
      <c r="AJ91" s="350">
        <v>-7.5496057361908356E-2</v>
      </c>
      <c r="AK91" s="350"/>
      <c r="AL91" s="350"/>
      <c r="AM91" s="350">
        <v>0.31703204047217537</v>
      </c>
      <c r="AN91" s="350"/>
      <c r="AO91" s="350"/>
      <c r="AP91" s="350">
        <v>4.839397327713111E-2</v>
      </c>
      <c r="AQ91" s="350"/>
      <c r="AR91" s="350"/>
      <c r="AS91" s="129">
        <v>0.55824175824175826</v>
      </c>
      <c r="AT91" s="129">
        <v>11.973005862698315</v>
      </c>
      <c r="AU91" s="175">
        <v>24.301042797514064</v>
      </c>
      <c r="AV91" s="328">
        <v>4320.3610060869569</v>
      </c>
      <c r="AW91" s="183">
        <v>0.74697447853428101</v>
      </c>
      <c r="AX91" s="342">
        <v>113.64873525350001</v>
      </c>
      <c r="AY91" s="342"/>
      <c r="AZ91" s="342"/>
      <c r="BA91" s="342">
        <v>82.917735253499998</v>
      </c>
      <c r="BB91" s="342"/>
      <c r="BC91" s="342"/>
      <c r="BD91" s="342">
        <v>7.8742281752580903</v>
      </c>
      <c r="BE91" s="342"/>
      <c r="BF91" s="342"/>
      <c r="BG91" s="342">
        <v>5.4109720212411903</v>
      </c>
      <c r="BH91" s="342"/>
      <c r="BI91" s="342"/>
      <c r="BJ91" s="342">
        <v>19.307053819466404</v>
      </c>
      <c r="BK91" s="342"/>
      <c r="BL91" s="342"/>
      <c r="BM91" s="342">
        <v>1.6469250452559239</v>
      </c>
      <c r="BN91" s="342"/>
      <c r="BO91" s="342"/>
      <c r="BP91" s="342">
        <v>331.67094101399999</v>
      </c>
      <c r="BQ91" s="342"/>
      <c r="BR91" s="343"/>
      <c r="BS91" s="131">
        <v>1.12249477177452</v>
      </c>
      <c r="BT91" s="129">
        <v>0.44672772593370841</v>
      </c>
      <c r="BU91" s="132">
        <v>0.11801680694447203</v>
      </c>
      <c r="BV91" s="180">
        <v>43100</v>
      </c>
      <c r="BW91" s="263" t="s">
        <v>68</v>
      </c>
      <c r="BX91" s="33"/>
      <c r="BY91" s="121"/>
      <c r="BZ91" s="100"/>
      <c r="CA91" s="100"/>
      <c r="CB91" s="100"/>
      <c r="CC91" s="45"/>
      <c r="CD91" s="121"/>
      <c r="CE91" s="118"/>
      <c r="CF91" s="116"/>
      <c r="CG91" s="116"/>
      <c r="CN91" s="39"/>
    </row>
    <row r="92" spans="1:92" s="22" customFormat="1" ht="11.25" customHeight="1" x14ac:dyDescent="0.2">
      <c r="A92" s="455" t="s">
        <v>45</v>
      </c>
      <c r="B92" s="455"/>
      <c r="C92" s="454">
        <v>55.4</v>
      </c>
      <c r="D92" s="454"/>
      <c r="E92" s="148">
        <v>1</v>
      </c>
      <c r="F92" s="507">
        <v>4.018301120596</v>
      </c>
      <c r="G92" s="507"/>
      <c r="H92" s="507"/>
      <c r="I92" s="355">
        <v>23.853111237632721</v>
      </c>
      <c r="J92" s="355"/>
      <c r="K92" s="355"/>
      <c r="L92" s="358">
        <v>0.73860000000000003</v>
      </c>
      <c r="M92" s="359"/>
      <c r="N92" s="360"/>
      <c r="O92" s="358">
        <v>0.70735000000000003</v>
      </c>
      <c r="P92" s="359"/>
      <c r="Q92" s="360"/>
      <c r="R92" s="373" t="s">
        <v>189</v>
      </c>
      <c r="S92" s="374"/>
      <c r="T92" s="375"/>
      <c r="U92" s="355">
        <v>1.3828239649409226</v>
      </c>
      <c r="V92" s="355"/>
      <c r="W92" s="355"/>
      <c r="X92" s="356">
        <v>-147.06902100304245</v>
      </c>
      <c r="Y92" s="356"/>
      <c r="Z92" s="356"/>
      <c r="AA92" s="357" t="s">
        <v>189</v>
      </c>
      <c r="AB92" s="357"/>
      <c r="AC92" s="357"/>
      <c r="AD92" s="357">
        <v>0.1024856</v>
      </c>
      <c r="AE92" s="357"/>
      <c r="AF92" s="357"/>
      <c r="AG92" s="357">
        <v>2.8027524402011141E-2</v>
      </c>
      <c r="AH92" s="357"/>
      <c r="AI92" s="357"/>
      <c r="AJ92" s="357">
        <v>-5.9129370654940783E-2</v>
      </c>
      <c r="AK92" s="357"/>
      <c r="AL92" s="357"/>
      <c r="AM92" s="420">
        <v>0.74726603641414391</v>
      </c>
      <c r="AN92" s="420"/>
      <c r="AO92" s="420"/>
      <c r="AP92" s="357">
        <v>3.1005721121175493E-2</v>
      </c>
      <c r="AQ92" s="357"/>
      <c r="AR92" s="357"/>
      <c r="AS92" s="134">
        <v>-0.96597223922250242</v>
      </c>
      <c r="AT92" s="134">
        <v>0.3876121521257711</v>
      </c>
      <c r="AU92" s="174">
        <v>2.1769314476166666</v>
      </c>
      <c r="AV92" s="329">
        <v>2196.150565217391</v>
      </c>
      <c r="AW92" s="184">
        <v>0.71499512620646066</v>
      </c>
      <c r="AX92" s="355">
        <v>25.371720982500001</v>
      </c>
      <c r="AY92" s="355"/>
      <c r="AZ92" s="355"/>
      <c r="BA92" s="355">
        <v>49.401802949999997</v>
      </c>
      <c r="BB92" s="355"/>
      <c r="BC92" s="355"/>
      <c r="BD92" s="355">
        <v>8.6434873109131196</v>
      </c>
      <c r="BE92" s="355"/>
      <c r="BF92" s="355"/>
      <c r="BG92" s="355">
        <v>46.5675175611577</v>
      </c>
      <c r="BH92" s="355"/>
      <c r="BI92" s="355"/>
      <c r="BJ92" s="355">
        <v>72.884187814921518</v>
      </c>
      <c r="BK92" s="355"/>
      <c r="BL92" s="355"/>
      <c r="BM92" s="355">
        <v>2.0296548434959045</v>
      </c>
      <c r="BN92" s="355"/>
      <c r="BO92" s="355"/>
      <c r="BP92" s="355" t="s">
        <v>189</v>
      </c>
      <c r="BQ92" s="355"/>
      <c r="BR92" s="358"/>
      <c r="BS92" s="136">
        <v>1.0171546765531601</v>
      </c>
      <c r="BT92" s="134">
        <v>0.54627182100233507</v>
      </c>
      <c r="BU92" s="137">
        <v>0.10203444432816822</v>
      </c>
      <c r="BV92" s="179">
        <v>43100</v>
      </c>
      <c r="BW92" s="264" t="s">
        <v>45</v>
      </c>
      <c r="BX92" s="33"/>
      <c r="BY92" s="121"/>
      <c r="BZ92" s="100"/>
      <c r="CA92" s="100"/>
      <c r="CB92" s="100"/>
      <c r="CC92" s="45"/>
      <c r="CD92" s="121"/>
      <c r="CE92" s="118"/>
      <c r="CF92" s="116"/>
      <c r="CG92" s="116"/>
      <c r="CN92" s="39"/>
    </row>
    <row r="93" spans="1:92" s="22" customFormat="1" ht="11.25" customHeight="1" x14ac:dyDescent="0.2">
      <c r="A93" s="337" t="s">
        <v>63</v>
      </c>
      <c r="B93" s="337"/>
      <c r="C93" s="338">
        <v>44.5</v>
      </c>
      <c r="D93" s="338"/>
      <c r="E93" s="147">
        <v>1</v>
      </c>
      <c r="F93" s="417">
        <v>0.38716100597999997</v>
      </c>
      <c r="G93" s="417"/>
      <c r="H93" s="417"/>
      <c r="I93" s="342">
        <v>2.5954048115837764</v>
      </c>
      <c r="J93" s="342"/>
      <c r="K93" s="342"/>
      <c r="L93" s="343">
        <v>0.97331000000000001</v>
      </c>
      <c r="M93" s="344"/>
      <c r="N93" s="345"/>
      <c r="O93" s="343">
        <v>0.97282000000000002</v>
      </c>
      <c r="P93" s="344"/>
      <c r="Q93" s="345"/>
      <c r="R93" s="346" t="s">
        <v>189</v>
      </c>
      <c r="S93" s="347"/>
      <c r="T93" s="348"/>
      <c r="U93" s="342">
        <v>1.066661375211815</v>
      </c>
      <c r="V93" s="342"/>
      <c r="W93" s="342"/>
      <c r="X93" s="349">
        <v>-71.778192774560466</v>
      </c>
      <c r="Y93" s="349"/>
      <c r="Z93" s="349"/>
      <c r="AA93" s="350" t="s">
        <v>189</v>
      </c>
      <c r="AB93" s="350"/>
      <c r="AC93" s="350"/>
      <c r="AD93" s="350">
        <v>4.6944800000000002E-2</v>
      </c>
      <c r="AE93" s="350"/>
      <c r="AF93" s="350"/>
      <c r="AG93" s="350">
        <v>0.11269046778985288</v>
      </c>
      <c r="AH93" s="350"/>
      <c r="AI93" s="350"/>
      <c r="AJ93" s="350">
        <v>0.101531481842494</v>
      </c>
      <c r="AK93" s="350"/>
      <c r="AL93" s="350"/>
      <c r="AM93" s="350">
        <v>0.3878299633327319</v>
      </c>
      <c r="AN93" s="350"/>
      <c r="AO93" s="350"/>
      <c r="AP93" s="350">
        <v>9.616213118057361E-2</v>
      </c>
      <c r="AQ93" s="350"/>
      <c r="AR93" s="350"/>
      <c r="AS93" s="129">
        <v>2.5238663775249144</v>
      </c>
      <c r="AT93" s="129">
        <v>-0.5868847178821236</v>
      </c>
      <c r="AU93" s="175">
        <v>2.2351341829567106</v>
      </c>
      <c r="AV93" s="328">
        <v>872.130391304348</v>
      </c>
      <c r="AW93" s="183">
        <v>0.55548401515832346</v>
      </c>
      <c r="AX93" s="342">
        <v>14.5151553</v>
      </c>
      <c r="AY93" s="342"/>
      <c r="AZ93" s="342"/>
      <c r="BA93" s="342">
        <v>20.166773406000001</v>
      </c>
      <c r="BB93" s="342"/>
      <c r="BC93" s="342"/>
      <c r="BD93" s="342">
        <v>6.5460070460709598</v>
      </c>
      <c r="BE93" s="342"/>
      <c r="BF93" s="342"/>
      <c r="BG93" s="342">
        <v>2.5587513789905207</v>
      </c>
      <c r="BH93" s="342"/>
      <c r="BI93" s="342"/>
      <c r="BJ93" s="342">
        <v>19.285191140079828</v>
      </c>
      <c r="BK93" s="342"/>
      <c r="BL93" s="342"/>
      <c r="BM93" s="342">
        <v>1.7303904672063855</v>
      </c>
      <c r="BN93" s="342"/>
      <c r="BO93" s="342"/>
      <c r="BP93" s="342">
        <v>13.4135135408</v>
      </c>
      <c r="BQ93" s="342"/>
      <c r="BR93" s="343"/>
      <c r="BS93" s="131">
        <v>1.41086571864337</v>
      </c>
      <c r="BT93" s="129">
        <v>0.58874234887695753</v>
      </c>
      <c r="BU93" s="132">
        <v>0.18782580803742732</v>
      </c>
      <c r="BV93" s="180">
        <v>43008</v>
      </c>
      <c r="BW93" s="263" t="s">
        <v>63</v>
      </c>
      <c r="BX93" s="33"/>
      <c r="BY93" s="116"/>
      <c r="BZ93" s="100"/>
      <c r="CA93" s="100"/>
      <c r="CB93" s="100"/>
      <c r="CC93" s="45"/>
      <c r="CD93" s="116"/>
      <c r="CE93" s="118"/>
      <c r="CF93" s="116"/>
      <c r="CG93" s="116"/>
      <c r="CN93" s="39"/>
    </row>
    <row r="94" spans="1:92" ht="11.25" customHeight="1" x14ac:dyDescent="0.2">
      <c r="A94" s="455" t="s">
        <v>53</v>
      </c>
      <c r="B94" s="455"/>
      <c r="C94" s="454">
        <v>69</v>
      </c>
      <c r="D94" s="454"/>
      <c r="E94" s="148">
        <v>1</v>
      </c>
      <c r="F94" s="507">
        <v>0.26494138667299999</v>
      </c>
      <c r="G94" s="507"/>
      <c r="H94" s="507"/>
      <c r="I94" s="355">
        <v>2.7554868741278553</v>
      </c>
      <c r="J94" s="355"/>
      <c r="K94" s="355"/>
      <c r="L94" s="358">
        <v>1.05461</v>
      </c>
      <c r="M94" s="359"/>
      <c r="N94" s="360"/>
      <c r="O94" s="358">
        <v>1.04149</v>
      </c>
      <c r="P94" s="359"/>
      <c r="Q94" s="360"/>
      <c r="R94" s="373" t="s">
        <v>189</v>
      </c>
      <c r="S94" s="374"/>
      <c r="T94" s="375"/>
      <c r="U94" s="355">
        <v>1.6634434831330067</v>
      </c>
      <c r="V94" s="355"/>
      <c r="W94" s="355"/>
      <c r="X94" s="356">
        <v>-108.62567248399581</v>
      </c>
      <c r="Y94" s="356"/>
      <c r="Z94" s="356"/>
      <c r="AA94" s="357" t="s">
        <v>189</v>
      </c>
      <c r="AB94" s="357"/>
      <c r="AC94" s="357"/>
      <c r="AD94" s="357">
        <v>0.13845289999999999</v>
      </c>
      <c r="AE94" s="357"/>
      <c r="AF94" s="357"/>
      <c r="AG94" s="357">
        <v>8.2966947048571979E-2</v>
      </c>
      <c r="AH94" s="357"/>
      <c r="AI94" s="357"/>
      <c r="AJ94" s="357">
        <v>-0.24382045338956279</v>
      </c>
      <c r="AK94" s="357"/>
      <c r="AL94" s="357"/>
      <c r="AM94" s="420">
        <v>0.3974678548091754</v>
      </c>
      <c r="AN94" s="420"/>
      <c r="AO94" s="420"/>
      <c r="AP94" s="357">
        <v>0.1104089038115794</v>
      </c>
      <c r="AQ94" s="357"/>
      <c r="AR94" s="357"/>
      <c r="AS94" s="134">
        <v>-0.5917898782032629</v>
      </c>
      <c r="AT94" s="134">
        <v>2.0131031893458187</v>
      </c>
      <c r="AU94" s="174">
        <v>3.6576101405493784</v>
      </c>
      <c r="AV94" s="329">
        <v>721.1265395652174</v>
      </c>
      <c r="AW94" s="184">
        <v>1.0826820698757067</v>
      </c>
      <c r="AX94" s="355">
        <v>11.327940578</v>
      </c>
      <c r="AY94" s="355"/>
      <c r="AZ94" s="355"/>
      <c r="BA94" s="355">
        <v>22.462257653999998</v>
      </c>
      <c r="BB94" s="355"/>
      <c r="BC94" s="355"/>
      <c r="BD94" s="355">
        <v>10.5683895738558</v>
      </c>
      <c r="BE94" s="355"/>
      <c r="BF94" s="355"/>
      <c r="BG94" s="355">
        <v>14.291415696413551</v>
      </c>
      <c r="BH94" s="355"/>
      <c r="BI94" s="355"/>
      <c r="BJ94" s="355">
        <v>41.368642568932742</v>
      </c>
      <c r="BK94" s="355"/>
      <c r="BL94" s="355"/>
      <c r="BM94" s="355">
        <v>3.4322475217939066</v>
      </c>
      <c r="BN94" s="355"/>
      <c r="BO94" s="355"/>
      <c r="BP94" s="355" t="s">
        <v>189</v>
      </c>
      <c r="BQ94" s="355"/>
      <c r="BR94" s="358"/>
      <c r="BS94" s="136">
        <v>0.64624769159295503</v>
      </c>
      <c r="BT94" s="134">
        <v>0.40689697271775832</v>
      </c>
      <c r="BU94" s="137">
        <v>0.1812375543173339</v>
      </c>
      <c r="BV94" s="179">
        <v>43100</v>
      </c>
      <c r="BW94" s="264" t="s">
        <v>53</v>
      </c>
      <c r="BX94" s="33"/>
      <c r="BY94" s="116"/>
      <c r="BZ94" s="100"/>
      <c r="CA94" s="100"/>
      <c r="CB94" s="100"/>
      <c r="CC94" s="45"/>
      <c r="CD94" s="116"/>
      <c r="CE94" s="118"/>
      <c r="CF94" s="116"/>
      <c r="CG94" s="116"/>
    </row>
    <row r="95" spans="1:92" ht="11.25" customHeight="1" x14ac:dyDescent="0.2">
      <c r="A95" s="337" t="s">
        <v>38</v>
      </c>
      <c r="B95" s="337"/>
      <c r="C95" s="338">
        <v>54.95</v>
      </c>
      <c r="D95" s="338"/>
      <c r="E95" s="147">
        <v>1</v>
      </c>
      <c r="F95" s="417">
        <v>0</v>
      </c>
      <c r="G95" s="417"/>
      <c r="H95" s="417"/>
      <c r="I95" s="342">
        <v>4.0835556376175264</v>
      </c>
      <c r="J95" s="342"/>
      <c r="K95" s="342"/>
      <c r="L95" s="343">
        <v>1.01061</v>
      </c>
      <c r="M95" s="344"/>
      <c r="N95" s="345"/>
      <c r="O95" s="343">
        <v>0.99958999999999998</v>
      </c>
      <c r="P95" s="344"/>
      <c r="Q95" s="345"/>
      <c r="R95" s="346" t="s">
        <v>189</v>
      </c>
      <c r="S95" s="347"/>
      <c r="T95" s="348"/>
      <c r="U95" s="342">
        <v>1.3826615479669935</v>
      </c>
      <c r="V95" s="342"/>
      <c r="W95" s="342"/>
      <c r="X95" s="349">
        <v>-161.80438606613558</v>
      </c>
      <c r="Y95" s="349"/>
      <c r="Z95" s="349"/>
      <c r="AA95" s="350">
        <v>0.26665669999999997</v>
      </c>
      <c r="AB95" s="350"/>
      <c r="AC95" s="350"/>
      <c r="AD95" s="350">
        <v>0.18487200000000001</v>
      </c>
      <c r="AE95" s="350"/>
      <c r="AF95" s="350"/>
      <c r="AG95" s="350">
        <v>0.13727988016339129</v>
      </c>
      <c r="AH95" s="350"/>
      <c r="AI95" s="350"/>
      <c r="AJ95" s="350">
        <v>0.49239951108267022</v>
      </c>
      <c r="AK95" s="350"/>
      <c r="AL95" s="350"/>
      <c r="AM95" s="350">
        <v>0.72958430224959181</v>
      </c>
      <c r="AN95" s="350"/>
      <c r="AO95" s="350"/>
      <c r="AP95" s="350">
        <v>0.15184959045985785</v>
      </c>
      <c r="AQ95" s="350"/>
      <c r="AR95" s="350"/>
      <c r="AS95" s="129">
        <v>-3.8074695760604689</v>
      </c>
      <c r="AT95" s="129">
        <v>-0.32950737307524269</v>
      </c>
      <c r="AU95" s="175">
        <v>4.6322390888215654</v>
      </c>
      <c r="AV95" s="328">
        <v>593.44090217391306</v>
      </c>
      <c r="AW95" s="183">
        <v>1.2672469626996696</v>
      </c>
      <c r="AX95" s="342">
        <v>16.1428627015</v>
      </c>
      <c r="AY95" s="342"/>
      <c r="AZ95" s="342"/>
      <c r="BA95" s="342">
        <v>17.8305361215</v>
      </c>
      <c r="BB95" s="342"/>
      <c r="BC95" s="342"/>
      <c r="BD95" s="342">
        <v>13.449874717138201</v>
      </c>
      <c r="BE95" s="342"/>
      <c r="BF95" s="342"/>
      <c r="BG95" s="342">
        <v>14.608927749152441</v>
      </c>
      <c r="BH95" s="342"/>
      <c r="BI95" s="342"/>
      <c r="BJ95" s="342">
        <v>22.199777800222201</v>
      </c>
      <c r="BK95" s="342"/>
      <c r="BL95" s="342"/>
      <c r="BM95" s="342">
        <v>2.967155825926898</v>
      </c>
      <c r="BN95" s="342"/>
      <c r="BO95" s="342"/>
      <c r="BP95" s="342">
        <v>25.673375060600002</v>
      </c>
      <c r="BQ95" s="342"/>
      <c r="BR95" s="343"/>
      <c r="BS95" s="131">
        <v>1.0826520396495101</v>
      </c>
      <c r="BT95" s="129">
        <v>0.47321755966907525</v>
      </c>
      <c r="BU95" s="132">
        <v>0.2007290825631336</v>
      </c>
      <c r="BV95" s="180">
        <v>43100</v>
      </c>
      <c r="BW95" s="263" t="s">
        <v>38</v>
      </c>
      <c r="BX95" s="33"/>
      <c r="BY95" s="121"/>
      <c r="BZ95" s="100"/>
      <c r="CA95" s="100"/>
      <c r="CB95" s="100"/>
      <c r="CC95" s="45"/>
      <c r="CD95" s="121"/>
      <c r="CE95" s="118"/>
      <c r="CF95" s="117"/>
      <c r="CG95" s="117"/>
    </row>
    <row r="96" spans="1:92" ht="11.25" customHeight="1" x14ac:dyDescent="0.2">
      <c r="A96" s="455" t="s">
        <v>34</v>
      </c>
      <c r="B96" s="455"/>
      <c r="C96" s="454">
        <v>76</v>
      </c>
      <c r="D96" s="454"/>
      <c r="E96" s="148">
        <v>1</v>
      </c>
      <c r="F96" s="507">
        <v>1.2192637430589999</v>
      </c>
      <c r="G96" s="507"/>
      <c r="H96" s="507"/>
      <c r="I96" s="355">
        <v>2.6704526562538726</v>
      </c>
      <c r="J96" s="355"/>
      <c r="K96" s="355"/>
      <c r="L96" s="358">
        <v>4.53728</v>
      </c>
      <c r="M96" s="359"/>
      <c r="N96" s="360"/>
      <c r="O96" s="358">
        <v>4.4895800000000001</v>
      </c>
      <c r="P96" s="359"/>
      <c r="Q96" s="360"/>
      <c r="R96" s="373" t="s">
        <v>189</v>
      </c>
      <c r="S96" s="374"/>
      <c r="T96" s="375"/>
      <c r="U96" s="355">
        <v>0.39140533213805129</v>
      </c>
      <c r="V96" s="355"/>
      <c r="W96" s="355"/>
      <c r="X96" s="356">
        <v>14.748114112343373</v>
      </c>
      <c r="Y96" s="356"/>
      <c r="Z96" s="356"/>
      <c r="AA96" s="357" t="s">
        <v>189</v>
      </c>
      <c r="AB96" s="357"/>
      <c r="AC96" s="357"/>
      <c r="AD96" s="357">
        <v>0.45217480000000004</v>
      </c>
      <c r="AE96" s="357"/>
      <c r="AF96" s="357"/>
      <c r="AG96" s="357">
        <v>0.17498061676068341</v>
      </c>
      <c r="AH96" s="357"/>
      <c r="AI96" s="357"/>
      <c r="AJ96" s="357">
        <v>7.9896554395046282E-2</v>
      </c>
      <c r="AK96" s="357"/>
      <c r="AL96" s="357"/>
      <c r="AM96" s="420">
        <v>0.15488469921495263</v>
      </c>
      <c r="AN96" s="420"/>
      <c r="AO96" s="420"/>
      <c r="AP96" s="357">
        <v>5.4790726693420479E-2</v>
      </c>
      <c r="AQ96" s="357"/>
      <c r="AR96" s="357"/>
      <c r="AS96" s="134">
        <v>0.83002758928058729</v>
      </c>
      <c r="AT96" s="134">
        <v>-98.296060562605774</v>
      </c>
      <c r="AU96" s="174">
        <v>218.63366409159673</v>
      </c>
      <c r="AV96" s="329">
        <v>352.65581739130437</v>
      </c>
      <c r="AW96" s="184">
        <v>0.17879647334204715</v>
      </c>
      <c r="AX96" s="355">
        <v>15.791452079999999</v>
      </c>
      <c r="AY96" s="355"/>
      <c r="AZ96" s="355"/>
      <c r="BA96" s="355">
        <v>13.485171149999999</v>
      </c>
      <c r="BB96" s="355"/>
      <c r="BC96" s="355"/>
      <c r="BD96" s="355">
        <v>6.8294631324640998</v>
      </c>
      <c r="BE96" s="355"/>
      <c r="BF96" s="355"/>
      <c r="BG96" s="355">
        <v>2.5765470372240347</v>
      </c>
      <c r="BH96" s="355"/>
      <c r="BI96" s="355"/>
      <c r="BJ96" s="355">
        <v>20.920329330026451</v>
      </c>
      <c r="BK96" s="355"/>
      <c r="BL96" s="355"/>
      <c r="BM96" s="355">
        <v>3.6124784867380648</v>
      </c>
      <c r="BN96" s="355"/>
      <c r="BO96" s="355"/>
      <c r="BP96" s="355">
        <v>34.4012759051</v>
      </c>
      <c r="BQ96" s="355"/>
      <c r="BR96" s="358"/>
      <c r="BS96" s="136">
        <v>0.94226135136719702</v>
      </c>
      <c r="BT96" s="134">
        <v>0.5080849703552216</v>
      </c>
      <c r="BU96" s="137">
        <v>3.1215064282585248E-2</v>
      </c>
      <c r="BV96" s="179">
        <v>43131</v>
      </c>
      <c r="BW96" s="264" t="s">
        <v>34</v>
      </c>
      <c r="BX96" s="33"/>
      <c r="BY96" s="116"/>
      <c r="BZ96" s="100"/>
      <c r="CA96" s="100"/>
      <c r="CB96" s="100"/>
      <c r="CC96" s="45"/>
      <c r="CD96" s="116"/>
      <c r="CE96" s="122"/>
      <c r="CF96" s="121"/>
      <c r="CG96" s="121"/>
    </row>
    <row r="97" spans="1:85" ht="11.25" customHeight="1" x14ac:dyDescent="0.2">
      <c r="A97" s="337" t="s">
        <v>43</v>
      </c>
      <c r="B97" s="337"/>
      <c r="C97" s="338">
        <v>50.7</v>
      </c>
      <c r="D97" s="338"/>
      <c r="E97" s="147">
        <v>1</v>
      </c>
      <c r="F97" s="417">
        <v>0</v>
      </c>
      <c r="G97" s="417"/>
      <c r="H97" s="417"/>
      <c r="I97" s="342">
        <v>3.7145256882214932</v>
      </c>
      <c r="J97" s="342"/>
      <c r="K97" s="342"/>
      <c r="L97" s="343">
        <v>0.93483000000000005</v>
      </c>
      <c r="M97" s="344"/>
      <c r="N97" s="345"/>
      <c r="O97" s="343">
        <v>0.93247999999999998</v>
      </c>
      <c r="P97" s="344"/>
      <c r="Q97" s="345"/>
      <c r="R97" s="346">
        <v>6.2915370028747405E-2</v>
      </c>
      <c r="S97" s="347"/>
      <c r="T97" s="348"/>
      <c r="U97" s="342">
        <v>1.4494303719752004</v>
      </c>
      <c r="V97" s="342"/>
      <c r="W97" s="342"/>
      <c r="X97" s="349">
        <v>-196.55891163456579</v>
      </c>
      <c r="Y97" s="349"/>
      <c r="Z97" s="349"/>
      <c r="AA97" s="350">
        <v>0.1928916</v>
      </c>
      <c r="AB97" s="350"/>
      <c r="AC97" s="350"/>
      <c r="AD97" s="350">
        <v>4.04471E-2</v>
      </c>
      <c r="AE97" s="350"/>
      <c r="AF97" s="350"/>
      <c r="AG97" s="350">
        <v>0.11121030349890478</v>
      </c>
      <c r="AH97" s="350"/>
      <c r="AI97" s="350"/>
      <c r="AJ97" s="350">
        <v>-0.15349186822938829</v>
      </c>
      <c r="AK97" s="350"/>
      <c r="AL97" s="350"/>
      <c r="AM97" s="350">
        <v>0.50228259967351907</v>
      </c>
      <c r="AN97" s="350"/>
      <c r="AO97" s="350"/>
      <c r="AP97" s="350">
        <v>0.12895380562205325</v>
      </c>
      <c r="AQ97" s="350"/>
      <c r="AR97" s="350"/>
      <c r="AS97" s="129">
        <v>12.547491687147607</v>
      </c>
      <c r="AT97" s="129">
        <v>2.0975224060243134</v>
      </c>
      <c r="AU97" s="175">
        <v>3.8039342837726449</v>
      </c>
      <c r="AV97" s="328">
        <v>167.97552173913044</v>
      </c>
      <c r="AW97" s="183">
        <v>1.5140510675411782</v>
      </c>
      <c r="AX97" s="342">
        <v>2.7031639973999999</v>
      </c>
      <c r="AY97" s="342"/>
      <c r="AZ97" s="342"/>
      <c r="BA97" s="342">
        <v>9.8545077255999995</v>
      </c>
      <c r="BB97" s="342"/>
      <c r="BC97" s="342"/>
      <c r="BD97" s="342">
        <v>4.17569930208417</v>
      </c>
      <c r="BE97" s="342"/>
      <c r="BF97" s="342"/>
      <c r="BG97" s="342">
        <v>12.587089287347396</v>
      </c>
      <c r="BH97" s="342"/>
      <c r="BI97" s="342"/>
      <c r="BJ97" s="342">
        <v>30.546953137238368</v>
      </c>
      <c r="BK97" s="342"/>
      <c r="BL97" s="342"/>
      <c r="BM97" s="342">
        <v>3.263141456417253</v>
      </c>
      <c r="BN97" s="342"/>
      <c r="BO97" s="342"/>
      <c r="BP97" s="342">
        <v>19.363159552199999</v>
      </c>
      <c r="BQ97" s="342"/>
      <c r="BR97" s="343"/>
      <c r="BS97" s="131">
        <v>1.3543569460671001</v>
      </c>
      <c r="BT97" s="129">
        <v>0.42441765427086875</v>
      </c>
      <c r="BU97" s="132">
        <v>0.13091631951353766</v>
      </c>
      <c r="BV97" s="180">
        <v>43008</v>
      </c>
      <c r="BW97" s="263" t="s">
        <v>43</v>
      </c>
      <c r="BX97" s="33"/>
      <c r="BY97" s="116"/>
      <c r="BZ97" s="100"/>
      <c r="CA97" s="100"/>
      <c r="CB97" s="100"/>
      <c r="CC97" s="45"/>
      <c r="CD97" s="116"/>
      <c r="CE97" s="118"/>
      <c r="CF97" s="116"/>
      <c r="CG97" s="116"/>
    </row>
    <row r="98" spans="1:85" ht="11.25" customHeight="1" x14ac:dyDescent="0.2">
      <c r="A98" s="455" t="s">
        <v>87</v>
      </c>
      <c r="B98" s="455"/>
      <c r="C98" s="454">
        <v>51.5</v>
      </c>
      <c r="D98" s="454"/>
      <c r="E98" s="148">
        <v>1</v>
      </c>
      <c r="F98" s="507">
        <v>0.64904456682399991</v>
      </c>
      <c r="G98" s="507"/>
      <c r="H98" s="507"/>
      <c r="I98" s="355">
        <v>2.5658829439558035</v>
      </c>
      <c r="J98" s="355"/>
      <c r="K98" s="355"/>
      <c r="L98" s="358">
        <v>2.1304599999999998</v>
      </c>
      <c r="M98" s="359"/>
      <c r="N98" s="360"/>
      <c r="O98" s="358">
        <v>2.1304599999999998</v>
      </c>
      <c r="P98" s="359"/>
      <c r="Q98" s="360"/>
      <c r="R98" s="373" t="s">
        <v>189</v>
      </c>
      <c r="S98" s="374"/>
      <c r="T98" s="375"/>
      <c r="U98" s="355">
        <v>1.4310766091476488</v>
      </c>
      <c r="V98" s="355"/>
      <c r="W98" s="355"/>
      <c r="X98" s="356" t="s">
        <v>189</v>
      </c>
      <c r="Y98" s="356"/>
      <c r="Z98" s="356"/>
      <c r="AA98" s="357">
        <v>0.65239369999999997</v>
      </c>
      <c r="AB98" s="357"/>
      <c r="AC98" s="357"/>
      <c r="AD98" s="357">
        <v>0.55865949999999998</v>
      </c>
      <c r="AE98" s="357"/>
      <c r="AF98" s="357"/>
      <c r="AG98" s="357">
        <v>0.37877156706614207</v>
      </c>
      <c r="AH98" s="357"/>
      <c r="AI98" s="357"/>
      <c r="AJ98" s="357">
        <v>0.43286319551003033</v>
      </c>
      <c r="AK98" s="357"/>
      <c r="AL98" s="357"/>
      <c r="AM98" s="420">
        <v>1.2436686202576483</v>
      </c>
      <c r="AN98" s="420"/>
      <c r="AO98" s="420"/>
      <c r="AP98" s="357">
        <v>0.43364179173251849</v>
      </c>
      <c r="AQ98" s="357"/>
      <c r="AR98" s="357"/>
      <c r="AS98" s="134">
        <v>0.84938602527895646</v>
      </c>
      <c r="AT98" s="134">
        <v>13.250191687380616</v>
      </c>
      <c r="AU98" s="174">
        <v>19.649991684999364</v>
      </c>
      <c r="AV98" s="329">
        <v>576.07413260869566</v>
      </c>
      <c r="AW98" s="184">
        <v>2.3931545518285033</v>
      </c>
      <c r="AX98" s="355">
        <v>9.8379763352999898</v>
      </c>
      <c r="AY98" s="355"/>
      <c r="AZ98" s="355"/>
      <c r="BA98" s="355">
        <v>22.189222370500001</v>
      </c>
      <c r="BB98" s="355"/>
      <c r="BC98" s="355"/>
      <c r="BD98" s="355">
        <v>2.8270308440870302</v>
      </c>
      <c r="BE98" s="355"/>
      <c r="BF98" s="355"/>
      <c r="BG98" s="355">
        <v>7.7625569165091832</v>
      </c>
      <c r="BH98" s="355"/>
      <c r="BI98" s="355"/>
      <c r="BJ98" s="355">
        <v>10.034956723031296</v>
      </c>
      <c r="BK98" s="355"/>
      <c r="BL98" s="355"/>
      <c r="BM98" s="355">
        <v>3.6828676536954035</v>
      </c>
      <c r="BN98" s="355"/>
      <c r="BO98" s="355"/>
      <c r="BP98" s="355">
        <v>25.1922844403</v>
      </c>
      <c r="BQ98" s="355"/>
      <c r="BR98" s="358"/>
      <c r="BS98" s="136">
        <v>1.31250244212276</v>
      </c>
      <c r="BT98" s="134">
        <v>0.51651590440462702</v>
      </c>
      <c r="BU98" s="137">
        <v>0.19555407761487253</v>
      </c>
      <c r="BV98" s="179">
        <v>43100</v>
      </c>
      <c r="BW98" s="264" t="s">
        <v>87</v>
      </c>
      <c r="BX98" s="33"/>
      <c r="BY98" s="116"/>
      <c r="BZ98" s="100"/>
      <c r="CA98" s="100"/>
      <c r="CB98" s="100"/>
      <c r="CC98" s="45"/>
      <c r="CD98" s="116"/>
      <c r="CE98" s="118"/>
      <c r="CF98" s="116"/>
      <c r="CG98" s="116"/>
    </row>
    <row r="99" spans="1:85" ht="11.25" customHeight="1" x14ac:dyDescent="0.2">
      <c r="A99" s="337" t="s">
        <v>36</v>
      </c>
      <c r="B99" s="337"/>
      <c r="C99" s="338">
        <v>13.35</v>
      </c>
      <c r="D99" s="338"/>
      <c r="E99" s="147">
        <v>1</v>
      </c>
      <c r="F99" s="417">
        <v>0.98674174859199992</v>
      </c>
      <c r="G99" s="417"/>
      <c r="H99" s="417"/>
      <c r="I99" s="342">
        <v>6.4072512859621238</v>
      </c>
      <c r="J99" s="342"/>
      <c r="K99" s="342"/>
      <c r="L99" s="343">
        <v>0.81759999999999999</v>
      </c>
      <c r="M99" s="344"/>
      <c r="N99" s="345"/>
      <c r="O99" s="343">
        <v>0.79544000000000004</v>
      </c>
      <c r="P99" s="344"/>
      <c r="Q99" s="345"/>
      <c r="R99" s="346" t="s">
        <v>189</v>
      </c>
      <c r="S99" s="347"/>
      <c r="T99" s="348"/>
      <c r="U99" s="342">
        <v>0.5944796569589611</v>
      </c>
      <c r="V99" s="342"/>
      <c r="W99" s="342"/>
      <c r="X99" s="349">
        <v>-127.67492237154207</v>
      </c>
      <c r="Y99" s="349"/>
      <c r="Z99" s="349"/>
      <c r="AA99" s="350">
        <v>0.31578810000000002</v>
      </c>
      <c r="AB99" s="350"/>
      <c r="AC99" s="350"/>
      <c r="AD99" s="350">
        <v>0.33229900000000001</v>
      </c>
      <c r="AE99" s="350"/>
      <c r="AF99" s="350"/>
      <c r="AG99" s="350">
        <v>0.15250517501873204</v>
      </c>
      <c r="AH99" s="350"/>
      <c r="AI99" s="350"/>
      <c r="AJ99" s="350">
        <v>0.34567643303870316</v>
      </c>
      <c r="AK99" s="350"/>
      <c r="AL99" s="350"/>
      <c r="AM99" s="350">
        <v>0.54432592639206634</v>
      </c>
      <c r="AN99" s="350"/>
      <c r="AO99" s="350"/>
      <c r="AP99" s="350">
        <v>7.2529132587658432E-2</v>
      </c>
      <c r="AQ99" s="350"/>
      <c r="AR99" s="350"/>
      <c r="AS99" s="129">
        <v>2.3624573705277094</v>
      </c>
      <c r="AT99" s="129">
        <v>1.5763634289289297</v>
      </c>
      <c r="AU99" s="175">
        <v>1.9547955829376784</v>
      </c>
      <c r="AV99" s="328">
        <v>457.74113782608703</v>
      </c>
      <c r="AW99" s="183">
        <v>0.55109053207946634</v>
      </c>
      <c r="AX99" s="342">
        <v>8.7143460905999905</v>
      </c>
      <c r="AY99" s="342"/>
      <c r="AZ99" s="342"/>
      <c r="BA99" s="342" t="s">
        <v>189</v>
      </c>
      <c r="BB99" s="342"/>
      <c r="BC99" s="342"/>
      <c r="BD99" s="342">
        <v>7.53600595111548</v>
      </c>
      <c r="BE99" s="342"/>
      <c r="BF99" s="342"/>
      <c r="BG99" s="342" t="s">
        <v>189</v>
      </c>
      <c r="BH99" s="342"/>
      <c r="BI99" s="342"/>
      <c r="BJ99" s="342">
        <v>25.343609993165767</v>
      </c>
      <c r="BK99" s="342"/>
      <c r="BL99" s="342"/>
      <c r="BM99" s="342" t="s">
        <v>189</v>
      </c>
      <c r="BN99" s="342"/>
      <c r="BO99" s="342"/>
      <c r="BP99" s="342">
        <v>144.1375105772</v>
      </c>
      <c r="BQ99" s="342"/>
      <c r="BR99" s="343"/>
      <c r="BS99" s="131">
        <v>1.4853621424466401</v>
      </c>
      <c r="BT99" s="129">
        <v>0.54027441347476513</v>
      </c>
      <c r="BU99" s="132">
        <v>-4.8952256660165672E-2</v>
      </c>
      <c r="BV99" s="180">
        <v>43100</v>
      </c>
      <c r="BW99" s="263" t="s">
        <v>36</v>
      </c>
      <c r="BX99" s="33"/>
      <c r="BY99" s="116"/>
      <c r="BZ99" s="100"/>
      <c r="CA99" s="100"/>
      <c r="CB99" s="100"/>
      <c r="CC99" s="45"/>
      <c r="CD99" s="116"/>
      <c r="CE99" s="118"/>
      <c r="CF99" s="116"/>
      <c r="CG99" s="116"/>
    </row>
    <row r="100" spans="1:85" ht="11.25" customHeight="1" x14ac:dyDescent="0.2">
      <c r="A100" s="402" t="s">
        <v>252</v>
      </c>
      <c r="B100" s="403"/>
      <c r="C100" s="404"/>
      <c r="D100" s="405"/>
      <c r="E100" s="233"/>
      <c r="F100" s="385">
        <v>1.118479662907222</v>
      </c>
      <c r="G100" s="386"/>
      <c r="H100" s="387"/>
      <c r="I100" s="385">
        <v>6.0914994342522899</v>
      </c>
      <c r="J100" s="386"/>
      <c r="K100" s="387"/>
      <c r="L100" s="385">
        <v>1.4921577777777779</v>
      </c>
      <c r="M100" s="386"/>
      <c r="N100" s="387"/>
      <c r="O100" s="385">
        <v>1.4692988888888889</v>
      </c>
      <c r="P100" s="386"/>
      <c r="Q100" s="387"/>
      <c r="R100" s="436">
        <v>3.1457685014373703E-2</v>
      </c>
      <c r="S100" s="437"/>
      <c r="T100" s="438"/>
      <c r="U100" s="385">
        <v>1.1152206015680901</v>
      </c>
      <c r="V100" s="386"/>
      <c r="W100" s="387"/>
      <c r="X100" s="385">
        <v>-104.08408183142292</v>
      </c>
      <c r="Y100" s="386"/>
      <c r="Z100" s="387"/>
      <c r="AA100" s="361">
        <v>0.34985571999999998</v>
      </c>
      <c r="AB100" s="362"/>
      <c r="AC100" s="363"/>
      <c r="AD100" s="361">
        <v>0.22867065555555552</v>
      </c>
      <c r="AE100" s="362"/>
      <c r="AF100" s="363"/>
      <c r="AG100" s="361">
        <v>0.14089450360847086</v>
      </c>
      <c r="AH100" s="362"/>
      <c r="AI100" s="363"/>
      <c r="AJ100" s="361">
        <v>0.10226993624812709</v>
      </c>
      <c r="AK100" s="362"/>
      <c r="AL100" s="363"/>
      <c r="AM100" s="361">
        <v>0.55826022697955602</v>
      </c>
      <c r="AN100" s="362"/>
      <c r="AO100" s="363"/>
      <c r="AP100" s="361">
        <v>0.12530397516510761</v>
      </c>
      <c r="AQ100" s="362"/>
      <c r="AR100" s="363"/>
      <c r="AS100" s="236">
        <v>1.5895821238350332</v>
      </c>
      <c r="AT100" s="236">
        <v>-7.5460726585621529</v>
      </c>
      <c r="AU100" s="241">
        <v>31.227260366751644</v>
      </c>
      <c r="AV100" s="331">
        <v>1139.7395571014492</v>
      </c>
      <c r="AW100" s="236">
        <v>1.0004972530295153</v>
      </c>
      <c r="AX100" s="421">
        <v>24.228150368755557</v>
      </c>
      <c r="AY100" s="422"/>
      <c r="AZ100" s="423"/>
      <c r="BA100" s="421">
        <v>29.788500828887504</v>
      </c>
      <c r="BB100" s="422"/>
      <c r="BC100" s="423"/>
      <c r="BD100" s="421">
        <v>7.6055762281096611</v>
      </c>
      <c r="BE100" s="422"/>
      <c r="BF100" s="423"/>
      <c r="BG100" s="421">
        <v>13.295472206004503</v>
      </c>
      <c r="BH100" s="422"/>
      <c r="BI100" s="423"/>
      <c r="BJ100" s="421">
        <v>29.098966925231618</v>
      </c>
      <c r="BK100" s="422"/>
      <c r="BL100" s="423"/>
      <c r="BM100" s="421">
        <v>2.7956076625662174</v>
      </c>
      <c r="BN100" s="422"/>
      <c r="BO100" s="423"/>
      <c r="BP100" s="421">
        <v>84.836008584314285</v>
      </c>
      <c r="BQ100" s="422"/>
      <c r="BR100" s="423"/>
      <c r="BS100" s="242">
        <v>1.1526553089130236</v>
      </c>
      <c r="BT100" s="236">
        <v>0.49457215230059082</v>
      </c>
      <c r="BU100" s="236">
        <v>0.12206410010459609</v>
      </c>
      <c r="BV100" s="234"/>
      <c r="BW100" s="234"/>
      <c r="BX100" s="33"/>
      <c r="BY100" s="116"/>
      <c r="BZ100" s="100"/>
      <c r="CA100" s="100"/>
      <c r="CB100" s="100"/>
      <c r="CC100" s="45"/>
      <c r="CD100" s="116"/>
      <c r="CE100" s="122"/>
      <c r="CF100" s="121"/>
      <c r="CG100" s="121"/>
    </row>
    <row r="101" spans="1:85" s="70" customFormat="1" ht="11.25" customHeight="1" x14ac:dyDescent="0.2">
      <c r="A101" s="181" t="s">
        <v>219</v>
      </c>
      <c r="B101" s="181"/>
      <c r="C101" s="181"/>
      <c r="D101" s="181"/>
      <c r="E101" s="181"/>
      <c r="F101" s="181"/>
      <c r="G101" s="181"/>
      <c r="H101" s="181"/>
      <c r="I101" s="181"/>
      <c r="J101" s="181"/>
      <c r="K101" s="181"/>
      <c r="L101" s="181"/>
      <c r="M101" s="181"/>
      <c r="N101" s="181"/>
      <c r="O101" s="181"/>
      <c r="P101" s="181"/>
      <c r="Q101" s="181"/>
      <c r="R101" s="181"/>
      <c r="S101" s="181"/>
      <c r="T101" s="181"/>
      <c r="U101" s="181"/>
      <c r="V101" s="181"/>
      <c r="W101" s="181"/>
      <c r="X101" s="181"/>
      <c r="Y101" s="181"/>
      <c r="Z101" s="181"/>
      <c r="AA101" s="181"/>
      <c r="AB101" s="181"/>
      <c r="AC101" s="181"/>
      <c r="AD101" s="181"/>
      <c r="AE101" s="181"/>
      <c r="AF101" s="181"/>
      <c r="AG101" s="181"/>
      <c r="AH101" s="181"/>
      <c r="AI101" s="181"/>
      <c r="AJ101" s="181"/>
      <c r="AK101" s="181"/>
      <c r="AL101" s="181"/>
      <c r="AM101" s="181"/>
      <c r="AN101" s="181"/>
      <c r="AO101" s="181"/>
      <c r="AP101" s="181"/>
      <c r="AQ101" s="181"/>
      <c r="AR101" s="181"/>
      <c r="AS101" s="181"/>
      <c r="AT101" s="181"/>
      <c r="AU101" s="181"/>
      <c r="AV101" s="181"/>
      <c r="AW101" s="237"/>
      <c r="AX101" s="181"/>
      <c r="AY101" s="181"/>
      <c r="AZ101" s="181"/>
      <c r="BA101" s="181"/>
      <c r="BB101" s="181"/>
      <c r="BC101" s="181"/>
      <c r="BD101" s="181"/>
      <c r="BE101" s="181"/>
      <c r="BF101" s="181"/>
      <c r="BG101" s="181"/>
      <c r="BH101" s="181"/>
      <c r="BI101" s="181"/>
      <c r="BJ101" s="181"/>
      <c r="BK101" s="181"/>
      <c r="BL101" s="181"/>
      <c r="BM101" s="181"/>
      <c r="BN101" s="181"/>
      <c r="BO101" s="181"/>
      <c r="BP101" s="181"/>
      <c r="BQ101" s="181"/>
      <c r="BR101" s="181"/>
      <c r="BS101" s="181"/>
      <c r="BT101" s="181"/>
      <c r="BU101" s="181"/>
      <c r="BV101" s="182"/>
      <c r="BW101" s="262"/>
      <c r="BX101" s="62"/>
      <c r="BY101" s="115"/>
      <c r="BZ101" s="101"/>
      <c r="CA101" s="105"/>
      <c r="CB101" s="106"/>
      <c r="CD101" s="115"/>
      <c r="CE101" s="118"/>
      <c r="CF101" s="116"/>
      <c r="CG101" s="116"/>
    </row>
    <row r="102" spans="1:85" ht="11.25" customHeight="1" x14ac:dyDescent="0.2">
      <c r="A102" s="337" t="s">
        <v>82</v>
      </c>
      <c r="B102" s="337"/>
      <c r="C102" s="338">
        <v>124</v>
      </c>
      <c r="D102" s="338"/>
      <c r="E102" s="146">
        <v>1</v>
      </c>
      <c r="F102" s="339">
        <v>0.49917699038400004</v>
      </c>
      <c r="G102" s="340"/>
      <c r="H102" s="341"/>
      <c r="I102" s="342">
        <v>2.4944988304600191</v>
      </c>
      <c r="J102" s="342"/>
      <c r="K102" s="342"/>
      <c r="L102" s="343">
        <v>0.82948999999999995</v>
      </c>
      <c r="M102" s="344"/>
      <c r="N102" s="345"/>
      <c r="O102" s="343">
        <v>0.74517</v>
      </c>
      <c r="P102" s="344"/>
      <c r="Q102" s="345"/>
      <c r="R102" s="346">
        <v>0.10146149287112599</v>
      </c>
      <c r="S102" s="347"/>
      <c r="T102" s="348"/>
      <c r="U102" s="342">
        <v>1.507414577887056</v>
      </c>
      <c r="V102" s="342"/>
      <c r="W102" s="342"/>
      <c r="X102" s="349">
        <v>-252.364510737134</v>
      </c>
      <c r="Y102" s="349"/>
      <c r="Z102" s="349"/>
      <c r="AA102" s="350">
        <v>0.83640289999999995</v>
      </c>
      <c r="AB102" s="350"/>
      <c r="AC102" s="350"/>
      <c r="AD102" s="350">
        <v>0.18542840000000002</v>
      </c>
      <c r="AE102" s="350"/>
      <c r="AF102" s="350"/>
      <c r="AG102" s="350">
        <v>0.11681134126364458</v>
      </c>
      <c r="AH102" s="350"/>
      <c r="AI102" s="350"/>
      <c r="AJ102" s="350">
        <v>0.20121251090800532</v>
      </c>
      <c r="AK102" s="350"/>
      <c r="AL102" s="350"/>
      <c r="AM102" s="350">
        <v>0.33023869808911682</v>
      </c>
      <c r="AN102" s="350"/>
      <c r="AO102" s="350"/>
      <c r="AP102" s="350">
        <v>0.14086652296927429</v>
      </c>
      <c r="AQ102" s="350"/>
      <c r="AR102" s="350"/>
      <c r="AS102" s="129">
        <v>0.32247340425531923</v>
      </c>
      <c r="AT102" s="129">
        <v>0.27074424405073927</v>
      </c>
      <c r="AU102" s="175">
        <v>0.37793259217108188</v>
      </c>
      <c r="AV102" s="328">
        <v>10303.782608695652</v>
      </c>
      <c r="AW102" s="183">
        <v>6.1892734733777689E-2</v>
      </c>
      <c r="AX102" s="342">
        <v>84.910358942800002</v>
      </c>
      <c r="AY102" s="342"/>
      <c r="AZ102" s="342"/>
      <c r="BA102" s="342">
        <v>120.6851079028</v>
      </c>
      <c r="BB102" s="342"/>
      <c r="BC102" s="342"/>
      <c r="BD102" s="342">
        <v>4.2570118792138798</v>
      </c>
      <c r="BE102" s="342"/>
      <c r="BF102" s="342"/>
      <c r="BG102" s="342">
        <v>7.5484806043782839</v>
      </c>
      <c r="BH102" s="342"/>
      <c r="BI102" s="342"/>
      <c r="BJ102" s="342">
        <v>15.750451872843046</v>
      </c>
      <c r="BK102" s="342"/>
      <c r="BL102" s="342"/>
      <c r="BM102" s="342">
        <v>1.8476263859336488</v>
      </c>
      <c r="BN102" s="342"/>
      <c r="BO102" s="342"/>
      <c r="BP102" s="342" t="s">
        <v>189</v>
      </c>
      <c r="BQ102" s="342"/>
      <c r="BR102" s="343"/>
      <c r="BS102" s="131">
        <v>0.63632248824704396</v>
      </c>
      <c r="BT102" s="129">
        <v>0.42461097694764055</v>
      </c>
      <c r="BU102" s="132">
        <v>8.173252843921186E-2</v>
      </c>
      <c r="BV102" s="180">
        <v>43100</v>
      </c>
      <c r="BW102" s="263" t="s">
        <v>82</v>
      </c>
      <c r="BX102" s="33"/>
      <c r="BY102" s="116"/>
      <c r="BZ102" s="100"/>
      <c r="CA102" s="100"/>
      <c r="CB102" s="100"/>
      <c r="CD102" s="116"/>
      <c r="CE102" s="116"/>
      <c r="CF102" s="116"/>
      <c r="CG102" s="118"/>
    </row>
    <row r="103" spans="1:85" ht="11.25" customHeight="1" x14ac:dyDescent="0.2">
      <c r="A103" s="534" t="s">
        <v>83</v>
      </c>
      <c r="B103" s="534"/>
      <c r="C103" s="538">
        <v>212</v>
      </c>
      <c r="D103" s="538"/>
      <c r="E103" s="235">
        <v>1</v>
      </c>
      <c r="F103" s="407">
        <v>3.1533731949460004</v>
      </c>
      <c r="G103" s="408"/>
      <c r="H103" s="409"/>
      <c r="I103" s="410">
        <v>6.4741087545126215</v>
      </c>
      <c r="J103" s="410"/>
      <c r="K103" s="410"/>
      <c r="L103" s="411">
        <v>0.80979000000000001</v>
      </c>
      <c r="M103" s="412"/>
      <c r="N103" s="413"/>
      <c r="O103" s="411">
        <v>0.76417000000000002</v>
      </c>
      <c r="P103" s="412"/>
      <c r="Q103" s="413"/>
      <c r="R103" s="414">
        <v>4.6359366226415101E-2</v>
      </c>
      <c r="S103" s="415"/>
      <c r="T103" s="416"/>
      <c r="U103" s="410">
        <v>0.54759513410935023</v>
      </c>
      <c r="V103" s="410"/>
      <c r="W103" s="410"/>
      <c r="X103" s="418">
        <v>-273.81615692378239</v>
      </c>
      <c r="Y103" s="418"/>
      <c r="Z103" s="418"/>
      <c r="AA103" s="419">
        <v>0.52691889999999997</v>
      </c>
      <c r="AB103" s="419"/>
      <c r="AC103" s="419"/>
      <c r="AD103" s="419">
        <v>0.1305761</v>
      </c>
      <c r="AE103" s="419"/>
      <c r="AF103" s="419"/>
      <c r="AG103" s="419">
        <v>6.2509352494720463E-2</v>
      </c>
      <c r="AH103" s="419"/>
      <c r="AI103" s="419"/>
      <c r="AJ103" s="419">
        <v>6.1724439655091529E-2</v>
      </c>
      <c r="AK103" s="419"/>
      <c r="AL103" s="419"/>
      <c r="AM103" s="523">
        <v>0.18479908570644832</v>
      </c>
      <c r="AN103" s="523"/>
      <c r="AO103" s="523"/>
      <c r="AP103" s="419">
        <v>2.7383853927498807E-2</v>
      </c>
      <c r="AQ103" s="419"/>
      <c r="AR103" s="419"/>
      <c r="AS103" s="228">
        <v>0.62492155785384673</v>
      </c>
      <c r="AT103" s="228">
        <v>0.78349385401301685</v>
      </c>
      <c r="AU103" s="229">
        <v>1.6713891817116791</v>
      </c>
      <c r="AV103" s="330">
        <v>161896.93517321066</v>
      </c>
      <c r="AW103" s="231">
        <v>0.20201577232818183</v>
      </c>
      <c r="AX103" s="410">
        <v>2453.4705653956298</v>
      </c>
      <c r="AY103" s="410"/>
      <c r="AZ103" s="410"/>
      <c r="BA103" s="410">
        <v>1054.7422297640001</v>
      </c>
      <c r="BB103" s="410"/>
      <c r="BC103" s="410"/>
      <c r="BD103" s="410">
        <v>6.15237146902754</v>
      </c>
      <c r="BE103" s="410"/>
      <c r="BF103" s="410"/>
      <c r="BG103" s="410" t="s">
        <v>189</v>
      </c>
      <c r="BH103" s="410"/>
      <c r="BI103" s="410"/>
      <c r="BJ103" s="410">
        <v>17.053357298497673</v>
      </c>
      <c r="BK103" s="410"/>
      <c r="BL103" s="410"/>
      <c r="BM103" s="410">
        <v>0.95720356270771456</v>
      </c>
      <c r="BN103" s="410"/>
      <c r="BO103" s="410"/>
      <c r="BP103" s="410">
        <v>39.350646366799999</v>
      </c>
      <c r="BQ103" s="410"/>
      <c r="BR103" s="411"/>
      <c r="BS103" s="230">
        <v>0.21790018501623301</v>
      </c>
      <c r="BT103" s="228">
        <v>0.35713175739170661</v>
      </c>
      <c r="BU103" s="231">
        <v>-9.2392637837460989E-2</v>
      </c>
      <c r="BV103" s="232">
        <v>43190</v>
      </c>
      <c r="BW103" s="264" t="s">
        <v>83</v>
      </c>
      <c r="BX103" s="33"/>
      <c r="BY103" s="116"/>
      <c r="BZ103" s="100"/>
      <c r="CA103" s="100"/>
      <c r="CB103" s="100"/>
      <c r="CD103" s="116"/>
      <c r="CE103" s="115"/>
      <c r="CF103" s="115"/>
      <c r="CG103" s="118"/>
    </row>
    <row r="104" spans="1:85" ht="11.25" customHeight="1" x14ac:dyDescent="0.2">
      <c r="A104" s="402" t="s">
        <v>252</v>
      </c>
      <c r="B104" s="403"/>
      <c r="C104" s="404"/>
      <c r="D104" s="405"/>
      <c r="E104" s="233"/>
      <c r="F104" s="385">
        <v>1.8262750926650002</v>
      </c>
      <c r="G104" s="386"/>
      <c r="H104" s="387"/>
      <c r="I104" s="385">
        <v>4.4843037924863207</v>
      </c>
      <c r="J104" s="386"/>
      <c r="K104" s="387"/>
      <c r="L104" s="385">
        <v>0.81963999999999992</v>
      </c>
      <c r="M104" s="386"/>
      <c r="N104" s="387"/>
      <c r="O104" s="385">
        <v>0.75466999999999995</v>
      </c>
      <c r="P104" s="386"/>
      <c r="Q104" s="387"/>
      <c r="R104" s="436">
        <v>7.3910429548770543E-2</v>
      </c>
      <c r="S104" s="437"/>
      <c r="T104" s="438"/>
      <c r="U104" s="385">
        <v>1.0275048559982032</v>
      </c>
      <c r="V104" s="386"/>
      <c r="W104" s="387"/>
      <c r="X104" s="385">
        <v>-263.09033383045818</v>
      </c>
      <c r="Y104" s="386"/>
      <c r="Z104" s="387"/>
      <c r="AA104" s="361">
        <v>0.68166090000000001</v>
      </c>
      <c r="AB104" s="362"/>
      <c r="AC104" s="363"/>
      <c r="AD104" s="361">
        <v>0.15800225000000001</v>
      </c>
      <c r="AE104" s="362"/>
      <c r="AF104" s="363"/>
      <c r="AG104" s="361">
        <v>8.966034687918252E-2</v>
      </c>
      <c r="AH104" s="362"/>
      <c r="AI104" s="363"/>
      <c r="AJ104" s="361">
        <v>0.13146847528154842</v>
      </c>
      <c r="AK104" s="362"/>
      <c r="AL104" s="363"/>
      <c r="AM104" s="361">
        <v>0.25751889189778254</v>
      </c>
      <c r="AN104" s="362"/>
      <c r="AO104" s="363"/>
      <c r="AP104" s="361">
        <v>8.4125188448386554E-2</v>
      </c>
      <c r="AQ104" s="362"/>
      <c r="AR104" s="363"/>
      <c r="AS104" s="236">
        <v>0.47369748105458298</v>
      </c>
      <c r="AT104" s="236">
        <v>0.52711904903187801</v>
      </c>
      <c r="AU104" s="241">
        <v>1.0246608869413805</v>
      </c>
      <c r="AV104" s="331">
        <v>86100.358890953154</v>
      </c>
      <c r="AW104" s="236">
        <v>0.13195425353097975</v>
      </c>
      <c r="AX104" s="421">
        <v>1269.1904621692149</v>
      </c>
      <c r="AY104" s="422"/>
      <c r="AZ104" s="423"/>
      <c r="BA104" s="421">
        <v>587.71366883339999</v>
      </c>
      <c r="BB104" s="422"/>
      <c r="BC104" s="423"/>
      <c r="BD104" s="421">
        <v>5.2046916741207099</v>
      </c>
      <c r="BE104" s="422"/>
      <c r="BF104" s="423"/>
      <c r="BG104" s="421">
        <v>7.5484806043782839</v>
      </c>
      <c r="BH104" s="422"/>
      <c r="BI104" s="423"/>
      <c r="BJ104" s="421">
        <v>16.401904585670358</v>
      </c>
      <c r="BK104" s="422"/>
      <c r="BL104" s="423"/>
      <c r="BM104" s="421">
        <v>1.4024149743206817</v>
      </c>
      <c r="BN104" s="422"/>
      <c r="BO104" s="423"/>
      <c r="BP104" s="421">
        <v>39.350646366799999</v>
      </c>
      <c r="BQ104" s="422"/>
      <c r="BR104" s="423"/>
      <c r="BS104" s="242">
        <v>0.42711133663163847</v>
      </c>
      <c r="BT104" s="236">
        <v>0.39087136716967358</v>
      </c>
      <c r="BU104" s="236">
        <v>-5.3300546991245645E-3</v>
      </c>
      <c r="BV104" s="234"/>
      <c r="BW104" s="234"/>
      <c r="BX104" s="33"/>
      <c r="BY104" s="116"/>
      <c r="BZ104" s="100"/>
      <c r="CA104" s="100"/>
      <c r="CB104" s="100"/>
      <c r="CD104" s="116"/>
      <c r="CE104" s="116"/>
      <c r="CF104" s="116"/>
      <c r="CG104" s="118"/>
    </row>
    <row r="105" spans="1:85" ht="11.25" customHeight="1" x14ac:dyDescent="0.2">
      <c r="A105" s="181" t="s">
        <v>254</v>
      </c>
      <c r="B105" s="181"/>
      <c r="C105" s="181"/>
      <c r="D105" s="181"/>
      <c r="E105" s="181"/>
      <c r="F105" s="181"/>
      <c r="G105" s="181"/>
      <c r="H105" s="181"/>
      <c r="I105" s="181"/>
      <c r="J105" s="181"/>
      <c r="K105" s="181"/>
      <c r="L105" s="181"/>
      <c r="M105" s="181"/>
      <c r="N105" s="181"/>
      <c r="O105" s="181"/>
      <c r="P105" s="181"/>
      <c r="Q105" s="181"/>
      <c r="R105" s="181"/>
      <c r="S105" s="181"/>
      <c r="T105" s="181"/>
      <c r="U105" s="181"/>
      <c r="V105" s="181"/>
      <c r="W105" s="181"/>
      <c r="X105" s="181"/>
      <c r="Y105" s="181"/>
      <c r="Z105" s="181"/>
      <c r="AA105" s="181"/>
      <c r="AB105" s="181"/>
      <c r="AC105" s="181"/>
      <c r="AD105" s="181"/>
      <c r="AE105" s="181"/>
      <c r="AF105" s="181"/>
      <c r="AG105" s="181"/>
      <c r="AH105" s="181"/>
      <c r="AI105" s="181"/>
      <c r="AJ105" s="181"/>
      <c r="AK105" s="181"/>
      <c r="AL105" s="181"/>
      <c r="AM105" s="181"/>
      <c r="AN105" s="181"/>
      <c r="AO105" s="181"/>
      <c r="AP105" s="181"/>
      <c r="AQ105" s="181"/>
      <c r="AR105" s="181"/>
      <c r="AS105" s="181"/>
      <c r="AT105" s="181"/>
      <c r="AU105" s="181"/>
      <c r="AV105" s="181"/>
      <c r="AW105" s="237"/>
      <c r="AX105" s="181"/>
      <c r="AY105" s="181"/>
      <c r="AZ105" s="181"/>
      <c r="BA105" s="181"/>
      <c r="BB105" s="181"/>
      <c r="BC105" s="181"/>
      <c r="BD105" s="181"/>
      <c r="BE105" s="181"/>
      <c r="BF105" s="181"/>
      <c r="BG105" s="181"/>
      <c r="BH105" s="181"/>
      <c r="BI105" s="181"/>
      <c r="BJ105" s="181"/>
      <c r="BK105" s="181"/>
      <c r="BL105" s="181"/>
      <c r="BM105" s="181"/>
      <c r="BN105" s="181"/>
      <c r="BO105" s="181"/>
      <c r="BP105" s="181"/>
      <c r="BQ105" s="181"/>
      <c r="BR105" s="181"/>
      <c r="BS105" s="181"/>
      <c r="BT105" s="181"/>
      <c r="BU105" s="181"/>
      <c r="BV105" s="182"/>
      <c r="BW105" s="262"/>
      <c r="BX105" s="33"/>
      <c r="BY105" s="116"/>
      <c r="BZ105" s="100"/>
      <c r="CA105" s="100"/>
      <c r="CB105" s="106"/>
      <c r="CD105" s="116"/>
      <c r="CE105" s="116"/>
      <c r="CF105" s="116"/>
      <c r="CG105" s="118"/>
    </row>
    <row r="106" spans="1:85" ht="11.25" customHeight="1" x14ac:dyDescent="0.2">
      <c r="A106" s="337" t="s">
        <v>41</v>
      </c>
      <c r="B106" s="337"/>
      <c r="C106" s="338">
        <v>42.4</v>
      </c>
      <c r="D106" s="338"/>
      <c r="E106" s="146">
        <v>1</v>
      </c>
      <c r="F106" s="339">
        <v>7.9480278422269999</v>
      </c>
      <c r="G106" s="340"/>
      <c r="H106" s="341"/>
      <c r="I106" s="342">
        <v>14.070843000773396</v>
      </c>
      <c r="J106" s="342"/>
      <c r="K106" s="342"/>
      <c r="L106" s="343">
        <v>1.5050300000000001</v>
      </c>
      <c r="M106" s="344"/>
      <c r="N106" s="345"/>
      <c r="O106" s="343">
        <v>1.34633</v>
      </c>
      <c r="P106" s="344"/>
      <c r="Q106" s="345"/>
      <c r="R106" s="346">
        <v>1.8747925473809501E-2</v>
      </c>
      <c r="S106" s="347"/>
      <c r="T106" s="348"/>
      <c r="U106" s="342">
        <v>0.45277952068073551</v>
      </c>
      <c r="V106" s="342"/>
      <c r="W106" s="342"/>
      <c r="X106" s="349">
        <v>-12.24417960560146</v>
      </c>
      <c r="Y106" s="349"/>
      <c r="Z106" s="349"/>
      <c r="AA106" s="350">
        <v>0.26988630000000002</v>
      </c>
      <c r="AB106" s="350"/>
      <c r="AC106" s="350"/>
      <c r="AD106" s="350">
        <v>0.1273775</v>
      </c>
      <c r="AE106" s="350"/>
      <c r="AF106" s="350"/>
      <c r="AG106" s="350">
        <v>6.432329590830084E-2</v>
      </c>
      <c r="AH106" s="350"/>
      <c r="AI106" s="350"/>
      <c r="AJ106" s="350">
        <v>6.6566449006435852E-2</v>
      </c>
      <c r="AK106" s="350"/>
      <c r="AL106" s="350"/>
      <c r="AM106" s="350">
        <v>0.39661820880931259</v>
      </c>
      <c r="AN106" s="350"/>
      <c r="AO106" s="350"/>
      <c r="AP106" s="350">
        <v>2.3299417939956248E-2</v>
      </c>
      <c r="AQ106" s="350"/>
      <c r="AR106" s="350"/>
      <c r="AS106" s="129">
        <v>12.926136363636363</v>
      </c>
      <c r="AT106" s="129">
        <v>0.9476304295279615</v>
      </c>
      <c r="AU106" s="175">
        <v>24.546349602045801</v>
      </c>
      <c r="AV106" s="328">
        <v>5565.5889565217394</v>
      </c>
      <c r="AW106" s="183">
        <v>2.6999552085984782</v>
      </c>
      <c r="AX106" s="342">
        <v>164.67599855200001</v>
      </c>
      <c r="AY106" s="342"/>
      <c r="AZ106" s="342"/>
      <c r="BA106" s="342">
        <v>21.068997767999999</v>
      </c>
      <c r="BB106" s="342"/>
      <c r="BC106" s="342"/>
      <c r="BD106" s="342">
        <v>16.760915883155199</v>
      </c>
      <c r="BE106" s="342"/>
      <c r="BF106" s="342"/>
      <c r="BG106" s="342">
        <v>3.2284703904382468</v>
      </c>
      <c r="BH106" s="342"/>
      <c r="BI106" s="342"/>
      <c r="BJ106" s="342">
        <v>3.8403675159252977</v>
      </c>
      <c r="BK106" s="342"/>
      <c r="BL106" s="342"/>
      <c r="BM106" s="342">
        <v>0.24743972574810918</v>
      </c>
      <c r="BN106" s="342"/>
      <c r="BO106" s="342"/>
      <c r="BP106" s="342">
        <v>2.2568298662999999</v>
      </c>
      <c r="BQ106" s="342"/>
      <c r="BR106" s="343"/>
      <c r="BS106" s="131">
        <v>0.85461385132970502</v>
      </c>
      <c r="BT106" s="129">
        <v>0.43895661390471646</v>
      </c>
      <c r="BU106" s="132">
        <v>6.9098949900616269E-2</v>
      </c>
      <c r="BV106" s="180">
        <v>43100</v>
      </c>
      <c r="BW106" s="263" t="s">
        <v>41</v>
      </c>
      <c r="BX106" s="33"/>
      <c r="BY106" s="121"/>
      <c r="BZ106" s="100"/>
      <c r="CA106" s="100"/>
      <c r="CB106" s="100"/>
      <c r="CC106" s="45"/>
      <c r="CD106" s="121"/>
      <c r="CE106" s="122"/>
      <c r="CF106" s="116"/>
      <c r="CG106" s="121"/>
    </row>
    <row r="107" spans="1:85" ht="11.25" customHeight="1" x14ac:dyDescent="0.2">
      <c r="A107" s="455" t="s">
        <v>59</v>
      </c>
      <c r="B107" s="455"/>
      <c r="C107" s="454">
        <v>49.5</v>
      </c>
      <c r="D107" s="454"/>
      <c r="E107" s="148">
        <v>1</v>
      </c>
      <c r="F107" s="507">
        <v>4.819192414582</v>
      </c>
      <c r="G107" s="507"/>
      <c r="H107" s="507"/>
      <c r="I107" s="355">
        <v>8.518489455615498</v>
      </c>
      <c r="J107" s="355"/>
      <c r="K107" s="355"/>
      <c r="L107" s="358">
        <v>1.66303</v>
      </c>
      <c r="M107" s="359"/>
      <c r="N107" s="360"/>
      <c r="O107" s="358">
        <v>1.57596</v>
      </c>
      <c r="P107" s="359"/>
      <c r="Q107" s="360"/>
      <c r="R107" s="373">
        <v>4.9373752944898E-2</v>
      </c>
      <c r="S107" s="374"/>
      <c r="T107" s="375"/>
      <c r="U107" s="355">
        <v>0.44772367882279812</v>
      </c>
      <c r="V107" s="355"/>
      <c r="W107" s="355"/>
      <c r="X107" s="356">
        <v>-11.043376330062074</v>
      </c>
      <c r="Y107" s="356"/>
      <c r="Z107" s="356"/>
      <c r="AA107" s="357">
        <v>0.30538480000000001</v>
      </c>
      <c r="AB107" s="357"/>
      <c r="AC107" s="357"/>
      <c r="AD107" s="357">
        <v>0.1287548</v>
      </c>
      <c r="AE107" s="357"/>
      <c r="AF107" s="357"/>
      <c r="AG107" s="357">
        <v>0.12631094412858759</v>
      </c>
      <c r="AH107" s="357"/>
      <c r="AI107" s="357"/>
      <c r="AJ107" s="357">
        <v>8.8528383573232478E-2</v>
      </c>
      <c r="AK107" s="357"/>
      <c r="AL107" s="357"/>
      <c r="AM107" s="420">
        <v>0.47125169704916509</v>
      </c>
      <c r="AN107" s="420"/>
      <c r="AO107" s="420"/>
      <c r="AP107" s="357">
        <v>4.5241922636891571E-2</v>
      </c>
      <c r="AQ107" s="357"/>
      <c r="AR107" s="357"/>
      <c r="AS107" s="134">
        <v>9.2618806875631954</v>
      </c>
      <c r="AT107" s="134">
        <v>0.85284239186932176</v>
      </c>
      <c r="AU107" s="174">
        <v>3.4217612187614685</v>
      </c>
      <c r="AV107" s="329">
        <v>5020.8859565217399</v>
      </c>
      <c r="AW107" s="184">
        <v>3.9752294620307866</v>
      </c>
      <c r="AX107" s="355">
        <v>151.66114654</v>
      </c>
      <c r="AY107" s="355"/>
      <c r="AZ107" s="355"/>
      <c r="BA107" s="355">
        <v>28.35514654</v>
      </c>
      <c r="BB107" s="355"/>
      <c r="BC107" s="355"/>
      <c r="BD107" s="355">
        <v>12.761792876136001</v>
      </c>
      <c r="BE107" s="355"/>
      <c r="BF107" s="355"/>
      <c r="BG107" s="355">
        <v>1.5951365065256526</v>
      </c>
      <c r="BH107" s="355"/>
      <c r="BI107" s="355"/>
      <c r="BJ107" s="355">
        <v>2.8214436557701945</v>
      </c>
      <c r="BK107" s="355"/>
      <c r="BL107" s="355"/>
      <c r="BM107" s="355">
        <v>0.35275931550988415</v>
      </c>
      <c r="BN107" s="355"/>
      <c r="BO107" s="355"/>
      <c r="BP107" s="355">
        <v>2.7695982163999999</v>
      </c>
      <c r="BQ107" s="355"/>
      <c r="BR107" s="358"/>
      <c r="BS107" s="136">
        <v>0.88546209677230403</v>
      </c>
      <c r="BT107" s="134">
        <v>0.4208813679913645</v>
      </c>
      <c r="BU107" s="137">
        <v>9.3561210357979707E-2</v>
      </c>
      <c r="BV107" s="179">
        <v>43100</v>
      </c>
      <c r="BW107" s="264" t="s">
        <v>59</v>
      </c>
      <c r="BX107" s="33"/>
      <c r="BY107" s="121"/>
      <c r="BZ107" s="100"/>
      <c r="CA107" s="100"/>
      <c r="CB107" s="100"/>
      <c r="CC107" s="45"/>
      <c r="CD107" s="121"/>
      <c r="CE107" s="122"/>
      <c r="CF107" s="121"/>
      <c r="CG107" s="121"/>
    </row>
    <row r="108" spans="1:85" ht="11.25" customHeight="1" x14ac:dyDescent="0.2">
      <c r="A108" s="337" t="s">
        <v>42</v>
      </c>
      <c r="B108" s="337"/>
      <c r="C108" s="338">
        <v>52.5</v>
      </c>
      <c r="D108" s="338"/>
      <c r="E108" s="147">
        <v>1</v>
      </c>
      <c r="F108" s="417">
        <v>0.119016881546</v>
      </c>
      <c r="G108" s="417"/>
      <c r="H108" s="417"/>
      <c r="I108" s="342">
        <v>2.1768707793097133</v>
      </c>
      <c r="J108" s="342"/>
      <c r="K108" s="342"/>
      <c r="L108" s="343">
        <v>4.1280700000000001</v>
      </c>
      <c r="M108" s="344"/>
      <c r="N108" s="345"/>
      <c r="O108" s="343">
        <v>3.0497800000000002</v>
      </c>
      <c r="P108" s="344"/>
      <c r="Q108" s="345"/>
      <c r="R108" s="346">
        <v>1.1709980978E-2</v>
      </c>
      <c r="S108" s="347"/>
      <c r="T108" s="348"/>
      <c r="U108" s="342">
        <v>0.64529172068150975</v>
      </c>
      <c r="V108" s="342"/>
      <c r="W108" s="342"/>
      <c r="X108" s="349">
        <v>282.07807502056863</v>
      </c>
      <c r="Y108" s="349"/>
      <c r="Z108" s="349"/>
      <c r="AA108" s="350">
        <v>0.56622399999999995</v>
      </c>
      <c r="AB108" s="350"/>
      <c r="AC108" s="350"/>
      <c r="AD108" s="350">
        <v>0.46149980000000002</v>
      </c>
      <c r="AE108" s="350"/>
      <c r="AF108" s="350"/>
      <c r="AG108" s="350">
        <v>0.22514799388255891</v>
      </c>
      <c r="AH108" s="350"/>
      <c r="AI108" s="350"/>
      <c r="AJ108" s="350">
        <v>0.80187732661922861</v>
      </c>
      <c r="AK108" s="350"/>
      <c r="AL108" s="350"/>
      <c r="AM108" s="350">
        <v>0.26579573071907803</v>
      </c>
      <c r="AN108" s="350"/>
      <c r="AO108" s="350"/>
      <c r="AP108" s="350">
        <v>0.11622897268973836</v>
      </c>
      <c r="AQ108" s="350"/>
      <c r="AR108" s="350"/>
      <c r="AS108" s="129">
        <v>0.30138257726346951</v>
      </c>
      <c r="AT108" s="129">
        <v>2.8795123795472328</v>
      </c>
      <c r="AU108" s="175">
        <v>4.0616268668777673</v>
      </c>
      <c r="AV108" s="328">
        <v>942.49228478260875</v>
      </c>
      <c r="AW108" s="183">
        <v>36.634008491341454</v>
      </c>
      <c r="AX108" s="342">
        <v>18.742109450000001</v>
      </c>
      <c r="AY108" s="342"/>
      <c r="AZ108" s="342"/>
      <c r="BA108" s="342">
        <v>20.49533645</v>
      </c>
      <c r="BB108" s="342"/>
      <c r="BC108" s="342"/>
      <c r="BD108" s="342">
        <v>3.9343448646624299</v>
      </c>
      <c r="BE108" s="342"/>
      <c r="BF108" s="342"/>
      <c r="BG108" s="342">
        <v>2.0761902670770556</v>
      </c>
      <c r="BH108" s="342"/>
      <c r="BI108" s="342"/>
      <c r="BJ108" s="342">
        <v>7.5807895572818902</v>
      </c>
      <c r="BK108" s="342"/>
      <c r="BL108" s="342"/>
      <c r="BM108" s="342">
        <v>2.0157397677929514</v>
      </c>
      <c r="BN108" s="342"/>
      <c r="BO108" s="342"/>
      <c r="BP108" s="342">
        <v>4.5228631890999997</v>
      </c>
      <c r="BQ108" s="342"/>
      <c r="BR108" s="343"/>
      <c r="BS108" s="131">
        <v>0.89433780094238002</v>
      </c>
      <c r="BT108" s="129" t="s">
        <v>189</v>
      </c>
      <c r="BU108" s="132" t="s">
        <v>189</v>
      </c>
      <c r="BV108" s="180">
        <v>43100</v>
      </c>
      <c r="BW108" s="263" t="s">
        <v>42</v>
      </c>
      <c r="BX108" s="33"/>
      <c r="BY108" s="116"/>
      <c r="BZ108" s="100"/>
      <c r="CA108" s="100"/>
      <c r="CB108" s="100"/>
      <c r="CC108" s="45"/>
      <c r="CD108" s="116"/>
      <c r="CE108" s="118"/>
      <c r="CF108" s="116"/>
      <c r="CG108" s="116"/>
    </row>
    <row r="109" spans="1:85" ht="11.25" customHeight="1" x14ac:dyDescent="0.2">
      <c r="A109" s="534" t="s">
        <v>179</v>
      </c>
      <c r="B109" s="534"/>
      <c r="C109" s="538">
        <v>234</v>
      </c>
      <c r="D109" s="538"/>
      <c r="E109" s="227">
        <v>0.1</v>
      </c>
      <c r="F109" s="547">
        <v>0.29111727456399999</v>
      </c>
      <c r="G109" s="547"/>
      <c r="H109" s="547"/>
      <c r="I109" s="410">
        <v>1.709173548829636</v>
      </c>
      <c r="J109" s="410"/>
      <c r="K109" s="410"/>
      <c r="L109" s="411">
        <v>4.32416</v>
      </c>
      <c r="M109" s="412"/>
      <c r="N109" s="413"/>
      <c r="O109" s="411">
        <v>4.3084699999999998</v>
      </c>
      <c r="P109" s="412"/>
      <c r="Q109" s="413"/>
      <c r="R109" s="414">
        <v>2.4112085426068401E-2</v>
      </c>
      <c r="S109" s="415"/>
      <c r="T109" s="416"/>
      <c r="U109" s="410">
        <v>0.14694544450349417</v>
      </c>
      <c r="V109" s="410"/>
      <c r="W109" s="410"/>
      <c r="X109" s="418">
        <v>-90.90914143803262</v>
      </c>
      <c r="Y109" s="418"/>
      <c r="Z109" s="418"/>
      <c r="AA109" s="419">
        <v>0.62096510000000005</v>
      </c>
      <c r="AB109" s="419"/>
      <c r="AC109" s="419"/>
      <c r="AD109" s="419">
        <v>1.1248116000000001</v>
      </c>
      <c r="AE109" s="419"/>
      <c r="AF109" s="419"/>
      <c r="AG109" s="419">
        <v>2.2789409046621665</v>
      </c>
      <c r="AH109" s="419"/>
      <c r="AI109" s="419"/>
      <c r="AJ109" s="419">
        <v>0.60463091668076618</v>
      </c>
      <c r="AK109" s="419"/>
      <c r="AL109" s="419"/>
      <c r="AM109" s="523">
        <v>0.49783831327488165</v>
      </c>
      <c r="AN109" s="523"/>
      <c r="AO109" s="523"/>
      <c r="AP109" s="419">
        <v>0.26790404925611133</v>
      </c>
      <c r="AQ109" s="419"/>
      <c r="AR109" s="419"/>
      <c r="AS109" s="228">
        <v>6.4837380499730584</v>
      </c>
      <c r="AT109" s="228">
        <v>1.7289311879208966</v>
      </c>
      <c r="AU109" s="229">
        <v>2.6736328381884844</v>
      </c>
      <c r="AV109" s="330">
        <v>713.74456521739114</v>
      </c>
      <c r="AW109" s="231">
        <v>0.23337318568433701</v>
      </c>
      <c r="AX109" s="410">
        <v>34.350324700000002</v>
      </c>
      <c r="AY109" s="410"/>
      <c r="AZ109" s="410"/>
      <c r="BA109" s="410">
        <v>32.763287699999999</v>
      </c>
      <c r="BB109" s="410"/>
      <c r="BC109" s="410"/>
      <c r="BD109" s="410">
        <v>12.1470406411031</v>
      </c>
      <c r="BE109" s="410"/>
      <c r="BF109" s="410"/>
      <c r="BG109" s="410">
        <v>1.0057771957380324</v>
      </c>
      <c r="BH109" s="410"/>
      <c r="BI109" s="410"/>
      <c r="BJ109" s="410">
        <v>2.3590569337219933</v>
      </c>
      <c r="BK109" s="410"/>
      <c r="BL109" s="410"/>
      <c r="BM109" s="410">
        <v>5.9734350477826847</v>
      </c>
      <c r="BN109" s="410"/>
      <c r="BO109" s="410"/>
      <c r="BP109" s="410">
        <v>2.3021511908000001</v>
      </c>
      <c r="BQ109" s="410"/>
      <c r="BR109" s="411"/>
      <c r="BS109" s="230">
        <v>0.200975770583043</v>
      </c>
      <c r="BT109" s="228">
        <v>0.40659024189453319</v>
      </c>
      <c r="BU109" s="231">
        <v>0.19526448310647515</v>
      </c>
      <c r="BV109" s="232">
        <v>43100</v>
      </c>
      <c r="BW109" s="264" t="s">
        <v>179</v>
      </c>
      <c r="BX109" s="33"/>
      <c r="BY109" s="116"/>
      <c r="BZ109" s="100"/>
      <c r="CA109" s="100"/>
      <c r="CB109" s="100"/>
      <c r="CC109" s="45"/>
      <c r="CD109" s="116"/>
      <c r="CE109" s="122"/>
      <c r="CF109" s="121"/>
      <c r="CG109" s="121"/>
    </row>
    <row r="110" spans="1:85" ht="11.25" customHeight="1" x14ac:dyDescent="0.2">
      <c r="A110" s="402" t="s">
        <v>252</v>
      </c>
      <c r="B110" s="403"/>
      <c r="C110" s="404"/>
      <c r="D110" s="405"/>
      <c r="E110" s="233"/>
      <c r="F110" s="385">
        <v>3.2943386032297504</v>
      </c>
      <c r="G110" s="386"/>
      <c r="H110" s="387"/>
      <c r="I110" s="385">
        <v>6.618844196132061</v>
      </c>
      <c r="J110" s="386"/>
      <c r="K110" s="387"/>
      <c r="L110" s="385">
        <v>2.9050725000000002</v>
      </c>
      <c r="M110" s="386"/>
      <c r="N110" s="387"/>
      <c r="O110" s="385">
        <v>2.5701350000000001</v>
      </c>
      <c r="P110" s="386"/>
      <c r="Q110" s="387"/>
      <c r="R110" s="436">
        <v>2.5985936205693977E-2</v>
      </c>
      <c r="S110" s="437"/>
      <c r="T110" s="438"/>
      <c r="U110" s="385">
        <v>0.42318509117213438</v>
      </c>
      <c r="V110" s="386"/>
      <c r="W110" s="387"/>
      <c r="X110" s="385">
        <v>41.970344411718116</v>
      </c>
      <c r="Y110" s="386"/>
      <c r="Z110" s="387"/>
      <c r="AA110" s="361">
        <v>0.44061505000000001</v>
      </c>
      <c r="AB110" s="362"/>
      <c r="AC110" s="363"/>
      <c r="AD110" s="361">
        <v>0.460610925</v>
      </c>
      <c r="AE110" s="362"/>
      <c r="AF110" s="363"/>
      <c r="AG110" s="361">
        <v>0.67368078464540349</v>
      </c>
      <c r="AH110" s="362"/>
      <c r="AI110" s="363"/>
      <c r="AJ110" s="361">
        <v>0.39040076896991577</v>
      </c>
      <c r="AK110" s="362"/>
      <c r="AL110" s="363"/>
      <c r="AM110" s="361">
        <v>0.40787598746310932</v>
      </c>
      <c r="AN110" s="362"/>
      <c r="AO110" s="363"/>
      <c r="AP110" s="361">
        <v>0.11316859063067439</v>
      </c>
      <c r="AQ110" s="362"/>
      <c r="AR110" s="363"/>
      <c r="AS110" s="236">
        <v>7.2432844196090223</v>
      </c>
      <c r="AT110" s="236">
        <v>1.6022290972163533</v>
      </c>
      <c r="AU110" s="241">
        <v>8.6758426314683792</v>
      </c>
      <c r="AV110" s="331">
        <v>3060.6779407608701</v>
      </c>
      <c r="AW110" s="236">
        <v>10.885641586913763</v>
      </c>
      <c r="AX110" s="421">
        <v>92.357394810499997</v>
      </c>
      <c r="AY110" s="422"/>
      <c r="AZ110" s="423"/>
      <c r="BA110" s="421">
        <v>25.6706921145</v>
      </c>
      <c r="BB110" s="422"/>
      <c r="BC110" s="423"/>
      <c r="BD110" s="421">
        <v>11.401023566264183</v>
      </c>
      <c r="BE110" s="422"/>
      <c r="BF110" s="423"/>
      <c r="BG110" s="421">
        <v>1.9763935899447467</v>
      </c>
      <c r="BH110" s="422"/>
      <c r="BI110" s="423"/>
      <c r="BJ110" s="421">
        <v>4.1504144156748444</v>
      </c>
      <c r="BK110" s="422"/>
      <c r="BL110" s="423"/>
      <c r="BM110" s="421">
        <v>2.1473434642084075</v>
      </c>
      <c r="BN110" s="422"/>
      <c r="BO110" s="423"/>
      <c r="BP110" s="421">
        <v>2.9628606156499999</v>
      </c>
      <c r="BQ110" s="422"/>
      <c r="BR110" s="423"/>
      <c r="BS110" s="242">
        <v>0.70884737990685798</v>
      </c>
      <c r="BT110" s="236">
        <v>0.42214274126353807</v>
      </c>
      <c r="BU110" s="236">
        <v>0.11930821445502371</v>
      </c>
      <c r="BV110" s="234"/>
      <c r="BW110" s="234"/>
      <c r="BX110" s="33"/>
      <c r="BY110" s="116"/>
      <c r="BZ110" s="100"/>
      <c r="CA110" s="100"/>
      <c r="CB110" s="100"/>
      <c r="CC110" s="45"/>
      <c r="CD110" s="116"/>
      <c r="CE110" s="118"/>
      <c r="CF110" s="116"/>
      <c r="CG110" s="116"/>
    </row>
    <row r="111" spans="1:85" ht="11.25" customHeight="1" x14ac:dyDescent="0.2">
      <c r="A111" s="181" t="s">
        <v>220</v>
      </c>
      <c r="B111" s="181"/>
      <c r="C111" s="181"/>
      <c r="D111" s="181"/>
      <c r="E111" s="181"/>
      <c r="F111" s="181"/>
      <c r="G111" s="181"/>
      <c r="H111" s="181"/>
      <c r="I111" s="181"/>
      <c r="J111" s="181"/>
      <c r="K111" s="181"/>
      <c r="L111" s="181"/>
      <c r="M111" s="181"/>
      <c r="N111" s="181"/>
      <c r="O111" s="181"/>
      <c r="P111" s="181"/>
      <c r="Q111" s="181"/>
      <c r="R111" s="181"/>
      <c r="S111" s="181"/>
      <c r="T111" s="181"/>
      <c r="U111" s="181"/>
      <c r="V111" s="181"/>
      <c r="W111" s="181"/>
      <c r="X111" s="181"/>
      <c r="Y111" s="181"/>
      <c r="Z111" s="181"/>
      <c r="AA111" s="181"/>
      <c r="AB111" s="181"/>
      <c r="AC111" s="181"/>
      <c r="AD111" s="181"/>
      <c r="AE111" s="181"/>
      <c r="AF111" s="181"/>
      <c r="AG111" s="181"/>
      <c r="AH111" s="181"/>
      <c r="AI111" s="181"/>
      <c r="AJ111" s="181"/>
      <c r="AK111" s="181"/>
      <c r="AL111" s="181"/>
      <c r="AM111" s="181"/>
      <c r="AN111" s="181"/>
      <c r="AO111" s="181"/>
      <c r="AP111" s="181"/>
      <c r="AQ111" s="181"/>
      <c r="AR111" s="181"/>
      <c r="AS111" s="181"/>
      <c r="AT111" s="181"/>
      <c r="AU111" s="181"/>
      <c r="AV111" s="181"/>
      <c r="AW111" s="237"/>
      <c r="AX111" s="181"/>
      <c r="AY111" s="181"/>
      <c r="AZ111" s="181"/>
      <c r="BA111" s="181"/>
      <c r="BB111" s="181"/>
      <c r="BC111" s="181"/>
      <c r="BD111" s="181"/>
      <c r="BE111" s="181"/>
      <c r="BF111" s="181"/>
      <c r="BG111" s="181"/>
      <c r="BH111" s="181"/>
      <c r="BI111" s="181"/>
      <c r="BJ111" s="181"/>
      <c r="BK111" s="181"/>
      <c r="BL111" s="181"/>
      <c r="BM111" s="181"/>
      <c r="BN111" s="181"/>
      <c r="BO111" s="181"/>
      <c r="BP111" s="181"/>
      <c r="BQ111" s="181"/>
      <c r="BR111" s="181"/>
      <c r="BS111" s="181"/>
      <c r="BT111" s="181"/>
      <c r="BU111" s="181"/>
      <c r="BV111" s="182"/>
      <c r="BW111" s="262"/>
      <c r="BX111" s="33"/>
      <c r="BY111" s="116"/>
      <c r="BZ111" s="100"/>
      <c r="CA111" s="100"/>
      <c r="CB111" s="106"/>
      <c r="CD111" s="116"/>
      <c r="CE111" s="118"/>
      <c r="CF111" s="116"/>
      <c r="CG111" s="116"/>
    </row>
    <row r="112" spans="1:85" ht="11.25" customHeight="1" x14ac:dyDescent="0.2">
      <c r="A112" s="337" t="s">
        <v>29</v>
      </c>
      <c r="B112" s="337"/>
      <c r="C112" s="338">
        <v>7.51</v>
      </c>
      <c r="D112" s="338"/>
      <c r="E112" s="146">
        <v>1</v>
      </c>
      <c r="F112" s="339">
        <v>1.2396180857E-2</v>
      </c>
      <c r="G112" s="340"/>
      <c r="H112" s="341"/>
      <c r="I112" s="342">
        <v>1.2660564568462691</v>
      </c>
      <c r="J112" s="342"/>
      <c r="K112" s="342"/>
      <c r="L112" s="343">
        <v>3.7784499999999999</v>
      </c>
      <c r="M112" s="344"/>
      <c r="N112" s="345"/>
      <c r="O112" s="343">
        <v>3.6538599999999999</v>
      </c>
      <c r="P112" s="344"/>
      <c r="Q112" s="345"/>
      <c r="R112" s="346">
        <v>8.1855388813096893E-3</v>
      </c>
      <c r="S112" s="347"/>
      <c r="T112" s="348"/>
      <c r="U112" s="342">
        <v>1.0419196711631618</v>
      </c>
      <c r="V112" s="342"/>
      <c r="W112" s="342"/>
      <c r="X112" s="349">
        <v>70.547851770658013</v>
      </c>
      <c r="Y112" s="349"/>
      <c r="Z112" s="349"/>
      <c r="AA112" s="350">
        <v>0.49990869999999998</v>
      </c>
      <c r="AB112" s="350"/>
      <c r="AC112" s="350"/>
      <c r="AD112" s="350">
        <v>0.2952631</v>
      </c>
      <c r="AE112" s="350"/>
      <c r="AF112" s="350"/>
      <c r="AG112" s="350">
        <v>0.24378881800674537</v>
      </c>
      <c r="AH112" s="350"/>
      <c r="AI112" s="350"/>
      <c r="AJ112" s="350">
        <v>0.19895274588555706</v>
      </c>
      <c r="AK112" s="350"/>
      <c r="AL112" s="350"/>
      <c r="AM112" s="350">
        <v>0.26790388945247795</v>
      </c>
      <c r="AN112" s="350"/>
      <c r="AO112" s="350"/>
      <c r="AP112" s="350">
        <v>0.20320767787852403</v>
      </c>
      <c r="AQ112" s="350"/>
      <c r="AR112" s="350"/>
      <c r="AS112" s="129">
        <v>-0.14539845372541227</v>
      </c>
      <c r="AT112" s="129">
        <v>0.56172221322744265</v>
      </c>
      <c r="AU112" s="175">
        <v>0.95485872626968105</v>
      </c>
      <c r="AV112" s="185">
        <v>173.84699826086958</v>
      </c>
      <c r="AW112" s="183">
        <v>0.33515127894414787</v>
      </c>
      <c r="AX112" s="342">
        <v>5.6004289099999998</v>
      </c>
      <c r="AY112" s="342"/>
      <c r="AZ112" s="342"/>
      <c r="BA112" s="342">
        <v>6.1571999999999996</v>
      </c>
      <c r="BB112" s="342"/>
      <c r="BC112" s="342"/>
      <c r="BD112" s="342">
        <v>8.0376323407832899</v>
      </c>
      <c r="BE112" s="342"/>
      <c r="BF112" s="342"/>
      <c r="BG112" s="342">
        <v>3.1141403761743196</v>
      </c>
      <c r="BH112" s="342"/>
      <c r="BI112" s="342"/>
      <c r="BJ112" s="342">
        <v>13.967415563160245</v>
      </c>
      <c r="BK112" s="342"/>
      <c r="BL112" s="342"/>
      <c r="BM112" s="342">
        <v>3.3233859352409438</v>
      </c>
      <c r="BN112" s="342"/>
      <c r="BO112" s="342"/>
      <c r="BP112" s="342">
        <v>11.0138005576</v>
      </c>
      <c r="BQ112" s="342"/>
      <c r="BR112" s="343"/>
      <c r="BS112" s="131">
        <v>0.952412244370474</v>
      </c>
      <c r="BT112" s="129">
        <v>0.44287956166180764</v>
      </c>
      <c r="BU112" s="132">
        <v>0.14379540306714511</v>
      </c>
      <c r="BV112" s="180">
        <v>43131</v>
      </c>
      <c r="BW112" s="263" t="s">
        <v>29</v>
      </c>
      <c r="BX112" s="33"/>
      <c r="BY112" s="121"/>
      <c r="BZ112" s="100"/>
      <c r="CA112" s="100"/>
      <c r="CB112" s="100"/>
      <c r="CC112" s="45"/>
      <c r="CD112" s="121"/>
      <c r="CE112" s="116"/>
      <c r="CF112" s="116"/>
      <c r="CG112" s="118"/>
    </row>
    <row r="113" spans="1:85" ht="11.25" customHeight="1" x14ac:dyDescent="0.2">
      <c r="A113" s="123"/>
      <c r="B113" s="123"/>
      <c r="C113" s="123"/>
      <c r="D113" s="123"/>
      <c r="E113" s="123"/>
      <c r="F113" s="126"/>
      <c r="G113" s="126"/>
      <c r="H113" s="126"/>
      <c r="I113" s="522"/>
      <c r="J113" s="522"/>
      <c r="K113" s="522"/>
      <c r="L113" s="522"/>
      <c r="M113" s="522"/>
      <c r="N113" s="522"/>
      <c r="O113" s="522"/>
      <c r="P113" s="522"/>
      <c r="Q113" s="522"/>
      <c r="R113" s="522"/>
      <c r="S113" s="522"/>
      <c r="T113" s="522"/>
      <c r="U113" s="522"/>
      <c r="V113" s="522"/>
      <c r="W113" s="522"/>
      <c r="X113" s="522"/>
      <c r="Y113" s="522"/>
      <c r="Z113" s="522"/>
      <c r="AA113" s="522"/>
      <c r="AB113" s="522"/>
      <c r="AC113" s="522"/>
      <c r="AD113" s="522"/>
      <c r="AE113" s="522"/>
      <c r="AF113" s="522"/>
      <c r="AG113" s="522"/>
      <c r="AH113" s="522"/>
      <c r="AI113" s="522"/>
      <c r="AJ113" s="522"/>
      <c r="AK113" s="522"/>
      <c r="AL113" s="522"/>
      <c r="AM113" s="522"/>
      <c r="AN113" s="522"/>
      <c r="AO113" s="522"/>
      <c r="AP113" s="522"/>
      <c r="AQ113" s="522"/>
      <c r="AR113" s="522"/>
      <c r="AS113" s="124"/>
      <c r="AT113" s="124"/>
      <c r="AU113" s="125"/>
      <c r="AV113" s="125"/>
      <c r="AW113" s="125"/>
      <c r="AX113" s="522"/>
      <c r="AY113" s="522"/>
      <c r="AZ113" s="522"/>
      <c r="BA113" s="522"/>
      <c r="BB113" s="522"/>
      <c r="BC113" s="522"/>
      <c r="BD113" s="522"/>
      <c r="BE113" s="522"/>
      <c r="BF113" s="522"/>
      <c r="BG113" s="522"/>
      <c r="BH113" s="522"/>
      <c r="BI113" s="522"/>
      <c r="BJ113" s="522"/>
      <c r="BK113" s="522"/>
      <c r="BL113" s="522"/>
      <c r="BM113" s="522"/>
      <c r="BN113" s="522"/>
      <c r="BO113" s="522"/>
      <c r="BP113" s="522"/>
      <c r="BQ113" s="522"/>
      <c r="BR113" s="522"/>
      <c r="BS113" s="124"/>
      <c r="BT113" s="124"/>
      <c r="BU113" s="124"/>
      <c r="BV113" s="124"/>
      <c r="BW113" s="253"/>
      <c r="CD113" s="121"/>
      <c r="CE113" s="122"/>
      <c r="CF113" s="121"/>
      <c r="CG113" s="121"/>
    </row>
    <row r="114" spans="1:85" ht="22.5" customHeight="1" x14ac:dyDescent="0.25">
      <c r="A114" s="567" t="s">
        <v>272</v>
      </c>
      <c r="B114" s="567"/>
      <c r="C114" s="567"/>
      <c r="D114" s="567"/>
      <c r="E114" s="567"/>
      <c r="F114" s="568"/>
      <c r="G114" s="568"/>
      <c r="H114" s="568"/>
      <c r="I114" s="568"/>
      <c r="J114" s="568"/>
      <c r="K114" s="568"/>
      <c r="L114" s="524"/>
      <c r="M114" s="524"/>
      <c r="N114" s="524"/>
      <c r="O114" s="524"/>
      <c r="P114" s="524"/>
      <c r="Q114" s="524"/>
      <c r="R114" s="524"/>
      <c r="S114" s="524"/>
      <c r="T114" s="524"/>
      <c r="U114" s="524"/>
      <c r="V114" s="524"/>
      <c r="W114" s="524"/>
      <c r="X114" s="524"/>
      <c r="Y114" s="524"/>
      <c r="Z114" s="524"/>
      <c r="AA114" s="524"/>
      <c r="AB114" s="524"/>
      <c r="AC114" s="524"/>
      <c r="AD114" s="524"/>
      <c r="AE114" s="524"/>
      <c r="AF114" s="524"/>
      <c r="AG114" s="524"/>
      <c r="AH114" s="524"/>
      <c r="AI114" s="524"/>
      <c r="AJ114" s="524"/>
      <c r="AK114" s="524"/>
      <c r="AL114" s="524"/>
      <c r="AM114" s="524"/>
      <c r="AN114" s="524"/>
      <c r="AO114" s="524"/>
      <c r="AP114" s="524"/>
      <c r="AQ114" s="524"/>
      <c r="AR114" s="524"/>
      <c r="AS114" s="78"/>
      <c r="AT114" s="78"/>
      <c r="AU114" s="83"/>
      <c r="AV114" s="83"/>
      <c r="AW114" s="83"/>
      <c r="AX114" s="524"/>
      <c r="AY114" s="524"/>
      <c r="AZ114" s="524"/>
      <c r="BA114" s="524"/>
      <c r="BB114" s="524"/>
      <c r="BC114" s="524"/>
      <c r="BD114" s="524"/>
      <c r="BE114" s="524"/>
      <c r="BF114" s="524"/>
      <c r="BG114" s="524"/>
      <c r="BH114" s="524"/>
      <c r="BI114" s="524"/>
      <c r="BJ114" s="524"/>
      <c r="BK114" s="524"/>
      <c r="BL114" s="524"/>
      <c r="BM114" s="524"/>
      <c r="BN114" s="524"/>
      <c r="BO114" s="524"/>
      <c r="BP114" s="524"/>
      <c r="BQ114" s="524"/>
      <c r="BR114" s="524"/>
      <c r="BS114" s="77"/>
      <c r="BT114" s="85"/>
      <c r="BU114" s="86"/>
      <c r="BV114" s="96"/>
      <c r="BW114" s="252"/>
    </row>
    <row r="115" spans="1:85" ht="11.25" customHeight="1" x14ac:dyDescent="0.2">
      <c r="F115" s="524"/>
      <c r="G115" s="524"/>
      <c r="H115" s="524"/>
      <c r="I115" s="524"/>
      <c r="J115" s="524"/>
      <c r="K115" s="524"/>
      <c r="L115" s="524"/>
      <c r="M115" s="524"/>
      <c r="N115" s="524"/>
      <c r="O115" s="524"/>
      <c r="P115" s="524"/>
      <c r="Q115" s="524"/>
      <c r="R115" s="524"/>
      <c r="S115" s="524"/>
      <c r="T115" s="524"/>
      <c r="U115" s="524"/>
      <c r="V115" s="524"/>
      <c r="W115" s="524"/>
      <c r="X115" s="524"/>
      <c r="Y115" s="524"/>
      <c r="Z115" s="524"/>
      <c r="AA115" s="524"/>
      <c r="AB115" s="524"/>
      <c r="AC115" s="524"/>
      <c r="AD115" s="524"/>
      <c r="AE115" s="524"/>
      <c r="AF115" s="524"/>
      <c r="AG115" s="524"/>
      <c r="AH115" s="524"/>
      <c r="AI115" s="524"/>
      <c r="AJ115" s="524"/>
      <c r="AK115" s="524"/>
      <c r="AL115" s="524"/>
      <c r="AM115" s="524"/>
      <c r="AN115" s="524"/>
      <c r="AO115" s="524"/>
      <c r="AP115" s="524"/>
      <c r="AQ115" s="524"/>
      <c r="AR115" s="524"/>
      <c r="AS115" s="78"/>
      <c r="AT115" s="78"/>
      <c r="AU115" s="83"/>
      <c r="AV115" s="83"/>
      <c r="AW115" s="83"/>
      <c r="AX115" s="524"/>
      <c r="AY115" s="524"/>
      <c r="AZ115" s="524"/>
      <c r="BA115" s="524"/>
      <c r="BB115" s="524"/>
      <c r="BC115" s="524"/>
      <c r="BD115" s="524"/>
      <c r="BE115" s="524"/>
      <c r="BF115" s="524"/>
      <c r="BG115" s="524"/>
      <c r="BH115" s="524"/>
      <c r="BI115" s="524"/>
      <c r="BJ115" s="524"/>
      <c r="BK115" s="524"/>
      <c r="BL115" s="524"/>
      <c r="BM115" s="524"/>
      <c r="BN115" s="524"/>
      <c r="BO115" s="524"/>
      <c r="BP115" s="524"/>
      <c r="BQ115" s="524"/>
      <c r="BR115" s="524"/>
      <c r="BS115" s="77"/>
      <c r="BT115" s="85"/>
      <c r="BU115" s="86"/>
      <c r="BV115" s="96"/>
      <c r="BW115" s="252"/>
    </row>
    <row r="116" spans="1:85" ht="11.25" customHeight="1" x14ac:dyDescent="0.2">
      <c r="F116" s="524"/>
      <c r="G116" s="524"/>
      <c r="H116" s="524"/>
      <c r="I116" s="524"/>
      <c r="J116" s="524"/>
      <c r="K116" s="524"/>
      <c r="L116" s="524"/>
      <c r="M116" s="524"/>
      <c r="N116" s="524"/>
      <c r="O116" s="524"/>
      <c r="P116" s="524"/>
      <c r="Q116" s="524"/>
      <c r="R116" s="524"/>
      <c r="S116" s="524"/>
      <c r="T116" s="524"/>
      <c r="U116" s="524"/>
      <c r="V116" s="524"/>
      <c r="W116" s="524"/>
      <c r="X116" s="524"/>
      <c r="Y116" s="524"/>
      <c r="Z116" s="524"/>
      <c r="AA116" s="524"/>
      <c r="AB116" s="524"/>
      <c r="AC116" s="524"/>
      <c r="AD116" s="524"/>
      <c r="AE116" s="524"/>
      <c r="AF116" s="524"/>
      <c r="AG116" s="524"/>
      <c r="AH116" s="524"/>
      <c r="AI116" s="524"/>
      <c r="AJ116" s="524"/>
      <c r="AK116" s="524"/>
      <c r="AL116" s="524"/>
      <c r="AM116" s="524"/>
      <c r="AN116" s="524"/>
      <c r="AO116" s="524"/>
      <c r="AP116" s="524"/>
      <c r="AQ116" s="524"/>
      <c r="AR116" s="524"/>
      <c r="AS116" s="78"/>
      <c r="AT116" s="78"/>
      <c r="AU116" s="83"/>
      <c r="AV116" s="83"/>
      <c r="AW116" s="83"/>
      <c r="AX116" s="524"/>
      <c r="AY116" s="524"/>
      <c r="AZ116" s="524"/>
      <c r="BA116" s="524"/>
      <c r="BB116" s="524"/>
      <c r="BC116" s="524"/>
      <c r="BD116" s="524"/>
      <c r="BE116" s="524"/>
      <c r="BF116" s="524"/>
      <c r="BG116" s="524"/>
      <c r="BH116" s="524"/>
      <c r="BI116" s="524"/>
      <c r="BJ116" s="524"/>
      <c r="BK116" s="524"/>
      <c r="BL116" s="524"/>
      <c r="BM116" s="524"/>
      <c r="BN116" s="524"/>
      <c r="BO116" s="524"/>
      <c r="BP116" s="524"/>
      <c r="BQ116" s="524"/>
      <c r="BR116" s="524"/>
      <c r="BS116" s="77"/>
      <c r="BT116" s="85"/>
      <c r="BU116" s="86"/>
      <c r="BV116" s="96"/>
      <c r="BW116" s="252"/>
    </row>
    <row r="117" spans="1:85" ht="11.25" customHeight="1" x14ac:dyDescent="0.2">
      <c r="F117" s="524"/>
      <c r="G117" s="524"/>
      <c r="H117" s="524"/>
      <c r="I117" s="524"/>
      <c r="J117" s="524"/>
      <c r="K117" s="524"/>
      <c r="L117" s="524"/>
      <c r="M117" s="524"/>
      <c r="N117" s="524"/>
      <c r="O117" s="524"/>
      <c r="P117" s="524"/>
      <c r="Q117" s="524"/>
      <c r="R117" s="524"/>
      <c r="S117" s="524"/>
      <c r="T117" s="524"/>
      <c r="U117" s="524"/>
      <c r="V117" s="524"/>
      <c r="W117" s="524"/>
      <c r="X117" s="524"/>
      <c r="Y117" s="524"/>
      <c r="Z117" s="524"/>
      <c r="AA117" s="524"/>
      <c r="AB117" s="524"/>
      <c r="AC117" s="524"/>
      <c r="AD117" s="524"/>
      <c r="AE117" s="524"/>
      <c r="AF117" s="524"/>
      <c r="AG117" s="524"/>
      <c r="AH117" s="524"/>
      <c r="AI117" s="524"/>
      <c r="AJ117" s="524"/>
      <c r="AK117" s="524"/>
      <c r="AL117" s="524"/>
      <c r="AM117" s="524"/>
      <c r="AN117" s="524"/>
      <c r="AO117" s="524"/>
      <c r="AP117" s="524"/>
      <c r="AQ117" s="524"/>
      <c r="AR117" s="524"/>
      <c r="AS117" s="78"/>
      <c r="AT117" s="78"/>
      <c r="AU117" s="83"/>
      <c r="AV117" s="83"/>
      <c r="AW117" s="83"/>
      <c r="AX117" s="524"/>
      <c r="AY117" s="524"/>
      <c r="AZ117" s="524"/>
      <c r="BA117" s="524"/>
      <c r="BB117" s="524"/>
      <c r="BC117" s="524"/>
      <c r="BD117" s="524"/>
      <c r="BE117" s="524"/>
      <c r="BF117" s="524"/>
      <c r="BG117" s="524"/>
      <c r="BH117" s="524"/>
      <c r="BI117" s="524"/>
      <c r="BJ117" s="524"/>
      <c r="BK117" s="524"/>
      <c r="BL117" s="524"/>
      <c r="BM117" s="524"/>
      <c r="BN117" s="524"/>
      <c r="BO117" s="524"/>
      <c r="BP117" s="524"/>
      <c r="BQ117" s="524"/>
      <c r="BR117" s="524"/>
      <c r="BS117" s="77"/>
      <c r="BT117" s="85"/>
      <c r="BU117" s="86"/>
      <c r="BV117" s="96"/>
      <c r="BW117" s="252"/>
    </row>
    <row r="118" spans="1:85" ht="11.25" customHeight="1" x14ac:dyDescent="0.2">
      <c r="F118" s="524"/>
      <c r="G118" s="524"/>
      <c r="H118" s="524"/>
      <c r="I118" s="524"/>
      <c r="J118" s="524"/>
      <c r="K118" s="524"/>
      <c r="L118" s="524"/>
      <c r="M118" s="524"/>
      <c r="N118" s="524"/>
      <c r="O118" s="524"/>
      <c r="P118" s="524"/>
      <c r="Q118" s="524"/>
      <c r="R118" s="524"/>
      <c r="S118" s="524"/>
      <c r="T118" s="524"/>
      <c r="U118" s="524"/>
      <c r="V118" s="524"/>
      <c r="W118" s="524"/>
      <c r="X118" s="524"/>
      <c r="Y118" s="524"/>
      <c r="Z118" s="524"/>
      <c r="AA118" s="524"/>
      <c r="AB118" s="524"/>
      <c r="AC118" s="524"/>
      <c r="AD118" s="524"/>
      <c r="AE118" s="524"/>
      <c r="AF118" s="524"/>
      <c r="AG118" s="524"/>
      <c r="AH118" s="524"/>
      <c r="AI118" s="524"/>
      <c r="AJ118" s="524"/>
      <c r="AK118" s="524"/>
      <c r="AL118" s="524"/>
      <c r="AM118" s="524"/>
      <c r="AN118" s="524"/>
      <c r="AO118" s="524"/>
      <c r="AP118" s="524"/>
      <c r="AQ118" s="524"/>
      <c r="AR118" s="524"/>
      <c r="AS118" s="78"/>
      <c r="AT118" s="78"/>
      <c r="AU118" s="83"/>
      <c r="AV118" s="83"/>
      <c r="AW118" s="83"/>
      <c r="AX118" s="524"/>
      <c r="AY118" s="524"/>
      <c r="AZ118" s="524"/>
      <c r="BA118" s="524"/>
      <c r="BB118" s="524"/>
      <c r="BC118" s="524"/>
      <c r="BD118" s="524"/>
      <c r="BE118" s="524"/>
      <c r="BF118" s="524"/>
      <c r="BG118" s="524"/>
      <c r="BH118" s="524"/>
      <c r="BI118" s="524"/>
      <c r="BJ118" s="524"/>
      <c r="BK118" s="524"/>
      <c r="BL118" s="524"/>
      <c r="BM118" s="524"/>
      <c r="BN118" s="524"/>
      <c r="BO118" s="524"/>
      <c r="BP118" s="524"/>
      <c r="BQ118" s="524"/>
      <c r="BR118" s="524"/>
      <c r="BS118" s="77"/>
      <c r="BT118" s="85"/>
      <c r="BU118" s="86"/>
      <c r="BV118" s="96"/>
      <c r="BW118" s="252"/>
    </row>
    <row r="119" spans="1:85" ht="11.25" customHeight="1" x14ac:dyDescent="0.2">
      <c r="F119" s="524"/>
      <c r="G119" s="524"/>
      <c r="H119" s="524"/>
      <c r="I119" s="524"/>
      <c r="J119" s="524"/>
      <c r="K119" s="524"/>
      <c r="L119" s="524"/>
      <c r="M119" s="524"/>
      <c r="N119" s="524"/>
      <c r="O119" s="524"/>
      <c r="P119" s="524"/>
      <c r="Q119" s="524"/>
      <c r="R119" s="524"/>
      <c r="S119" s="524"/>
      <c r="T119" s="524"/>
      <c r="U119" s="524"/>
      <c r="V119" s="524"/>
      <c r="W119" s="524"/>
      <c r="X119" s="524"/>
      <c r="Y119" s="524"/>
      <c r="Z119" s="524"/>
      <c r="AA119" s="524"/>
      <c r="AB119" s="524"/>
      <c r="AC119" s="524"/>
      <c r="AD119" s="524"/>
      <c r="AE119" s="524"/>
      <c r="AF119" s="524"/>
      <c r="AG119" s="524"/>
      <c r="AH119" s="524"/>
      <c r="AI119" s="524"/>
      <c r="AJ119" s="524"/>
      <c r="AK119" s="524"/>
      <c r="AL119" s="524"/>
      <c r="AM119" s="524"/>
      <c r="AN119" s="524"/>
      <c r="AO119" s="524"/>
      <c r="AP119" s="524"/>
      <c r="AQ119" s="524"/>
      <c r="AR119" s="524"/>
      <c r="AS119" s="78"/>
      <c r="AT119" s="78"/>
      <c r="AU119" s="83"/>
      <c r="AV119" s="83"/>
      <c r="AW119" s="83"/>
      <c r="AX119" s="524"/>
      <c r="AY119" s="524"/>
      <c r="AZ119" s="524"/>
      <c r="BA119" s="524"/>
      <c r="BB119" s="524"/>
      <c r="BC119" s="524"/>
      <c r="BD119" s="524"/>
      <c r="BE119" s="524"/>
      <c r="BF119" s="524"/>
      <c r="BG119" s="524"/>
      <c r="BH119" s="524"/>
      <c r="BI119" s="524"/>
      <c r="BJ119" s="524"/>
      <c r="BK119" s="524"/>
      <c r="BL119" s="524"/>
      <c r="BM119" s="524"/>
      <c r="BN119" s="524"/>
      <c r="BO119" s="524"/>
      <c r="BP119" s="524"/>
      <c r="BQ119" s="524"/>
      <c r="BR119" s="524"/>
      <c r="BS119" s="77"/>
      <c r="BT119" s="85"/>
      <c r="BU119" s="86"/>
      <c r="BV119" s="96"/>
      <c r="BW119" s="252"/>
    </row>
    <row r="120" spans="1:85" ht="11.25" customHeight="1" x14ac:dyDescent="0.2">
      <c r="F120" s="524"/>
      <c r="G120" s="524"/>
      <c r="H120" s="524"/>
      <c r="I120" s="524"/>
      <c r="J120" s="524"/>
      <c r="K120" s="524"/>
      <c r="L120" s="524"/>
      <c r="M120" s="524"/>
      <c r="N120" s="524"/>
      <c r="O120" s="524"/>
      <c r="P120" s="524"/>
      <c r="Q120" s="524"/>
      <c r="R120" s="524"/>
      <c r="S120" s="524"/>
      <c r="T120" s="524"/>
      <c r="U120" s="524"/>
      <c r="V120" s="524"/>
      <c r="W120" s="524"/>
      <c r="X120" s="524"/>
      <c r="Y120" s="524"/>
      <c r="Z120" s="524"/>
      <c r="AA120" s="524"/>
      <c r="AB120" s="524"/>
      <c r="AC120" s="524"/>
      <c r="AD120" s="524"/>
      <c r="AE120" s="524"/>
      <c r="AF120" s="524"/>
      <c r="AG120" s="524"/>
      <c r="AH120" s="524"/>
      <c r="AI120" s="524"/>
      <c r="AJ120" s="524"/>
      <c r="AK120" s="524"/>
      <c r="AL120" s="524"/>
      <c r="AM120" s="524"/>
      <c r="AN120" s="524"/>
      <c r="AO120" s="524"/>
      <c r="AP120" s="524"/>
      <c r="AQ120" s="524"/>
      <c r="AR120" s="524"/>
      <c r="AS120" s="78"/>
      <c r="AT120" s="78"/>
      <c r="AU120" s="83"/>
      <c r="AV120" s="83"/>
      <c r="AW120" s="83"/>
      <c r="AX120" s="524"/>
      <c r="AY120" s="524"/>
      <c r="AZ120" s="524"/>
      <c r="BA120" s="524"/>
      <c r="BB120" s="524"/>
      <c r="BC120" s="524"/>
      <c r="BD120" s="524"/>
      <c r="BE120" s="524"/>
      <c r="BF120" s="524"/>
      <c r="BG120" s="524"/>
      <c r="BH120" s="524"/>
      <c r="BI120" s="524"/>
      <c r="BJ120" s="524"/>
      <c r="BK120" s="524"/>
      <c r="BL120" s="524"/>
      <c r="BM120" s="524"/>
      <c r="BN120" s="524"/>
      <c r="BO120" s="524"/>
      <c r="BP120" s="524"/>
      <c r="BQ120" s="524"/>
      <c r="BR120" s="524"/>
      <c r="BS120" s="77"/>
      <c r="BT120" s="85"/>
      <c r="BU120" s="86"/>
      <c r="BV120" s="96"/>
      <c r="BW120" s="252"/>
    </row>
    <row r="121" spans="1:85" ht="11.25" customHeight="1" x14ac:dyDescent="0.2">
      <c r="F121" s="524"/>
      <c r="G121" s="524"/>
      <c r="H121" s="524"/>
      <c r="I121" s="524"/>
      <c r="J121" s="524"/>
      <c r="K121" s="524"/>
      <c r="L121" s="524"/>
      <c r="M121" s="524"/>
      <c r="N121" s="524"/>
      <c r="O121" s="524"/>
      <c r="P121" s="524"/>
      <c r="Q121" s="524"/>
      <c r="R121" s="524"/>
      <c r="S121" s="524"/>
      <c r="T121" s="524"/>
      <c r="U121" s="524"/>
      <c r="V121" s="524"/>
      <c r="W121" s="524"/>
      <c r="X121" s="524"/>
      <c r="Y121" s="524"/>
      <c r="Z121" s="524"/>
      <c r="AA121" s="524"/>
      <c r="AB121" s="524"/>
      <c r="AC121" s="524"/>
      <c r="AD121" s="524"/>
      <c r="AE121" s="524"/>
      <c r="AF121" s="524"/>
      <c r="AG121" s="524"/>
      <c r="AH121" s="524"/>
      <c r="AI121" s="524"/>
      <c r="AJ121" s="524"/>
      <c r="AK121" s="524"/>
      <c r="AL121" s="524"/>
      <c r="AM121" s="524"/>
      <c r="AN121" s="524"/>
      <c r="AO121" s="524"/>
      <c r="AP121" s="524"/>
      <c r="AQ121" s="524"/>
      <c r="AR121" s="524"/>
      <c r="AS121" s="78"/>
      <c r="AT121" s="78"/>
      <c r="AU121" s="83"/>
      <c r="AV121" s="83"/>
      <c r="AW121" s="83"/>
      <c r="AX121" s="524"/>
      <c r="AY121" s="524"/>
      <c r="AZ121" s="524"/>
      <c r="BA121" s="524"/>
      <c r="BB121" s="524"/>
      <c r="BC121" s="524"/>
      <c r="BD121" s="524"/>
      <c r="BE121" s="524"/>
      <c r="BF121" s="524"/>
      <c r="BG121" s="524"/>
      <c r="BH121" s="524"/>
      <c r="BI121" s="524"/>
      <c r="BJ121" s="524"/>
      <c r="BK121" s="524"/>
      <c r="BL121" s="524"/>
      <c r="BM121" s="524"/>
      <c r="BN121" s="524"/>
      <c r="BO121" s="524"/>
      <c r="BP121" s="524"/>
      <c r="BQ121" s="524"/>
      <c r="BR121" s="524"/>
      <c r="BS121" s="77"/>
      <c r="BT121" s="85"/>
      <c r="BU121" s="86"/>
      <c r="BV121" s="96"/>
      <c r="BW121" s="252"/>
    </row>
    <row r="122" spans="1:85" ht="11.25" customHeight="1" x14ac:dyDescent="0.2">
      <c r="F122" s="524"/>
      <c r="G122" s="524"/>
      <c r="H122" s="524"/>
      <c r="I122" s="524"/>
      <c r="J122" s="524"/>
      <c r="K122" s="524"/>
      <c r="L122" s="524"/>
      <c r="M122" s="524"/>
      <c r="N122" s="524"/>
      <c r="O122" s="524"/>
      <c r="P122" s="524"/>
      <c r="Q122" s="524"/>
      <c r="R122" s="524"/>
      <c r="S122" s="524"/>
      <c r="T122" s="524"/>
      <c r="U122" s="524"/>
      <c r="V122" s="524"/>
      <c r="W122" s="524"/>
      <c r="X122" s="524"/>
      <c r="Y122" s="524"/>
      <c r="Z122" s="524"/>
      <c r="AA122" s="524"/>
      <c r="AB122" s="524"/>
      <c r="AC122" s="524"/>
      <c r="AD122" s="524"/>
      <c r="AE122" s="524"/>
      <c r="AF122" s="524"/>
      <c r="AG122" s="524"/>
      <c r="AH122" s="524"/>
      <c r="AI122" s="524"/>
      <c r="AJ122" s="524"/>
      <c r="AK122" s="524"/>
      <c r="AL122" s="524"/>
      <c r="AM122" s="524"/>
      <c r="AN122" s="524"/>
      <c r="AO122" s="524"/>
      <c r="AP122" s="524"/>
      <c r="AQ122" s="524"/>
      <c r="AR122" s="524"/>
      <c r="AS122" s="78"/>
      <c r="AT122" s="78"/>
      <c r="AU122" s="83"/>
      <c r="AV122" s="83"/>
      <c r="AW122" s="83"/>
      <c r="AX122" s="524"/>
      <c r="AY122" s="524"/>
      <c r="AZ122" s="524"/>
      <c r="BA122" s="524"/>
      <c r="BB122" s="524"/>
      <c r="BC122" s="524"/>
      <c r="BD122" s="524"/>
      <c r="BE122" s="524"/>
      <c r="BF122" s="524"/>
      <c r="BG122" s="524"/>
      <c r="BH122" s="524"/>
      <c r="BI122" s="524"/>
      <c r="BJ122" s="524"/>
      <c r="BK122" s="524"/>
      <c r="BL122" s="524"/>
      <c r="BM122" s="524"/>
      <c r="BN122" s="524"/>
      <c r="BO122" s="524"/>
      <c r="BP122" s="524"/>
      <c r="BQ122" s="524"/>
      <c r="BR122" s="524"/>
      <c r="BS122" s="77"/>
      <c r="BT122" s="85"/>
      <c r="BU122" s="86"/>
      <c r="BV122" s="96"/>
      <c r="BW122" s="252"/>
    </row>
    <row r="123" spans="1:85" ht="11.25" customHeight="1" x14ac:dyDescent="0.2">
      <c r="F123" s="524"/>
      <c r="G123" s="524"/>
      <c r="H123" s="524"/>
      <c r="I123" s="524"/>
      <c r="J123" s="524"/>
      <c r="K123" s="524"/>
      <c r="L123" s="524"/>
      <c r="M123" s="524"/>
      <c r="N123" s="524"/>
      <c r="O123" s="524"/>
      <c r="P123" s="524"/>
      <c r="Q123" s="524"/>
      <c r="R123" s="524"/>
      <c r="S123" s="524"/>
      <c r="T123" s="524"/>
      <c r="U123" s="524"/>
      <c r="V123" s="524"/>
      <c r="W123" s="524"/>
      <c r="X123" s="524"/>
      <c r="Y123" s="524"/>
      <c r="Z123" s="524"/>
      <c r="AA123" s="524"/>
      <c r="AB123" s="524"/>
      <c r="AC123" s="524"/>
      <c r="AD123" s="524"/>
      <c r="AE123" s="524"/>
      <c r="AF123" s="524"/>
      <c r="AG123" s="524"/>
      <c r="AH123" s="524"/>
      <c r="AI123" s="524"/>
      <c r="AJ123" s="524"/>
      <c r="AK123" s="524"/>
      <c r="AL123" s="524"/>
      <c r="AM123" s="524"/>
      <c r="AN123" s="524"/>
      <c r="AO123" s="524"/>
      <c r="AP123" s="524"/>
      <c r="AQ123" s="524"/>
      <c r="AR123" s="524"/>
      <c r="AS123" s="78"/>
      <c r="AT123" s="78"/>
      <c r="AU123" s="83"/>
      <c r="AV123" s="83"/>
      <c r="AW123" s="83"/>
      <c r="AX123" s="524"/>
      <c r="AY123" s="524"/>
      <c r="AZ123" s="524"/>
      <c r="BA123" s="524"/>
      <c r="BB123" s="524"/>
      <c r="BC123" s="524"/>
      <c r="BD123" s="524"/>
      <c r="BE123" s="524"/>
      <c r="BF123" s="524"/>
      <c r="BG123" s="524"/>
      <c r="BH123" s="524"/>
      <c r="BI123" s="524"/>
      <c r="BJ123" s="524"/>
      <c r="BK123" s="524"/>
      <c r="BL123" s="524"/>
      <c r="BM123" s="524"/>
      <c r="BN123" s="524"/>
      <c r="BO123" s="524"/>
      <c r="BP123" s="524"/>
      <c r="BQ123" s="524"/>
      <c r="BR123" s="524"/>
      <c r="BS123" s="77"/>
      <c r="BT123" s="85"/>
      <c r="BU123" s="86"/>
      <c r="BV123" s="96"/>
      <c r="BW123" s="252"/>
    </row>
    <row r="124" spans="1:85" ht="11.25" customHeight="1" x14ac:dyDescent="0.2">
      <c r="F124" s="524"/>
      <c r="G124" s="524"/>
      <c r="H124" s="524"/>
      <c r="I124" s="524"/>
      <c r="J124" s="524"/>
      <c r="K124" s="524"/>
      <c r="L124" s="524"/>
      <c r="M124" s="524"/>
      <c r="N124" s="524"/>
      <c r="O124" s="524"/>
      <c r="P124" s="524"/>
      <c r="Q124" s="524"/>
      <c r="R124" s="524"/>
      <c r="S124" s="524"/>
      <c r="T124" s="524"/>
      <c r="U124" s="524"/>
      <c r="V124" s="524"/>
      <c r="W124" s="524"/>
      <c r="X124" s="524"/>
      <c r="Y124" s="524"/>
      <c r="Z124" s="524"/>
      <c r="AA124" s="524"/>
      <c r="AB124" s="524"/>
      <c r="AC124" s="524"/>
      <c r="AD124" s="524"/>
      <c r="AE124" s="524"/>
      <c r="AF124" s="524"/>
      <c r="AG124" s="524"/>
      <c r="AH124" s="524"/>
      <c r="AI124" s="524"/>
      <c r="AJ124" s="524"/>
      <c r="AK124" s="524"/>
      <c r="AL124" s="524"/>
      <c r="AM124" s="524"/>
      <c r="AN124" s="524"/>
      <c r="AO124" s="524"/>
      <c r="AP124" s="524"/>
      <c r="AQ124" s="524"/>
      <c r="AR124" s="524"/>
      <c r="AS124" s="78"/>
      <c r="AT124" s="78"/>
      <c r="AU124" s="83"/>
      <c r="AV124" s="83"/>
      <c r="AW124" s="83"/>
      <c r="AX124" s="524"/>
      <c r="AY124" s="524"/>
      <c r="AZ124" s="524"/>
      <c r="BA124" s="524"/>
      <c r="BB124" s="524"/>
      <c r="BC124" s="524"/>
      <c r="BD124" s="524"/>
      <c r="BE124" s="524"/>
      <c r="BF124" s="524"/>
      <c r="BG124" s="524"/>
      <c r="BH124" s="524"/>
      <c r="BI124" s="524"/>
      <c r="BJ124" s="524"/>
      <c r="BK124" s="524"/>
      <c r="BL124" s="524"/>
      <c r="BM124" s="524"/>
      <c r="BN124" s="524"/>
      <c r="BO124" s="524"/>
      <c r="BP124" s="524"/>
      <c r="BQ124" s="524"/>
      <c r="BR124" s="524"/>
      <c r="BS124" s="77"/>
      <c r="BT124" s="85"/>
      <c r="BU124" s="86"/>
      <c r="BV124" s="96"/>
      <c r="BW124" s="252"/>
    </row>
    <row r="125" spans="1:85" ht="11.25" customHeight="1" x14ac:dyDescent="0.2">
      <c r="F125" s="524"/>
      <c r="G125" s="524"/>
      <c r="H125" s="524"/>
      <c r="I125" s="524"/>
      <c r="J125" s="524"/>
      <c r="K125" s="524"/>
      <c r="L125" s="524"/>
      <c r="M125" s="524"/>
      <c r="N125" s="524"/>
      <c r="O125" s="524"/>
      <c r="P125" s="524"/>
      <c r="Q125" s="524"/>
      <c r="R125" s="524"/>
      <c r="S125" s="524"/>
      <c r="T125" s="524"/>
      <c r="U125" s="524"/>
      <c r="V125" s="524"/>
      <c r="W125" s="524"/>
      <c r="X125" s="524"/>
      <c r="Y125" s="524"/>
      <c r="Z125" s="524"/>
      <c r="AA125" s="524"/>
      <c r="AB125" s="524"/>
      <c r="AC125" s="524"/>
      <c r="AD125" s="524"/>
      <c r="AE125" s="524"/>
      <c r="AF125" s="524"/>
      <c r="AG125" s="524"/>
      <c r="AH125" s="524"/>
      <c r="AI125" s="524"/>
      <c r="AJ125" s="524"/>
      <c r="AK125" s="524"/>
      <c r="AL125" s="524"/>
      <c r="AM125" s="524"/>
      <c r="AN125" s="524"/>
      <c r="AO125" s="524"/>
      <c r="AP125" s="524"/>
      <c r="AQ125" s="524"/>
      <c r="AR125" s="524"/>
      <c r="AS125" s="78"/>
      <c r="AT125" s="78"/>
      <c r="AU125" s="83"/>
      <c r="AV125" s="83"/>
      <c r="AW125" s="83"/>
      <c r="AX125" s="524"/>
      <c r="AY125" s="524"/>
      <c r="AZ125" s="524"/>
      <c r="BA125" s="524"/>
      <c r="BB125" s="524"/>
      <c r="BC125" s="524"/>
      <c r="BD125" s="524"/>
      <c r="BE125" s="524"/>
      <c r="BF125" s="524"/>
      <c r="BG125" s="524"/>
      <c r="BH125" s="524"/>
      <c r="BI125" s="524"/>
      <c r="BJ125" s="524"/>
      <c r="BK125" s="524"/>
      <c r="BL125" s="524"/>
      <c r="BM125" s="524"/>
      <c r="BN125" s="524"/>
      <c r="BO125" s="524"/>
      <c r="BP125" s="524"/>
      <c r="BQ125" s="524"/>
      <c r="BR125" s="524"/>
      <c r="BS125" s="77"/>
      <c r="BT125" s="85"/>
      <c r="BU125" s="86"/>
      <c r="BV125" s="96"/>
      <c r="BW125" s="252"/>
    </row>
    <row r="126" spans="1:85" ht="11.25" customHeight="1" x14ac:dyDescent="0.2">
      <c r="F126" s="524"/>
      <c r="G126" s="524"/>
      <c r="H126" s="524"/>
      <c r="I126" s="524"/>
      <c r="J126" s="524"/>
      <c r="K126" s="524"/>
      <c r="L126" s="524"/>
      <c r="M126" s="524"/>
      <c r="N126" s="524"/>
      <c r="O126" s="524"/>
      <c r="P126" s="524"/>
      <c r="Q126" s="524"/>
      <c r="R126" s="524"/>
      <c r="S126" s="524"/>
      <c r="T126" s="524"/>
      <c r="U126" s="524"/>
      <c r="V126" s="524"/>
      <c r="W126" s="524"/>
      <c r="X126" s="524"/>
      <c r="Y126" s="524"/>
      <c r="Z126" s="524"/>
      <c r="AA126" s="524"/>
      <c r="AB126" s="524"/>
      <c r="AC126" s="524"/>
      <c r="AD126" s="524"/>
      <c r="AE126" s="524"/>
      <c r="AF126" s="524"/>
      <c r="AG126" s="524"/>
      <c r="AH126" s="524"/>
      <c r="AI126" s="524"/>
      <c r="AJ126" s="524"/>
      <c r="AK126" s="524"/>
      <c r="AL126" s="524"/>
      <c r="AM126" s="524"/>
      <c r="AN126" s="524"/>
      <c r="AO126" s="524"/>
      <c r="AP126" s="524"/>
      <c r="AQ126" s="524"/>
      <c r="AR126" s="524"/>
      <c r="AS126" s="78"/>
      <c r="AT126" s="78"/>
      <c r="AU126" s="83"/>
      <c r="AV126" s="83"/>
      <c r="AW126" s="83"/>
      <c r="AX126" s="524"/>
      <c r="AY126" s="524"/>
      <c r="AZ126" s="524"/>
      <c r="BA126" s="524"/>
      <c r="BB126" s="524"/>
      <c r="BC126" s="524"/>
      <c r="BD126" s="524"/>
      <c r="BE126" s="524"/>
      <c r="BF126" s="524"/>
      <c r="BG126" s="524"/>
      <c r="BH126" s="524"/>
      <c r="BI126" s="524"/>
      <c r="BJ126" s="524"/>
      <c r="BK126" s="524"/>
      <c r="BL126" s="524"/>
      <c r="BM126" s="524"/>
      <c r="BN126" s="524"/>
      <c r="BO126" s="524"/>
      <c r="BP126" s="524"/>
      <c r="BQ126" s="524"/>
      <c r="BR126" s="524"/>
      <c r="BS126" s="77"/>
      <c r="BT126" s="85"/>
      <c r="BU126" s="86"/>
      <c r="BV126" s="96"/>
      <c r="BW126" s="252"/>
    </row>
    <row r="127" spans="1:85" ht="11.25" customHeight="1" x14ac:dyDescent="0.2">
      <c r="F127" s="524"/>
      <c r="G127" s="524"/>
      <c r="H127" s="524"/>
      <c r="I127" s="524"/>
      <c r="J127" s="524"/>
      <c r="K127" s="524"/>
      <c r="L127" s="524"/>
      <c r="M127" s="524"/>
      <c r="N127" s="524"/>
      <c r="O127" s="524"/>
      <c r="P127" s="524"/>
      <c r="Q127" s="524"/>
      <c r="R127" s="524"/>
      <c r="S127" s="524"/>
      <c r="T127" s="524"/>
      <c r="U127" s="524"/>
      <c r="V127" s="524"/>
      <c r="W127" s="524"/>
      <c r="X127" s="524"/>
      <c r="Y127" s="524"/>
      <c r="Z127" s="524"/>
      <c r="AA127" s="524"/>
      <c r="AB127" s="524"/>
      <c r="AC127" s="524"/>
      <c r="AD127" s="524"/>
      <c r="AE127" s="524"/>
      <c r="AF127" s="524"/>
      <c r="AG127" s="524"/>
      <c r="AH127" s="524"/>
      <c r="AI127" s="524"/>
      <c r="AJ127" s="524"/>
      <c r="AK127" s="524"/>
      <c r="AL127" s="524"/>
      <c r="AM127" s="524"/>
      <c r="AN127" s="524"/>
      <c r="AO127" s="524"/>
      <c r="AP127" s="524"/>
      <c r="AQ127" s="524"/>
      <c r="AR127" s="524"/>
      <c r="AS127" s="78"/>
      <c r="AT127" s="78"/>
      <c r="AU127" s="83"/>
      <c r="AV127" s="83"/>
      <c r="AW127" s="83"/>
      <c r="AX127" s="524"/>
      <c r="AY127" s="524"/>
      <c r="AZ127" s="524"/>
      <c r="BA127" s="524"/>
      <c r="BB127" s="524"/>
      <c r="BC127" s="524"/>
      <c r="BD127" s="524"/>
      <c r="BE127" s="524"/>
      <c r="BF127" s="524"/>
      <c r="BG127" s="524"/>
      <c r="BH127" s="524"/>
      <c r="BI127" s="524"/>
      <c r="BJ127" s="524"/>
      <c r="BK127" s="524"/>
      <c r="BL127" s="524"/>
      <c r="BM127" s="524"/>
      <c r="BN127" s="524"/>
      <c r="BO127" s="524"/>
      <c r="BP127" s="524"/>
      <c r="BQ127" s="524"/>
      <c r="BR127" s="524"/>
      <c r="BS127" s="77"/>
      <c r="BT127" s="85"/>
      <c r="BU127" s="86"/>
      <c r="BV127" s="96"/>
      <c r="BW127" s="252"/>
    </row>
    <row r="128" spans="1:85" ht="11.25" customHeight="1" x14ac:dyDescent="0.2">
      <c r="F128" s="524"/>
      <c r="G128" s="524"/>
      <c r="H128" s="524"/>
      <c r="I128" s="524"/>
      <c r="J128" s="524"/>
      <c r="K128" s="524"/>
      <c r="L128" s="524"/>
      <c r="M128" s="524"/>
      <c r="N128" s="524"/>
      <c r="O128" s="524"/>
      <c r="P128" s="524"/>
      <c r="Q128" s="524"/>
      <c r="R128" s="524"/>
      <c r="S128" s="524"/>
      <c r="T128" s="524"/>
      <c r="U128" s="524"/>
      <c r="V128" s="524"/>
      <c r="W128" s="524"/>
      <c r="X128" s="524"/>
      <c r="Y128" s="524"/>
      <c r="Z128" s="524"/>
      <c r="AA128" s="524"/>
      <c r="AB128" s="524"/>
      <c r="AC128" s="524"/>
      <c r="AD128" s="524"/>
      <c r="AE128" s="524"/>
      <c r="AF128" s="524"/>
      <c r="AG128" s="524"/>
      <c r="AH128" s="524"/>
      <c r="AI128" s="524"/>
      <c r="AJ128" s="524"/>
      <c r="AK128" s="524"/>
      <c r="AL128" s="524"/>
      <c r="AM128" s="524"/>
      <c r="AN128" s="524"/>
      <c r="AO128" s="524"/>
      <c r="AP128" s="524"/>
      <c r="AQ128" s="524"/>
      <c r="AR128" s="524"/>
      <c r="AS128" s="78"/>
      <c r="AT128" s="78"/>
      <c r="AU128" s="83"/>
      <c r="AV128" s="83"/>
      <c r="AW128" s="83"/>
      <c r="AX128" s="524"/>
      <c r="AY128" s="524"/>
      <c r="AZ128" s="524"/>
      <c r="BA128" s="524"/>
      <c r="BB128" s="524"/>
      <c r="BC128" s="524"/>
      <c r="BD128" s="524"/>
      <c r="BE128" s="524"/>
      <c r="BF128" s="524"/>
      <c r="BG128" s="524"/>
      <c r="BH128" s="524"/>
      <c r="BI128" s="524"/>
      <c r="BJ128" s="524"/>
      <c r="BK128" s="524"/>
      <c r="BL128" s="524"/>
      <c r="BM128" s="524"/>
      <c r="BN128" s="524"/>
      <c r="BO128" s="524"/>
      <c r="BP128" s="524"/>
      <c r="BQ128" s="524"/>
      <c r="BR128" s="524"/>
      <c r="BS128" s="77"/>
      <c r="BT128" s="85"/>
      <c r="BU128" s="86"/>
      <c r="BV128" s="96"/>
      <c r="BW128" s="252"/>
    </row>
    <row r="129" spans="6:75" ht="11.25" customHeight="1" x14ac:dyDescent="0.2">
      <c r="F129" s="524"/>
      <c r="G129" s="524"/>
      <c r="H129" s="524"/>
      <c r="I129" s="524"/>
      <c r="J129" s="524"/>
      <c r="K129" s="524"/>
      <c r="L129" s="524"/>
      <c r="M129" s="524"/>
      <c r="N129" s="524"/>
      <c r="O129" s="524"/>
      <c r="P129" s="524"/>
      <c r="Q129" s="524"/>
      <c r="R129" s="524"/>
      <c r="S129" s="524"/>
      <c r="T129" s="524"/>
      <c r="U129" s="524"/>
      <c r="V129" s="524"/>
      <c r="W129" s="524"/>
      <c r="X129" s="524"/>
      <c r="Y129" s="524"/>
      <c r="Z129" s="524"/>
      <c r="AA129" s="524"/>
      <c r="AB129" s="524"/>
      <c r="AC129" s="524"/>
      <c r="AD129" s="524"/>
      <c r="AE129" s="524"/>
      <c r="AF129" s="524"/>
      <c r="AG129" s="524"/>
      <c r="AH129" s="524"/>
      <c r="AI129" s="524"/>
      <c r="AJ129" s="524"/>
      <c r="AK129" s="524"/>
      <c r="AL129" s="524"/>
      <c r="AM129" s="524"/>
      <c r="AN129" s="524"/>
      <c r="AO129" s="524"/>
      <c r="AP129" s="524"/>
      <c r="AQ129" s="524"/>
      <c r="AR129" s="524"/>
      <c r="AS129" s="78"/>
      <c r="AT129" s="78"/>
      <c r="AU129" s="83"/>
      <c r="AV129" s="83"/>
      <c r="AW129" s="83"/>
      <c r="AX129" s="524"/>
      <c r="AY129" s="524"/>
      <c r="AZ129" s="524"/>
      <c r="BA129" s="524"/>
      <c r="BB129" s="524"/>
      <c r="BC129" s="524"/>
      <c r="BD129" s="524"/>
      <c r="BE129" s="524"/>
      <c r="BF129" s="524"/>
      <c r="BG129" s="524"/>
      <c r="BH129" s="524"/>
      <c r="BI129" s="524"/>
      <c r="BJ129" s="524"/>
      <c r="BK129" s="524"/>
      <c r="BL129" s="524"/>
      <c r="BM129" s="524"/>
      <c r="BN129" s="524"/>
      <c r="BO129" s="524"/>
      <c r="BP129" s="524"/>
      <c r="BQ129" s="524"/>
      <c r="BR129" s="524"/>
      <c r="BS129" s="77"/>
      <c r="BT129" s="85"/>
      <c r="BU129" s="86"/>
      <c r="BV129" s="96"/>
      <c r="BW129" s="252"/>
    </row>
    <row r="130" spans="6:75" ht="11.25" customHeight="1" x14ac:dyDescent="0.2">
      <c r="F130" s="524"/>
      <c r="G130" s="524"/>
      <c r="H130" s="524"/>
      <c r="I130" s="524"/>
      <c r="J130" s="524"/>
      <c r="K130" s="524"/>
      <c r="L130" s="524"/>
      <c r="M130" s="524"/>
      <c r="N130" s="524"/>
      <c r="O130" s="524"/>
      <c r="P130" s="524"/>
      <c r="Q130" s="524"/>
      <c r="R130" s="524"/>
      <c r="S130" s="524"/>
      <c r="T130" s="524"/>
      <c r="U130" s="524"/>
      <c r="V130" s="524"/>
      <c r="W130" s="524"/>
      <c r="X130" s="524"/>
      <c r="Y130" s="524"/>
      <c r="Z130" s="524"/>
      <c r="AA130" s="524"/>
      <c r="AB130" s="524"/>
      <c r="AC130" s="524"/>
      <c r="AD130" s="524"/>
      <c r="AE130" s="524"/>
      <c r="AF130" s="524"/>
      <c r="AG130" s="524"/>
      <c r="AH130" s="524"/>
      <c r="AI130" s="524"/>
      <c r="AJ130" s="524"/>
      <c r="AK130" s="524"/>
      <c r="AL130" s="524"/>
      <c r="AM130" s="524"/>
      <c r="AN130" s="524"/>
      <c r="AO130" s="524"/>
      <c r="AP130" s="524"/>
      <c r="AQ130" s="524"/>
      <c r="AR130" s="524"/>
      <c r="AS130" s="78"/>
      <c r="AT130" s="78"/>
      <c r="AU130" s="83"/>
      <c r="AV130" s="83"/>
      <c r="AW130" s="83"/>
      <c r="AX130" s="524"/>
      <c r="AY130" s="524"/>
      <c r="AZ130" s="524"/>
      <c r="BA130" s="524"/>
      <c r="BB130" s="524"/>
      <c r="BC130" s="524"/>
      <c r="BD130" s="524"/>
      <c r="BE130" s="524"/>
      <c r="BF130" s="524"/>
      <c r="BG130" s="524"/>
      <c r="BH130" s="524"/>
      <c r="BI130" s="524"/>
      <c r="BJ130" s="524"/>
      <c r="BK130" s="524"/>
      <c r="BL130" s="524"/>
      <c r="BM130" s="524"/>
      <c r="BN130" s="524"/>
      <c r="BO130" s="524"/>
      <c r="BP130" s="524"/>
      <c r="BQ130" s="524"/>
      <c r="BR130" s="524"/>
      <c r="BS130" s="77"/>
      <c r="BT130" s="85"/>
      <c r="BU130" s="86"/>
      <c r="BV130" s="96"/>
      <c r="BW130" s="252"/>
    </row>
    <row r="131" spans="6:75" ht="11.25" customHeight="1" x14ac:dyDescent="0.2">
      <c r="F131" s="524"/>
      <c r="G131" s="524"/>
      <c r="H131" s="524"/>
      <c r="I131" s="524"/>
      <c r="J131" s="524"/>
      <c r="K131" s="524"/>
      <c r="L131" s="524"/>
      <c r="M131" s="524"/>
      <c r="N131" s="524"/>
      <c r="O131" s="524"/>
      <c r="P131" s="524"/>
      <c r="Q131" s="524"/>
      <c r="R131" s="524"/>
      <c r="S131" s="524"/>
      <c r="T131" s="524"/>
      <c r="U131" s="524"/>
      <c r="V131" s="524"/>
      <c r="W131" s="524"/>
      <c r="X131" s="524"/>
      <c r="Y131" s="524"/>
      <c r="Z131" s="524"/>
      <c r="AA131" s="524"/>
      <c r="AB131" s="524"/>
      <c r="AC131" s="524"/>
      <c r="AD131" s="524"/>
      <c r="AE131" s="524"/>
      <c r="AF131" s="524"/>
      <c r="AG131" s="524"/>
      <c r="AH131" s="524"/>
      <c r="AI131" s="524"/>
      <c r="AJ131" s="524"/>
      <c r="AK131" s="524"/>
      <c r="AL131" s="524"/>
      <c r="AM131" s="524"/>
      <c r="AN131" s="524"/>
      <c r="AO131" s="524"/>
      <c r="AP131" s="524"/>
      <c r="AQ131" s="524"/>
      <c r="AR131" s="524"/>
      <c r="AS131" s="78"/>
      <c r="AT131" s="78"/>
      <c r="AU131" s="83"/>
      <c r="AV131" s="83"/>
      <c r="AW131" s="83"/>
      <c r="AX131" s="524"/>
      <c r="AY131" s="524"/>
      <c r="AZ131" s="524"/>
      <c r="BA131" s="524"/>
      <c r="BB131" s="524"/>
      <c r="BC131" s="524"/>
      <c r="BD131" s="524"/>
      <c r="BE131" s="524"/>
      <c r="BF131" s="524"/>
      <c r="BG131" s="524"/>
      <c r="BH131" s="524"/>
      <c r="BI131" s="524"/>
      <c r="BJ131" s="524"/>
      <c r="BK131" s="524"/>
      <c r="BL131" s="524"/>
      <c r="BM131" s="524"/>
      <c r="BN131" s="524"/>
      <c r="BO131" s="524"/>
      <c r="BP131" s="524"/>
      <c r="BQ131" s="524"/>
      <c r="BR131" s="524"/>
      <c r="BS131" s="77"/>
      <c r="BT131" s="85"/>
      <c r="BU131" s="86"/>
      <c r="BV131" s="96"/>
      <c r="BW131" s="252"/>
    </row>
    <row r="132" spans="6:75" ht="11.25" customHeight="1" x14ac:dyDescent="0.2">
      <c r="F132" s="524"/>
      <c r="G132" s="524"/>
      <c r="H132" s="524"/>
      <c r="I132" s="524"/>
      <c r="J132" s="524"/>
      <c r="K132" s="524"/>
      <c r="L132" s="524"/>
      <c r="M132" s="524"/>
      <c r="N132" s="524"/>
      <c r="O132" s="524"/>
      <c r="P132" s="524"/>
      <c r="Q132" s="524"/>
      <c r="R132" s="524"/>
      <c r="S132" s="524"/>
      <c r="T132" s="524"/>
      <c r="U132" s="524"/>
      <c r="V132" s="524"/>
      <c r="W132" s="524"/>
      <c r="X132" s="524"/>
      <c r="Y132" s="524"/>
      <c r="Z132" s="524"/>
      <c r="AA132" s="524"/>
      <c r="AB132" s="524"/>
      <c r="AC132" s="524"/>
      <c r="AD132" s="524"/>
      <c r="AE132" s="524"/>
      <c r="AF132" s="524"/>
      <c r="AG132" s="524"/>
      <c r="AH132" s="524"/>
      <c r="AI132" s="524"/>
      <c r="AJ132" s="524"/>
      <c r="AK132" s="524"/>
      <c r="AL132" s="524"/>
      <c r="AM132" s="524"/>
      <c r="AN132" s="524"/>
      <c r="AO132" s="524"/>
      <c r="AP132" s="524"/>
      <c r="AQ132" s="524"/>
      <c r="AR132" s="524"/>
      <c r="AS132" s="78"/>
      <c r="AT132" s="78"/>
      <c r="AU132" s="83"/>
      <c r="AV132" s="83"/>
      <c r="AW132" s="83"/>
      <c r="AX132" s="524"/>
      <c r="AY132" s="524"/>
      <c r="AZ132" s="524"/>
      <c r="BA132" s="524"/>
      <c r="BB132" s="524"/>
      <c r="BC132" s="524"/>
      <c r="BD132" s="524"/>
      <c r="BE132" s="524"/>
      <c r="BF132" s="524"/>
      <c r="BG132" s="524"/>
      <c r="BH132" s="524"/>
      <c r="BI132" s="524"/>
      <c r="BJ132" s="524"/>
      <c r="BK132" s="524"/>
      <c r="BL132" s="524"/>
      <c r="BM132" s="524"/>
      <c r="BN132" s="524"/>
      <c r="BO132" s="524"/>
      <c r="BP132" s="524"/>
      <c r="BQ132" s="524"/>
      <c r="BR132" s="524"/>
      <c r="BS132" s="77"/>
      <c r="BT132" s="85"/>
      <c r="BU132" s="86"/>
      <c r="BV132" s="96"/>
      <c r="BW132" s="252"/>
    </row>
    <row r="133" spans="6:75" ht="11.25" customHeight="1" x14ac:dyDescent="0.2">
      <c r="F133" s="524"/>
      <c r="G133" s="524"/>
      <c r="H133" s="524"/>
      <c r="I133" s="524"/>
      <c r="J133" s="524"/>
      <c r="K133" s="524"/>
      <c r="L133" s="524"/>
      <c r="M133" s="524"/>
      <c r="N133" s="524"/>
      <c r="O133" s="524"/>
      <c r="P133" s="524"/>
      <c r="Q133" s="524"/>
      <c r="R133" s="524"/>
      <c r="S133" s="524"/>
      <c r="T133" s="524"/>
      <c r="U133" s="524"/>
      <c r="V133" s="524"/>
      <c r="W133" s="524"/>
      <c r="X133" s="524"/>
      <c r="Y133" s="524"/>
      <c r="Z133" s="524"/>
      <c r="AA133" s="524"/>
      <c r="AB133" s="524"/>
      <c r="AC133" s="524"/>
      <c r="AD133" s="524"/>
      <c r="AE133" s="524"/>
      <c r="AF133" s="524"/>
      <c r="AG133" s="524"/>
      <c r="AH133" s="524"/>
      <c r="AI133" s="524"/>
      <c r="AJ133" s="524"/>
      <c r="AK133" s="524"/>
      <c r="AL133" s="524"/>
      <c r="AM133" s="524"/>
      <c r="AN133" s="524"/>
      <c r="AO133" s="524"/>
      <c r="AP133" s="524"/>
      <c r="AQ133" s="524"/>
      <c r="AR133" s="524"/>
      <c r="AS133" s="78"/>
      <c r="AT133" s="78"/>
      <c r="AU133" s="83"/>
      <c r="AV133" s="83"/>
      <c r="AW133" s="83"/>
      <c r="AX133" s="524"/>
      <c r="AY133" s="524"/>
      <c r="AZ133" s="524"/>
      <c r="BA133" s="524"/>
      <c r="BB133" s="524"/>
      <c r="BC133" s="524"/>
      <c r="BD133" s="524"/>
      <c r="BE133" s="524"/>
      <c r="BF133" s="524"/>
      <c r="BG133" s="524"/>
      <c r="BH133" s="524"/>
      <c r="BI133" s="524"/>
      <c r="BJ133" s="524"/>
      <c r="BK133" s="524"/>
      <c r="BL133" s="524"/>
      <c r="BM133" s="524"/>
      <c r="BN133" s="524"/>
      <c r="BO133" s="524"/>
      <c r="BP133" s="524"/>
      <c r="BQ133" s="524"/>
      <c r="BR133" s="524"/>
      <c r="BS133" s="77"/>
      <c r="BT133" s="85"/>
      <c r="BU133" s="86"/>
      <c r="BV133" s="96"/>
      <c r="BW133" s="252"/>
    </row>
    <row r="134" spans="6:75" ht="11.25" customHeight="1" x14ac:dyDescent="0.2">
      <c r="F134" s="524"/>
      <c r="G134" s="524"/>
      <c r="H134" s="524"/>
      <c r="I134" s="524"/>
      <c r="J134" s="524"/>
      <c r="K134" s="524"/>
      <c r="L134" s="524"/>
      <c r="M134" s="524"/>
      <c r="N134" s="524"/>
      <c r="O134" s="524"/>
      <c r="P134" s="524"/>
      <c r="Q134" s="524"/>
      <c r="R134" s="524"/>
      <c r="S134" s="524"/>
      <c r="T134" s="524"/>
      <c r="U134" s="524"/>
      <c r="V134" s="524"/>
      <c r="W134" s="524"/>
      <c r="X134" s="524"/>
      <c r="Y134" s="524"/>
      <c r="Z134" s="524"/>
      <c r="AA134" s="524"/>
      <c r="AB134" s="524"/>
      <c r="AC134" s="524"/>
      <c r="AD134" s="524"/>
      <c r="AE134" s="524"/>
      <c r="AF134" s="524"/>
      <c r="AG134" s="524"/>
      <c r="AH134" s="524"/>
      <c r="AI134" s="524"/>
      <c r="AJ134" s="524"/>
      <c r="AK134" s="524"/>
      <c r="AL134" s="524"/>
      <c r="AM134" s="524"/>
      <c r="AN134" s="524"/>
      <c r="AO134" s="524"/>
      <c r="AP134" s="524"/>
      <c r="AQ134" s="524"/>
      <c r="AR134" s="524"/>
      <c r="AS134" s="78"/>
      <c r="AT134" s="78"/>
      <c r="AU134" s="83"/>
      <c r="AV134" s="83"/>
      <c r="AW134" s="83"/>
      <c r="AX134" s="524"/>
      <c r="AY134" s="524"/>
      <c r="AZ134" s="524"/>
      <c r="BA134" s="524"/>
      <c r="BB134" s="524"/>
      <c r="BC134" s="524"/>
      <c r="BD134" s="524"/>
      <c r="BE134" s="524"/>
      <c r="BF134" s="524"/>
      <c r="BG134" s="524"/>
      <c r="BH134" s="524"/>
      <c r="BI134" s="524"/>
      <c r="BJ134" s="524"/>
      <c r="BK134" s="524"/>
      <c r="BL134" s="524"/>
      <c r="BM134" s="524"/>
      <c r="BN134" s="524"/>
      <c r="BO134" s="524"/>
      <c r="BP134" s="524"/>
      <c r="BQ134" s="524"/>
      <c r="BR134" s="524"/>
      <c r="BS134" s="77"/>
      <c r="BT134" s="85"/>
      <c r="BU134" s="86"/>
      <c r="BV134" s="96"/>
      <c r="BW134" s="252"/>
    </row>
    <row r="135" spans="6:75" ht="11.25" customHeight="1" x14ac:dyDescent="0.2">
      <c r="F135" s="524"/>
      <c r="G135" s="524"/>
      <c r="H135" s="524"/>
      <c r="I135" s="524"/>
      <c r="J135" s="524"/>
      <c r="K135" s="524"/>
      <c r="L135" s="524"/>
      <c r="M135" s="524"/>
      <c r="N135" s="524"/>
      <c r="O135" s="524"/>
      <c r="P135" s="524"/>
      <c r="Q135" s="524"/>
      <c r="R135" s="524"/>
      <c r="S135" s="524"/>
      <c r="T135" s="524"/>
      <c r="U135" s="524"/>
      <c r="V135" s="524"/>
      <c r="W135" s="524"/>
      <c r="X135" s="524"/>
      <c r="Y135" s="524"/>
      <c r="Z135" s="524"/>
      <c r="AA135" s="524"/>
      <c r="AB135" s="524"/>
      <c r="AC135" s="524"/>
      <c r="AD135" s="524"/>
      <c r="AE135" s="524"/>
      <c r="AF135" s="524"/>
      <c r="AG135" s="524"/>
      <c r="AH135" s="524"/>
      <c r="AI135" s="524"/>
      <c r="AJ135" s="524"/>
      <c r="AK135" s="524"/>
      <c r="AL135" s="524"/>
      <c r="AM135" s="524"/>
      <c r="AN135" s="524"/>
      <c r="AO135" s="524"/>
      <c r="AP135" s="524"/>
      <c r="AQ135" s="524"/>
      <c r="AR135" s="524"/>
      <c r="AS135" s="78"/>
      <c r="AT135" s="78"/>
      <c r="AU135" s="83"/>
      <c r="AV135" s="83"/>
      <c r="AW135" s="83"/>
      <c r="AX135" s="524"/>
      <c r="AY135" s="524"/>
      <c r="AZ135" s="524"/>
      <c r="BA135" s="524"/>
      <c r="BB135" s="524"/>
      <c r="BC135" s="524"/>
      <c r="BD135" s="524"/>
      <c r="BE135" s="524"/>
      <c r="BF135" s="524"/>
      <c r="BG135" s="524"/>
      <c r="BH135" s="524"/>
      <c r="BI135" s="524"/>
      <c r="BJ135" s="524"/>
      <c r="BK135" s="524"/>
      <c r="BL135" s="524"/>
      <c r="BM135" s="524"/>
      <c r="BN135" s="524"/>
      <c r="BO135" s="524"/>
      <c r="BP135" s="524"/>
      <c r="BQ135" s="524"/>
      <c r="BR135" s="524"/>
      <c r="BS135" s="77"/>
      <c r="BT135" s="85"/>
      <c r="BU135" s="86"/>
      <c r="BV135" s="96"/>
      <c r="BW135" s="252"/>
    </row>
    <row r="136" spans="6:75" ht="11.25" customHeight="1" x14ac:dyDescent="0.2">
      <c r="F136" s="524"/>
      <c r="G136" s="524"/>
      <c r="H136" s="524"/>
      <c r="I136" s="524"/>
      <c r="J136" s="524"/>
      <c r="K136" s="524"/>
      <c r="L136" s="524"/>
      <c r="M136" s="524"/>
      <c r="N136" s="524"/>
      <c r="O136" s="524"/>
      <c r="P136" s="524"/>
      <c r="Q136" s="524"/>
      <c r="R136" s="524"/>
      <c r="S136" s="524"/>
      <c r="T136" s="524"/>
      <c r="U136" s="524"/>
      <c r="V136" s="524"/>
      <c r="W136" s="524"/>
      <c r="X136" s="524"/>
      <c r="Y136" s="524"/>
      <c r="Z136" s="524"/>
      <c r="AA136" s="524"/>
      <c r="AB136" s="524"/>
      <c r="AC136" s="524"/>
      <c r="AD136" s="524"/>
      <c r="AE136" s="524"/>
      <c r="AF136" s="524"/>
      <c r="AG136" s="524"/>
      <c r="AH136" s="524"/>
      <c r="AI136" s="524"/>
      <c r="AJ136" s="524"/>
      <c r="AK136" s="524"/>
      <c r="AL136" s="524"/>
      <c r="AM136" s="524"/>
      <c r="AN136" s="524"/>
      <c r="AO136" s="524"/>
      <c r="AP136" s="524"/>
      <c r="AQ136" s="524"/>
      <c r="AR136" s="524"/>
      <c r="AS136" s="78"/>
      <c r="AT136" s="78"/>
      <c r="AU136" s="83"/>
      <c r="AV136" s="83"/>
      <c r="AW136" s="83"/>
      <c r="AX136" s="524"/>
      <c r="AY136" s="524"/>
      <c r="AZ136" s="524"/>
      <c r="BA136" s="524"/>
      <c r="BB136" s="524"/>
      <c r="BC136" s="524"/>
      <c r="BD136" s="524"/>
      <c r="BE136" s="524"/>
      <c r="BF136" s="524"/>
      <c r="BG136" s="524"/>
      <c r="BH136" s="524"/>
      <c r="BI136" s="524"/>
      <c r="BJ136" s="524"/>
      <c r="BK136" s="524"/>
      <c r="BL136" s="524"/>
      <c r="BM136" s="524"/>
      <c r="BN136" s="524"/>
      <c r="BO136" s="524"/>
      <c r="BP136" s="524"/>
      <c r="BQ136" s="524"/>
      <c r="BR136" s="524"/>
      <c r="BS136" s="77"/>
      <c r="BT136" s="85"/>
      <c r="BU136" s="86"/>
      <c r="BV136" s="96"/>
      <c r="BW136" s="252"/>
    </row>
    <row r="137" spans="6:75" ht="11.25" customHeight="1" x14ac:dyDescent="0.2">
      <c r="F137" s="524"/>
      <c r="G137" s="524"/>
      <c r="H137" s="524"/>
      <c r="I137" s="524"/>
      <c r="J137" s="524"/>
      <c r="K137" s="524"/>
      <c r="L137" s="524"/>
      <c r="M137" s="524"/>
      <c r="N137" s="524"/>
      <c r="O137" s="524"/>
      <c r="P137" s="524"/>
      <c r="Q137" s="524"/>
      <c r="R137" s="524"/>
      <c r="S137" s="524"/>
      <c r="T137" s="524"/>
      <c r="U137" s="524"/>
      <c r="V137" s="524"/>
      <c r="W137" s="524"/>
      <c r="X137" s="524"/>
      <c r="Y137" s="524"/>
      <c r="Z137" s="524"/>
      <c r="AA137" s="524"/>
      <c r="AB137" s="524"/>
      <c r="AC137" s="524"/>
      <c r="AD137" s="524"/>
      <c r="AE137" s="524"/>
      <c r="AF137" s="524"/>
      <c r="AG137" s="524"/>
      <c r="AH137" s="524"/>
      <c r="AI137" s="524"/>
      <c r="AJ137" s="524"/>
      <c r="AK137" s="524"/>
      <c r="AL137" s="524"/>
      <c r="AM137" s="524"/>
      <c r="AN137" s="524"/>
      <c r="AO137" s="524"/>
      <c r="AP137" s="524"/>
      <c r="AQ137" s="524"/>
      <c r="AR137" s="524"/>
      <c r="AS137" s="78"/>
      <c r="AT137" s="78"/>
      <c r="AU137" s="83"/>
      <c r="AV137" s="83"/>
      <c r="AW137" s="83"/>
      <c r="AX137" s="524"/>
      <c r="AY137" s="524"/>
      <c r="AZ137" s="524"/>
      <c r="BA137" s="524"/>
      <c r="BB137" s="524"/>
      <c r="BC137" s="524"/>
      <c r="BD137" s="524"/>
      <c r="BE137" s="524"/>
      <c r="BF137" s="524"/>
      <c r="BG137" s="524"/>
      <c r="BH137" s="524"/>
      <c r="BI137" s="524"/>
      <c r="BJ137" s="524"/>
      <c r="BK137" s="524"/>
      <c r="BL137" s="524"/>
      <c r="BM137" s="524"/>
      <c r="BN137" s="524"/>
      <c r="BO137" s="524"/>
      <c r="BP137" s="524"/>
      <c r="BQ137" s="524"/>
      <c r="BR137" s="524"/>
      <c r="BS137" s="77"/>
      <c r="BT137" s="85"/>
      <c r="BU137" s="86"/>
      <c r="BV137" s="96"/>
      <c r="BW137" s="252"/>
    </row>
    <row r="138" spans="6:75" ht="11.25" customHeight="1" x14ac:dyDescent="0.2">
      <c r="F138" s="524"/>
      <c r="G138" s="524"/>
      <c r="H138" s="524"/>
      <c r="I138" s="524"/>
      <c r="J138" s="524"/>
      <c r="K138" s="524"/>
      <c r="L138" s="524"/>
      <c r="M138" s="524"/>
      <c r="N138" s="524"/>
      <c r="O138" s="524"/>
      <c r="P138" s="524"/>
      <c r="Q138" s="524"/>
      <c r="R138" s="524"/>
      <c r="S138" s="524"/>
      <c r="T138" s="524"/>
      <c r="U138" s="524"/>
      <c r="V138" s="524"/>
      <c r="W138" s="524"/>
      <c r="X138" s="524"/>
      <c r="Y138" s="524"/>
      <c r="Z138" s="524"/>
      <c r="AA138" s="524"/>
      <c r="AB138" s="524"/>
      <c r="AC138" s="524"/>
      <c r="AD138" s="524"/>
      <c r="AE138" s="524"/>
      <c r="AF138" s="524"/>
      <c r="AG138" s="524"/>
      <c r="AH138" s="524"/>
      <c r="AI138" s="524"/>
      <c r="AJ138" s="524"/>
      <c r="AK138" s="524"/>
      <c r="AL138" s="524"/>
      <c r="AM138" s="524"/>
      <c r="AN138" s="524"/>
      <c r="AO138" s="524"/>
      <c r="AP138" s="524"/>
      <c r="AQ138" s="524"/>
      <c r="AR138" s="524"/>
      <c r="AS138" s="78"/>
      <c r="AT138" s="78"/>
      <c r="AU138" s="83"/>
      <c r="AV138" s="83"/>
      <c r="AW138" s="83"/>
      <c r="AX138" s="524"/>
      <c r="AY138" s="524"/>
      <c r="AZ138" s="524"/>
      <c r="BA138" s="524"/>
      <c r="BB138" s="524"/>
      <c r="BC138" s="524"/>
      <c r="BD138" s="524"/>
      <c r="BE138" s="524"/>
      <c r="BF138" s="524"/>
      <c r="BG138" s="524"/>
      <c r="BH138" s="524"/>
      <c r="BI138" s="524"/>
      <c r="BJ138" s="524"/>
      <c r="BK138" s="524"/>
      <c r="BL138" s="524"/>
      <c r="BM138" s="524"/>
      <c r="BN138" s="524"/>
      <c r="BO138" s="524"/>
      <c r="BP138" s="524"/>
      <c r="BQ138" s="524"/>
      <c r="BR138" s="524"/>
      <c r="BS138" s="77"/>
      <c r="BT138" s="85"/>
      <c r="BU138" s="86"/>
      <c r="BV138" s="96"/>
      <c r="BW138" s="252"/>
    </row>
    <row r="139" spans="6:75" ht="11.25" customHeight="1" x14ac:dyDescent="0.2">
      <c r="F139" s="524"/>
      <c r="G139" s="524"/>
      <c r="H139" s="524"/>
      <c r="I139" s="524"/>
      <c r="J139" s="524"/>
      <c r="K139" s="524"/>
      <c r="L139" s="524"/>
      <c r="M139" s="524"/>
      <c r="N139" s="524"/>
      <c r="O139" s="524"/>
      <c r="P139" s="524"/>
      <c r="Q139" s="524"/>
      <c r="R139" s="524"/>
      <c r="S139" s="524"/>
      <c r="T139" s="524"/>
      <c r="U139" s="524"/>
      <c r="V139" s="524"/>
      <c r="W139" s="524"/>
      <c r="X139" s="524"/>
      <c r="Y139" s="524"/>
      <c r="Z139" s="524"/>
      <c r="AA139" s="524"/>
      <c r="AB139" s="524"/>
      <c r="AC139" s="524"/>
      <c r="AD139" s="524"/>
      <c r="AE139" s="524"/>
      <c r="AF139" s="524"/>
      <c r="AG139" s="524"/>
      <c r="AH139" s="524"/>
      <c r="AI139" s="524"/>
      <c r="AJ139" s="524"/>
      <c r="AK139" s="524"/>
      <c r="AL139" s="524"/>
      <c r="AM139" s="524"/>
      <c r="AN139" s="524"/>
      <c r="AO139" s="524"/>
      <c r="AP139" s="524"/>
      <c r="AQ139" s="524"/>
      <c r="AR139" s="524"/>
      <c r="AS139" s="78"/>
      <c r="AT139" s="78"/>
      <c r="AU139" s="83"/>
      <c r="AV139" s="83"/>
      <c r="AW139" s="83"/>
      <c r="AX139" s="524"/>
      <c r="AY139" s="524"/>
      <c r="AZ139" s="524"/>
      <c r="BA139" s="524"/>
      <c r="BB139" s="524"/>
      <c r="BC139" s="524"/>
      <c r="BD139" s="524"/>
      <c r="BE139" s="524"/>
      <c r="BF139" s="524"/>
      <c r="BG139" s="524"/>
      <c r="BH139" s="524"/>
      <c r="BI139" s="524"/>
      <c r="BJ139" s="524"/>
      <c r="BK139" s="524"/>
      <c r="BL139" s="524"/>
      <c r="BM139" s="524"/>
      <c r="BN139" s="524"/>
      <c r="BO139" s="524"/>
      <c r="BP139" s="524"/>
      <c r="BQ139" s="524"/>
      <c r="BR139" s="524"/>
      <c r="BS139" s="77"/>
      <c r="BT139" s="85"/>
      <c r="BU139" s="86"/>
      <c r="BV139" s="96"/>
      <c r="BW139" s="252"/>
    </row>
    <row r="140" spans="6:75" ht="11.25" customHeight="1" x14ac:dyDescent="0.2">
      <c r="F140" s="524"/>
      <c r="G140" s="524"/>
      <c r="H140" s="524"/>
      <c r="I140" s="524"/>
      <c r="J140" s="524"/>
      <c r="K140" s="524"/>
      <c r="L140" s="524"/>
      <c r="M140" s="524"/>
      <c r="N140" s="524"/>
      <c r="O140" s="524"/>
      <c r="P140" s="524"/>
      <c r="Q140" s="524"/>
      <c r="R140" s="524"/>
      <c r="S140" s="524"/>
      <c r="T140" s="524"/>
      <c r="U140" s="524"/>
      <c r="V140" s="524"/>
      <c r="W140" s="524"/>
      <c r="X140" s="524"/>
      <c r="Y140" s="524"/>
      <c r="Z140" s="524"/>
      <c r="AA140" s="524"/>
      <c r="AB140" s="524"/>
      <c r="AC140" s="524"/>
      <c r="AD140" s="524"/>
      <c r="AE140" s="524"/>
      <c r="AF140" s="524"/>
      <c r="AG140" s="524"/>
      <c r="AH140" s="524"/>
      <c r="AI140" s="524"/>
      <c r="AJ140" s="524"/>
      <c r="AK140" s="524"/>
      <c r="AL140" s="524"/>
      <c r="AM140" s="524"/>
      <c r="AN140" s="524"/>
      <c r="AO140" s="524"/>
      <c r="AP140" s="524"/>
      <c r="AQ140" s="524"/>
      <c r="AR140" s="524"/>
      <c r="AS140" s="78"/>
      <c r="AT140" s="78"/>
      <c r="AU140" s="83"/>
      <c r="AV140" s="83"/>
      <c r="AW140" s="83"/>
      <c r="AX140" s="524"/>
      <c r="AY140" s="524"/>
      <c r="AZ140" s="524"/>
      <c r="BA140" s="524"/>
      <c r="BB140" s="524"/>
      <c r="BC140" s="524"/>
      <c r="BD140" s="524"/>
      <c r="BE140" s="524"/>
      <c r="BF140" s="524"/>
      <c r="BG140" s="524"/>
      <c r="BH140" s="524"/>
      <c r="BI140" s="524"/>
      <c r="BJ140" s="524"/>
      <c r="BK140" s="524"/>
      <c r="BL140" s="524"/>
      <c r="BM140" s="524"/>
      <c r="BN140" s="524"/>
      <c r="BO140" s="524"/>
      <c r="BP140" s="524"/>
      <c r="BQ140" s="524"/>
      <c r="BR140" s="524"/>
      <c r="BS140" s="77"/>
      <c r="BT140" s="85"/>
      <c r="BU140" s="86"/>
      <c r="BV140" s="96"/>
      <c r="BW140" s="252"/>
    </row>
    <row r="141" spans="6:75" ht="11.25" customHeight="1" x14ac:dyDescent="0.2">
      <c r="F141" s="524"/>
      <c r="G141" s="524"/>
      <c r="H141" s="524"/>
      <c r="I141" s="524"/>
      <c r="J141" s="524"/>
      <c r="K141" s="524"/>
      <c r="L141" s="524"/>
      <c r="M141" s="524"/>
      <c r="N141" s="524"/>
      <c r="O141" s="524"/>
      <c r="P141" s="524"/>
      <c r="Q141" s="524"/>
      <c r="R141" s="524"/>
      <c r="S141" s="524"/>
      <c r="T141" s="524"/>
      <c r="U141" s="524"/>
      <c r="V141" s="524"/>
      <c r="W141" s="524"/>
      <c r="X141" s="524"/>
      <c r="Y141" s="524"/>
      <c r="Z141" s="524"/>
      <c r="AA141" s="524"/>
      <c r="AB141" s="524"/>
      <c r="AC141" s="524"/>
      <c r="AD141" s="524"/>
      <c r="AE141" s="524"/>
      <c r="AF141" s="524"/>
      <c r="AG141" s="524"/>
      <c r="AH141" s="524"/>
      <c r="AI141" s="524"/>
      <c r="AJ141" s="524"/>
      <c r="AK141" s="524"/>
      <c r="AL141" s="524"/>
      <c r="AM141" s="524"/>
      <c r="AN141" s="524"/>
      <c r="AO141" s="524"/>
      <c r="AP141" s="524"/>
      <c r="AQ141" s="524"/>
      <c r="AR141" s="524"/>
      <c r="AS141" s="78"/>
      <c r="AT141" s="78"/>
      <c r="AU141" s="83"/>
      <c r="AV141" s="83"/>
      <c r="AW141" s="83"/>
      <c r="AX141" s="524"/>
      <c r="AY141" s="524"/>
      <c r="AZ141" s="524"/>
      <c r="BA141" s="524"/>
      <c r="BB141" s="524"/>
      <c r="BC141" s="524"/>
      <c r="BD141" s="524"/>
      <c r="BE141" s="524"/>
      <c r="BF141" s="524"/>
      <c r="BG141" s="524"/>
      <c r="BH141" s="524"/>
      <c r="BI141" s="524"/>
      <c r="BJ141" s="524"/>
      <c r="BK141" s="524"/>
      <c r="BL141" s="524"/>
      <c r="BM141" s="524"/>
      <c r="BN141" s="524"/>
      <c r="BO141" s="524"/>
      <c r="BP141" s="524"/>
      <c r="BQ141" s="524"/>
      <c r="BR141" s="524"/>
      <c r="BS141" s="77"/>
      <c r="BT141" s="85"/>
      <c r="BU141" s="86"/>
      <c r="BV141" s="96"/>
      <c r="BW141" s="252"/>
    </row>
    <row r="142" spans="6:75" ht="11.25" customHeight="1" x14ac:dyDescent="0.2">
      <c r="F142" s="524"/>
      <c r="G142" s="524"/>
      <c r="H142" s="524"/>
      <c r="I142" s="524"/>
      <c r="J142" s="524"/>
      <c r="K142" s="524"/>
      <c r="L142" s="524"/>
      <c r="M142" s="524"/>
      <c r="N142" s="524"/>
      <c r="O142" s="524"/>
      <c r="P142" s="524"/>
      <c r="Q142" s="524"/>
      <c r="R142" s="524"/>
      <c r="S142" s="524"/>
      <c r="T142" s="524"/>
      <c r="U142" s="524"/>
      <c r="V142" s="524"/>
      <c r="W142" s="524"/>
      <c r="X142" s="524"/>
      <c r="Y142" s="524"/>
      <c r="Z142" s="524"/>
      <c r="AA142" s="524"/>
      <c r="AB142" s="524"/>
      <c r="AC142" s="524"/>
      <c r="AD142" s="524"/>
      <c r="AE142" s="524"/>
      <c r="AF142" s="524"/>
      <c r="AG142" s="524"/>
      <c r="AH142" s="524"/>
      <c r="AI142" s="524"/>
      <c r="AJ142" s="524"/>
      <c r="AK142" s="524"/>
      <c r="AL142" s="524"/>
      <c r="AM142" s="524"/>
      <c r="AN142" s="524"/>
      <c r="AO142" s="524"/>
      <c r="AP142" s="524"/>
      <c r="AQ142" s="524"/>
      <c r="AR142" s="524"/>
      <c r="AS142" s="78"/>
      <c r="AT142" s="78"/>
      <c r="AU142" s="83"/>
      <c r="AV142" s="83"/>
      <c r="AW142" s="83"/>
      <c r="AX142" s="524"/>
      <c r="AY142" s="524"/>
      <c r="AZ142" s="524"/>
      <c r="BA142" s="524"/>
      <c r="BB142" s="524"/>
      <c r="BC142" s="524"/>
      <c r="BD142" s="524"/>
      <c r="BE142" s="524"/>
      <c r="BF142" s="524"/>
      <c r="BG142" s="524"/>
      <c r="BH142" s="524"/>
      <c r="BI142" s="524"/>
      <c r="BJ142" s="524"/>
      <c r="BK142" s="524"/>
      <c r="BL142" s="524"/>
      <c r="BM142" s="524"/>
      <c r="BN142" s="524"/>
      <c r="BO142" s="524"/>
      <c r="BP142" s="524"/>
      <c r="BQ142" s="524"/>
      <c r="BR142" s="524"/>
      <c r="BS142" s="77"/>
      <c r="BT142" s="85"/>
      <c r="BU142" s="86"/>
      <c r="BV142" s="96"/>
      <c r="BW142" s="252"/>
    </row>
    <row r="143" spans="6:75" ht="11.25" customHeight="1" x14ac:dyDescent="0.2">
      <c r="F143" s="524"/>
      <c r="G143" s="524"/>
      <c r="H143" s="524"/>
      <c r="I143" s="524"/>
      <c r="J143" s="524"/>
      <c r="K143" s="524"/>
      <c r="L143" s="524"/>
      <c r="M143" s="524"/>
      <c r="N143" s="524"/>
      <c r="O143" s="524"/>
      <c r="P143" s="524"/>
      <c r="Q143" s="524"/>
      <c r="R143" s="524"/>
      <c r="S143" s="524"/>
      <c r="T143" s="524"/>
      <c r="U143" s="524"/>
      <c r="V143" s="524"/>
      <c r="W143" s="524"/>
      <c r="X143" s="524"/>
      <c r="Y143" s="524"/>
      <c r="Z143" s="524"/>
      <c r="AA143" s="524"/>
      <c r="AB143" s="524"/>
      <c r="AC143" s="524"/>
      <c r="AD143" s="524"/>
      <c r="AE143" s="524"/>
      <c r="AF143" s="524"/>
      <c r="AG143" s="524"/>
      <c r="AH143" s="524"/>
      <c r="AI143" s="524"/>
      <c r="AJ143" s="524"/>
      <c r="AK143" s="524"/>
      <c r="AL143" s="524"/>
      <c r="AM143" s="524"/>
      <c r="AN143" s="524"/>
      <c r="AO143" s="524"/>
      <c r="AP143" s="524"/>
      <c r="AQ143" s="524"/>
      <c r="AR143" s="524"/>
      <c r="AS143" s="78"/>
      <c r="AT143" s="78"/>
      <c r="AU143" s="83"/>
      <c r="AV143" s="83"/>
      <c r="AW143" s="83"/>
      <c r="AX143" s="524"/>
      <c r="AY143" s="524"/>
      <c r="AZ143" s="524"/>
      <c r="BA143" s="524"/>
      <c r="BB143" s="524"/>
      <c r="BC143" s="524"/>
      <c r="BD143" s="524"/>
      <c r="BE143" s="524"/>
      <c r="BF143" s="524"/>
      <c r="BG143" s="524"/>
      <c r="BH143" s="524"/>
      <c r="BI143" s="524"/>
      <c r="BJ143" s="524"/>
      <c r="BK143" s="524"/>
      <c r="BL143" s="524"/>
      <c r="BM143" s="524"/>
      <c r="BN143" s="524"/>
      <c r="BO143" s="524"/>
      <c r="BP143" s="524"/>
      <c r="BQ143" s="524"/>
      <c r="BR143" s="524"/>
      <c r="BS143" s="77"/>
      <c r="BT143" s="85"/>
      <c r="BU143" s="86"/>
      <c r="BV143" s="96"/>
      <c r="BW143" s="252"/>
    </row>
    <row r="144" spans="6:75" ht="11.25" customHeight="1" x14ac:dyDescent="0.2">
      <c r="F144" s="524"/>
      <c r="G144" s="524"/>
      <c r="H144" s="524"/>
      <c r="I144" s="524"/>
      <c r="J144" s="524"/>
      <c r="K144" s="524"/>
      <c r="L144" s="524"/>
      <c r="M144" s="524"/>
      <c r="N144" s="524"/>
      <c r="O144" s="524"/>
      <c r="P144" s="524"/>
      <c r="Q144" s="524"/>
      <c r="R144" s="524"/>
      <c r="S144" s="524"/>
      <c r="T144" s="524"/>
      <c r="U144" s="524"/>
      <c r="V144" s="524"/>
      <c r="W144" s="524"/>
      <c r="X144" s="524"/>
      <c r="Y144" s="524"/>
      <c r="Z144" s="524"/>
      <c r="AA144" s="524"/>
      <c r="AB144" s="524"/>
      <c r="AC144" s="524"/>
      <c r="AD144" s="524"/>
      <c r="AE144" s="524"/>
      <c r="AF144" s="524"/>
      <c r="AG144" s="524"/>
      <c r="AH144" s="524"/>
      <c r="AI144" s="524"/>
      <c r="AJ144" s="524"/>
      <c r="AK144" s="524"/>
      <c r="AL144" s="524"/>
      <c r="AM144" s="524"/>
      <c r="AN144" s="524"/>
      <c r="AO144" s="524"/>
      <c r="AP144" s="524"/>
      <c r="AQ144" s="524"/>
      <c r="AR144" s="524"/>
      <c r="AS144" s="78"/>
      <c r="AT144" s="78"/>
      <c r="AU144" s="83"/>
      <c r="AV144" s="83"/>
      <c r="AW144" s="83"/>
      <c r="AX144" s="524"/>
      <c r="AY144" s="524"/>
      <c r="AZ144" s="524"/>
      <c r="BA144" s="524"/>
      <c r="BB144" s="524"/>
      <c r="BC144" s="524"/>
      <c r="BD144" s="524"/>
      <c r="BE144" s="524"/>
      <c r="BF144" s="524"/>
      <c r="BG144" s="524"/>
      <c r="BH144" s="524"/>
      <c r="BI144" s="524"/>
      <c r="BJ144" s="524"/>
      <c r="BK144" s="524"/>
      <c r="BL144" s="524"/>
      <c r="BM144" s="524"/>
      <c r="BN144" s="524"/>
      <c r="BO144" s="524"/>
      <c r="BP144" s="524"/>
      <c r="BQ144" s="524"/>
      <c r="BR144" s="524"/>
      <c r="BS144" s="77"/>
      <c r="BT144" s="85"/>
      <c r="BU144" s="86"/>
      <c r="BV144" s="96"/>
      <c r="BW144" s="252"/>
    </row>
    <row r="145" spans="6:75" ht="11.25" customHeight="1" x14ac:dyDescent="0.2">
      <c r="F145" s="524"/>
      <c r="G145" s="524"/>
      <c r="H145" s="524"/>
      <c r="I145" s="524"/>
      <c r="J145" s="524"/>
      <c r="K145" s="524"/>
      <c r="L145" s="524"/>
      <c r="M145" s="524"/>
      <c r="N145" s="524"/>
      <c r="O145" s="524"/>
      <c r="P145" s="524"/>
      <c r="Q145" s="524"/>
      <c r="R145" s="524"/>
      <c r="S145" s="524"/>
      <c r="T145" s="524"/>
      <c r="U145" s="524"/>
      <c r="V145" s="524"/>
      <c r="W145" s="524"/>
      <c r="X145" s="524"/>
      <c r="Y145" s="524"/>
      <c r="Z145" s="524"/>
      <c r="AA145" s="524"/>
      <c r="AB145" s="524"/>
      <c r="AC145" s="524"/>
      <c r="AD145" s="524"/>
      <c r="AE145" s="524"/>
      <c r="AF145" s="524"/>
      <c r="AG145" s="524"/>
      <c r="AH145" s="524"/>
      <c r="AI145" s="524"/>
      <c r="AJ145" s="524"/>
      <c r="AK145" s="524"/>
      <c r="AL145" s="524"/>
      <c r="AM145" s="524"/>
      <c r="AN145" s="524"/>
      <c r="AO145" s="524"/>
      <c r="AP145" s="524"/>
      <c r="AQ145" s="524"/>
      <c r="AR145" s="524"/>
      <c r="AS145" s="78"/>
      <c r="AT145" s="78"/>
      <c r="AU145" s="83"/>
      <c r="AV145" s="83"/>
      <c r="AW145" s="83"/>
      <c r="AX145" s="524"/>
      <c r="AY145" s="524"/>
      <c r="AZ145" s="524"/>
      <c r="BA145" s="524"/>
      <c r="BB145" s="524"/>
      <c r="BC145" s="524"/>
      <c r="BD145" s="524"/>
      <c r="BE145" s="524"/>
      <c r="BF145" s="524"/>
      <c r="BG145" s="524"/>
      <c r="BH145" s="524"/>
      <c r="BI145" s="524"/>
      <c r="BJ145" s="524"/>
      <c r="BK145" s="524"/>
      <c r="BL145" s="524"/>
      <c r="BM145" s="524"/>
      <c r="BN145" s="524"/>
      <c r="BO145" s="524"/>
      <c r="BP145" s="524"/>
      <c r="BQ145" s="524"/>
      <c r="BR145" s="524"/>
      <c r="BS145" s="77"/>
      <c r="BT145" s="85"/>
      <c r="BU145" s="86"/>
      <c r="BV145" s="96"/>
      <c r="BW145" s="252"/>
    </row>
    <row r="146" spans="6:75" ht="11.25" customHeight="1" x14ac:dyDescent="0.2">
      <c r="F146" s="524"/>
      <c r="G146" s="524"/>
      <c r="H146" s="524"/>
      <c r="I146" s="524"/>
      <c r="J146" s="524"/>
      <c r="K146" s="524"/>
      <c r="L146" s="524"/>
      <c r="M146" s="524"/>
      <c r="N146" s="524"/>
      <c r="O146" s="524"/>
      <c r="P146" s="524"/>
      <c r="Q146" s="524"/>
      <c r="R146" s="524"/>
      <c r="S146" s="524"/>
      <c r="T146" s="524"/>
      <c r="U146" s="524"/>
      <c r="V146" s="524"/>
      <c r="W146" s="524"/>
      <c r="X146" s="524"/>
      <c r="Y146" s="524"/>
      <c r="Z146" s="524"/>
      <c r="AA146" s="524"/>
      <c r="AB146" s="524"/>
      <c r="AC146" s="524"/>
      <c r="AD146" s="524"/>
      <c r="AE146" s="524"/>
      <c r="AF146" s="524"/>
      <c r="AG146" s="524"/>
      <c r="AH146" s="524"/>
      <c r="AI146" s="524"/>
      <c r="AJ146" s="524"/>
      <c r="AK146" s="524"/>
      <c r="AL146" s="524"/>
      <c r="AM146" s="524"/>
      <c r="AN146" s="524"/>
      <c r="AO146" s="524"/>
      <c r="AP146" s="524"/>
      <c r="AQ146" s="524"/>
      <c r="AR146" s="524"/>
      <c r="AS146" s="78"/>
      <c r="AT146" s="78"/>
      <c r="AU146" s="83"/>
      <c r="AV146" s="83"/>
      <c r="AW146" s="83"/>
      <c r="AX146" s="524"/>
      <c r="AY146" s="524"/>
      <c r="AZ146" s="524"/>
      <c r="BA146" s="524"/>
      <c r="BB146" s="524"/>
      <c r="BC146" s="524"/>
      <c r="BD146" s="524"/>
      <c r="BE146" s="524"/>
      <c r="BF146" s="524"/>
      <c r="BG146" s="524"/>
      <c r="BH146" s="524"/>
      <c r="BI146" s="524"/>
      <c r="BJ146" s="524"/>
      <c r="BK146" s="524"/>
      <c r="BL146" s="524"/>
      <c r="BM146" s="524"/>
      <c r="BN146" s="524"/>
      <c r="BO146" s="524"/>
      <c r="BP146" s="524"/>
      <c r="BQ146" s="524"/>
      <c r="BR146" s="524"/>
      <c r="BS146" s="77"/>
      <c r="BT146" s="85"/>
      <c r="BU146" s="86"/>
      <c r="BV146" s="96"/>
      <c r="BW146" s="252"/>
    </row>
    <row r="147" spans="6:75" ht="11.25" customHeight="1" x14ac:dyDescent="0.2">
      <c r="F147" s="524"/>
      <c r="G147" s="524"/>
      <c r="H147" s="524"/>
      <c r="I147" s="524"/>
      <c r="J147" s="524"/>
      <c r="K147" s="524"/>
      <c r="L147" s="524"/>
      <c r="M147" s="524"/>
      <c r="N147" s="524"/>
      <c r="O147" s="524"/>
      <c r="P147" s="524"/>
      <c r="Q147" s="524"/>
      <c r="R147" s="524"/>
      <c r="S147" s="524"/>
      <c r="T147" s="524"/>
      <c r="U147" s="524"/>
      <c r="V147" s="524"/>
      <c r="W147" s="524"/>
      <c r="X147" s="524"/>
      <c r="Y147" s="524"/>
      <c r="Z147" s="524"/>
      <c r="AA147" s="524"/>
      <c r="AB147" s="524"/>
      <c r="AC147" s="524"/>
      <c r="AD147" s="524"/>
      <c r="AE147" s="524"/>
      <c r="AF147" s="524"/>
      <c r="AG147" s="524"/>
      <c r="AH147" s="524"/>
      <c r="AI147" s="524"/>
      <c r="AJ147" s="524"/>
      <c r="AK147" s="524"/>
      <c r="AL147" s="524"/>
      <c r="AM147" s="524"/>
      <c r="AN147" s="524"/>
      <c r="AO147" s="524"/>
      <c r="AP147" s="524"/>
      <c r="AQ147" s="524"/>
      <c r="AR147" s="524"/>
      <c r="AS147" s="78"/>
      <c r="AT147" s="78"/>
      <c r="AU147" s="83"/>
      <c r="AV147" s="83"/>
      <c r="AW147" s="83"/>
      <c r="AX147" s="524"/>
      <c r="AY147" s="524"/>
      <c r="AZ147" s="524"/>
      <c r="BA147" s="524"/>
      <c r="BB147" s="524"/>
      <c r="BC147" s="524"/>
      <c r="BD147" s="524"/>
      <c r="BE147" s="524"/>
      <c r="BF147" s="524"/>
      <c r="BG147" s="524"/>
      <c r="BH147" s="524"/>
      <c r="BI147" s="524"/>
      <c r="BJ147" s="524"/>
      <c r="BK147" s="524"/>
      <c r="BL147" s="524"/>
      <c r="BM147" s="524"/>
      <c r="BN147" s="524"/>
      <c r="BO147" s="524"/>
      <c r="BP147" s="524"/>
      <c r="BQ147" s="524"/>
      <c r="BR147" s="524"/>
      <c r="BS147" s="77"/>
      <c r="BT147" s="85"/>
      <c r="BU147" s="86"/>
      <c r="BV147" s="96"/>
      <c r="BW147" s="252"/>
    </row>
    <row r="148" spans="6:75" ht="11.25" customHeight="1" x14ac:dyDescent="0.2">
      <c r="F148" s="524"/>
      <c r="G148" s="524"/>
      <c r="H148" s="524"/>
      <c r="I148" s="524"/>
      <c r="J148" s="524"/>
      <c r="K148" s="524"/>
      <c r="L148" s="524"/>
      <c r="M148" s="524"/>
      <c r="N148" s="524"/>
      <c r="O148" s="524"/>
      <c r="P148" s="524"/>
      <c r="Q148" s="524"/>
      <c r="R148" s="524"/>
      <c r="S148" s="524"/>
      <c r="T148" s="524"/>
      <c r="U148" s="524"/>
      <c r="V148" s="524"/>
      <c r="W148" s="524"/>
      <c r="X148" s="524"/>
      <c r="Y148" s="524"/>
      <c r="Z148" s="524"/>
      <c r="AA148" s="524"/>
      <c r="AB148" s="524"/>
      <c r="AC148" s="524"/>
      <c r="AD148" s="524"/>
      <c r="AE148" s="524"/>
      <c r="AF148" s="524"/>
      <c r="AG148" s="524"/>
      <c r="AH148" s="524"/>
      <c r="AI148" s="524"/>
      <c r="AJ148" s="524"/>
      <c r="AK148" s="524"/>
      <c r="AL148" s="524"/>
      <c r="AM148" s="524"/>
      <c r="AN148" s="524"/>
      <c r="AO148" s="524"/>
      <c r="AP148" s="524"/>
      <c r="AQ148" s="524"/>
      <c r="AR148" s="524"/>
      <c r="AS148" s="78"/>
      <c r="AT148" s="78"/>
      <c r="AU148" s="83"/>
      <c r="AV148" s="83"/>
      <c r="AW148" s="83"/>
      <c r="AX148" s="524"/>
      <c r="AY148" s="524"/>
      <c r="AZ148" s="524"/>
      <c r="BA148" s="524"/>
      <c r="BB148" s="524"/>
      <c r="BC148" s="524"/>
      <c r="BD148" s="524"/>
      <c r="BE148" s="524"/>
      <c r="BF148" s="524"/>
      <c r="BG148" s="524"/>
      <c r="BH148" s="524"/>
      <c r="BI148" s="524"/>
      <c r="BJ148" s="524"/>
      <c r="BK148" s="524"/>
      <c r="BL148" s="524"/>
      <c r="BM148" s="524"/>
      <c r="BN148" s="524"/>
      <c r="BO148" s="524"/>
      <c r="BP148" s="524"/>
      <c r="BQ148" s="524"/>
      <c r="BR148" s="524"/>
      <c r="BS148" s="77"/>
      <c r="BT148" s="85"/>
      <c r="BU148" s="86"/>
      <c r="BV148" s="96"/>
      <c r="BW148" s="252"/>
    </row>
    <row r="149" spans="6:75" ht="11.25" customHeight="1" x14ac:dyDescent="0.2">
      <c r="F149" s="524"/>
      <c r="G149" s="524"/>
      <c r="H149" s="524"/>
      <c r="I149" s="524"/>
      <c r="J149" s="524"/>
      <c r="K149" s="524"/>
      <c r="L149" s="524"/>
      <c r="M149" s="524"/>
      <c r="N149" s="524"/>
      <c r="O149" s="524"/>
      <c r="P149" s="524"/>
      <c r="Q149" s="524"/>
      <c r="R149" s="524"/>
      <c r="S149" s="524"/>
      <c r="T149" s="524"/>
      <c r="U149" s="524"/>
      <c r="V149" s="524"/>
      <c r="W149" s="524"/>
      <c r="X149" s="524"/>
      <c r="Y149" s="524"/>
      <c r="Z149" s="524"/>
      <c r="AA149" s="524"/>
      <c r="AB149" s="524"/>
      <c r="AC149" s="524"/>
      <c r="AD149" s="524"/>
      <c r="AE149" s="524"/>
      <c r="AF149" s="524"/>
      <c r="AG149" s="524"/>
      <c r="AH149" s="524"/>
      <c r="AI149" s="524"/>
      <c r="AJ149" s="524"/>
      <c r="AK149" s="524"/>
      <c r="AL149" s="524"/>
      <c r="AM149" s="524"/>
      <c r="AN149" s="524"/>
      <c r="AO149" s="524"/>
      <c r="AP149" s="524"/>
      <c r="AQ149" s="524"/>
      <c r="AR149" s="524"/>
      <c r="AS149" s="78"/>
      <c r="AT149" s="78"/>
      <c r="AU149" s="83"/>
      <c r="AV149" s="83"/>
      <c r="AW149" s="83"/>
      <c r="AX149" s="524"/>
      <c r="AY149" s="524"/>
      <c r="AZ149" s="524"/>
      <c r="BA149" s="524"/>
      <c r="BB149" s="524"/>
      <c r="BC149" s="524"/>
      <c r="BD149" s="524"/>
      <c r="BE149" s="524"/>
      <c r="BF149" s="524"/>
      <c r="BG149" s="524"/>
      <c r="BH149" s="524"/>
      <c r="BI149" s="524"/>
      <c r="BJ149" s="524"/>
      <c r="BK149" s="524"/>
      <c r="BL149" s="524"/>
      <c r="BM149" s="524"/>
      <c r="BN149" s="524"/>
      <c r="BO149" s="524"/>
      <c r="BP149" s="524"/>
      <c r="BQ149" s="524"/>
      <c r="BR149" s="524"/>
      <c r="BS149" s="77"/>
      <c r="BT149" s="85"/>
      <c r="BU149" s="86"/>
      <c r="BV149" s="96"/>
      <c r="BW149" s="252"/>
    </row>
    <row r="150" spans="6:75" ht="11.25" customHeight="1" x14ac:dyDescent="0.2">
      <c r="F150" s="524"/>
      <c r="G150" s="524"/>
      <c r="H150" s="524"/>
      <c r="I150" s="524"/>
      <c r="J150" s="524"/>
      <c r="K150" s="524"/>
      <c r="L150" s="524"/>
      <c r="M150" s="524"/>
      <c r="N150" s="524"/>
      <c r="O150" s="524"/>
      <c r="P150" s="524"/>
      <c r="Q150" s="524"/>
      <c r="R150" s="524"/>
      <c r="S150" s="524"/>
      <c r="T150" s="524"/>
      <c r="U150" s="524"/>
      <c r="V150" s="524"/>
      <c r="W150" s="524"/>
      <c r="X150" s="524"/>
      <c r="Y150" s="524"/>
      <c r="Z150" s="524"/>
      <c r="AA150" s="524"/>
      <c r="AB150" s="524"/>
      <c r="AC150" s="524"/>
      <c r="AD150" s="524"/>
      <c r="AE150" s="524"/>
      <c r="AF150" s="524"/>
      <c r="AG150" s="524"/>
      <c r="AH150" s="524"/>
      <c r="AI150" s="524"/>
      <c r="AJ150" s="524"/>
      <c r="AK150" s="524"/>
      <c r="AL150" s="524"/>
      <c r="AM150" s="524"/>
      <c r="AN150" s="524"/>
      <c r="AO150" s="524"/>
      <c r="AP150" s="524"/>
      <c r="AQ150" s="524"/>
      <c r="AR150" s="524"/>
      <c r="AS150" s="78"/>
      <c r="AT150" s="78"/>
      <c r="AU150" s="83"/>
      <c r="AV150" s="83"/>
      <c r="AW150" s="83"/>
      <c r="AX150" s="524"/>
      <c r="AY150" s="524"/>
      <c r="AZ150" s="524"/>
      <c r="BA150" s="524"/>
      <c r="BB150" s="524"/>
      <c r="BC150" s="524"/>
      <c r="BD150" s="524"/>
      <c r="BE150" s="524"/>
      <c r="BF150" s="524"/>
      <c r="BG150" s="524"/>
      <c r="BH150" s="524"/>
      <c r="BI150" s="524"/>
      <c r="BJ150" s="524"/>
      <c r="BK150" s="524"/>
      <c r="BL150" s="524"/>
      <c r="BM150" s="524"/>
      <c r="BN150" s="524"/>
      <c r="BO150" s="524"/>
      <c r="BP150" s="524"/>
      <c r="BQ150" s="524"/>
      <c r="BR150" s="524"/>
      <c r="BS150" s="77"/>
      <c r="BT150" s="85"/>
      <c r="BU150" s="86"/>
      <c r="BV150" s="96"/>
      <c r="BW150" s="252"/>
    </row>
    <row r="151" spans="6:75" ht="11.25" customHeight="1" x14ac:dyDescent="0.2">
      <c r="F151" s="524"/>
      <c r="G151" s="524"/>
      <c r="H151" s="524"/>
      <c r="I151" s="524"/>
      <c r="J151" s="524"/>
      <c r="K151" s="524"/>
      <c r="L151" s="524"/>
      <c r="M151" s="524"/>
      <c r="N151" s="524"/>
      <c r="O151" s="524"/>
      <c r="P151" s="524"/>
      <c r="Q151" s="524"/>
      <c r="R151" s="524"/>
      <c r="S151" s="524"/>
      <c r="T151" s="524"/>
      <c r="U151" s="524"/>
      <c r="V151" s="524"/>
      <c r="W151" s="524"/>
      <c r="X151" s="524"/>
      <c r="Y151" s="524"/>
      <c r="Z151" s="524"/>
      <c r="AA151" s="524"/>
      <c r="AB151" s="524"/>
      <c r="AC151" s="524"/>
      <c r="AD151" s="524"/>
      <c r="AE151" s="524"/>
      <c r="AF151" s="524"/>
      <c r="AG151" s="524"/>
      <c r="AH151" s="524"/>
      <c r="AI151" s="524"/>
      <c r="AJ151" s="524"/>
      <c r="AK151" s="524"/>
      <c r="AL151" s="524"/>
      <c r="AM151" s="524"/>
      <c r="AN151" s="524"/>
      <c r="AO151" s="524"/>
      <c r="AP151" s="524"/>
      <c r="AQ151" s="524"/>
      <c r="AR151" s="524"/>
      <c r="AS151" s="78"/>
      <c r="AT151" s="78"/>
      <c r="AU151" s="83"/>
      <c r="AV151" s="83"/>
      <c r="AW151" s="83"/>
      <c r="AX151" s="524"/>
      <c r="AY151" s="524"/>
      <c r="AZ151" s="524"/>
      <c r="BA151" s="524"/>
      <c r="BB151" s="524"/>
      <c r="BC151" s="524"/>
      <c r="BD151" s="524"/>
      <c r="BE151" s="524"/>
      <c r="BF151" s="524"/>
      <c r="BG151" s="524"/>
      <c r="BH151" s="524"/>
      <c r="BI151" s="524"/>
      <c r="BJ151" s="524"/>
      <c r="BK151" s="524"/>
      <c r="BL151" s="524"/>
      <c r="BM151" s="524"/>
      <c r="BN151" s="524"/>
      <c r="BO151" s="524"/>
      <c r="BP151" s="524"/>
      <c r="BQ151" s="524"/>
      <c r="BR151" s="524"/>
      <c r="BS151" s="77"/>
      <c r="BT151" s="85"/>
      <c r="BU151" s="86"/>
      <c r="BV151" s="96"/>
      <c r="BW151" s="252"/>
    </row>
    <row r="152" spans="6:75" ht="11.25" customHeight="1" x14ac:dyDescent="0.2">
      <c r="F152" s="524"/>
      <c r="G152" s="524"/>
      <c r="H152" s="524"/>
      <c r="I152" s="524"/>
      <c r="J152" s="524"/>
      <c r="K152" s="524"/>
      <c r="L152" s="524"/>
      <c r="M152" s="524"/>
      <c r="N152" s="524"/>
      <c r="O152" s="524"/>
      <c r="P152" s="524"/>
      <c r="Q152" s="524"/>
      <c r="R152" s="524"/>
      <c r="S152" s="524"/>
      <c r="T152" s="524"/>
      <c r="U152" s="524"/>
      <c r="V152" s="524"/>
      <c r="W152" s="524"/>
      <c r="X152" s="524"/>
      <c r="Y152" s="524"/>
      <c r="Z152" s="524"/>
      <c r="AA152" s="524"/>
      <c r="AB152" s="524"/>
      <c r="AC152" s="524"/>
      <c r="AD152" s="524"/>
      <c r="AE152" s="524"/>
      <c r="AF152" s="524"/>
      <c r="AG152" s="524"/>
      <c r="AH152" s="524"/>
      <c r="AI152" s="524"/>
      <c r="AJ152" s="524"/>
      <c r="AK152" s="524"/>
      <c r="AL152" s="524"/>
      <c r="AM152" s="524"/>
      <c r="AN152" s="524"/>
      <c r="AO152" s="524"/>
      <c r="AP152" s="524"/>
      <c r="AQ152" s="524"/>
      <c r="AR152" s="524"/>
      <c r="AS152" s="78"/>
      <c r="AT152" s="78"/>
      <c r="AU152" s="83"/>
      <c r="AV152" s="83"/>
      <c r="AW152" s="83"/>
      <c r="AX152" s="524"/>
      <c r="AY152" s="524"/>
      <c r="AZ152" s="524"/>
      <c r="BA152" s="524"/>
      <c r="BB152" s="524"/>
      <c r="BC152" s="524"/>
      <c r="BD152" s="524"/>
      <c r="BE152" s="524"/>
      <c r="BF152" s="524"/>
      <c r="BG152" s="524"/>
      <c r="BH152" s="524"/>
      <c r="BI152" s="524"/>
      <c r="BJ152" s="524"/>
      <c r="BK152" s="524"/>
      <c r="BL152" s="524"/>
      <c r="BM152" s="524"/>
      <c r="BN152" s="524"/>
      <c r="BO152" s="524"/>
      <c r="BP152" s="524"/>
      <c r="BQ152" s="524"/>
      <c r="BR152" s="524"/>
      <c r="BS152" s="77"/>
      <c r="BT152" s="85"/>
      <c r="BU152" s="86"/>
      <c r="BV152" s="96"/>
      <c r="BW152" s="252"/>
    </row>
    <row r="153" spans="6:75" ht="11.25" customHeight="1" x14ac:dyDescent="0.2">
      <c r="F153" s="524"/>
      <c r="G153" s="524"/>
      <c r="H153" s="524"/>
      <c r="I153" s="524"/>
      <c r="J153" s="524"/>
      <c r="K153" s="524"/>
      <c r="L153" s="524"/>
      <c r="M153" s="524"/>
      <c r="N153" s="524"/>
      <c r="O153" s="524"/>
      <c r="P153" s="524"/>
      <c r="Q153" s="524"/>
      <c r="R153" s="524"/>
      <c r="S153" s="524"/>
      <c r="T153" s="524"/>
      <c r="U153" s="524"/>
      <c r="V153" s="524"/>
      <c r="W153" s="524"/>
      <c r="X153" s="524"/>
      <c r="Y153" s="524"/>
      <c r="Z153" s="524"/>
      <c r="AA153" s="524"/>
      <c r="AB153" s="524"/>
      <c r="AC153" s="524"/>
      <c r="AD153" s="524"/>
      <c r="AE153" s="524"/>
      <c r="AF153" s="524"/>
      <c r="AG153" s="524"/>
      <c r="AH153" s="524"/>
      <c r="AI153" s="524"/>
      <c r="AJ153" s="524"/>
      <c r="AK153" s="524"/>
      <c r="AL153" s="524"/>
      <c r="AM153" s="524"/>
      <c r="AN153" s="524"/>
      <c r="AO153" s="524"/>
      <c r="AP153" s="524"/>
      <c r="AQ153" s="524"/>
      <c r="AR153" s="524"/>
      <c r="AS153" s="78"/>
      <c r="AT153" s="78"/>
      <c r="AU153" s="83"/>
      <c r="AV153" s="83"/>
      <c r="AW153" s="83"/>
      <c r="AX153" s="524"/>
      <c r="AY153" s="524"/>
      <c r="AZ153" s="524"/>
      <c r="BA153" s="524"/>
      <c r="BB153" s="524"/>
      <c r="BC153" s="524"/>
      <c r="BD153" s="524"/>
      <c r="BE153" s="524"/>
      <c r="BF153" s="524"/>
      <c r="BG153" s="524"/>
      <c r="BH153" s="524"/>
      <c r="BI153" s="524"/>
      <c r="BJ153" s="524"/>
      <c r="BK153" s="524"/>
      <c r="BL153" s="524"/>
      <c r="BM153" s="524"/>
      <c r="BN153" s="524"/>
      <c r="BO153" s="524"/>
      <c r="BP153" s="524"/>
      <c r="BQ153" s="524"/>
      <c r="BR153" s="524"/>
      <c r="BS153" s="77"/>
      <c r="BT153" s="85"/>
      <c r="BU153" s="86"/>
      <c r="BV153" s="96"/>
      <c r="BW153" s="252"/>
    </row>
    <row r="154" spans="6:75" ht="11.25" customHeight="1" x14ac:dyDescent="0.2">
      <c r="F154" s="524"/>
      <c r="G154" s="524"/>
      <c r="H154" s="524"/>
      <c r="I154" s="524"/>
      <c r="J154" s="524"/>
      <c r="K154" s="524"/>
      <c r="L154" s="524"/>
      <c r="M154" s="524"/>
      <c r="N154" s="524"/>
      <c r="O154" s="524"/>
      <c r="P154" s="524"/>
      <c r="Q154" s="524"/>
      <c r="R154" s="524"/>
      <c r="S154" s="524"/>
      <c r="T154" s="524"/>
      <c r="U154" s="524"/>
      <c r="V154" s="524"/>
      <c r="W154" s="524"/>
      <c r="X154" s="524"/>
      <c r="Y154" s="524"/>
      <c r="Z154" s="524"/>
      <c r="AA154" s="524"/>
      <c r="AB154" s="524"/>
      <c r="AC154" s="524"/>
      <c r="AD154" s="524"/>
      <c r="AE154" s="524"/>
      <c r="AF154" s="524"/>
      <c r="AG154" s="524"/>
      <c r="AH154" s="524"/>
      <c r="AI154" s="524"/>
      <c r="AJ154" s="524"/>
      <c r="AK154" s="524"/>
      <c r="AL154" s="524"/>
      <c r="AM154" s="524"/>
      <c r="AN154" s="524"/>
      <c r="AO154" s="524"/>
      <c r="AP154" s="524"/>
      <c r="AQ154" s="524"/>
      <c r="AR154" s="524"/>
      <c r="AS154" s="78"/>
      <c r="AT154" s="78"/>
      <c r="AU154" s="83"/>
      <c r="AV154" s="83"/>
      <c r="AW154" s="83"/>
      <c r="AX154" s="524"/>
      <c r="AY154" s="524"/>
      <c r="AZ154" s="524"/>
      <c r="BA154" s="524"/>
      <c r="BB154" s="524"/>
      <c r="BC154" s="524"/>
      <c r="BD154" s="524"/>
      <c r="BE154" s="524"/>
      <c r="BF154" s="524"/>
      <c r="BG154" s="524"/>
      <c r="BH154" s="524"/>
      <c r="BI154" s="524"/>
      <c r="BJ154" s="524"/>
      <c r="BK154" s="524"/>
      <c r="BL154" s="524"/>
      <c r="BM154" s="524"/>
      <c r="BN154" s="524"/>
      <c r="BO154" s="524"/>
      <c r="BP154" s="524"/>
      <c r="BQ154" s="524"/>
      <c r="BR154" s="524"/>
      <c r="BS154" s="77"/>
      <c r="BT154" s="85"/>
      <c r="BU154" s="86"/>
      <c r="BV154" s="96"/>
      <c r="BW154" s="252"/>
    </row>
    <row r="155" spans="6:75" ht="11.25" customHeight="1" x14ac:dyDescent="0.2">
      <c r="F155" s="524"/>
      <c r="G155" s="524"/>
      <c r="H155" s="524"/>
      <c r="I155" s="524"/>
      <c r="J155" s="524"/>
      <c r="K155" s="524"/>
      <c r="L155" s="524"/>
      <c r="M155" s="524"/>
      <c r="N155" s="524"/>
      <c r="O155" s="524"/>
      <c r="P155" s="524"/>
      <c r="Q155" s="524"/>
      <c r="R155" s="524"/>
      <c r="S155" s="524"/>
      <c r="T155" s="524"/>
      <c r="U155" s="524"/>
      <c r="V155" s="524"/>
      <c r="W155" s="524"/>
      <c r="X155" s="524"/>
      <c r="Y155" s="524"/>
      <c r="Z155" s="524"/>
      <c r="AA155" s="524"/>
      <c r="AB155" s="524"/>
      <c r="AC155" s="524"/>
      <c r="AD155" s="524"/>
      <c r="AE155" s="524"/>
      <c r="AF155" s="524"/>
      <c r="AG155" s="524"/>
      <c r="AH155" s="524"/>
      <c r="AI155" s="524"/>
      <c r="AJ155" s="524"/>
      <c r="AK155" s="524"/>
      <c r="AL155" s="524"/>
      <c r="AM155" s="524"/>
      <c r="AN155" s="524"/>
      <c r="AO155" s="524"/>
      <c r="AP155" s="524"/>
      <c r="AQ155" s="524"/>
      <c r="AR155" s="524"/>
      <c r="AS155" s="78"/>
      <c r="AT155" s="78"/>
      <c r="AU155" s="83"/>
      <c r="AV155" s="83"/>
      <c r="AW155" s="83"/>
      <c r="AX155" s="524"/>
      <c r="AY155" s="524"/>
      <c r="AZ155" s="524"/>
      <c r="BA155" s="524"/>
      <c r="BB155" s="524"/>
      <c r="BC155" s="524"/>
      <c r="BD155" s="524"/>
      <c r="BE155" s="524"/>
      <c r="BF155" s="524"/>
      <c r="BG155" s="524"/>
      <c r="BH155" s="524"/>
      <c r="BI155" s="524"/>
      <c r="BJ155" s="524"/>
      <c r="BK155" s="524"/>
      <c r="BL155" s="524"/>
      <c r="BM155" s="524"/>
      <c r="BN155" s="524"/>
      <c r="BO155" s="524"/>
      <c r="BP155" s="524"/>
      <c r="BQ155" s="524"/>
      <c r="BR155" s="524"/>
      <c r="BS155" s="77"/>
      <c r="BT155" s="85"/>
      <c r="BU155" s="86"/>
      <c r="BV155" s="96"/>
      <c r="BW155" s="252"/>
    </row>
    <row r="156" spans="6:75" ht="11.25" customHeight="1" x14ac:dyDescent="0.2">
      <c r="F156" s="524"/>
      <c r="G156" s="524"/>
      <c r="H156" s="524"/>
      <c r="I156" s="524"/>
      <c r="J156" s="524"/>
      <c r="K156" s="524"/>
      <c r="L156" s="524"/>
      <c r="M156" s="524"/>
      <c r="N156" s="524"/>
      <c r="O156" s="524"/>
      <c r="P156" s="524"/>
      <c r="Q156" s="524"/>
      <c r="R156" s="524"/>
      <c r="S156" s="524"/>
      <c r="T156" s="524"/>
      <c r="U156" s="524"/>
      <c r="V156" s="524"/>
      <c r="W156" s="524"/>
      <c r="X156" s="524"/>
      <c r="Y156" s="524"/>
      <c r="Z156" s="524"/>
      <c r="AA156" s="524"/>
      <c r="AB156" s="524"/>
      <c r="AC156" s="524"/>
      <c r="AD156" s="524"/>
      <c r="AE156" s="524"/>
      <c r="AF156" s="524"/>
      <c r="AG156" s="524"/>
      <c r="AH156" s="524"/>
      <c r="AI156" s="524"/>
      <c r="AJ156" s="524"/>
      <c r="AK156" s="524"/>
      <c r="AL156" s="524"/>
      <c r="AM156" s="524"/>
      <c r="AN156" s="524"/>
      <c r="AO156" s="524"/>
      <c r="AP156" s="524"/>
      <c r="AQ156" s="524"/>
      <c r="AR156" s="524"/>
      <c r="AS156" s="78"/>
      <c r="AT156" s="78"/>
      <c r="AU156" s="83"/>
      <c r="AV156" s="83"/>
      <c r="AW156" s="83"/>
      <c r="AX156" s="524"/>
      <c r="AY156" s="524"/>
      <c r="AZ156" s="524"/>
      <c r="BA156" s="524"/>
      <c r="BB156" s="524"/>
      <c r="BC156" s="524"/>
      <c r="BD156" s="524"/>
      <c r="BE156" s="524"/>
      <c r="BF156" s="524"/>
      <c r="BG156" s="524"/>
      <c r="BH156" s="524"/>
      <c r="BI156" s="524"/>
      <c r="BJ156" s="524"/>
      <c r="BK156" s="524"/>
      <c r="BL156" s="524"/>
      <c r="BM156" s="524"/>
      <c r="BN156" s="524"/>
      <c r="BO156" s="524"/>
      <c r="BP156" s="524"/>
      <c r="BQ156" s="524"/>
      <c r="BR156" s="524"/>
      <c r="BS156" s="77"/>
      <c r="BT156" s="85"/>
      <c r="BU156" s="86"/>
      <c r="BV156" s="96"/>
      <c r="BW156" s="252"/>
    </row>
    <row r="157" spans="6:75" ht="11.25" customHeight="1" x14ac:dyDescent="0.2">
      <c r="F157" s="524"/>
      <c r="G157" s="524"/>
      <c r="H157" s="524"/>
      <c r="I157" s="524"/>
      <c r="J157" s="524"/>
      <c r="K157" s="524"/>
      <c r="L157" s="524"/>
      <c r="M157" s="524"/>
      <c r="N157" s="524"/>
      <c r="O157" s="524"/>
      <c r="P157" s="524"/>
      <c r="Q157" s="524"/>
      <c r="R157" s="524"/>
      <c r="S157" s="524"/>
      <c r="T157" s="524"/>
      <c r="U157" s="524"/>
      <c r="V157" s="524"/>
      <c r="W157" s="524"/>
      <c r="X157" s="524"/>
      <c r="Y157" s="524"/>
      <c r="Z157" s="524"/>
      <c r="AA157" s="524"/>
      <c r="AB157" s="524"/>
      <c r="AC157" s="524"/>
      <c r="AD157" s="524"/>
      <c r="AE157" s="524"/>
      <c r="AF157" s="524"/>
      <c r="AG157" s="524"/>
      <c r="AH157" s="524"/>
      <c r="AI157" s="524"/>
      <c r="AJ157" s="524"/>
      <c r="AK157" s="524"/>
      <c r="AL157" s="524"/>
      <c r="AM157" s="524"/>
      <c r="AN157" s="524"/>
      <c r="AO157" s="524"/>
      <c r="AP157" s="524"/>
      <c r="AQ157" s="524"/>
      <c r="AR157" s="524"/>
      <c r="AS157" s="78"/>
      <c r="AT157" s="78"/>
      <c r="AU157" s="83"/>
      <c r="AV157" s="83"/>
      <c r="AW157" s="83"/>
      <c r="AX157" s="524"/>
      <c r="AY157" s="524"/>
      <c r="AZ157" s="524"/>
      <c r="BA157" s="524"/>
      <c r="BB157" s="524"/>
      <c r="BC157" s="524"/>
      <c r="BD157" s="524"/>
      <c r="BE157" s="524"/>
      <c r="BF157" s="524"/>
      <c r="BG157" s="524"/>
      <c r="BH157" s="524"/>
      <c r="BI157" s="524"/>
      <c r="BJ157" s="524"/>
      <c r="BK157" s="524"/>
      <c r="BL157" s="524"/>
      <c r="BM157" s="524"/>
      <c r="BN157" s="524"/>
      <c r="BO157" s="524"/>
      <c r="BP157" s="524"/>
      <c r="BQ157" s="524"/>
      <c r="BR157" s="524"/>
      <c r="BS157" s="77"/>
      <c r="BT157" s="85"/>
      <c r="BU157" s="86"/>
      <c r="BV157" s="96"/>
      <c r="BW157" s="252"/>
    </row>
    <row r="158" spans="6:75" ht="11.25" customHeight="1" x14ac:dyDescent="0.2">
      <c r="F158" s="524"/>
      <c r="G158" s="524"/>
      <c r="H158" s="524"/>
      <c r="I158" s="524"/>
      <c r="J158" s="524"/>
      <c r="K158" s="524"/>
      <c r="L158" s="524"/>
      <c r="M158" s="524"/>
      <c r="N158" s="524"/>
      <c r="O158" s="524"/>
      <c r="P158" s="524"/>
      <c r="Q158" s="524"/>
      <c r="R158" s="524"/>
      <c r="S158" s="524"/>
      <c r="T158" s="524"/>
      <c r="U158" s="524"/>
      <c r="V158" s="524"/>
      <c r="W158" s="524"/>
      <c r="X158" s="524"/>
      <c r="Y158" s="524"/>
      <c r="Z158" s="524"/>
      <c r="AA158" s="524"/>
      <c r="AB158" s="524"/>
      <c r="AC158" s="524"/>
      <c r="AD158" s="524"/>
      <c r="AE158" s="524"/>
      <c r="AF158" s="524"/>
      <c r="AG158" s="524"/>
      <c r="AH158" s="524"/>
      <c r="AI158" s="524"/>
      <c r="AJ158" s="524"/>
      <c r="AK158" s="524"/>
      <c r="AL158" s="524"/>
      <c r="AM158" s="524"/>
      <c r="AN158" s="524"/>
      <c r="AO158" s="524"/>
      <c r="AP158" s="524"/>
      <c r="AQ158" s="524"/>
      <c r="AR158" s="524"/>
      <c r="AS158" s="78"/>
      <c r="AT158" s="78"/>
      <c r="AU158" s="83"/>
      <c r="AV158" s="83"/>
      <c r="AW158" s="83"/>
      <c r="AX158" s="524"/>
      <c r="AY158" s="524"/>
      <c r="AZ158" s="524"/>
      <c r="BA158" s="524"/>
      <c r="BB158" s="524"/>
      <c r="BC158" s="524"/>
      <c r="BD158" s="524"/>
      <c r="BE158" s="524"/>
      <c r="BF158" s="524"/>
      <c r="BG158" s="524"/>
      <c r="BH158" s="524"/>
      <c r="BI158" s="524"/>
      <c r="BJ158" s="524"/>
      <c r="BK158" s="524"/>
      <c r="BL158" s="524"/>
      <c r="BM158" s="524"/>
      <c r="BN158" s="524"/>
      <c r="BO158" s="524"/>
      <c r="BP158" s="524"/>
      <c r="BQ158" s="524"/>
      <c r="BR158" s="524"/>
      <c r="BS158" s="77"/>
      <c r="BT158" s="85"/>
      <c r="BU158" s="86"/>
      <c r="BV158" s="96"/>
      <c r="BW158" s="252"/>
    </row>
    <row r="159" spans="6:75" ht="11.25" customHeight="1" x14ac:dyDescent="0.2">
      <c r="F159" s="524"/>
      <c r="G159" s="524"/>
      <c r="H159" s="524"/>
      <c r="I159" s="524"/>
      <c r="J159" s="524"/>
      <c r="K159" s="524"/>
      <c r="L159" s="524"/>
      <c r="M159" s="524"/>
      <c r="N159" s="524"/>
      <c r="O159" s="524"/>
      <c r="P159" s="524"/>
      <c r="Q159" s="524"/>
      <c r="R159" s="524"/>
      <c r="S159" s="524"/>
      <c r="T159" s="524"/>
      <c r="U159" s="524"/>
      <c r="V159" s="524"/>
      <c r="W159" s="524"/>
      <c r="X159" s="524"/>
      <c r="Y159" s="524"/>
      <c r="Z159" s="524"/>
      <c r="AA159" s="524"/>
      <c r="AB159" s="524"/>
      <c r="AC159" s="524"/>
      <c r="AD159" s="524"/>
      <c r="AE159" s="524"/>
      <c r="AF159" s="524"/>
      <c r="AG159" s="524"/>
      <c r="AH159" s="524"/>
      <c r="AI159" s="524"/>
      <c r="AJ159" s="524"/>
      <c r="AK159" s="524"/>
      <c r="AL159" s="524"/>
      <c r="AM159" s="524"/>
      <c r="AN159" s="524"/>
      <c r="AO159" s="524"/>
      <c r="AP159" s="524"/>
      <c r="AQ159" s="524"/>
      <c r="AR159" s="524"/>
      <c r="AS159" s="78"/>
      <c r="AT159" s="78"/>
      <c r="AU159" s="83"/>
      <c r="AV159" s="83"/>
      <c r="AW159" s="83"/>
      <c r="AX159" s="524"/>
      <c r="AY159" s="524"/>
      <c r="AZ159" s="524"/>
      <c r="BA159" s="524"/>
      <c r="BB159" s="524"/>
      <c r="BC159" s="524"/>
      <c r="BD159" s="524"/>
      <c r="BE159" s="524"/>
      <c r="BF159" s="524"/>
      <c r="BG159" s="524"/>
      <c r="BH159" s="524"/>
      <c r="BI159" s="524"/>
      <c r="BJ159" s="524"/>
      <c r="BK159" s="524"/>
      <c r="BL159" s="524"/>
      <c r="BM159" s="524"/>
      <c r="BN159" s="524"/>
      <c r="BO159" s="524"/>
      <c r="BP159" s="524"/>
      <c r="BQ159" s="524"/>
      <c r="BR159" s="524"/>
      <c r="BS159" s="77"/>
      <c r="BT159" s="85"/>
      <c r="BU159" s="86"/>
      <c r="BV159" s="96"/>
      <c r="BW159" s="252"/>
    </row>
    <row r="160" spans="6:75" ht="11.25" customHeight="1" x14ac:dyDescent="0.2">
      <c r="F160" s="524"/>
      <c r="G160" s="524"/>
      <c r="H160" s="524"/>
      <c r="I160" s="524"/>
      <c r="J160" s="524"/>
      <c r="K160" s="524"/>
      <c r="L160" s="524"/>
      <c r="M160" s="524"/>
      <c r="N160" s="524"/>
      <c r="O160" s="524"/>
      <c r="P160" s="524"/>
      <c r="Q160" s="524"/>
      <c r="R160" s="524"/>
      <c r="S160" s="524"/>
      <c r="T160" s="524"/>
      <c r="U160" s="524"/>
      <c r="V160" s="524"/>
      <c r="W160" s="524"/>
      <c r="X160" s="524"/>
      <c r="Y160" s="524"/>
      <c r="Z160" s="524"/>
      <c r="AA160" s="524"/>
      <c r="AB160" s="524"/>
      <c r="AC160" s="524"/>
      <c r="AD160" s="524"/>
      <c r="AE160" s="524"/>
      <c r="AF160" s="524"/>
      <c r="AG160" s="524"/>
      <c r="AH160" s="524"/>
      <c r="AI160" s="524"/>
      <c r="AJ160" s="524"/>
      <c r="AK160" s="524"/>
      <c r="AL160" s="524"/>
      <c r="AM160" s="524"/>
      <c r="AN160" s="524"/>
      <c r="AO160" s="524"/>
      <c r="AP160" s="524"/>
      <c r="AQ160" s="524"/>
      <c r="AR160" s="524"/>
      <c r="AS160" s="78"/>
      <c r="AT160" s="78"/>
      <c r="AU160" s="83"/>
      <c r="AV160" s="83"/>
      <c r="AW160" s="83"/>
      <c r="AX160" s="524"/>
      <c r="AY160" s="524"/>
      <c r="AZ160" s="524"/>
      <c r="BA160" s="524"/>
      <c r="BB160" s="524"/>
      <c r="BC160" s="524"/>
      <c r="BD160" s="524"/>
      <c r="BE160" s="524"/>
      <c r="BF160" s="524"/>
      <c r="BG160" s="524"/>
      <c r="BH160" s="524"/>
      <c r="BI160" s="524"/>
      <c r="BJ160" s="524"/>
      <c r="BK160" s="524"/>
      <c r="BL160" s="524"/>
      <c r="BM160" s="524"/>
      <c r="BN160" s="524"/>
      <c r="BO160" s="524"/>
      <c r="BP160" s="524"/>
      <c r="BQ160" s="524"/>
      <c r="BR160" s="524"/>
      <c r="BS160" s="77"/>
      <c r="BT160" s="85"/>
      <c r="BU160" s="86"/>
      <c r="BV160" s="96"/>
      <c r="BW160" s="252"/>
    </row>
    <row r="161" spans="6:75" ht="11.25" customHeight="1" x14ac:dyDescent="0.2">
      <c r="F161" s="524"/>
      <c r="G161" s="524"/>
      <c r="H161" s="524"/>
      <c r="I161" s="524"/>
      <c r="J161" s="524"/>
      <c r="K161" s="524"/>
      <c r="L161" s="524"/>
      <c r="M161" s="524"/>
      <c r="N161" s="524"/>
      <c r="O161" s="524"/>
      <c r="P161" s="524"/>
      <c r="Q161" s="524"/>
      <c r="R161" s="524"/>
      <c r="S161" s="524"/>
      <c r="T161" s="524"/>
      <c r="U161" s="524"/>
      <c r="V161" s="524"/>
      <c r="W161" s="524"/>
      <c r="X161" s="524"/>
      <c r="Y161" s="524"/>
      <c r="Z161" s="524"/>
      <c r="AA161" s="524"/>
      <c r="AB161" s="524"/>
      <c r="AC161" s="524"/>
      <c r="AD161" s="524"/>
      <c r="AE161" s="524"/>
      <c r="AF161" s="524"/>
      <c r="AG161" s="524"/>
      <c r="AH161" s="524"/>
      <c r="AI161" s="524"/>
      <c r="AJ161" s="524"/>
      <c r="AK161" s="524"/>
      <c r="AL161" s="524"/>
      <c r="AM161" s="524"/>
      <c r="AN161" s="524"/>
      <c r="AO161" s="524"/>
      <c r="AP161" s="524"/>
      <c r="AQ161" s="524"/>
      <c r="AR161" s="524"/>
      <c r="AS161" s="78"/>
      <c r="AT161" s="78"/>
      <c r="AU161" s="83"/>
      <c r="AV161" s="83"/>
      <c r="AW161" s="83"/>
      <c r="AX161" s="524"/>
      <c r="AY161" s="524"/>
      <c r="AZ161" s="524"/>
      <c r="BA161" s="524"/>
      <c r="BB161" s="524"/>
      <c r="BC161" s="524"/>
      <c r="BD161" s="524"/>
      <c r="BE161" s="524"/>
      <c r="BF161" s="524"/>
      <c r="BG161" s="524"/>
      <c r="BH161" s="524"/>
      <c r="BI161" s="524"/>
      <c r="BJ161" s="524"/>
      <c r="BK161" s="524"/>
      <c r="BL161" s="524"/>
      <c r="BM161" s="524"/>
      <c r="BN161" s="524"/>
      <c r="BO161" s="524"/>
      <c r="BP161" s="524"/>
      <c r="BQ161" s="524"/>
      <c r="BR161" s="524"/>
      <c r="BS161" s="77"/>
      <c r="BT161" s="85"/>
      <c r="BU161" s="86"/>
      <c r="BV161" s="96"/>
      <c r="BW161" s="252"/>
    </row>
    <row r="162" spans="6:75" ht="11.25" customHeight="1" x14ac:dyDescent="0.2">
      <c r="F162" s="524"/>
      <c r="G162" s="524"/>
      <c r="H162" s="524"/>
      <c r="I162" s="524"/>
      <c r="J162" s="524"/>
      <c r="K162" s="524"/>
      <c r="L162" s="524"/>
      <c r="M162" s="524"/>
      <c r="N162" s="524"/>
      <c r="O162" s="524"/>
      <c r="P162" s="524"/>
      <c r="Q162" s="524"/>
      <c r="R162" s="524"/>
      <c r="S162" s="524"/>
      <c r="T162" s="524"/>
      <c r="U162" s="524"/>
      <c r="V162" s="524"/>
      <c r="W162" s="524"/>
      <c r="X162" s="524"/>
      <c r="Y162" s="524"/>
      <c r="Z162" s="524"/>
      <c r="AA162" s="524"/>
      <c r="AB162" s="524"/>
      <c r="AC162" s="524"/>
      <c r="AD162" s="524"/>
      <c r="AE162" s="524"/>
      <c r="AF162" s="524"/>
      <c r="AG162" s="524"/>
      <c r="AH162" s="524"/>
      <c r="AI162" s="524"/>
      <c r="AJ162" s="524"/>
      <c r="AK162" s="524"/>
      <c r="AL162" s="524"/>
      <c r="AM162" s="524"/>
      <c r="AN162" s="524"/>
      <c r="AO162" s="524"/>
      <c r="AP162" s="524"/>
      <c r="AQ162" s="524"/>
      <c r="AR162" s="524"/>
      <c r="AS162" s="78"/>
      <c r="AT162" s="78"/>
      <c r="AU162" s="83"/>
      <c r="AV162" s="83"/>
      <c r="AW162" s="83"/>
      <c r="AX162" s="524"/>
      <c r="AY162" s="524"/>
      <c r="AZ162" s="524"/>
      <c r="BA162" s="524"/>
      <c r="BB162" s="524"/>
      <c r="BC162" s="524"/>
      <c r="BD162" s="524"/>
      <c r="BE162" s="524"/>
      <c r="BF162" s="524"/>
      <c r="BG162" s="524"/>
      <c r="BH162" s="524"/>
      <c r="BI162" s="524"/>
      <c r="BJ162" s="524"/>
      <c r="BK162" s="524"/>
      <c r="BL162" s="524"/>
      <c r="BM162" s="524"/>
      <c r="BN162" s="524"/>
      <c r="BO162" s="524"/>
      <c r="BP162" s="524"/>
      <c r="BQ162" s="524"/>
      <c r="BR162" s="524"/>
      <c r="BS162" s="77"/>
      <c r="BT162" s="85"/>
      <c r="BU162" s="86"/>
      <c r="BV162" s="96"/>
      <c r="BW162" s="252"/>
    </row>
    <row r="163" spans="6:75" ht="11.25" customHeight="1" x14ac:dyDescent="0.2">
      <c r="F163" s="524"/>
      <c r="G163" s="524"/>
      <c r="H163" s="524"/>
      <c r="I163" s="524"/>
      <c r="J163" s="524"/>
      <c r="K163" s="524"/>
      <c r="L163" s="524"/>
      <c r="M163" s="524"/>
      <c r="N163" s="524"/>
      <c r="O163" s="524"/>
      <c r="P163" s="524"/>
      <c r="Q163" s="524"/>
      <c r="R163" s="524"/>
      <c r="S163" s="524"/>
      <c r="T163" s="524"/>
      <c r="U163" s="524"/>
      <c r="V163" s="524"/>
      <c r="W163" s="524"/>
      <c r="X163" s="524"/>
      <c r="Y163" s="524"/>
      <c r="Z163" s="524"/>
      <c r="AA163" s="524"/>
      <c r="AB163" s="524"/>
      <c r="AC163" s="524"/>
      <c r="AD163" s="524"/>
      <c r="AE163" s="524"/>
      <c r="AF163" s="524"/>
      <c r="AG163" s="524"/>
      <c r="AH163" s="524"/>
      <c r="AI163" s="524"/>
      <c r="AJ163" s="524"/>
      <c r="AK163" s="524"/>
      <c r="AL163" s="524"/>
      <c r="AM163" s="524"/>
      <c r="AN163" s="524"/>
      <c r="AO163" s="524"/>
      <c r="AP163" s="524"/>
      <c r="AQ163" s="524"/>
      <c r="AR163" s="524"/>
      <c r="AS163" s="78"/>
      <c r="AT163" s="78"/>
      <c r="AU163" s="83"/>
      <c r="AV163" s="83"/>
      <c r="AW163" s="83"/>
      <c r="AX163" s="524"/>
      <c r="AY163" s="524"/>
      <c r="AZ163" s="524"/>
      <c r="BA163" s="524"/>
      <c r="BB163" s="524"/>
      <c r="BC163" s="524"/>
      <c r="BD163" s="524"/>
      <c r="BE163" s="524"/>
      <c r="BF163" s="524"/>
      <c r="BG163" s="524"/>
      <c r="BH163" s="524"/>
      <c r="BI163" s="524"/>
      <c r="BJ163" s="524"/>
      <c r="BK163" s="524"/>
      <c r="BL163" s="524"/>
      <c r="BM163" s="524"/>
      <c r="BN163" s="524"/>
      <c r="BO163" s="524"/>
      <c r="BP163" s="524"/>
      <c r="BQ163" s="524"/>
      <c r="BR163" s="524"/>
      <c r="BS163" s="77"/>
      <c r="BT163" s="85"/>
      <c r="BU163" s="86"/>
      <c r="BV163" s="96"/>
      <c r="BW163" s="252"/>
    </row>
    <row r="164" spans="6:75" ht="11.25" customHeight="1" x14ac:dyDescent="0.2">
      <c r="F164" s="524"/>
      <c r="G164" s="524"/>
      <c r="H164" s="524"/>
      <c r="I164" s="524"/>
      <c r="J164" s="524"/>
      <c r="K164" s="524"/>
      <c r="L164" s="524"/>
      <c r="M164" s="524"/>
      <c r="N164" s="524"/>
      <c r="O164" s="524"/>
      <c r="P164" s="524"/>
      <c r="Q164" s="524"/>
      <c r="R164" s="524"/>
      <c r="S164" s="524"/>
      <c r="T164" s="524"/>
      <c r="U164" s="524"/>
      <c r="V164" s="524"/>
      <c r="W164" s="524"/>
      <c r="X164" s="524"/>
      <c r="Y164" s="524"/>
      <c r="Z164" s="524"/>
      <c r="AA164" s="524"/>
      <c r="AB164" s="524"/>
      <c r="AC164" s="524"/>
      <c r="AD164" s="524"/>
      <c r="AE164" s="524"/>
      <c r="AF164" s="524"/>
      <c r="AG164" s="524"/>
      <c r="AH164" s="524"/>
      <c r="AI164" s="524"/>
      <c r="AJ164" s="524"/>
      <c r="AK164" s="524"/>
      <c r="AL164" s="524"/>
      <c r="AM164" s="524"/>
      <c r="AN164" s="524"/>
      <c r="AO164" s="524"/>
      <c r="AP164" s="524"/>
      <c r="AQ164" s="524"/>
      <c r="AR164" s="524"/>
      <c r="AS164" s="78"/>
      <c r="AT164" s="78"/>
      <c r="AU164" s="83"/>
      <c r="AV164" s="83"/>
      <c r="AW164" s="83"/>
      <c r="AX164" s="524"/>
      <c r="AY164" s="524"/>
      <c r="AZ164" s="524"/>
      <c r="BA164" s="524"/>
      <c r="BB164" s="524"/>
      <c r="BC164" s="524"/>
      <c r="BD164" s="524"/>
      <c r="BE164" s="524"/>
      <c r="BF164" s="524"/>
      <c r="BG164" s="524"/>
      <c r="BH164" s="524"/>
      <c r="BI164" s="524"/>
      <c r="BJ164" s="524"/>
      <c r="BK164" s="524"/>
      <c r="BL164" s="524"/>
      <c r="BM164" s="524"/>
      <c r="BN164" s="524"/>
      <c r="BO164" s="524"/>
      <c r="BP164" s="524"/>
      <c r="BQ164" s="524"/>
      <c r="BR164" s="524"/>
      <c r="BS164" s="77"/>
      <c r="BT164" s="85"/>
      <c r="BU164" s="86"/>
      <c r="BV164" s="96"/>
      <c r="BW164" s="252"/>
    </row>
    <row r="165" spans="6:75" ht="11.25" customHeight="1" x14ac:dyDescent="0.2">
      <c r="F165" s="524"/>
      <c r="G165" s="524"/>
      <c r="H165" s="524"/>
      <c r="I165" s="524"/>
      <c r="J165" s="524"/>
      <c r="K165" s="524"/>
      <c r="L165" s="524"/>
      <c r="M165" s="524"/>
      <c r="N165" s="524"/>
      <c r="O165" s="524"/>
      <c r="P165" s="524"/>
      <c r="Q165" s="524"/>
      <c r="R165" s="524"/>
      <c r="S165" s="524"/>
      <c r="T165" s="524"/>
      <c r="U165" s="524"/>
      <c r="V165" s="524"/>
      <c r="W165" s="524"/>
      <c r="X165" s="524"/>
      <c r="Y165" s="524"/>
      <c r="Z165" s="524"/>
      <c r="AA165" s="524"/>
      <c r="AB165" s="524"/>
      <c r="AC165" s="524"/>
      <c r="AD165" s="524"/>
      <c r="AE165" s="524"/>
      <c r="AF165" s="524"/>
      <c r="AG165" s="524"/>
      <c r="AH165" s="524"/>
      <c r="AI165" s="524"/>
      <c r="AJ165" s="524"/>
      <c r="AK165" s="524"/>
      <c r="AL165" s="524"/>
      <c r="AM165" s="524"/>
      <c r="AN165" s="524"/>
      <c r="AO165" s="524"/>
      <c r="AP165" s="524"/>
      <c r="AQ165" s="524"/>
      <c r="AR165" s="524"/>
      <c r="AS165" s="78"/>
      <c r="AT165" s="78"/>
      <c r="AU165" s="83"/>
      <c r="AV165" s="83"/>
      <c r="AW165" s="83"/>
      <c r="AX165" s="524"/>
      <c r="AY165" s="524"/>
      <c r="AZ165" s="524"/>
      <c r="BA165" s="524"/>
      <c r="BB165" s="524"/>
      <c r="BC165" s="524"/>
      <c r="BD165" s="524"/>
      <c r="BE165" s="524"/>
      <c r="BF165" s="524"/>
      <c r="BG165" s="524"/>
      <c r="BH165" s="524"/>
      <c r="BI165" s="524"/>
      <c r="BJ165" s="524"/>
      <c r="BK165" s="524"/>
      <c r="BL165" s="524"/>
      <c r="BM165" s="524"/>
      <c r="BN165" s="524"/>
      <c r="BO165" s="524"/>
      <c r="BP165" s="524"/>
      <c r="BQ165" s="524"/>
      <c r="BR165" s="524"/>
      <c r="BS165" s="77"/>
      <c r="BT165" s="85"/>
      <c r="BU165" s="86"/>
      <c r="BV165" s="96"/>
      <c r="BW165" s="252"/>
    </row>
    <row r="166" spans="6:75" ht="11.25" customHeight="1" x14ac:dyDescent="0.2">
      <c r="F166" s="524"/>
      <c r="G166" s="524"/>
      <c r="H166" s="524"/>
      <c r="I166" s="524"/>
      <c r="J166" s="524"/>
      <c r="K166" s="524"/>
      <c r="L166" s="524"/>
      <c r="M166" s="524"/>
      <c r="N166" s="524"/>
      <c r="O166" s="524"/>
      <c r="P166" s="524"/>
      <c r="Q166" s="524"/>
      <c r="R166" s="524"/>
      <c r="S166" s="524"/>
      <c r="T166" s="524"/>
      <c r="U166" s="524"/>
      <c r="V166" s="524"/>
      <c r="W166" s="524"/>
      <c r="X166" s="524"/>
      <c r="Y166" s="524"/>
      <c r="Z166" s="524"/>
      <c r="AA166" s="524"/>
      <c r="AB166" s="524"/>
      <c r="AC166" s="524"/>
      <c r="AD166" s="524"/>
      <c r="AE166" s="524"/>
      <c r="AF166" s="524"/>
      <c r="AG166" s="524"/>
      <c r="AH166" s="524"/>
      <c r="AI166" s="524"/>
      <c r="AJ166" s="524"/>
      <c r="AK166" s="524"/>
      <c r="AL166" s="524"/>
      <c r="AM166" s="524"/>
      <c r="AN166" s="524"/>
      <c r="AO166" s="524"/>
      <c r="AP166" s="524"/>
      <c r="AQ166" s="524"/>
      <c r="AR166" s="524"/>
      <c r="AS166" s="78"/>
      <c r="AT166" s="78"/>
      <c r="AU166" s="83"/>
      <c r="AV166" s="83"/>
      <c r="AW166" s="83"/>
      <c r="AX166" s="524"/>
      <c r="AY166" s="524"/>
      <c r="AZ166" s="524"/>
      <c r="BA166" s="524"/>
      <c r="BB166" s="524"/>
      <c r="BC166" s="524"/>
      <c r="BD166" s="524"/>
      <c r="BE166" s="524"/>
      <c r="BF166" s="524"/>
      <c r="BG166" s="524"/>
      <c r="BH166" s="524"/>
      <c r="BI166" s="524"/>
      <c r="BJ166" s="524"/>
      <c r="BK166" s="524"/>
      <c r="BL166" s="524"/>
      <c r="BM166" s="524"/>
      <c r="BN166" s="524"/>
      <c r="BO166" s="524"/>
      <c r="BP166" s="524"/>
      <c r="BQ166" s="524"/>
      <c r="BR166" s="524"/>
      <c r="BS166" s="77"/>
      <c r="BT166" s="85"/>
      <c r="BU166" s="86"/>
      <c r="BV166" s="96"/>
      <c r="BW166" s="252"/>
    </row>
    <row r="167" spans="6:75" ht="11.25" customHeight="1" x14ac:dyDescent="0.2">
      <c r="F167" s="524"/>
      <c r="G167" s="524"/>
      <c r="H167" s="524"/>
      <c r="I167" s="524"/>
      <c r="J167" s="524"/>
      <c r="K167" s="524"/>
      <c r="L167" s="524"/>
      <c r="M167" s="524"/>
      <c r="N167" s="524"/>
      <c r="O167" s="524"/>
      <c r="P167" s="524"/>
      <c r="Q167" s="524"/>
      <c r="R167" s="524"/>
      <c r="S167" s="524"/>
      <c r="T167" s="524"/>
      <c r="U167" s="524"/>
      <c r="V167" s="524"/>
      <c r="W167" s="524"/>
      <c r="X167" s="524"/>
      <c r="Y167" s="524"/>
      <c r="Z167" s="524"/>
      <c r="AA167" s="524"/>
      <c r="AB167" s="524"/>
      <c r="AC167" s="524"/>
      <c r="AD167" s="524"/>
      <c r="AE167" s="524"/>
      <c r="AF167" s="524"/>
      <c r="AG167" s="524"/>
      <c r="AH167" s="524"/>
      <c r="AI167" s="524"/>
      <c r="AJ167" s="524"/>
      <c r="AK167" s="524"/>
      <c r="AL167" s="524"/>
      <c r="AM167" s="524"/>
      <c r="AN167" s="524"/>
      <c r="AO167" s="524"/>
      <c r="AP167" s="524"/>
      <c r="AQ167" s="524"/>
      <c r="AR167" s="524"/>
      <c r="AS167" s="78"/>
      <c r="AT167" s="78"/>
      <c r="AU167" s="83"/>
      <c r="AV167" s="83"/>
      <c r="AW167" s="83"/>
      <c r="AX167" s="524"/>
      <c r="AY167" s="524"/>
      <c r="AZ167" s="524"/>
      <c r="BA167" s="524"/>
      <c r="BB167" s="524"/>
      <c r="BC167" s="524"/>
      <c r="BD167" s="524"/>
      <c r="BE167" s="524"/>
      <c r="BF167" s="524"/>
      <c r="BG167" s="524"/>
      <c r="BH167" s="524"/>
      <c r="BI167" s="524"/>
      <c r="BJ167" s="524"/>
      <c r="BK167" s="524"/>
      <c r="BL167" s="524"/>
      <c r="BM167" s="524"/>
      <c r="BN167" s="524"/>
      <c r="BO167" s="524"/>
      <c r="BP167" s="524"/>
      <c r="BQ167" s="524"/>
      <c r="BR167" s="524"/>
      <c r="BS167" s="77"/>
      <c r="BT167" s="85"/>
      <c r="BU167" s="86"/>
      <c r="BV167" s="96"/>
      <c r="BW167" s="252"/>
    </row>
    <row r="168" spans="6:75" ht="11.25" customHeight="1" x14ac:dyDescent="0.2">
      <c r="F168" s="524"/>
      <c r="G168" s="524"/>
      <c r="H168" s="524"/>
      <c r="I168" s="524"/>
      <c r="J168" s="524"/>
      <c r="K168" s="524"/>
      <c r="L168" s="524"/>
      <c r="M168" s="524"/>
      <c r="N168" s="524"/>
      <c r="O168" s="524"/>
      <c r="P168" s="524"/>
      <c r="Q168" s="524"/>
      <c r="R168" s="524"/>
      <c r="S168" s="524"/>
      <c r="T168" s="524"/>
      <c r="U168" s="524"/>
      <c r="V168" s="524"/>
      <c r="W168" s="524"/>
      <c r="X168" s="524"/>
      <c r="Y168" s="524"/>
      <c r="Z168" s="524"/>
      <c r="AA168" s="524"/>
      <c r="AB168" s="524"/>
      <c r="AC168" s="524"/>
      <c r="AD168" s="524"/>
      <c r="AE168" s="524"/>
      <c r="AF168" s="524"/>
      <c r="AG168" s="524"/>
      <c r="AH168" s="524"/>
      <c r="AI168" s="524"/>
      <c r="AJ168" s="524"/>
      <c r="AK168" s="524"/>
      <c r="AL168" s="524"/>
      <c r="AM168" s="524"/>
      <c r="AN168" s="524"/>
      <c r="AO168" s="524"/>
      <c r="AP168" s="524"/>
      <c r="AQ168" s="524"/>
      <c r="AR168" s="524"/>
      <c r="AS168" s="78"/>
      <c r="AT168" s="78"/>
      <c r="AU168" s="83"/>
      <c r="AV168" s="83"/>
      <c r="AW168" s="83"/>
      <c r="AX168" s="524"/>
      <c r="AY168" s="524"/>
      <c r="AZ168" s="524"/>
      <c r="BA168" s="524"/>
      <c r="BB168" s="524"/>
      <c r="BC168" s="524"/>
      <c r="BD168" s="524"/>
      <c r="BE168" s="524"/>
      <c r="BF168" s="524"/>
      <c r="BG168" s="524"/>
      <c r="BH168" s="524"/>
      <c r="BI168" s="524"/>
      <c r="BJ168" s="524"/>
      <c r="BK168" s="524"/>
      <c r="BL168" s="524"/>
      <c r="BM168" s="524"/>
      <c r="BN168" s="524"/>
      <c r="BO168" s="524"/>
      <c r="BP168" s="524"/>
      <c r="BQ168" s="524"/>
      <c r="BR168" s="524"/>
      <c r="BS168" s="77"/>
      <c r="BT168" s="85"/>
      <c r="BU168" s="86"/>
      <c r="BV168" s="96"/>
      <c r="BW168" s="252"/>
    </row>
    <row r="169" spans="6:75" ht="11.25" customHeight="1" x14ac:dyDescent="0.2">
      <c r="F169" s="524"/>
      <c r="G169" s="524"/>
      <c r="H169" s="524"/>
      <c r="I169" s="524"/>
      <c r="J169" s="524"/>
      <c r="K169" s="524"/>
      <c r="L169" s="524"/>
      <c r="M169" s="524"/>
      <c r="N169" s="524"/>
      <c r="O169" s="524"/>
      <c r="P169" s="524"/>
      <c r="Q169" s="524"/>
      <c r="R169" s="524"/>
      <c r="S169" s="524"/>
      <c r="T169" s="524"/>
      <c r="U169" s="524"/>
      <c r="V169" s="524"/>
      <c r="W169" s="524"/>
      <c r="X169" s="524"/>
      <c r="Y169" s="524"/>
      <c r="Z169" s="524"/>
      <c r="AA169" s="524"/>
      <c r="AB169" s="524"/>
      <c r="AC169" s="524"/>
      <c r="AD169" s="524"/>
      <c r="AE169" s="524"/>
      <c r="AF169" s="524"/>
      <c r="AG169" s="524"/>
      <c r="AH169" s="524"/>
      <c r="AI169" s="524"/>
      <c r="AJ169" s="524"/>
      <c r="AK169" s="524"/>
      <c r="AL169" s="524"/>
      <c r="AM169" s="524"/>
      <c r="AN169" s="524"/>
      <c r="AO169" s="524"/>
      <c r="AP169" s="524"/>
      <c r="AQ169" s="524"/>
      <c r="AR169" s="524"/>
      <c r="AS169" s="78"/>
      <c r="AT169" s="78"/>
      <c r="AU169" s="83"/>
      <c r="AV169" s="83"/>
      <c r="AW169" s="83"/>
      <c r="AX169" s="524"/>
      <c r="AY169" s="524"/>
      <c r="AZ169" s="524"/>
      <c r="BA169" s="524"/>
      <c r="BB169" s="524"/>
      <c r="BC169" s="524"/>
      <c r="BD169" s="524"/>
      <c r="BE169" s="524"/>
      <c r="BF169" s="524"/>
      <c r="BG169" s="524"/>
      <c r="BH169" s="524"/>
      <c r="BI169" s="524"/>
      <c r="BJ169" s="524"/>
      <c r="BK169" s="524"/>
      <c r="BL169" s="524"/>
      <c r="BM169" s="524"/>
      <c r="BN169" s="524"/>
      <c r="BO169" s="524"/>
      <c r="BP169" s="524"/>
      <c r="BQ169" s="524"/>
      <c r="BR169" s="524"/>
      <c r="BS169" s="77"/>
      <c r="BT169" s="85"/>
      <c r="BU169" s="86"/>
      <c r="BV169" s="96"/>
      <c r="BW169" s="252"/>
    </row>
    <row r="170" spans="6:75" ht="11.25" customHeight="1" x14ac:dyDescent="0.2">
      <c r="F170" s="524"/>
      <c r="G170" s="524"/>
      <c r="H170" s="524"/>
      <c r="I170" s="524"/>
      <c r="J170" s="524"/>
      <c r="K170" s="524"/>
      <c r="L170" s="524"/>
      <c r="M170" s="524"/>
      <c r="N170" s="524"/>
      <c r="O170" s="524"/>
      <c r="P170" s="524"/>
      <c r="Q170" s="524"/>
      <c r="R170" s="524"/>
      <c r="S170" s="524"/>
      <c r="T170" s="524"/>
      <c r="U170" s="524"/>
      <c r="V170" s="524"/>
      <c r="W170" s="524"/>
      <c r="X170" s="524"/>
      <c r="Y170" s="524"/>
      <c r="Z170" s="524"/>
      <c r="AA170" s="524"/>
      <c r="AB170" s="524"/>
      <c r="AC170" s="524"/>
      <c r="AD170" s="524"/>
      <c r="AE170" s="524"/>
      <c r="AF170" s="524"/>
      <c r="AG170" s="524"/>
      <c r="AH170" s="524"/>
      <c r="AI170" s="524"/>
      <c r="AJ170" s="524"/>
      <c r="AK170" s="524"/>
      <c r="AL170" s="524"/>
      <c r="AM170" s="524"/>
      <c r="AN170" s="524"/>
      <c r="AO170" s="524"/>
      <c r="AP170" s="524"/>
      <c r="AQ170" s="524"/>
      <c r="AR170" s="524"/>
      <c r="AS170" s="78"/>
      <c r="AT170" s="78"/>
      <c r="AU170" s="83"/>
      <c r="AV170" s="83"/>
      <c r="AW170" s="83"/>
      <c r="AX170" s="524"/>
      <c r="AY170" s="524"/>
      <c r="AZ170" s="524"/>
      <c r="BA170" s="524"/>
      <c r="BB170" s="524"/>
      <c r="BC170" s="524"/>
      <c r="BD170" s="524"/>
      <c r="BE170" s="524"/>
      <c r="BF170" s="524"/>
      <c r="BG170" s="524"/>
      <c r="BH170" s="524"/>
      <c r="BI170" s="524"/>
      <c r="BJ170" s="524"/>
      <c r="BK170" s="524"/>
      <c r="BL170" s="524"/>
      <c r="BM170" s="524"/>
      <c r="BN170" s="524"/>
      <c r="BO170" s="524"/>
      <c r="BP170" s="524"/>
      <c r="BQ170" s="524"/>
      <c r="BR170" s="524"/>
      <c r="BS170" s="77"/>
      <c r="BT170" s="85"/>
      <c r="BU170" s="86"/>
      <c r="BV170" s="96"/>
      <c r="BW170" s="252"/>
    </row>
    <row r="171" spans="6:75" ht="11.25" customHeight="1" x14ac:dyDescent="0.2">
      <c r="F171" s="524"/>
      <c r="G171" s="524"/>
      <c r="H171" s="524"/>
      <c r="I171" s="524"/>
      <c r="J171" s="524"/>
      <c r="K171" s="524"/>
      <c r="L171" s="524"/>
      <c r="M171" s="524"/>
      <c r="N171" s="524"/>
      <c r="O171" s="524"/>
      <c r="P171" s="524"/>
      <c r="Q171" s="524"/>
      <c r="R171" s="524"/>
      <c r="S171" s="524"/>
      <c r="T171" s="524"/>
      <c r="U171" s="524"/>
      <c r="V171" s="524"/>
      <c r="W171" s="524"/>
      <c r="X171" s="524"/>
      <c r="Y171" s="524"/>
      <c r="Z171" s="524"/>
      <c r="AA171" s="524"/>
      <c r="AB171" s="524"/>
      <c r="AC171" s="524"/>
      <c r="AD171" s="524"/>
      <c r="AE171" s="524"/>
      <c r="AF171" s="524"/>
      <c r="AG171" s="524"/>
      <c r="AH171" s="524"/>
      <c r="AI171" s="524"/>
      <c r="AJ171" s="524"/>
      <c r="AK171" s="524"/>
      <c r="AL171" s="524"/>
      <c r="AM171" s="524"/>
      <c r="AN171" s="524"/>
      <c r="AO171" s="524"/>
      <c r="AP171" s="524"/>
      <c r="AQ171" s="524"/>
      <c r="AR171" s="524"/>
      <c r="AS171" s="78"/>
      <c r="AT171" s="78"/>
      <c r="AU171" s="83"/>
      <c r="AV171" s="83"/>
      <c r="AW171" s="83"/>
      <c r="AX171" s="524"/>
      <c r="AY171" s="524"/>
      <c r="AZ171" s="524"/>
      <c r="BA171" s="524"/>
      <c r="BB171" s="524"/>
      <c r="BC171" s="524"/>
      <c r="BD171" s="524"/>
      <c r="BE171" s="524"/>
      <c r="BF171" s="524"/>
      <c r="BG171" s="524"/>
      <c r="BH171" s="524"/>
      <c r="BI171" s="524"/>
      <c r="BJ171" s="524"/>
      <c r="BK171" s="524"/>
      <c r="BL171" s="524"/>
      <c r="BM171" s="524"/>
      <c r="BN171" s="524"/>
      <c r="BO171" s="524"/>
      <c r="BP171" s="524"/>
      <c r="BQ171" s="524"/>
      <c r="BR171" s="524"/>
      <c r="BS171" s="77"/>
      <c r="BT171" s="85"/>
      <c r="BU171" s="86"/>
      <c r="BV171" s="96"/>
      <c r="BW171" s="252"/>
    </row>
    <row r="172" spans="6:75" ht="11.25" customHeight="1" x14ac:dyDescent="0.2">
      <c r="F172" s="524"/>
      <c r="G172" s="524"/>
      <c r="H172" s="524"/>
      <c r="I172" s="524"/>
      <c r="J172" s="524"/>
      <c r="K172" s="524"/>
      <c r="L172" s="524"/>
      <c r="M172" s="524"/>
      <c r="N172" s="524"/>
      <c r="O172" s="524"/>
      <c r="P172" s="524"/>
      <c r="Q172" s="524"/>
      <c r="R172" s="524"/>
      <c r="S172" s="524"/>
      <c r="T172" s="524"/>
      <c r="U172" s="524"/>
      <c r="V172" s="524"/>
      <c r="W172" s="524"/>
      <c r="X172" s="524"/>
      <c r="Y172" s="524"/>
      <c r="Z172" s="524"/>
      <c r="AA172" s="524"/>
      <c r="AB172" s="524"/>
      <c r="AC172" s="524"/>
      <c r="AD172" s="524"/>
      <c r="AE172" s="524"/>
      <c r="AF172" s="524"/>
      <c r="AG172" s="524"/>
      <c r="AH172" s="524"/>
      <c r="AI172" s="524"/>
      <c r="AJ172" s="524"/>
      <c r="AK172" s="524"/>
      <c r="AL172" s="524"/>
      <c r="AM172" s="524"/>
      <c r="AN172" s="524"/>
      <c r="AO172" s="524"/>
      <c r="AP172" s="524"/>
      <c r="AQ172" s="524"/>
      <c r="AR172" s="524"/>
      <c r="AS172" s="78"/>
      <c r="AT172" s="78"/>
      <c r="AU172" s="83"/>
      <c r="AV172" s="83"/>
      <c r="AW172" s="83"/>
      <c r="AX172" s="524"/>
      <c r="AY172" s="524"/>
      <c r="AZ172" s="524"/>
      <c r="BA172" s="524"/>
      <c r="BB172" s="524"/>
      <c r="BC172" s="524"/>
      <c r="BD172" s="524"/>
      <c r="BE172" s="524"/>
      <c r="BF172" s="524"/>
      <c r="BG172" s="524"/>
      <c r="BH172" s="524"/>
      <c r="BI172" s="524"/>
      <c r="BJ172" s="524"/>
      <c r="BK172" s="524"/>
      <c r="BL172" s="524"/>
      <c r="BM172" s="524"/>
      <c r="BN172" s="524"/>
      <c r="BO172" s="524"/>
      <c r="BP172" s="524"/>
      <c r="BQ172" s="524"/>
      <c r="BR172" s="524"/>
      <c r="BS172" s="77"/>
      <c r="BT172" s="85"/>
      <c r="BU172" s="86"/>
      <c r="BV172" s="96"/>
      <c r="BW172" s="252"/>
    </row>
    <row r="173" spans="6:75" ht="11.25" customHeight="1" x14ac:dyDescent="0.2">
      <c r="F173" s="524"/>
      <c r="G173" s="524"/>
      <c r="H173" s="524"/>
      <c r="I173" s="524"/>
      <c r="J173" s="524"/>
      <c r="K173" s="524"/>
      <c r="L173" s="524"/>
      <c r="M173" s="524"/>
      <c r="N173" s="524"/>
      <c r="O173" s="524"/>
      <c r="P173" s="524"/>
      <c r="Q173" s="524"/>
      <c r="R173" s="524"/>
      <c r="S173" s="524"/>
      <c r="T173" s="524"/>
      <c r="U173" s="524"/>
      <c r="V173" s="524"/>
      <c r="W173" s="524"/>
      <c r="X173" s="524"/>
      <c r="Y173" s="524"/>
      <c r="Z173" s="524"/>
      <c r="AA173" s="524"/>
      <c r="AB173" s="524"/>
      <c r="AC173" s="524"/>
      <c r="AD173" s="524"/>
      <c r="AE173" s="524"/>
      <c r="AF173" s="524"/>
      <c r="AG173" s="524"/>
      <c r="AH173" s="524"/>
      <c r="AI173" s="524"/>
      <c r="AJ173" s="524"/>
      <c r="AK173" s="524"/>
      <c r="AL173" s="524"/>
      <c r="AM173" s="524"/>
      <c r="AN173" s="524"/>
      <c r="AO173" s="524"/>
      <c r="AP173" s="524"/>
      <c r="AQ173" s="524"/>
      <c r="AR173" s="524"/>
      <c r="AS173" s="78"/>
      <c r="AT173" s="78"/>
      <c r="AU173" s="83"/>
      <c r="AV173" s="83"/>
      <c r="AW173" s="83"/>
      <c r="AX173" s="524"/>
      <c r="AY173" s="524"/>
      <c r="AZ173" s="524"/>
      <c r="BA173" s="524"/>
      <c r="BB173" s="524"/>
      <c r="BC173" s="524"/>
      <c r="BD173" s="524"/>
      <c r="BE173" s="524"/>
      <c r="BF173" s="524"/>
      <c r="BG173" s="524"/>
      <c r="BH173" s="524"/>
      <c r="BI173" s="524"/>
      <c r="BJ173" s="524"/>
      <c r="BK173" s="524"/>
      <c r="BL173" s="524"/>
      <c r="BM173" s="524"/>
      <c r="BN173" s="524"/>
      <c r="BO173" s="524"/>
      <c r="BP173" s="524"/>
      <c r="BQ173" s="524"/>
      <c r="BR173" s="524"/>
      <c r="BS173" s="77"/>
      <c r="BT173" s="85"/>
      <c r="BU173" s="86"/>
      <c r="BV173" s="96"/>
      <c r="BW173" s="252"/>
    </row>
    <row r="174" spans="6:75" ht="11.25" customHeight="1" x14ac:dyDescent="0.2">
      <c r="F174" s="524"/>
      <c r="G174" s="524"/>
      <c r="H174" s="524"/>
      <c r="I174" s="524"/>
      <c r="J174" s="524"/>
      <c r="K174" s="524"/>
      <c r="L174" s="524"/>
      <c r="M174" s="524"/>
      <c r="N174" s="524"/>
      <c r="O174" s="524"/>
      <c r="P174" s="524"/>
      <c r="Q174" s="524"/>
      <c r="R174" s="524"/>
      <c r="S174" s="524"/>
      <c r="T174" s="524"/>
      <c r="U174" s="524"/>
      <c r="V174" s="524"/>
      <c r="W174" s="524"/>
      <c r="X174" s="524"/>
      <c r="Y174" s="524"/>
      <c r="Z174" s="524"/>
      <c r="AA174" s="524"/>
      <c r="AB174" s="524"/>
      <c r="AC174" s="524"/>
      <c r="AD174" s="524"/>
      <c r="AE174" s="524"/>
      <c r="AF174" s="524"/>
      <c r="AG174" s="524"/>
      <c r="AH174" s="524"/>
      <c r="AI174" s="524"/>
      <c r="AJ174" s="524"/>
      <c r="AK174" s="524"/>
      <c r="AL174" s="524"/>
      <c r="AM174" s="524"/>
      <c r="AN174" s="524"/>
      <c r="AO174" s="524"/>
      <c r="AP174" s="524"/>
      <c r="AQ174" s="524"/>
      <c r="AR174" s="524"/>
      <c r="AS174" s="78"/>
      <c r="AT174" s="78"/>
      <c r="AU174" s="83"/>
      <c r="AV174" s="83"/>
      <c r="AW174" s="83"/>
      <c r="AX174" s="524"/>
      <c r="AY174" s="524"/>
      <c r="AZ174" s="524"/>
      <c r="BA174" s="524"/>
      <c r="BB174" s="524"/>
      <c r="BC174" s="524"/>
      <c r="BD174" s="524"/>
      <c r="BE174" s="524"/>
      <c r="BF174" s="524"/>
      <c r="BG174" s="524"/>
      <c r="BH174" s="524"/>
      <c r="BI174" s="524"/>
      <c r="BJ174" s="524"/>
      <c r="BK174" s="524"/>
      <c r="BL174" s="524"/>
      <c r="BM174" s="524"/>
      <c r="BN174" s="524"/>
      <c r="BO174" s="524"/>
      <c r="BP174" s="524"/>
      <c r="BQ174" s="524"/>
      <c r="BR174" s="524"/>
      <c r="BS174" s="77"/>
      <c r="BT174" s="85"/>
      <c r="BU174" s="86"/>
      <c r="BV174" s="96"/>
      <c r="BW174" s="252"/>
    </row>
    <row r="175" spans="6:75" ht="11.25" customHeight="1" x14ac:dyDescent="0.2">
      <c r="F175" s="524"/>
      <c r="G175" s="524"/>
      <c r="H175" s="524"/>
      <c r="I175" s="524"/>
      <c r="J175" s="524"/>
      <c r="K175" s="524"/>
      <c r="L175" s="524"/>
      <c r="M175" s="524"/>
      <c r="N175" s="524"/>
      <c r="O175" s="524"/>
      <c r="P175" s="524"/>
      <c r="Q175" s="524"/>
      <c r="R175" s="524"/>
      <c r="S175" s="524"/>
      <c r="T175" s="524"/>
      <c r="U175" s="524"/>
      <c r="V175" s="524"/>
      <c r="W175" s="524"/>
      <c r="X175" s="524"/>
      <c r="Y175" s="524"/>
      <c r="Z175" s="524"/>
      <c r="AA175" s="524"/>
      <c r="AB175" s="524"/>
      <c r="AC175" s="524"/>
      <c r="AD175" s="524"/>
      <c r="AE175" s="524"/>
      <c r="AF175" s="524"/>
      <c r="AG175" s="524"/>
      <c r="AH175" s="524"/>
      <c r="AI175" s="524"/>
      <c r="AJ175" s="524"/>
      <c r="AK175" s="524"/>
      <c r="AL175" s="524"/>
      <c r="AM175" s="524"/>
      <c r="AN175" s="524"/>
      <c r="AO175" s="524"/>
      <c r="AP175" s="524"/>
      <c r="AQ175" s="524"/>
      <c r="AR175" s="524"/>
      <c r="AS175" s="78"/>
      <c r="AT175" s="78"/>
      <c r="AU175" s="83"/>
      <c r="AV175" s="83"/>
      <c r="AW175" s="83"/>
      <c r="AX175" s="524"/>
      <c r="AY175" s="524"/>
      <c r="AZ175" s="524"/>
      <c r="BA175" s="524"/>
      <c r="BB175" s="524"/>
      <c r="BC175" s="524"/>
      <c r="BD175" s="524"/>
      <c r="BE175" s="524"/>
      <c r="BF175" s="524"/>
      <c r="BG175" s="524"/>
      <c r="BH175" s="524"/>
      <c r="BI175" s="524"/>
      <c r="BJ175" s="524"/>
      <c r="BK175" s="524"/>
      <c r="BL175" s="524"/>
      <c r="BM175" s="524"/>
      <c r="BN175" s="524"/>
      <c r="BO175" s="524"/>
      <c r="BP175" s="524"/>
      <c r="BQ175" s="524"/>
      <c r="BR175" s="524"/>
      <c r="BS175" s="77"/>
      <c r="BT175" s="85"/>
      <c r="BU175" s="86"/>
      <c r="BV175" s="96"/>
      <c r="BW175" s="252"/>
    </row>
    <row r="176" spans="6:75" ht="11.25" customHeight="1" x14ac:dyDescent="0.2">
      <c r="F176" s="524"/>
      <c r="G176" s="524"/>
      <c r="H176" s="524"/>
      <c r="I176" s="524"/>
      <c r="J176" s="524"/>
      <c r="K176" s="524"/>
      <c r="L176" s="524"/>
      <c r="M176" s="524"/>
      <c r="N176" s="524"/>
      <c r="O176" s="524"/>
      <c r="P176" s="524"/>
      <c r="Q176" s="524"/>
      <c r="R176" s="524"/>
      <c r="S176" s="524"/>
      <c r="T176" s="524"/>
      <c r="U176" s="524"/>
      <c r="V176" s="524"/>
      <c r="W176" s="524"/>
      <c r="X176" s="524"/>
      <c r="Y176" s="524"/>
      <c r="Z176" s="524"/>
      <c r="AA176" s="524"/>
      <c r="AB176" s="524"/>
      <c r="AC176" s="524"/>
      <c r="AD176" s="524"/>
      <c r="AE176" s="524"/>
      <c r="AF176" s="524"/>
      <c r="AG176" s="524"/>
      <c r="AH176" s="524"/>
      <c r="AI176" s="524"/>
      <c r="AJ176" s="524"/>
      <c r="AK176" s="524"/>
      <c r="AL176" s="524"/>
      <c r="AM176" s="524"/>
      <c r="AN176" s="524"/>
      <c r="AO176" s="524"/>
      <c r="AP176" s="524"/>
      <c r="AQ176" s="524"/>
      <c r="AR176" s="524"/>
      <c r="AS176" s="78"/>
      <c r="AT176" s="78"/>
      <c r="AU176" s="83"/>
      <c r="AV176" s="83"/>
      <c r="AW176" s="83"/>
      <c r="AX176" s="524"/>
      <c r="AY176" s="524"/>
      <c r="AZ176" s="524"/>
      <c r="BA176" s="524"/>
      <c r="BB176" s="524"/>
      <c r="BC176" s="524"/>
      <c r="BD176" s="524"/>
      <c r="BE176" s="524"/>
      <c r="BF176" s="524"/>
      <c r="BG176" s="524"/>
      <c r="BH176" s="524"/>
      <c r="BI176" s="524"/>
      <c r="BJ176" s="524"/>
      <c r="BK176" s="524"/>
      <c r="BL176" s="524"/>
      <c r="BM176" s="524"/>
      <c r="BN176" s="524"/>
      <c r="BO176" s="524"/>
      <c r="BP176" s="524"/>
      <c r="BQ176" s="524"/>
      <c r="BR176" s="524"/>
      <c r="BS176" s="77"/>
      <c r="BT176" s="85"/>
      <c r="BU176" s="86"/>
      <c r="BV176" s="96"/>
      <c r="BW176" s="252"/>
    </row>
    <row r="177" spans="6:75" ht="11.25" customHeight="1" x14ac:dyDescent="0.2">
      <c r="F177" s="524"/>
      <c r="G177" s="524"/>
      <c r="H177" s="524"/>
      <c r="I177" s="524"/>
      <c r="J177" s="524"/>
      <c r="K177" s="524"/>
      <c r="L177" s="524"/>
      <c r="M177" s="524"/>
      <c r="N177" s="524"/>
      <c r="O177" s="524"/>
      <c r="P177" s="524"/>
      <c r="Q177" s="524"/>
      <c r="R177" s="524"/>
      <c r="S177" s="524"/>
      <c r="T177" s="524"/>
      <c r="U177" s="524"/>
      <c r="V177" s="524"/>
      <c r="W177" s="524"/>
      <c r="X177" s="524"/>
      <c r="Y177" s="524"/>
      <c r="Z177" s="524"/>
      <c r="AA177" s="524"/>
      <c r="AB177" s="524"/>
      <c r="AC177" s="524"/>
      <c r="AD177" s="524"/>
      <c r="AE177" s="524"/>
      <c r="AF177" s="524"/>
      <c r="AG177" s="524"/>
      <c r="AH177" s="524"/>
      <c r="AI177" s="524"/>
      <c r="AJ177" s="524"/>
      <c r="AK177" s="524"/>
      <c r="AL177" s="524"/>
      <c r="AM177" s="524"/>
      <c r="AN177" s="524"/>
      <c r="AO177" s="524"/>
      <c r="AP177" s="524"/>
      <c r="AQ177" s="524"/>
      <c r="AR177" s="524"/>
      <c r="AS177" s="78"/>
      <c r="AT177" s="78"/>
      <c r="AU177" s="83"/>
      <c r="AV177" s="83"/>
      <c r="AW177" s="83"/>
      <c r="AX177" s="524"/>
      <c r="AY177" s="524"/>
      <c r="AZ177" s="524"/>
      <c r="BA177" s="524"/>
      <c r="BB177" s="524"/>
      <c r="BC177" s="524"/>
      <c r="BD177" s="524"/>
      <c r="BE177" s="524"/>
      <c r="BF177" s="524"/>
      <c r="BG177" s="524"/>
      <c r="BH177" s="524"/>
      <c r="BI177" s="524"/>
      <c r="BJ177" s="524"/>
      <c r="BK177" s="524"/>
      <c r="BL177" s="524"/>
      <c r="BM177" s="524"/>
      <c r="BN177" s="524"/>
      <c r="BO177" s="524"/>
      <c r="BP177" s="524"/>
      <c r="BQ177" s="524"/>
      <c r="BR177" s="524"/>
      <c r="BS177" s="77"/>
      <c r="BT177" s="85"/>
      <c r="BU177" s="86"/>
      <c r="BV177" s="96"/>
      <c r="BW177" s="252"/>
    </row>
    <row r="178" spans="6:75" ht="11.25" customHeight="1" x14ac:dyDescent="0.2">
      <c r="F178" s="524"/>
      <c r="G178" s="524"/>
      <c r="H178" s="524"/>
      <c r="I178" s="524"/>
      <c r="J178" s="524"/>
      <c r="K178" s="524"/>
      <c r="L178" s="524"/>
      <c r="M178" s="524"/>
      <c r="N178" s="524"/>
      <c r="O178" s="524"/>
      <c r="P178" s="524"/>
      <c r="Q178" s="524"/>
      <c r="R178" s="524"/>
      <c r="S178" s="524"/>
      <c r="T178" s="524"/>
      <c r="U178" s="524"/>
      <c r="V178" s="524"/>
      <c r="W178" s="524"/>
      <c r="X178" s="524"/>
      <c r="Y178" s="524"/>
      <c r="Z178" s="524"/>
      <c r="AA178" s="524"/>
      <c r="AB178" s="524"/>
      <c r="AC178" s="524"/>
      <c r="AD178" s="524"/>
      <c r="AE178" s="524"/>
      <c r="AF178" s="524"/>
      <c r="AG178" s="524"/>
      <c r="AH178" s="524"/>
      <c r="AI178" s="524"/>
      <c r="AJ178" s="524"/>
      <c r="AK178" s="524"/>
      <c r="AL178" s="524"/>
      <c r="AM178" s="524"/>
      <c r="AN178" s="524"/>
      <c r="AO178" s="524"/>
      <c r="AP178" s="524"/>
      <c r="AQ178" s="524"/>
      <c r="AR178" s="524"/>
      <c r="AS178" s="78"/>
      <c r="AT178" s="78"/>
      <c r="AU178" s="83"/>
      <c r="AV178" s="83"/>
      <c r="AW178" s="83"/>
      <c r="AX178" s="524"/>
      <c r="AY178" s="524"/>
      <c r="AZ178" s="524"/>
      <c r="BA178" s="524"/>
      <c r="BB178" s="524"/>
      <c r="BC178" s="524"/>
      <c r="BD178" s="524"/>
      <c r="BE178" s="524"/>
      <c r="BF178" s="524"/>
      <c r="BG178" s="524"/>
      <c r="BH178" s="524"/>
      <c r="BI178" s="524"/>
      <c r="BJ178" s="524"/>
      <c r="BK178" s="524"/>
      <c r="BL178" s="524"/>
      <c r="BM178" s="524"/>
      <c r="BN178" s="524"/>
      <c r="BO178" s="524"/>
      <c r="BP178" s="524"/>
      <c r="BQ178" s="524"/>
      <c r="BR178" s="524"/>
      <c r="BS178" s="77"/>
      <c r="BT178" s="85"/>
      <c r="BU178" s="86"/>
      <c r="BV178" s="96"/>
      <c r="BW178" s="252"/>
    </row>
    <row r="179" spans="6:75" ht="11.25" customHeight="1" x14ac:dyDescent="0.2">
      <c r="F179" s="524"/>
      <c r="G179" s="524"/>
      <c r="H179" s="524"/>
      <c r="I179" s="524"/>
      <c r="J179" s="524"/>
      <c r="K179" s="524"/>
      <c r="L179" s="524"/>
      <c r="M179" s="524"/>
      <c r="N179" s="524"/>
      <c r="O179" s="524"/>
      <c r="P179" s="524"/>
      <c r="Q179" s="524"/>
      <c r="R179" s="524"/>
      <c r="S179" s="524"/>
      <c r="T179" s="524"/>
      <c r="U179" s="524"/>
      <c r="V179" s="524"/>
      <c r="W179" s="524"/>
      <c r="X179" s="524"/>
      <c r="Y179" s="524"/>
      <c r="Z179" s="524"/>
      <c r="AA179" s="524"/>
      <c r="AB179" s="524"/>
      <c r="AC179" s="524"/>
      <c r="AD179" s="524"/>
      <c r="AE179" s="524"/>
      <c r="AF179" s="524"/>
      <c r="AG179" s="524"/>
      <c r="AH179" s="524"/>
      <c r="AI179" s="524"/>
      <c r="AJ179" s="524"/>
      <c r="AK179" s="524"/>
      <c r="AL179" s="524"/>
      <c r="AM179" s="524"/>
      <c r="AN179" s="524"/>
      <c r="AO179" s="524"/>
      <c r="AP179" s="524"/>
      <c r="AQ179" s="524"/>
      <c r="AR179" s="524"/>
      <c r="AS179" s="78"/>
      <c r="AT179" s="78"/>
      <c r="AU179" s="83"/>
      <c r="AV179" s="83"/>
      <c r="AW179" s="83"/>
      <c r="AX179" s="524"/>
      <c r="AY179" s="524"/>
      <c r="AZ179" s="524"/>
      <c r="BA179" s="524"/>
      <c r="BB179" s="524"/>
      <c r="BC179" s="524"/>
      <c r="BD179" s="524"/>
      <c r="BE179" s="524"/>
      <c r="BF179" s="524"/>
      <c r="BG179" s="524"/>
      <c r="BH179" s="524"/>
      <c r="BI179" s="524"/>
      <c r="BJ179" s="524"/>
      <c r="BK179" s="524"/>
      <c r="BL179" s="524"/>
      <c r="BM179" s="524"/>
      <c r="BN179" s="524"/>
      <c r="BO179" s="524"/>
      <c r="BP179" s="524"/>
      <c r="BQ179" s="524"/>
      <c r="BR179" s="524"/>
      <c r="BS179" s="77"/>
      <c r="BT179" s="85"/>
      <c r="BU179" s="86"/>
      <c r="BV179" s="96"/>
      <c r="BW179" s="252"/>
    </row>
    <row r="180" spans="6:75" ht="11.25" customHeight="1" x14ac:dyDescent="0.2">
      <c r="F180" s="524"/>
      <c r="G180" s="524"/>
      <c r="H180" s="524"/>
      <c r="I180" s="524"/>
      <c r="J180" s="524"/>
      <c r="K180" s="524"/>
      <c r="L180" s="524"/>
      <c r="M180" s="524"/>
      <c r="N180" s="524"/>
      <c r="O180" s="524"/>
      <c r="P180" s="524"/>
      <c r="Q180" s="524"/>
      <c r="R180" s="524"/>
      <c r="S180" s="524"/>
      <c r="T180" s="524"/>
      <c r="U180" s="524"/>
      <c r="V180" s="524"/>
      <c r="W180" s="524"/>
      <c r="X180" s="524"/>
      <c r="Y180" s="524"/>
      <c r="Z180" s="524"/>
      <c r="AA180" s="524"/>
      <c r="AB180" s="524"/>
      <c r="AC180" s="524"/>
      <c r="AD180" s="524"/>
      <c r="AE180" s="524"/>
      <c r="AF180" s="524"/>
      <c r="AG180" s="524"/>
      <c r="AH180" s="524"/>
      <c r="AI180" s="524"/>
      <c r="AJ180" s="524"/>
      <c r="AK180" s="524"/>
      <c r="AL180" s="524"/>
      <c r="AM180" s="524"/>
      <c r="AN180" s="524"/>
      <c r="AO180" s="524"/>
      <c r="AP180" s="524"/>
      <c r="AQ180" s="524"/>
      <c r="AR180" s="524"/>
      <c r="AS180" s="78"/>
      <c r="AT180" s="78"/>
      <c r="AU180" s="83"/>
      <c r="AV180" s="83"/>
      <c r="AW180" s="83"/>
      <c r="AX180" s="524"/>
      <c r="AY180" s="524"/>
      <c r="AZ180" s="524"/>
      <c r="BA180" s="524"/>
      <c r="BB180" s="524"/>
      <c r="BC180" s="524"/>
      <c r="BD180" s="524"/>
      <c r="BE180" s="524"/>
      <c r="BF180" s="524"/>
      <c r="BG180" s="524"/>
      <c r="BH180" s="524"/>
      <c r="BI180" s="524"/>
      <c r="BJ180" s="524"/>
      <c r="BK180" s="524"/>
      <c r="BL180" s="524"/>
      <c r="BM180" s="524"/>
      <c r="BN180" s="524"/>
      <c r="BO180" s="524"/>
      <c r="BP180" s="524"/>
      <c r="BQ180" s="524"/>
      <c r="BR180" s="524"/>
      <c r="BS180" s="77"/>
      <c r="BT180" s="85"/>
      <c r="BU180" s="86"/>
      <c r="BV180" s="96"/>
      <c r="BW180" s="252"/>
    </row>
    <row r="181" spans="6:75" ht="11.25" customHeight="1" x14ac:dyDescent="0.2">
      <c r="F181" s="524"/>
      <c r="G181" s="524"/>
      <c r="H181" s="524"/>
      <c r="I181" s="524"/>
      <c r="J181" s="524"/>
      <c r="K181" s="524"/>
      <c r="L181" s="524"/>
      <c r="M181" s="524"/>
      <c r="N181" s="524"/>
      <c r="O181" s="524"/>
      <c r="P181" s="524"/>
      <c r="Q181" s="524"/>
      <c r="R181" s="524"/>
      <c r="S181" s="524"/>
      <c r="T181" s="524"/>
      <c r="U181" s="524"/>
      <c r="V181" s="524"/>
      <c r="W181" s="524"/>
      <c r="X181" s="524"/>
      <c r="Y181" s="524"/>
      <c r="Z181" s="524"/>
      <c r="AA181" s="524"/>
      <c r="AB181" s="524"/>
      <c r="AC181" s="524"/>
      <c r="AD181" s="524"/>
      <c r="AE181" s="524"/>
      <c r="AF181" s="524"/>
      <c r="AG181" s="524"/>
      <c r="AH181" s="524"/>
      <c r="AI181" s="524"/>
      <c r="AJ181" s="524"/>
      <c r="AK181" s="524"/>
      <c r="AL181" s="524"/>
      <c r="AM181" s="524"/>
      <c r="AN181" s="524"/>
      <c r="AO181" s="524"/>
      <c r="AP181" s="524"/>
      <c r="AQ181" s="524"/>
      <c r="AR181" s="524"/>
      <c r="AS181" s="78"/>
      <c r="AT181" s="78"/>
      <c r="AU181" s="83"/>
      <c r="AV181" s="83"/>
      <c r="AW181" s="83"/>
      <c r="AX181" s="524"/>
      <c r="AY181" s="524"/>
      <c r="AZ181" s="524"/>
      <c r="BA181" s="524"/>
      <c r="BB181" s="524"/>
      <c r="BC181" s="524"/>
      <c r="BD181" s="524"/>
      <c r="BE181" s="524"/>
      <c r="BF181" s="524"/>
      <c r="BG181" s="524"/>
      <c r="BH181" s="524"/>
      <c r="BI181" s="524"/>
      <c r="BJ181" s="524"/>
      <c r="BK181" s="524"/>
      <c r="BL181" s="524"/>
      <c r="BM181" s="524"/>
      <c r="BN181" s="524"/>
      <c r="BO181" s="524"/>
      <c r="BP181" s="524"/>
      <c r="BQ181" s="524"/>
      <c r="BR181" s="524"/>
      <c r="BS181" s="77"/>
      <c r="BT181" s="85"/>
      <c r="BU181" s="86"/>
      <c r="BV181" s="96"/>
      <c r="BW181" s="252"/>
    </row>
    <row r="182" spans="6:75" ht="11.25" customHeight="1" x14ac:dyDescent="0.2">
      <c r="F182" s="524"/>
      <c r="G182" s="524"/>
      <c r="H182" s="524"/>
      <c r="I182" s="524"/>
      <c r="J182" s="524"/>
      <c r="K182" s="524"/>
      <c r="L182" s="524"/>
      <c r="M182" s="524"/>
      <c r="N182" s="524"/>
      <c r="O182" s="524"/>
      <c r="P182" s="524"/>
      <c r="Q182" s="524"/>
      <c r="R182" s="524"/>
      <c r="S182" s="524"/>
      <c r="T182" s="524"/>
      <c r="U182" s="524"/>
      <c r="V182" s="524"/>
      <c r="W182" s="524"/>
      <c r="X182" s="524"/>
      <c r="Y182" s="524"/>
      <c r="Z182" s="524"/>
      <c r="AA182" s="524"/>
      <c r="AB182" s="524"/>
      <c r="AC182" s="524"/>
      <c r="AD182" s="524"/>
      <c r="AE182" s="524"/>
      <c r="AF182" s="524"/>
      <c r="AG182" s="524"/>
      <c r="AH182" s="524"/>
      <c r="AI182" s="524"/>
      <c r="AJ182" s="524"/>
      <c r="AK182" s="524"/>
      <c r="AL182" s="524"/>
      <c r="AM182" s="524"/>
      <c r="AN182" s="524"/>
      <c r="AO182" s="524"/>
      <c r="AP182" s="524"/>
      <c r="AQ182" s="524"/>
      <c r="AR182" s="524"/>
      <c r="AS182" s="78"/>
      <c r="AT182" s="78"/>
      <c r="AU182" s="83"/>
      <c r="AV182" s="83"/>
      <c r="AW182" s="83"/>
      <c r="AX182" s="524"/>
      <c r="AY182" s="524"/>
      <c r="AZ182" s="524"/>
      <c r="BA182" s="524"/>
      <c r="BB182" s="524"/>
      <c r="BC182" s="524"/>
      <c r="BD182" s="524"/>
      <c r="BE182" s="524"/>
      <c r="BF182" s="524"/>
      <c r="BG182" s="524"/>
      <c r="BH182" s="524"/>
      <c r="BI182" s="524"/>
      <c r="BJ182" s="524"/>
      <c r="BK182" s="524"/>
      <c r="BL182" s="524"/>
      <c r="BM182" s="524"/>
      <c r="BN182" s="524"/>
      <c r="BO182" s="524"/>
      <c r="BP182" s="524"/>
      <c r="BQ182" s="524"/>
      <c r="BR182" s="524"/>
      <c r="BS182" s="77"/>
      <c r="BT182" s="85"/>
      <c r="BU182" s="86"/>
      <c r="BV182" s="96"/>
      <c r="BW182" s="252"/>
    </row>
    <row r="183" spans="6:75" ht="11.25" customHeight="1" x14ac:dyDescent="0.2">
      <c r="F183" s="524"/>
      <c r="G183" s="524"/>
      <c r="H183" s="524"/>
      <c r="I183" s="524"/>
      <c r="J183" s="524"/>
      <c r="K183" s="524"/>
      <c r="L183" s="524"/>
      <c r="M183" s="524"/>
      <c r="N183" s="524"/>
      <c r="O183" s="524"/>
      <c r="P183" s="524"/>
      <c r="Q183" s="524"/>
      <c r="R183" s="524"/>
      <c r="S183" s="524"/>
      <c r="T183" s="524"/>
      <c r="U183" s="524"/>
      <c r="V183" s="524"/>
      <c r="W183" s="524"/>
      <c r="X183" s="524"/>
      <c r="Y183" s="524"/>
      <c r="Z183" s="524"/>
      <c r="AA183" s="524"/>
      <c r="AB183" s="524"/>
      <c r="AC183" s="524"/>
      <c r="AD183" s="524"/>
      <c r="AE183" s="524"/>
      <c r="AF183" s="524"/>
      <c r="AG183" s="524"/>
      <c r="AH183" s="524"/>
      <c r="AI183" s="524"/>
      <c r="AJ183" s="524"/>
      <c r="AK183" s="524"/>
      <c r="AL183" s="524"/>
      <c r="AM183" s="524"/>
      <c r="AN183" s="524"/>
      <c r="AO183" s="524"/>
      <c r="AP183" s="524"/>
      <c r="AQ183" s="524"/>
      <c r="AR183" s="524"/>
      <c r="AS183" s="78"/>
      <c r="AT183" s="78"/>
      <c r="AU183" s="83"/>
      <c r="AV183" s="83"/>
      <c r="AW183" s="83"/>
      <c r="AX183" s="524"/>
      <c r="AY183" s="524"/>
      <c r="AZ183" s="524"/>
      <c r="BA183" s="524"/>
      <c r="BB183" s="524"/>
      <c r="BC183" s="524"/>
      <c r="BD183" s="524"/>
      <c r="BE183" s="524"/>
      <c r="BF183" s="524"/>
      <c r="BG183" s="524"/>
      <c r="BH183" s="524"/>
      <c r="BI183" s="524"/>
      <c r="BJ183" s="524"/>
      <c r="BK183" s="524"/>
      <c r="BL183" s="524"/>
      <c r="BM183" s="524"/>
      <c r="BN183" s="524"/>
      <c r="BO183" s="524"/>
      <c r="BP183" s="524"/>
      <c r="BQ183" s="524"/>
      <c r="BR183" s="524"/>
      <c r="BS183" s="77"/>
      <c r="BT183" s="85"/>
      <c r="BU183" s="86"/>
      <c r="BV183" s="96"/>
      <c r="BW183" s="252"/>
    </row>
    <row r="184" spans="6:75" ht="11.25" customHeight="1" x14ac:dyDescent="0.2">
      <c r="F184" s="524"/>
      <c r="G184" s="524"/>
      <c r="H184" s="524"/>
      <c r="I184" s="524"/>
      <c r="J184" s="524"/>
      <c r="K184" s="524"/>
      <c r="L184" s="524"/>
      <c r="M184" s="524"/>
      <c r="N184" s="524"/>
      <c r="O184" s="524"/>
      <c r="P184" s="524"/>
      <c r="Q184" s="524"/>
      <c r="R184" s="524"/>
      <c r="S184" s="524"/>
      <c r="T184" s="524"/>
      <c r="U184" s="524"/>
      <c r="V184" s="524"/>
      <c r="W184" s="524"/>
      <c r="X184" s="524"/>
      <c r="Y184" s="524"/>
      <c r="Z184" s="524"/>
      <c r="AA184" s="524"/>
      <c r="AB184" s="524"/>
      <c r="AC184" s="524"/>
      <c r="AD184" s="524"/>
      <c r="AE184" s="524"/>
      <c r="AF184" s="524"/>
      <c r="AG184" s="524"/>
      <c r="AH184" s="524"/>
      <c r="AI184" s="524"/>
      <c r="AJ184" s="524"/>
      <c r="AK184" s="524"/>
      <c r="AL184" s="524"/>
      <c r="AM184" s="524"/>
      <c r="AN184" s="524"/>
      <c r="AO184" s="524"/>
      <c r="AP184" s="524"/>
      <c r="AQ184" s="524"/>
      <c r="AR184" s="524"/>
      <c r="AS184" s="78"/>
      <c r="AT184" s="78"/>
      <c r="AU184" s="83"/>
      <c r="AV184" s="83"/>
      <c r="AW184" s="83"/>
      <c r="AX184" s="524"/>
      <c r="AY184" s="524"/>
      <c r="AZ184" s="524"/>
      <c r="BA184" s="524"/>
      <c r="BB184" s="524"/>
      <c r="BC184" s="524"/>
      <c r="BD184" s="524"/>
      <c r="BE184" s="524"/>
      <c r="BF184" s="524"/>
      <c r="BG184" s="524"/>
      <c r="BH184" s="524"/>
      <c r="BI184" s="524"/>
      <c r="BJ184" s="524"/>
      <c r="BK184" s="524"/>
      <c r="BL184" s="524"/>
      <c r="BM184" s="524"/>
      <c r="BN184" s="524"/>
      <c r="BO184" s="524"/>
      <c r="BP184" s="524"/>
      <c r="BQ184" s="524"/>
      <c r="BR184" s="524"/>
      <c r="BS184" s="77"/>
      <c r="BT184" s="85"/>
      <c r="BU184" s="86"/>
      <c r="BV184" s="96"/>
      <c r="BW184" s="252"/>
    </row>
    <row r="185" spans="6:75" ht="11.25" customHeight="1" x14ac:dyDescent="0.2">
      <c r="F185" s="524"/>
      <c r="G185" s="524"/>
      <c r="H185" s="524"/>
      <c r="I185" s="524"/>
      <c r="J185" s="524"/>
      <c r="K185" s="524"/>
      <c r="L185" s="524"/>
      <c r="M185" s="524"/>
      <c r="N185" s="524"/>
      <c r="O185" s="524"/>
      <c r="P185" s="524"/>
      <c r="Q185" s="524"/>
      <c r="R185" s="524"/>
      <c r="S185" s="524"/>
      <c r="T185" s="524"/>
      <c r="U185" s="524"/>
      <c r="V185" s="524"/>
      <c r="W185" s="524"/>
      <c r="X185" s="524"/>
      <c r="Y185" s="524"/>
      <c r="Z185" s="524"/>
      <c r="AA185" s="524"/>
      <c r="AB185" s="524"/>
      <c r="AC185" s="524"/>
      <c r="AD185" s="524"/>
      <c r="AE185" s="524"/>
      <c r="AF185" s="524"/>
      <c r="AG185" s="524"/>
      <c r="AH185" s="524"/>
      <c r="AI185" s="524"/>
      <c r="AJ185" s="524"/>
      <c r="AK185" s="524"/>
      <c r="AL185" s="524"/>
      <c r="AM185" s="524"/>
      <c r="AN185" s="524"/>
      <c r="AO185" s="524"/>
      <c r="AP185" s="524"/>
      <c r="AQ185" s="524"/>
      <c r="AR185" s="524"/>
      <c r="AS185" s="78"/>
      <c r="AT185" s="78"/>
      <c r="AU185" s="83"/>
      <c r="AV185" s="83"/>
      <c r="AW185" s="83"/>
      <c r="AX185" s="524"/>
      <c r="AY185" s="524"/>
      <c r="AZ185" s="524"/>
      <c r="BA185" s="524"/>
      <c r="BB185" s="524"/>
      <c r="BC185" s="524"/>
      <c r="BD185" s="524"/>
      <c r="BE185" s="524"/>
      <c r="BF185" s="524"/>
      <c r="BG185" s="524"/>
      <c r="BH185" s="524"/>
      <c r="BI185" s="524"/>
      <c r="BJ185" s="524"/>
      <c r="BK185" s="524"/>
      <c r="BL185" s="524"/>
      <c r="BM185" s="524"/>
      <c r="BN185" s="524"/>
      <c r="BO185" s="524"/>
      <c r="BP185" s="524"/>
      <c r="BQ185" s="524"/>
      <c r="BR185" s="524"/>
      <c r="BS185" s="77"/>
      <c r="BT185" s="85"/>
      <c r="BU185" s="86"/>
      <c r="BV185" s="96"/>
      <c r="BW185" s="252"/>
    </row>
    <row r="186" spans="6:75" ht="11.25" customHeight="1" x14ac:dyDescent="0.2">
      <c r="F186" s="524"/>
      <c r="G186" s="524"/>
      <c r="H186" s="524"/>
      <c r="I186" s="524"/>
      <c r="J186" s="524"/>
      <c r="K186" s="524"/>
      <c r="L186" s="524"/>
      <c r="M186" s="524"/>
      <c r="N186" s="524"/>
      <c r="O186" s="524"/>
      <c r="P186" s="524"/>
      <c r="Q186" s="524"/>
      <c r="R186" s="524"/>
      <c r="S186" s="524"/>
      <c r="T186" s="524"/>
      <c r="U186" s="524"/>
      <c r="V186" s="524"/>
      <c r="W186" s="524"/>
      <c r="X186" s="524"/>
      <c r="Y186" s="524"/>
      <c r="Z186" s="524"/>
      <c r="AA186" s="524"/>
      <c r="AB186" s="524"/>
      <c r="AC186" s="524"/>
      <c r="AD186" s="524"/>
      <c r="AE186" s="524"/>
      <c r="AF186" s="524"/>
      <c r="AG186" s="524"/>
      <c r="AH186" s="524"/>
      <c r="AI186" s="524"/>
      <c r="AJ186" s="524"/>
      <c r="AK186" s="524"/>
      <c r="AL186" s="524"/>
      <c r="AM186" s="524"/>
      <c r="AN186" s="524"/>
      <c r="AO186" s="524"/>
      <c r="AP186" s="524"/>
      <c r="AQ186" s="524"/>
      <c r="AR186" s="524"/>
      <c r="AS186" s="78"/>
      <c r="AT186" s="78"/>
      <c r="AU186" s="83"/>
      <c r="AV186" s="83"/>
      <c r="AW186" s="83"/>
      <c r="AX186" s="524"/>
      <c r="AY186" s="524"/>
      <c r="AZ186" s="524"/>
      <c r="BA186" s="524"/>
      <c r="BB186" s="524"/>
      <c r="BC186" s="524"/>
      <c r="BD186" s="524"/>
      <c r="BE186" s="524"/>
      <c r="BF186" s="524"/>
      <c r="BG186" s="524"/>
      <c r="BH186" s="524"/>
      <c r="BI186" s="524"/>
      <c r="BJ186" s="524"/>
      <c r="BK186" s="524"/>
      <c r="BL186" s="524"/>
      <c r="BM186" s="524"/>
      <c r="BN186" s="524"/>
      <c r="BO186" s="524"/>
      <c r="BP186" s="524"/>
      <c r="BQ186" s="524"/>
      <c r="BR186" s="524"/>
      <c r="BS186" s="77"/>
      <c r="BT186" s="85"/>
      <c r="BU186" s="86"/>
      <c r="BV186" s="96"/>
      <c r="BW186" s="252"/>
    </row>
    <row r="187" spans="6:75" ht="11.25" customHeight="1" x14ac:dyDescent="0.2">
      <c r="F187" s="524"/>
      <c r="G187" s="524"/>
      <c r="H187" s="524"/>
      <c r="I187" s="524"/>
      <c r="J187" s="524"/>
      <c r="K187" s="524"/>
      <c r="L187" s="524"/>
      <c r="M187" s="524"/>
      <c r="N187" s="524"/>
      <c r="O187" s="524"/>
      <c r="P187" s="524"/>
      <c r="Q187" s="524"/>
      <c r="R187" s="524"/>
      <c r="S187" s="524"/>
      <c r="T187" s="524"/>
      <c r="U187" s="524"/>
      <c r="V187" s="524"/>
      <c r="W187" s="524"/>
      <c r="X187" s="524"/>
      <c r="Y187" s="524"/>
      <c r="Z187" s="524"/>
      <c r="AA187" s="524"/>
      <c r="AB187" s="524"/>
      <c r="AC187" s="524"/>
      <c r="AD187" s="524"/>
      <c r="AE187" s="524"/>
      <c r="AF187" s="524"/>
      <c r="AG187" s="524"/>
      <c r="AH187" s="524"/>
      <c r="AI187" s="524"/>
      <c r="AJ187" s="524"/>
      <c r="AK187" s="524"/>
      <c r="AL187" s="524"/>
      <c r="AM187" s="524"/>
      <c r="AN187" s="524"/>
      <c r="AO187" s="524"/>
      <c r="AP187" s="524"/>
      <c r="AQ187" s="524"/>
      <c r="AR187" s="524"/>
      <c r="AS187" s="78"/>
      <c r="AT187" s="78"/>
      <c r="AU187" s="83"/>
      <c r="AV187" s="83"/>
      <c r="AW187" s="83"/>
      <c r="AX187" s="524"/>
      <c r="AY187" s="524"/>
      <c r="AZ187" s="524"/>
      <c r="BA187" s="524"/>
      <c r="BB187" s="524"/>
      <c r="BC187" s="524"/>
      <c r="BD187" s="524"/>
      <c r="BE187" s="524"/>
      <c r="BF187" s="524"/>
      <c r="BG187" s="524"/>
      <c r="BH187" s="524"/>
      <c r="BI187" s="524"/>
      <c r="BJ187" s="524"/>
      <c r="BK187" s="524"/>
      <c r="BL187" s="524"/>
      <c r="BM187" s="524"/>
      <c r="BN187" s="524"/>
      <c r="BO187" s="524"/>
      <c r="BP187" s="524"/>
      <c r="BQ187" s="524"/>
      <c r="BR187" s="524"/>
      <c r="BS187" s="77"/>
      <c r="BT187" s="85"/>
      <c r="BU187" s="86"/>
      <c r="BV187" s="96"/>
      <c r="BW187" s="252"/>
    </row>
    <row r="188" spans="6:75" ht="11.25" customHeight="1" x14ac:dyDescent="0.2">
      <c r="F188" s="524"/>
      <c r="G188" s="524"/>
      <c r="H188" s="524"/>
      <c r="I188" s="524"/>
      <c r="J188" s="524"/>
      <c r="K188" s="524"/>
      <c r="L188" s="524"/>
      <c r="M188" s="524"/>
      <c r="N188" s="524"/>
      <c r="O188" s="524"/>
      <c r="P188" s="524"/>
      <c r="Q188" s="524"/>
      <c r="R188" s="524"/>
      <c r="S188" s="524"/>
      <c r="T188" s="524"/>
      <c r="U188" s="524"/>
      <c r="V188" s="524"/>
      <c r="W188" s="524"/>
      <c r="X188" s="524"/>
      <c r="Y188" s="524"/>
      <c r="Z188" s="524"/>
      <c r="AA188" s="524"/>
      <c r="AB188" s="524"/>
      <c r="AC188" s="524"/>
      <c r="AD188" s="524"/>
      <c r="AE188" s="524"/>
      <c r="AF188" s="524"/>
      <c r="AG188" s="524"/>
      <c r="AH188" s="524"/>
      <c r="AI188" s="524"/>
      <c r="AJ188" s="524"/>
      <c r="AK188" s="524"/>
      <c r="AL188" s="524"/>
      <c r="AM188" s="524"/>
      <c r="AN188" s="524"/>
      <c r="AO188" s="524"/>
      <c r="AP188" s="524"/>
      <c r="AQ188" s="524"/>
      <c r="AR188" s="524"/>
      <c r="AS188" s="78"/>
      <c r="AT188" s="78"/>
      <c r="AU188" s="83"/>
      <c r="AV188" s="83"/>
      <c r="AW188" s="83"/>
      <c r="AX188" s="524"/>
      <c r="AY188" s="524"/>
      <c r="AZ188" s="524"/>
      <c r="BA188" s="524"/>
      <c r="BB188" s="524"/>
      <c r="BC188" s="524"/>
      <c r="BD188" s="524"/>
      <c r="BE188" s="524"/>
      <c r="BF188" s="524"/>
      <c r="BG188" s="524"/>
      <c r="BH188" s="524"/>
      <c r="BI188" s="524"/>
      <c r="BJ188" s="524"/>
      <c r="BK188" s="524"/>
      <c r="BL188" s="524"/>
      <c r="BM188" s="524"/>
      <c r="BN188" s="524"/>
      <c r="BO188" s="524"/>
      <c r="BP188" s="524"/>
      <c r="BQ188" s="524"/>
      <c r="BR188" s="524"/>
      <c r="BS188" s="77"/>
      <c r="BT188" s="85"/>
      <c r="BU188" s="86"/>
      <c r="BV188" s="96"/>
      <c r="BW188" s="252"/>
    </row>
    <row r="189" spans="6:75" ht="11.25" customHeight="1" x14ac:dyDescent="0.2">
      <c r="F189" s="524"/>
      <c r="G189" s="524"/>
      <c r="H189" s="524"/>
      <c r="I189" s="524"/>
      <c r="J189" s="524"/>
      <c r="K189" s="524"/>
      <c r="L189" s="524"/>
      <c r="M189" s="524"/>
      <c r="N189" s="524"/>
      <c r="O189" s="524"/>
      <c r="P189" s="524"/>
      <c r="Q189" s="524"/>
      <c r="R189" s="524"/>
      <c r="S189" s="524"/>
      <c r="T189" s="524"/>
      <c r="U189" s="524"/>
      <c r="V189" s="524"/>
      <c r="W189" s="524"/>
      <c r="X189" s="524"/>
      <c r="Y189" s="524"/>
      <c r="Z189" s="524"/>
      <c r="AA189" s="524"/>
      <c r="AB189" s="524"/>
      <c r="AC189" s="524"/>
      <c r="AD189" s="524"/>
      <c r="AE189" s="524"/>
      <c r="AF189" s="524"/>
      <c r="AG189" s="524"/>
      <c r="AH189" s="524"/>
      <c r="AI189" s="524"/>
      <c r="AJ189" s="524"/>
      <c r="AK189" s="524"/>
      <c r="AL189" s="524"/>
      <c r="AM189" s="524"/>
      <c r="AN189" s="524"/>
      <c r="AO189" s="524"/>
      <c r="AP189" s="524"/>
      <c r="AQ189" s="524"/>
      <c r="AR189" s="524"/>
      <c r="AS189" s="78"/>
      <c r="AT189" s="78"/>
      <c r="AU189" s="83"/>
      <c r="AV189" s="83"/>
      <c r="AW189" s="83"/>
      <c r="AX189" s="524"/>
      <c r="AY189" s="524"/>
      <c r="AZ189" s="524"/>
      <c r="BA189" s="524"/>
      <c r="BB189" s="524"/>
      <c r="BC189" s="524"/>
      <c r="BD189" s="524"/>
      <c r="BE189" s="524"/>
      <c r="BF189" s="524"/>
      <c r="BG189" s="524"/>
      <c r="BH189" s="524"/>
      <c r="BI189" s="524"/>
      <c r="BJ189" s="524"/>
      <c r="BK189" s="524"/>
      <c r="BL189" s="524"/>
      <c r="BM189" s="524"/>
      <c r="BN189" s="524"/>
      <c r="BO189" s="524"/>
      <c r="BP189" s="524"/>
      <c r="BQ189" s="524"/>
      <c r="BR189" s="524"/>
      <c r="BS189" s="77"/>
      <c r="BT189" s="85"/>
      <c r="BU189" s="86"/>
      <c r="BV189" s="96"/>
      <c r="BW189" s="252"/>
    </row>
    <row r="190" spans="6:75" ht="11.25" customHeight="1" x14ac:dyDescent="0.2">
      <c r="F190" s="524"/>
      <c r="G190" s="524"/>
      <c r="H190" s="524"/>
      <c r="I190" s="524"/>
      <c r="J190" s="524"/>
      <c r="K190" s="524"/>
      <c r="L190" s="524"/>
      <c r="M190" s="524"/>
      <c r="N190" s="524"/>
      <c r="O190" s="524"/>
      <c r="P190" s="524"/>
      <c r="Q190" s="524"/>
      <c r="R190" s="524"/>
      <c r="S190" s="524"/>
      <c r="T190" s="524"/>
      <c r="U190" s="524"/>
      <c r="V190" s="524"/>
      <c r="W190" s="524"/>
      <c r="X190" s="524"/>
      <c r="Y190" s="524"/>
      <c r="Z190" s="524"/>
      <c r="AA190" s="524"/>
      <c r="AB190" s="524"/>
      <c r="AC190" s="524"/>
      <c r="AD190" s="524"/>
      <c r="AE190" s="524"/>
      <c r="AF190" s="524"/>
      <c r="AG190" s="524"/>
      <c r="AH190" s="524"/>
      <c r="AI190" s="524"/>
      <c r="AJ190" s="524"/>
      <c r="AK190" s="524"/>
      <c r="AL190" s="524"/>
      <c r="AM190" s="524"/>
      <c r="AN190" s="524"/>
      <c r="AO190" s="524"/>
      <c r="AP190" s="524"/>
      <c r="AQ190" s="524"/>
      <c r="AR190" s="524"/>
      <c r="AS190" s="78"/>
      <c r="AT190" s="78"/>
      <c r="AU190" s="83"/>
      <c r="AV190" s="83"/>
      <c r="AW190" s="83"/>
      <c r="AX190" s="524"/>
      <c r="AY190" s="524"/>
      <c r="AZ190" s="524"/>
      <c r="BA190" s="524"/>
      <c r="BB190" s="524"/>
      <c r="BC190" s="524"/>
      <c r="BD190" s="524"/>
      <c r="BE190" s="524"/>
      <c r="BF190" s="524"/>
      <c r="BG190" s="524"/>
      <c r="BH190" s="524"/>
      <c r="BI190" s="524"/>
      <c r="BJ190" s="524"/>
      <c r="BK190" s="524"/>
      <c r="BL190" s="524"/>
      <c r="BM190" s="524"/>
      <c r="BN190" s="524"/>
      <c r="BO190" s="524"/>
      <c r="BP190" s="524"/>
      <c r="BQ190" s="524"/>
      <c r="BR190" s="524"/>
      <c r="BS190" s="77"/>
      <c r="BT190" s="85"/>
      <c r="BU190" s="86"/>
      <c r="BV190" s="96"/>
      <c r="BW190" s="252"/>
    </row>
    <row r="191" spans="6:75" ht="11.25" customHeight="1" x14ac:dyDescent="0.2">
      <c r="F191" s="524"/>
      <c r="G191" s="524"/>
      <c r="H191" s="524"/>
      <c r="I191" s="524"/>
      <c r="J191" s="524"/>
      <c r="K191" s="524"/>
      <c r="L191" s="524"/>
      <c r="M191" s="524"/>
      <c r="N191" s="524"/>
      <c r="O191" s="524"/>
      <c r="P191" s="524"/>
      <c r="Q191" s="524"/>
      <c r="R191" s="524"/>
      <c r="S191" s="524"/>
      <c r="T191" s="524"/>
      <c r="U191" s="524"/>
      <c r="V191" s="524"/>
      <c r="W191" s="524"/>
      <c r="X191" s="524"/>
      <c r="Y191" s="524"/>
      <c r="Z191" s="524"/>
      <c r="AA191" s="524"/>
      <c r="AB191" s="524"/>
      <c r="AC191" s="524"/>
      <c r="AD191" s="524"/>
      <c r="AE191" s="524"/>
      <c r="AF191" s="524"/>
      <c r="AG191" s="524"/>
      <c r="AH191" s="524"/>
      <c r="AI191" s="524"/>
      <c r="AJ191" s="524"/>
      <c r="AK191" s="524"/>
      <c r="AL191" s="524"/>
      <c r="AM191" s="524"/>
      <c r="AN191" s="524"/>
      <c r="AO191" s="524"/>
      <c r="AP191" s="524"/>
      <c r="AQ191" s="524"/>
      <c r="AR191" s="524"/>
      <c r="AS191" s="78"/>
      <c r="AT191" s="78"/>
      <c r="AU191" s="83"/>
      <c r="AV191" s="83"/>
      <c r="AW191" s="83"/>
      <c r="AX191" s="524"/>
      <c r="AY191" s="524"/>
      <c r="AZ191" s="524"/>
      <c r="BA191" s="524"/>
      <c r="BB191" s="524"/>
      <c r="BC191" s="524"/>
      <c r="BD191" s="524"/>
      <c r="BE191" s="524"/>
      <c r="BF191" s="524"/>
      <c r="BG191" s="524"/>
      <c r="BH191" s="524"/>
      <c r="BI191" s="524"/>
      <c r="BJ191" s="524"/>
      <c r="BK191" s="524"/>
      <c r="BL191" s="524"/>
      <c r="BM191" s="524"/>
      <c r="BN191" s="524"/>
      <c r="BO191" s="524"/>
      <c r="BP191" s="524"/>
      <c r="BQ191" s="524"/>
      <c r="BR191" s="524"/>
      <c r="BS191" s="77"/>
      <c r="BT191" s="85"/>
      <c r="BU191" s="86"/>
      <c r="BV191" s="96"/>
      <c r="BW191" s="252"/>
    </row>
    <row r="192" spans="6:75" ht="11.25" customHeight="1" x14ac:dyDescent="0.2">
      <c r="F192" s="524"/>
      <c r="G192" s="524"/>
      <c r="H192" s="524"/>
      <c r="I192" s="524"/>
      <c r="J192" s="524"/>
      <c r="K192" s="524"/>
      <c r="L192" s="524"/>
      <c r="M192" s="524"/>
      <c r="N192" s="524"/>
      <c r="O192" s="524"/>
      <c r="P192" s="524"/>
      <c r="Q192" s="524"/>
      <c r="R192" s="524"/>
      <c r="S192" s="524"/>
      <c r="T192" s="524"/>
      <c r="U192" s="524"/>
      <c r="V192" s="524"/>
      <c r="W192" s="524"/>
      <c r="X192" s="524"/>
      <c r="Y192" s="524"/>
      <c r="Z192" s="524"/>
      <c r="AA192" s="524"/>
      <c r="AB192" s="524"/>
      <c r="AC192" s="524"/>
      <c r="AD192" s="524"/>
      <c r="AE192" s="524"/>
      <c r="AF192" s="524"/>
      <c r="AG192" s="524"/>
      <c r="AH192" s="524"/>
      <c r="AI192" s="524"/>
      <c r="AJ192" s="524"/>
      <c r="AK192" s="524"/>
      <c r="AL192" s="524"/>
      <c r="AM192" s="524"/>
      <c r="AN192" s="524"/>
      <c r="AO192" s="524"/>
      <c r="AP192" s="524"/>
      <c r="AQ192" s="524"/>
      <c r="AR192" s="524"/>
      <c r="AS192" s="78"/>
      <c r="AT192" s="78"/>
      <c r="AU192" s="83"/>
      <c r="AV192" s="83"/>
      <c r="AW192" s="83"/>
      <c r="AX192" s="524"/>
      <c r="AY192" s="524"/>
      <c r="AZ192" s="524"/>
      <c r="BA192" s="524"/>
      <c r="BB192" s="524"/>
      <c r="BC192" s="524"/>
      <c r="BD192" s="524"/>
      <c r="BE192" s="524"/>
      <c r="BF192" s="524"/>
      <c r="BG192" s="524"/>
      <c r="BH192" s="524"/>
      <c r="BI192" s="524"/>
      <c r="BJ192" s="524"/>
      <c r="BK192" s="524"/>
      <c r="BL192" s="524"/>
      <c r="BM192" s="524"/>
      <c r="BN192" s="524"/>
      <c r="BO192" s="524"/>
      <c r="BP192" s="524"/>
      <c r="BQ192" s="524"/>
      <c r="BR192" s="524"/>
      <c r="BS192" s="77"/>
      <c r="BT192" s="85"/>
      <c r="BU192" s="86"/>
      <c r="BV192" s="96"/>
      <c r="BW192" s="252"/>
    </row>
    <row r="193" spans="6:75" ht="11.25" customHeight="1" x14ac:dyDescent="0.2">
      <c r="F193" s="524"/>
      <c r="G193" s="524"/>
      <c r="H193" s="524"/>
      <c r="I193" s="524"/>
      <c r="J193" s="524"/>
      <c r="K193" s="524"/>
      <c r="L193" s="524"/>
      <c r="M193" s="524"/>
      <c r="N193" s="524"/>
      <c r="O193" s="524"/>
      <c r="P193" s="524"/>
      <c r="Q193" s="524"/>
      <c r="R193" s="524"/>
      <c r="S193" s="524"/>
      <c r="T193" s="524"/>
      <c r="U193" s="524"/>
      <c r="V193" s="524"/>
      <c r="W193" s="524"/>
      <c r="X193" s="524"/>
      <c r="Y193" s="524"/>
      <c r="Z193" s="524"/>
      <c r="AA193" s="524"/>
      <c r="AB193" s="524"/>
      <c r="AC193" s="524"/>
      <c r="AD193" s="524"/>
      <c r="AE193" s="524"/>
      <c r="AF193" s="524"/>
      <c r="AG193" s="524"/>
      <c r="AH193" s="524"/>
      <c r="AI193" s="524"/>
      <c r="AJ193" s="524"/>
      <c r="AK193" s="524"/>
      <c r="AL193" s="524"/>
      <c r="AM193" s="524"/>
      <c r="AN193" s="524"/>
      <c r="AO193" s="524"/>
      <c r="AP193" s="524"/>
      <c r="AQ193" s="524"/>
      <c r="AR193" s="524"/>
      <c r="AS193" s="78"/>
      <c r="AT193" s="78"/>
      <c r="AU193" s="83"/>
      <c r="AV193" s="83"/>
      <c r="AW193" s="83"/>
      <c r="AX193" s="524"/>
      <c r="AY193" s="524"/>
      <c r="AZ193" s="524"/>
      <c r="BA193" s="524"/>
      <c r="BB193" s="524"/>
      <c r="BC193" s="524"/>
      <c r="BD193" s="524"/>
      <c r="BE193" s="524"/>
      <c r="BF193" s="524"/>
      <c r="BG193" s="524"/>
      <c r="BH193" s="524"/>
      <c r="BI193" s="524"/>
      <c r="BJ193" s="524"/>
      <c r="BK193" s="524"/>
      <c r="BL193" s="524"/>
      <c r="BM193" s="524"/>
      <c r="BN193" s="524"/>
      <c r="BO193" s="524"/>
      <c r="BP193" s="524"/>
      <c r="BQ193" s="524"/>
      <c r="BR193" s="524"/>
      <c r="BS193" s="77"/>
      <c r="BT193" s="85"/>
      <c r="BU193" s="86"/>
      <c r="BV193" s="96"/>
      <c r="BW193" s="252"/>
    </row>
    <row r="194" spans="6:75" ht="11.25" customHeight="1" x14ac:dyDescent="0.2">
      <c r="F194" s="524"/>
      <c r="G194" s="524"/>
      <c r="H194" s="524"/>
      <c r="I194" s="524"/>
      <c r="J194" s="524"/>
      <c r="K194" s="524"/>
      <c r="L194" s="524"/>
      <c r="M194" s="524"/>
      <c r="N194" s="524"/>
      <c r="O194" s="524"/>
      <c r="P194" s="524"/>
      <c r="Q194" s="524"/>
      <c r="R194" s="524"/>
      <c r="S194" s="524"/>
      <c r="T194" s="524"/>
      <c r="U194" s="524"/>
      <c r="V194" s="524"/>
      <c r="W194" s="524"/>
      <c r="X194" s="524"/>
      <c r="Y194" s="524"/>
      <c r="Z194" s="524"/>
      <c r="AA194" s="524"/>
      <c r="AB194" s="524"/>
      <c r="AC194" s="524"/>
      <c r="AD194" s="524"/>
      <c r="AE194" s="524"/>
      <c r="AF194" s="524"/>
      <c r="AG194" s="524"/>
      <c r="AH194" s="524"/>
      <c r="AI194" s="524"/>
      <c r="AJ194" s="524"/>
      <c r="AK194" s="524"/>
      <c r="AL194" s="524"/>
      <c r="AM194" s="524"/>
      <c r="AN194" s="524"/>
      <c r="AO194" s="524"/>
      <c r="AP194" s="524"/>
      <c r="AQ194" s="524"/>
      <c r="AR194" s="524"/>
      <c r="AS194" s="78"/>
      <c r="AT194" s="78"/>
      <c r="AU194" s="83"/>
      <c r="AV194" s="83"/>
      <c r="AW194" s="83"/>
      <c r="AX194" s="524"/>
      <c r="AY194" s="524"/>
      <c r="AZ194" s="524"/>
      <c r="BA194" s="524"/>
      <c r="BB194" s="524"/>
      <c r="BC194" s="524"/>
      <c r="BD194" s="524"/>
      <c r="BE194" s="524"/>
      <c r="BF194" s="524"/>
      <c r="BG194" s="524"/>
      <c r="BH194" s="524"/>
      <c r="BI194" s="524"/>
      <c r="BJ194" s="524"/>
      <c r="BK194" s="524"/>
      <c r="BL194" s="524"/>
      <c r="BM194" s="524"/>
      <c r="BN194" s="524"/>
      <c r="BO194" s="524"/>
      <c r="BP194" s="524"/>
      <c r="BQ194" s="524"/>
      <c r="BR194" s="524"/>
      <c r="BS194" s="77"/>
      <c r="BT194" s="85"/>
      <c r="BU194" s="86"/>
      <c r="BV194" s="96"/>
      <c r="BW194" s="252"/>
    </row>
    <row r="195" spans="6:75" ht="11.25" customHeight="1" x14ac:dyDescent="0.2">
      <c r="F195" s="524"/>
      <c r="G195" s="524"/>
      <c r="H195" s="524"/>
      <c r="I195" s="524"/>
      <c r="J195" s="524"/>
      <c r="K195" s="524"/>
      <c r="L195" s="524"/>
      <c r="M195" s="524"/>
      <c r="N195" s="524"/>
      <c r="O195" s="524"/>
      <c r="P195" s="524"/>
      <c r="Q195" s="524"/>
      <c r="R195" s="524"/>
      <c r="S195" s="524"/>
      <c r="T195" s="524"/>
      <c r="U195" s="524"/>
      <c r="V195" s="524"/>
      <c r="W195" s="524"/>
      <c r="X195" s="524"/>
      <c r="Y195" s="524"/>
      <c r="Z195" s="524"/>
      <c r="AA195" s="524"/>
      <c r="AB195" s="524"/>
      <c r="AC195" s="524"/>
      <c r="AD195" s="524"/>
      <c r="AE195" s="524"/>
      <c r="AF195" s="524"/>
      <c r="AG195" s="524"/>
      <c r="AH195" s="524"/>
      <c r="AI195" s="524"/>
      <c r="AJ195" s="524"/>
      <c r="AK195" s="524"/>
      <c r="AL195" s="524"/>
      <c r="AM195" s="524"/>
      <c r="AN195" s="524"/>
      <c r="AO195" s="524"/>
      <c r="AP195" s="524"/>
      <c r="AQ195" s="524"/>
      <c r="AR195" s="524"/>
      <c r="AS195" s="78"/>
      <c r="AT195" s="78"/>
      <c r="AU195" s="83"/>
      <c r="AV195" s="83"/>
      <c r="AW195" s="83"/>
      <c r="AX195" s="524"/>
      <c r="AY195" s="524"/>
      <c r="AZ195" s="524"/>
      <c r="BA195" s="524"/>
      <c r="BB195" s="524"/>
      <c r="BC195" s="524"/>
      <c r="BD195" s="524"/>
      <c r="BE195" s="524"/>
      <c r="BF195" s="524"/>
      <c r="BG195" s="524"/>
      <c r="BH195" s="524"/>
      <c r="BI195" s="524"/>
      <c r="BJ195" s="524"/>
      <c r="BK195" s="524"/>
      <c r="BL195" s="524"/>
      <c r="BM195" s="524"/>
      <c r="BN195" s="524"/>
      <c r="BO195" s="524"/>
      <c r="BP195" s="524"/>
      <c r="BQ195" s="524"/>
      <c r="BR195" s="524"/>
      <c r="BS195" s="77"/>
      <c r="BT195" s="85"/>
      <c r="BU195" s="86"/>
      <c r="BV195" s="96"/>
      <c r="BW195" s="252"/>
    </row>
    <row r="196" spans="6:75" ht="11.25" customHeight="1" x14ac:dyDescent="0.2">
      <c r="F196" s="524"/>
      <c r="G196" s="524"/>
      <c r="H196" s="524"/>
      <c r="I196" s="524"/>
      <c r="J196" s="524"/>
      <c r="K196" s="524"/>
      <c r="L196" s="524"/>
      <c r="M196" s="524"/>
      <c r="N196" s="524"/>
      <c r="O196" s="524"/>
      <c r="P196" s="524"/>
      <c r="Q196" s="524"/>
      <c r="R196" s="524"/>
      <c r="S196" s="524"/>
      <c r="T196" s="524"/>
      <c r="U196" s="524"/>
      <c r="V196" s="524"/>
      <c r="W196" s="524"/>
      <c r="X196" s="524"/>
      <c r="Y196" s="524"/>
      <c r="Z196" s="524"/>
      <c r="AA196" s="524"/>
      <c r="AB196" s="524"/>
      <c r="AC196" s="524"/>
      <c r="AD196" s="524"/>
      <c r="AE196" s="524"/>
      <c r="AF196" s="524"/>
      <c r="AG196" s="524"/>
      <c r="AH196" s="524"/>
      <c r="AI196" s="524"/>
      <c r="AJ196" s="524"/>
      <c r="AK196" s="524"/>
      <c r="AL196" s="524"/>
      <c r="AM196" s="524"/>
      <c r="AN196" s="524"/>
      <c r="AO196" s="524"/>
      <c r="AP196" s="524"/>
      <c r="AQ196" s="524"/>
      <c r="AR196" s="524"/>
      <c r="AS196" s="78"/>
      <c r="AT196" s="78"/>
      <c r="AU196" s="83"/>
      <c r="AV196" s="83"/>
      <c r="AW196" s="83"/>
      <c r="AX196" s="524"/>
      <c r="AY196" s="524"/>
      <c r="AZ196" s="524"/>
      <c r="BA196" s="524"/>
      <c r="BB196" s="524"/>
      <c r="BC196" s="524"/>
      <c r="BD196" s="524"/>
      <c r="BE196" s="524"/>
      <c r="BF196" s="524"/>
      <c r="BG196" s="524"/>
      <c r="BH196" s="524"/>
      <c r="BI196" s="524"/>
      <c r="BJ196" s="524"/>
      <c r="BK196" s="524"/>
      <c r="BL196" s="524"/>
      <c r="BM196" s="524"/>
      <c r="BN196" s="524"/>
      <c r="BO196" s="524"/>
      <c r="BP196" s="524"/>
      <c r="BQ196" s="524"/>
      <c r="BR196" s="524"/>
      <c r="BS196" s="77"/>
      <c r="BT196" s="85"/>
      <c r="BU196" s="86"/>
      <c r="BV196" s="96"/>
      <c r="BW196" s="252"/>
    </row>
    <row r="197" spans="6:75" ht="11.25" customHeight="1" x14ac:dyDescent="0.2">
      <c r="F197" s="524"/>
      <c r="G197" s="524"/>
      <c r="H197" s="524"/>
      <c r="I197" s="524"/>
      <c r="J197" s="524"/>
      <c r="K197" s="524"/>
      <c r="L197" s="524"/>
      <c r="M197" s="524"/>
      <c r="N197" s="524"/>
      <c r="O197" s="524"/>
      <c r="P197" s="524"/>
      <c r="Q197" s="524"/>
      <c r="R197" s="524"/>
      <c r="S197" s="524"/>
      <c r="T197" s="524"/>
      <c r="U197" s="524"/>
      <c r="V197" s="524"/>
      <c r="W197" s="524"/>
      <c r="X197" s="524"/>
      <c r="Y197" s="524"/>
      <c r="Z197" s="524"/>
      <c r="AA197" s="524"/>
      <c r="AB197" s="524"/>
      <c r="AC197" s="524"/>
      <c r="AD197" s="524"/>
      <c r="AE197" s="524"/>
      <c r="AF197" s="524"/>
      <c r="AG197" s="524"/>
      <c r="AH197" s="524"/>
      <c r="AI197" s="524"/>
      <c r="AJ197" s="524"/>
      <c r="AK197" s="524"/>
      <c r="AL197" s="524"/>
      <c r="AM197" s="524"/>
      <c r="AN197" s="524"/>
      <c r="AO197" s="524"/>
      <c r="AP197" s="524"/>
      <c r="AQ197" s="524"/>
      <c r="AR197" s="524"/>
      <c r="AS197" s="78"/>
      <c r="AT197" s="78"/>
      <c r="AU197" s="83"/>
      <c r="AV197" s="83"/>
      <c r="AW197" s="83"/>
      <c r="AX197" s="524"/>
      <c r="AY197" s="524"/>
      <c r="AZ197" s="524"/>
      <c r="BA197" s="524"/>
      <c r="BB197" s="524"/>
      <c r="BC197" s="524"/>
      <c r="BD197" s="524"/>
      <c r="BE197" s="524"/>
      <c r="BF197" s="524"/>
      <c r="BG197" s="524"/>
      <c r="BH197" s="524"/>
      <c r="BI197" s="524"/>
      <c r="BJ197" s="524"/>
      <c r="BK197" s="524"/>
      <c r="BL197" s="524"/>
      <c r="BM197" s="524"/>
      <c r="BN197" s="524"/>
      <c r="BO197" s="524"/>
      <c r="BP197" s="524"/>
      <c r="BQ197" s="524"/>
      <c r="BR197" s="524"/>
      <c r="BS197" s="77"/>
      <c r="BT197" s="85"/>
      <c r="BU197" s="86"/>
      <c r="BV197" s="96"/>
      <c r="BW197" s="252"/>
    </row>
    <row r="198" spans="6:75" ht="11.25" customHeight="1" x14ac:dyDescent="0.2">
      <c r="F198" s="524"/>
      <c r="G198" s="524"/>
      <c r="H198" s="524"/>
      <c r="I198" s="524"/>
      <c r="J198" s="524"/>
      <c r="K198" s="524"/>
      <c r="L198" s="524"/>
      <c r="M198" s="524"/>
      <c r="N198" s="524"/>
      <c r="O198" s="524"/>
      <c r="P198" s="524"/>
      <c r="Q198" s="524"/>
      <c r="R198" s="524"/>
      <c r="S198" s="524"/>
      <c r="T198" s="524"/>
      <c r="U198" s="524"/>
      <c r="V198" s="524"/>
      <c r="W198" s="524"/>
      <c r="X198" s="524"/>
      <c r="Y198" s="524"/>
      <c r="Z198" s="524"/>
      <c r="AA198" s="524"/>
      <c r="AB198" s="524"/>
      <c r="AC198" s="524"/>
      <c r="AD198" s="524"/>
      <c r="AE198" s="524"/>
      <c r="AF198" s="524"/>
      <c r="AG198" s="524"/>
      <c r="AH198" s="524"/>
      <c r="AI198" s="524"/>
      <c r="AJ198" s="524"/>
      <c r="AK198" s="524"/>
      <c r="AL198" s="524"/>
      <c r="AM198" s="524"/>
      <c r="AN198" s="524"/>
      <c r="AO198" s="524"/>
      <c r="AP198" s="524"/>
      <c r="AQ198" s="524"/>
      <c r="AR198" s="524"/>
      <c r="AS198" s="78"/>
      <c r="AT198" s="78"/>
      <c r="AU198" s="83"/>
      <c r="AV198" s="83"/>
      <c r="AW198" s="83"/>
      <c r="AX198" s="524"/>
      <c r="AY198" s="524"/>
      <c r="AZ198" s="524"/>
      <c r="BA198" s="524"/>
      <c r="BB198" s="524"/>
      <c r="BC198" s="524"/>
      <c r="BD198" s="524"/>
      <c r="BE198" s="524"/>
      <c r="BF198" s="524"/>
      <c r="BG198" s="524"/>
      <c r="BH198" s="524"/>
      <c r="BI198" s="524"/>
      <c r="BJ198" s="524"/>
      <c r="BK198" s="524"/>
      <c r="BL198" s="524"/>
      <c r="BM198" s="524"/>
      <c r="BN198" s="524"/>
      <c r="BO198" s="524"/>
      <c r="BP198" s="524"/>
      <c r="BQ198" s="524"/>
      <c r="BR198" s="524"/>
      <c r="BS198" s="77"/>
      <c r="BT198" s="85"/>
      <c r="BU198" s="86"/>
      <c r="BV198" s="96"/>
      <c r="BW198" s="252"/>
    </row>
    <row r="199" spans="6:75" ht="11.25" customHeight="1" x14ac:dyDescent="0.2">
      <c r="F199" s="524"/>
      <c r="G199" s="524"/>
      <c r="H199" s="524"/>
      <c r="I199" s="524"/>
      <c r="J199" s="524"/>
      <c r="K199" s="524"/>
      <c r="L199" s="524"/>
      <c r="M199" s="524"/>
      <c r="N199" s="524"/>
      <c r="O199" s="524"/>
      <c r="P199" s="524"/>
      <c r="Q199" s="524"/>
      <c r="R199" s="524"/>
      <c r="S199" s="524"/>
      <c r="T199" s="524"/>
      <c r="U199" s="524"/>
      <c r="V199" s="524"/>
      <c r="W199" s="524"/>
      <c r="X199" s="524"/>
      <c r="Y199" s="524"/>
      <c r="Z199" s="524"/>
      <c r="AA199" s="524"/>
      <c r="AB199" s="524"/>
      <c r="AC199" s="524"/>
      <c r="AD199" s="524"/>
      <c r="AE199" s="524"/>
      <c r="AF199" s="524"/>
      <c r="AG199" s="524"/>
      <c r="AH199" s="524"/>
      <c r="AI199" s="524"/>
      <c r="AJ199" s="524"/>
      <c r="AK199" s="524"/>
      <c r="AL199" s="524"/>
      <c r="AM199" s="524"/>
      <c r="AN199" s="524"/>
      <c r="AO199" s="524"/>
      <c r="AP199" s="524"/>
      <c r="AQ199" s="524"/>
      <c r="AR199" s="524"/>
      <c r="AS199" s="78"/>
      <c r="AT199" s="78"/>
      <c r="AU199" s="83"/>
      <c r="AV199" s="83"/>
      <c r="AW199" s="83"/>
      <c r="AX199" s="524"/>
      <c r="AY199" s="524"/>
      <c r="AZ199" s="524"/>
      <c r="BA199" s="524"/>
      <c r="BB199" s="524"/>
      <c r="BC199" s="524"/>
      <c r="BD199" s="524"/>
      <c r="BE199" s="524"/>
      <c r="BF199" s="524"/>
      <c r="BG199" s="524"/>
      <c r="BH199" s="524"/>
      <c r="BI199" s="524"/>
      <c r="BJ199" s="524"/>
      <c r="BK199" s="524"/>
      <c r="BL199" s="524"/>
      <c r="BM199" s="524"/>
      <c r="BN199" s="524"/>
      <c r="BO199" s="524"/>
      <c r="BP199" s="524"/>
      <c r="BQ199" s="524"/>
      <c r="BR199" s="524"/>
      <c r="BS199" s="77"/>
      <c r="BT199" s="85"/>
      <c r="BU199" s="86"/>
      <c r="BV199" s="96"/>
      <c r="BW199" s="252"/>
    </row>
    <row r="200" spans="6:75" ht="11.25" customHeight="1" x14ac:dyDescent="0.2">
      <c r="F200" s="524"/>
      <c r="G200" s="524"/>
      <c r="H200" s="524"/>
      <c r="I200" s="524"/>
      <c r="J200" s="524"/>
      <c r="K200" s="524"/>
      <c r="L200" s="524"/>
      <c r="M200" s="524"/>
      <c r="N200" s="524"/>
      <c r="O200" s="524"/>
      <c r="P200" s="524"/>
      <c r="Q200" s="524"/>
      <c r="R200" s="524"/>
      <c r="S200" s="524"/>
      <c r="T200" s="524"/>
      <c r="U200" s="524"/>
      <c r="V200" s="524"/>
      <c r="W200" s="524"/>
      <c r="X200" s="524"/>
      <c r="Y200" s="524"/>
      <c r="Z200" s="524"/>
      <c r="AA200" s="524"/>
      <c r="AB200" s="524"/>
      <c r="AC200" s="524"/>
      <c r="AD200" s="524"/>
      <c r="AE200" s="524"/>
      <c r="AF200" s="524"/>
      <c r="AG200" s="524"/>
      <c r="AH200" s="524"/>
      <c r="AI200" s="524"/>
      <c r="AJ200" s="524"/>
      <c r="AK200" s="524"/>
      <c r="AL200" s="524"/>
      <c r="AM200" s="524"/>
      <c r="AN200" s="524"/>
      <c r="AO200" s="524"/>
      <c r="AP200" s="524"/>
      <c r="AQ200" s="524"/>
      <c r="AR200" s="524"/>
      <c r="AS200" s="78"/>
      <c r="AT200" s="78"/>
      <c r="AU200" s="83"/>
      <c r="AV200" s="83"/>
      <c r="AW200" s="83"/>
      <c r="AX200" s="524"/>
      <c r="AY200" s="524"/>
      <c r="AZ200" s="524"/>
      <c r="BA200" s="524"/>
      <c r="BB200" s="524"/>
      <c r="BC200" s="524"/>
      <c r="BD200" s="524"/>
      <c r="BE200" s="524"/>
      <c r="BF200" s="524"/>
      <c r="BG200" s="524"/>
      <c r="BH200" s="524"/>
      <c r="BI200" s="524"/>
      <c r="BJ200" s="524"/>
      <c r="BK200" s="524"/>
      <c r="BL200" s="524"/>
      <c r="BM200" s="524"/>
      <c r="BN200" s="524"/>
      <c r="BO200" s="524"/>
      <c r="BP200" s="524"/>
      <c r="BQ200" s="524"/>
      <c r="BR200" s="524"/>
      <c r="BS200" s="77"/>
      <c r="BT200" s="85"/>
      <c r="BU200" s="86"/>
      <c r="BV200" s="96"/>
      <c r="BW200" s="252"/>
    </row>
    <row r="201" spans="6:75" ht="11.25" customHeight="1" x14ac:dyDescent="0.2">
      <c r="F201" s="524"/>
      <c r="G201" s="524"/>
      <c r="H201" s="524"/>
      <c r="I201" s="524"/>
      <c r="J201" s="524"/>
      <c r="K201" s="524"/>
      <c r="L201" s="524"/>
      <c r="M201" s="524"/>
      <c r="N201" s="524"/>
      <c r="O201" s="524"/>
      <c r="P201" s="524"/>
      <c r="Q201" s="524"/>
      <c r="R201" s="524"/>
      <c r="S201" s="524"/>
      <c r="T201" s="524"/>
      <c r="U201" s="524"/>
      <c r="V201" s="524"/>
      <c r="W201" s="524"/>
      <c r="X201" s="524"/>
      <c r="Y201" s="524"/>
      <c r="Z201" s="524"/>
      <c r="AA201" s="524"/>
      <c r="AB201" s="524"/>
      <c r="AC201" s="524"/>
      <c r="AD201" s="524"/>
      <c r="AE201" s="524"/>
      <c r="AF201" s="524"/>
      <c r="AG201" s="524"/>
      <c r="AH201" s="524"/>
      <c r="AI201" s="524"/>
      <c r="AJ201" s="524"/>
      <c r="AK201" s="524"/>
      <c r="AL201" s="524"/>
      <c r="AM201" s="524"/>
      <c r="AN201" s="524"/>
      <c r="AO201" s="524"/>
      <c r="AP201" s="524"/>
      <c r="AQ201" s="524"/>
      <c r="AR201" s="524"/>
      <c r="AS201" s="78"/>
      <c r="AT201" s="78"/>
      <c r="AU201" s="83"/>
      <c r="AV201" s="83"/>
      <c r="AW201" s="83"/>
      <c r="AX201" s="524"/>
      <c r="AY201" s="524"/>
      <c r="AZ201" s="524"/>
      <c r="BA201" s="524"/>
      <c r="BB201" s="524"/>
      <c r="BC201" s="524"/>
      <c r="BD201" s="524"/>
      <c r="BE201" s="524"/>
      <c r="BF201" s="524"/>
      <c r="BG201" s="524"/>
      <c r="BH201" s="524"/>
      <c r="BI201" s="524"/>
      <c r="BJ201" s="524"/>
      <c r="BK201" s="524"/>
      <c r="BL201" s="524"/>
      <c r="BM201" s="524"/>
      <c r="BN201" s="524"/>
      <c r="BO201" s="524"/>
      <c r="BP201" s="524"/>
      <c r="BQ201" s="524"/>
      <c r="BR201" s="524"/>
      <c r="BS201" s="77"/>
      <c r="BT201" s="85"/>
      <c r="BU201" s="86"/>
      <c r="BV201" s="96"/>
      <c r="BW201" s="252"/>
    </row>
    <row r="202" spans="6:75" ht="11.25" customHeight="1" x14ac:dyDescent="0.2">
      <c r="F202" s="524"/>
      <c r="G202" s="524"/>
      <c r="H202" s="524"/>
      <c r="I202" s="524"/>
      <c r="J202" s="524"/>
      <c r="K202" s="524"/>
      <c r="L202" s="524"/>
      <c r="M202" s="524"/>
      <c r="N202" s="524"/>
      <c r="O202" s="524"/>
      <c r="P202" s="524"/>
      <c r="Q202" s="524"/>
      <c r="R202" s="524"/>
      <c r="S202" s="524"/>
      <c r="T202" s="524"/>
      <c r="U202" s="524"/>
      <c r="V202" s="524"/>
      <c r="W202" s="524"/>
      <c r="X202" s="524"/>
      <c r="Y202" s="524"/>
      <c r="Z202" s="524"/>
      <c r="AA202" s="524"/>
      <c r="AB202" s="524"/>
      <c r="AC202" s="524"/>
      <c r="AD202" s="524"/>
      <c r="AE202" s="524"/>
      <c r="AF202" s="524"/>
      <c r="AG202" s="524"/>
      <c r="AH202" s="524"/>
      <c r="AI202" s="524"/>
      <c r="AJ202" s="524"/>
      <c r="AK202" s="524"/>
      <c r="AL202" s="524"/>
      <c r="AM202" s="524"/>
      <c r="AN202" s="524"/>
      <c r="AO202" s="524"/>
      <c r="AP202" s="524"/>
      <c r="AQ202" s="524"/>
      <c r="AR202" s="524"/>
      <c r="AS202" s="78"/>
      <c r="AT202" s="78"/>
      <c r="AU202" s="83"/>
      <c r="AV202" s="83"/>
      <c r="AW202" s="83"/>
      <c r="AX202" s="524"/>
      <c r="AY202" s="524"/>
      <c r="AZ202" s="524"/>
      <c r="BA202" s="524"/>
      <c r="BB202" s="524"/>
      <c r="BC202" s="524"/>
      <c r="BD202" s="524"/>
      <c r="BE202" s="524"/>
      <c r="BF202" s="524"/>
      <c r="BG202" s="524"/>
      <c r="BH202" s="524"/>
      <c r="BI202" s="524"/>
      <c r="BJ202" s="524"/>
      <c r="BK202" s="524"/>
      <c r="BL202" s="524"/>
      <c r="BM202" s="524"/>
      <c r="BN202" s="524"/>
      <c r="BO202" s="524"/>
      <c r="BP202" s="524"/>
      <c r="BQ202" s="524"/>
      <c r="BR202" s="524"/>
      <c r="BS202" s="77"/>
      <c r="BT202" s="85"/>
      <c r="BU202" s="86"/>
      <c r="BV202" s="96"/>
      <c r="BW202" s="252"/>
    </row>
    <row r="203" spans="6:75" ht="11.25" customHeight="1" x14ac:dyDescent="0.2">
      <c r="F203" s="524"/>
      <c r="G203" s="524"/>
      <c r="H203" s="524"/>
      <c r="I203" s="524"/>
      <c r="J203" s="524"/>
      <c r="K203" s="524"/>
      <c r="L203" s="524"/>
      <c r="M203" s="524"/>
      <c r="N203" s="524"/>
      <c r="O203" s="524"/>
      <c r="P203" s="524"/>
      <c r="Q203" s="524"/>
      <c r="R203" s="524"/>
      <c r="S203" s="524"/>
      <c r="T203" s="524"/>
      <c r="U203" s="524"/>
      <c r="V203" s="524"/>
      <c r="W203" s="524"/>
      <c r="X203" s="524"/>
      <c r="Y203" s="524"/>
      <c r="Z203" s="524"/>
      <c r="AA203" s="524"/>
      <c r="AB203" s="524"/>
      <c r="AC203" s="524"/>
      <c r="AD203" s="524"/>
      <c r="AE203" s="524"/>
      <c r="AF203" s="524"/>
      <c r="AG203" s="524"/>
      <c r="AH203" s="524"/>
      <c r="AI203" s="524"/>
      <c r="AJ203" s="524"/>
      <c r="AK203" s="524"/>
      <c r="AL203" s="524"/>
      <c r="AM203" s="524"/>
      <c r="AN203" s="524"/>
      <c r="AO203" s="524"/>
      <c r="AP203" s="524"/>
      <c r="AQ203" s="524"/>
      <c r="AR203" s="524"/>
      <c r="AS203" s="78"/>
      <c r="AT203" s="78"/>
      <c r="AU203" s="83"/>
      <c r="AV203" s="83"/>
      <c r="AW203" s="83"/>
      <c r="AX203" s="524"/>
      <c r="AY203" s="524"/>
      <c r="AZ203" s="524"/>
      <c r="BA203" s="524"/>
      <c r="BB203" s="524"/>
      <c r="BC203" s="524"/>
      <c r="BD203" s="524"/>
      <c r="BE203" s="524"/>
      <c r="BF203" s="524"/>
      <c r="BG203" s="524"/>
      <c r="BH203" s="524"/>
      <c r="BI203" s="524"/>
      <c r="BJ203" s="524"/>
      <c r="BK203" s="524"/>
      <c r="BL203" s="524"/>
      <c r="BM203" s="524"/>
      <c r="BN203" s="524"/>
      <c r="BO203" s="524"/>
      <c r="BP203" s="524"/>
      <c r="BQ203" s="524"/>
      <c r="BR203" s="524"/>
      <c r="BS203" s="77"/>
      <c r="BT203" s="85"/>
      <c r="BU203" s="86"/>
      <c r="BV203" s="96"/>
      <c r="BW203" s="252"/>
    </row>
    <row r="204" spans="6:75" ht="11.25" customHeight="1" x14ac:dyDescent="0.2">
      <c r="F204" s="524"/>
      <c r="G204" s="524"/>
      <c r="H204" s="524"/>
      <c r="I204" s="524"/>
      <c r="J204" s="524"/>
      <c r="K204" s="524"/>
      <c r="L204" s="524"/>
      <c r="M204" s="524"/>
      <c r="N204" s="524"/>
      <c r="O204" s="524"/>
      <c r="P204" s="524"/>
      <c r="Q204" s="524"/>
      <c r="R204" s="524"/>
      <c r="S204" s="524"/>
      <c r="T204" s="524"/>
      <c r="U204" s="524"/>
      <c r="V204" s="524"/>
      <c r="W204" s="524"/>
      <c r="X204" s="524"/>
      <c r="Y204" s="524"/>
      <c r="Z204" s="524"/>
      <c r="AA204" s="524"/>
      <c r="AB204" s="524"/>
      <c r="AC204" s="524"/>
      <c r="AD204" s="524"/>
      <c r="AE204" s="524"/>
      <c r="AF204" s="524"/>
      <c r="AG204" s="524"/>
      <c r="AH204" s="524"/>
      <c r="AI204" s="524"/>
      <c r="AJ204" s="524"/>
      <c r="AK204" s="524"/>
      <c r="AL204" s="524"/>
      <c r="AM204" s="524"/>
      <c r="AN204" s="524"/>
      <c r="AO204" s="524"/>
      <c r="AP204" s="524"/>
      <c r="AQ204" s="524"/>
      <c r="AR204" s="524"/>
      <c r="AS204" s="78"/>
      <c r="AT204" s="78"/>
      <c r="AU204" s="83"/>
      <c r="AV204" s="83"/>
      <c r="AW204" s="83"/>
      <c r="AX204" s="524"/>
      <c r="AY204" s="524"/>
      <c r="AZ204" s="524"/>
      <c r="BA204" s="524"/>
      <c r="BB204" s="524"/>
      <c r="BC204" s="524"/>
      <c r="BD204" s="524"/>
      <c r="BE204" s="524"/>
      <c r="BF204" s="524"/>
      <c r="BG204" s="524"/>
      <c r="BH204" s="524"/>
      <c r="BI204" s="524"/>
      <c r="BJ204" s="524"/>
      <c r="BK204" s="524"/>
      <c r="BL204" s="524"/>
      <c r="BM204" s="524"/>
      <c r="BN204" s="524"/>
      <c r="BO204" s="524"/>
      <c r="BP204" s="524"/>
      <c r="BQ204" s="524"/>
      <c r="BR204" s="524"/>
      <c r="BS204" s="77"/>
      <c r="BT204" s="85"/>
      <c r="BU204" s="86"/>
      <c r="BV204" s="96"/>
      <c r="BW204" s="252"/>
    </row>
    <row r="205" spans="6:75" ht="11.25" customHeight="1" x14ac:dyDescent="0.2">
      <c r="F205" s="524"/>
      <c r="G205" s="524"/>
      <c r="H205" s="524"/>
      <c r="I205" s="524"/>
      <c r="J205" s="524"/>
      <c r="K205" s="524"/>
      <c r="L205" s="524"/>
      <c r="M205" s="524"/>
      <c r="N205" s="524"/>
      <c r="O205" s="524"/>
      <c r="P205" s="524"/>
      <c r="Q205" s="524"/>
      <c r="R205" s="524"/>
      <c r="S205" s="524"/>
      <c r="T205" s="524"/>
      <c r="U205" s="524"/>
      <c r="V205" s="524"/>
      <c r="W205" s="524"/>
      <c r="X205" s="524"/>
      <c r="Y205" s="524"/>
      <c r="Z205" s="524"/>
      <c r="AA205" s="524"/>
      <c r="AB205" s="524"/>
      <c r="AC205" s="524"/>
      <c r="AD205" s="524"/>
      <c r="AE205" s="524"/>
      <c r="AF205" s="524"/>
      <c r="AG205" s="524"/>
      <c r="AH205" s="524"/>
      <c r="AI205" s="524"/>
      <c r="AJ205" s="524"/>
      <c r="AK205" s="524"/>
      <c r="AL205" s="524"/>
      <c r="AM205" s="524"/>
      <c r="AN205" s="524"/>
      <c r="AO205" s="524"/>
      <c r="AP205" s="524"/>
      <c r="AQ205" s="524"/>
      <c r="AR205" s="524"/>
      <c r="AS205" s="78"/>
      <c r="AT205" s="78"/>
      <c r="AU205" s="83"/>
      <c r="AV205" s="83"/>
      <c r="AW205" s="83"/>
      <c r="AX205" s="524"/>
      <c r="AY205" s="524"/>
      <c r="AZ205" s="524"/>
      <c r="BA205" s="524"/>
      <c r="BB205" s="524"/>
      <c r="BC205" s="524"/>
      <c r="BD205" s="524"/>
      <c r="BE205" s="524"/>
      <c r="BF205" s="524"/>
      <c r="BG205" s="524"/>
      <c r="BH205" s="524"/>
      <c r="BI205" s="524"/>
      <c r="BJ205" s="524"/>
      <c r="BK205" s="524"/>
      <c r="BL205" s="524"/>
      <c r="BM205" s="524"/>
      <c r="BN205" s="524"/>
      <c r="BO205" s="524"/>
      <c r="BP205" s="524"/>
      <c r="BQ205" s="524"/>
      <c r="BR205" s="524"/>
      <c r="BS205" s="77"/>
      <c r="BT205" s="85"/>
      <c r="BU205" s="86"/>
      <c r="BV205" s="96"/>
      <c r="BW205" s="252"/>
    </row>
    <row r="206" spans="6:75" ht="11.25" customHeight="1" x14ac:dyDescent="0.2">
      <c r="F206" s="524"/>
      <c r="G206" s="524"/>
      <c r="H206" s="524"/>
      <c r="I206" s="524"/>
      <c r="J206" s="524"/>
      <c r="K206" s="524"/>
      <c r="L206" s="524"/>
      <c r="M206" s="524"/>
      <c r="N206" s="524"/>
      <c r="O206" s="524"/>
      <c r="P206" s="524"/>
      <c r="Q206" s="524"/>
      <c r="R206" s="524"/>
      <c r="S206" s="524"/>
      <c r="T206" s="524"/>
      <c r="U206" s="524"/>
      <c r="V206" s="524"/>
      <c r="W206" s="524"/>
      <c r="X206" s="524"/>
      <c r="Y206" s="524"/>
      <c r="Z206" s="524"/>
      <c r="AA206" s="524"/>
      <c r="AB206" s="524"/>
      <c r="AC206" s="524"/>
      <c r="AD206" s="524"/>
      <c r="AE206" s="524"/>
      <c r="AF206" s="524"/>
      <c r="AG206" s="524"/>
      <c r="AH206" s="524"/>
      <c r="AI206" s="524"/>
      <c r="AJ206" s="524"/>
      <c r="AK206" s="524"/>
      <c r="AL206" s="524"/>
      <c r="AM206" s="524"/>
      <c r="AN206" s="524"/>
      <c r="AO206" s="524"/>
      <c r="AP206" s="524"/>
      <c r="AQ206" s="524"/>
      <c r="AR206" s="524"/>
      <c r="AS206" s="78"/>
      <c r="AT206" s="78"/>
      <c r="AU206" s="83"/>
      <c r="AV206" s="83"/>
      <c r="AW206" s="83"/>
      <c r="AX206" s="524"/>
      <c r="AY206" s="524"/>
      <c r="AZ206" s="524"/>
      <c r="BA206" s="524"/>
      <c r="BB206" s="524"/>
      <c r="BC206" s="524"/>
      <c r="BD206" s="524"/>
      <c r="BE206" s="524"/>
      <c r="BF206" s="524"/>
      <c r="BG206" s="524"/>
      <c r="BH206" s="524"/>
      <c r="BI206" s="524"/>
      <c r="BJ206" s="524"/>
      <c r="BK206" s="524"/>
      <c r="BL206" s="524"/>
      <c r="BM206" s="524"/>
      <c r="BN206" s="524"/>
      <c r="BO206" s="524"/>
      <c r="BP206" s="524"/>
      <c r="BQ206" s="524"/>
      <c r="BR206" s="524"/>
      <c r="BS206" s="77"/>
      <c r="BT206" s="85"/>
      <c r="BU206" s="86"/>
      <c r="BV206" s="96"/>
      <c r="BW206" s="252"/>
    </row>
    <row r="207" spans="6:75" ht="11.25" customHeight="1" x14ac:dyDescent="0.2">
      <c r="F207" s="524"/>
      <c r="G207" s="524"/>
      <c r="H207" s="524"/>
      <c r="I207" s="524"/>
      <c r="J207" s="524"/>
      <c r="K207" s="524"/>
      <c r="L207" s="524"/>
      <c r="M207" s="524"/>
      <c r="N207" s="524"/>
      <c r="O207" s="524"/>
      <c r="P207" s="524"/>
      <c r="Q207" s="524"/>
      <c r="R207" s="524"/>
      <c r="S207" s="524"/>
      <c r="T207" s="524"/>
      <c r="U207" s="524"/>
      <c r="V207" s="524"/>
      <c r="W207" s="524"/>
      <c r="X207" s="524"/>
      <c r="Y207" s="524"/>
      <c r="Z207" s="524"/>
      <c r="AA207" s="524"/>
      <c r="AB207" s="524"/>
      <c r="AC207" s="524"/>
      <c r="AD207" s="524"/>
      <c r="AE207" s="524"/>
      <c r="AF207" s="524"/>
      <c r="AG207" s="524"/>
      <c r="AH207" s="524"/>
      <c r="AI207" s="524"/>
      <c r="AJ207" s="524"/>
      <c r="AK207" s="524"/>
      <c r="AL207" s="524"/>
      <c r="AM207" s="524"/>
      <c r="AN207" s="524"/>
      <c r="AO207" s="524"/>
      <c r="AP207" s="524"/>
      <c r="AQ207" s="524"/>
      <c r="AR207" s="524"/>
      <c r="AS207" s="78"/>
      <c r="AT207" s="78"/>
      <c r="AU207" s="83"/>
      <c r="AV207" s="83"/>
      <c r="AW207" s="83"/>
      <c r="AX207" s="524"/>
      <c r="AY207" s="524"/>
      <c r="AZ207" s="524"/>
      <c r="BA207" s="524"/>
      <c r="BB207" s="524"/>
      <c r="BC207" s="524"/>
      <c r="BD207" s="524"/>
      <c r="BE207" s="524"/>
      <c r="BF207" s="524"/>
      <c r="BG207" s="524"/>
      <c r="BH207" s="524"/>
      <c r="BI207" s="524"/>
      <c r="BJ207" s="524"/>
      <c r="BK207" s="524"/>
      <c r="BL207" s="524"/>
      <c r="BM207" s="524"/>
      <c r="BN207" s="524"/>
      <c r="BO207" s="524"/>
      <c r="BP207" s="524"/>
      <c r="BQ207" s="524"/>
      <c r="BR207" s="524"/>
      <c r="BS207" s="77"/>
      <c r="BT207" s="85"/>
      <c r="BU207" s="86"/>
      <c r="BV207" s="96"/>
      <c r="BW207" s="252"/>
    </row>
    <row r="208" spans="6:75" ht="11.25" customHeight="1" x14ac:dyDescent="0.2">
      <c r="F208" s="524"/>
      <c r="G208" s="524"/>
      <c r="H208" s="524"/>
      <c r="I208" s="524"/>
      <c r="J208" s="524"/>
      <c r="K208" s="524"/>
      <c r="L208" s="524"/>
      <c r="M208" s="524"/>
      <c r="N208" s="524"/>
      <c r="O208" s="524"/>
      <c r="P208" s="524"/>
      <c r="Q208" s="524"/>
      <c r="R208" s="524"/>
      <c r="S208" s="524"/>
      <c r="T208" s="524"/>
      <c r="U208" s="524"/>
      <c r="V208" s="524"/>
      <c r="W208" s="524"/>
      <c r="X208" s="524"/>
      <c r="Y208" s="524"/>
      <c r="Z208" s="524"/>
      <c r="AA208" s="524"/>
      <c r="AB208" s="524"/>
      <c r="AC208" s="524"/>
      <c r="AD208" s="524"/>
      <c r="AE208" s="524"/>
      <c r="AF208" s="524"/>
      <c r="AG208" s="524"/>
      <c r="AH208" s="524"/>
      <c r="AI208" s="524"/>
      <c r="AJ208" s="524"/>
      <c r="AK208" s="524"/>
      <c r="AL208" s="524"/>
      <c r="AM208" s="524"/>
      <c r="AN208" s="524"/>
      <c r="AO208" s="524"/>
      <c r="AP208" s="524"/>
      <c r="AQ208" s="524"/>
      <c r="AR208" s="524"/>
      <c r="AS208" s="78"/>
      <c r="AT208" s="78"/>
      <c r="AU208" s="83"/>
      <c r="AV208" s="83"/>
      <c r="AW208" s="83"/>
      <c r="AX208" s="524"/>
      <c r="AY208" s="524"/>
      <c r="AZ208" s="524"/>
      <c r="BA208" s="524"/>
      <c r="BB208" s="524"/>
      <c r="BC208" s="524"/>
      <c r="BD208" s="524"/>
      <c r="BE208" s="524"/>
      <c r="BF208" s="524"/>
      <c r="BG208" s="524"/>
      <c r="BH208" s="524"/>
      <c r="BI208" s="524"/>
      <c r="BJ208" s="524"/>
      <c r="BK208" s="524"/>
      <c r="BL208" s="524"/>
      <c r="BM208" s="524"/>
      <c r="BN208" s="524"/>
      <c r="BO208" s="524"/>
      <c r="BP208" s="524"/>
      <c r="BQ208" s="524"/>
      <c r="BR208" s="524"/>
      <c r="BS208" s="77"/>
      <c r="BT208" s="85"/>
      <c r="BU208" s="86"/>
      <c r="BV208" s="96"/>
      <c r="BW208" s="252"/>
    </row>
    <row r="209" spans="6:75" ht="11.25" customHeight="1" x14ac:dyDescent="0.2">
      <c r="F209" s="524"/>
      <c r="G209" s="524"/>
      <c r="H209" s="524"/>
      <c r="I209" s="524"/>
      <c r="J209" s="524"/>
      <c r="K209" s="524"/>
      <c r="L209" s="524"/>
      <c r="M209" s="524"/>
      <c r="N209" s="524"/>
      <c r="O209" s="524"/>
      <c r="P209" s="524"/>
      <c r="Q209" s="524"/>
      <c r="R209" s="524"/>
      <c r="S209" s="524"/>
      <c r="T209" s="524"/>
      <c r="U209" s="524"/>
      <c r="V209" s="524"/>
      <c r="W209" s="524"/>
      <c r="X209" s="524"/>
      <c r="Y209" s="524"/>
      <c r="Z209" s="524"/>
      <c r="AA209" s="524"/>
      <c r="AB209" s="524"/>
      <c r="AC209" s="524"/>
      <c r="AD209" s="524"/>
      <c r="AE209" s="524"/>
      <c r="AF209" s="524"/>
      <c r="AG209" s="524"/>
      <c r="AH209" s="524"/>
      <c r="AI209" s="524"/>
      <c r="AJ209" s="524"/>
      <c r="AK209" s="524"/>
      <c r="AL209" s="524"/>
      <c r="AM209" s="524"/>
      <c r="AN209" s="524"/>
      <c r="AO209" s="524"/>
      <c r="AP209" s="524"/>
      <c r="AQ209" s="524"/>
      <c r="AR209" s="524"/>
      <c r="AS209" s="78"/>
      <c r="AT209" s="78"/>
      <c r="AU209" s="83"/>
      <c r="AV209" s="83"/>
      <c r="AW209" s="83"/>
      <c r="AX209" s="524"/>
      <c r="AY209" s="524"/>
      <c r="AZ209" s="524"/>
      <c r="BA209" s="524"/>
      <c r="BB209" s="524"/>
      <c r="BC209" s="524"/>
      <c r="BD209" s="524"/>
      <c r="BE209" s="524"/>
      <c r="BF209" s="524"/>
      <c r="BG209" s="524"/>
      <c r="BH209" s="524"/>
      <c r="BI209" s="524"/>
      <c r="BJ209" s="524"/>
      <c r="BK209" s="524"/>
      <c r="BL209" s="524"/>
      <c r="BM209" s="524"/>
      <c r="BN209" s="524"/>
      <c r="BO209" s="524"/>
      <c r="BP209" s="524"/>
      <c r="BQ209" s="524"/>
      <c r="BR209" s="524"/>
      <c r="BS209" s="77"/>
      <c r="BT209" s="85"/>
      <c r="BU209" s="86"/>
      <c r="BV209" s="96"/>
      <c r="BW209" s="252"/>
    </row>
    <row r="210" spans="6:75" ht="11.25" customHeight="1" x14ac:dyDescent="0.2">
      <c r="F210" s="524"/>
      <c r="G210" s="524"/>
      <c r="H210" s="524"/>
      <c r="I210" s="524"/>
      <c r="J210" s="524"/>
      <c r="K210" s="524"/>
      <c r="L210" s="524"/>
      <c r="M210" s="524"/>
      <c r="N210" s="524"/>
      <c r="O210" s="524"/>
      <c r="P210" s="524"/>
      <c r="Q210" s="524"/>
      <c r="R210" s="524"/>
      <c r="S210" s="524"/>
      <c r="T210" s="524"/>
      <c r="U210" s="524"/>
      <c r="V210" s="524"/>
      <c r="W210" s="524"/>
      <c r="X210" s="524"/>
      <c r="Y210" s="524"/>
      <c r="Z210" s="524"/>
      <c r="AA210" s="524"/>
      <c r="AB210" s="524"/>
      <c r="AC210" s="524"/>
      <c r="AD210" s="524"/>
      <c r="AE210" s="524"/>
      <c r="AF210" s="524"/>
      <c r="AG210" s="524"/>
      <c r="AH210" s="524"/>
      <c r="AI210" s="524"/>
      <c r="AJ210" s="524"/>
      <c r="AK210" s="524"/>
      <c r="AL210" s="524"/>
      <c r="AM210" s="524"/>
      <c r="AN210" s="524"/>
      <c r="AO210" s="524"/>
      <c r="AP210" s="524"/>
      <c r="AQ210" s="524"/>
      <c r="AR210" s="524"/>
      <c r="AS210" s="78"/>
      <c r="AT210" s="78"/>
      <c r="AU210" s="83"/>
      <c r="AV210" s="83"/>
      <c r="AW210" s="83"/>
      <c r="AX210" s="524"/>
      <c r="AY210" s="524"/>
      <c r="AZ210" s="524"/>
      <c r="BA210" s="524"/>
      <c r="BB210" s="524"/>
      <c r="BC210" s="524"/>
      <c r="BD210" s="524"/>
      <c r="BE210" s="524"/>
      <c r="BF210" s="524"/>
      <c r="BG210" s="524"/>
      <c r="BH210" s="524"/>
      <c r="BI210" s="524"/>
      <c r="BJ210" s="524"/>
      <c r="BK210" s="524"/>
      <c r="BL210" s="524"/>
      <c r="BM210" s="524"/>
      <c r="BN210" s="524"/>
      <c r="BO210" s="524"/>
      <c r="BP210" s="524"/>
      <c r="BQ210" s="524"/>
      <c r="BR210" s="524"/>
      <c r="BS210" s="77"/>
      <c r="BT210" s="85"/>
      <c r="BU210" s="86"/>
      <c r="BV210" s="96"/>
      <c r="BW210" s="252"/>
    </row>
    <row r="211" spans="6:75" ht="11.25" customHeight="1" x14ac:dyDescent="0.2">
      <c r="F211" s="524"/>
      <c r="G211" s="524"/>
      <c r="H211" s="524"/>
      <c r="I211" s="524"/>
      <c r="J211" s="524"/>
      <c r="K211" s="524"/>
      <c r="L211" s="524"/>
      <c r="M211" s="524"/>
      <c r="N211" s="524"/>
      <c r="O211" s="524"/>
      <c r="P211" s="524"/>
      <c r="Q211" s="524"/>
      <c r="R211" s="524"/>
      <c r="S211" s="524"/>
      <c r="T211" s="524"/>
      <c r="U211" s="524"/>
      <c r="V211" s="524"/>
      <c r="W211" s="524"/>
      <c r="X211" s="524"/>
      <c r="Y211" s="524"/>
      <c r="Z211" s="524"/>
      <c r="AA211" s="524"/>
      <c r="AB211" s="524"/>
      <c r="AC211" s="524"/>
      <c r="AD211" s="524"/>
      <c r="AE211" s="524"/>
      <c r="AF211" s="524"/>
      <c r="AG211" s="524"/>
      <c r="AH211" s="524"/>
      <c r="AI211" s="524"/>
      <c r="AJ211" s="524"/>
      <c r="AK211" s="524"/>
      <c r="AL211" s="524"/>
      <c r="AM211" s="524"/>
      <c r="AN211" s="524"/>
      <c r="AO211" s="524"/>
      <c r="AP211" s="524"/>
      <c r="AQ211" s="524"/>
      <c r="AR211" s="524"/>
      <c r="AS211" s="78"/>
      <c r="AT211" s="78"/>
      <c r="AU211" s="83"/>
      <c r="AV211" s="83"/>
      <c r="AW211" s="83"/>
      <c r="AX211" s="524"/>
      <c r="AY211" s="524"/>
      <c r="AZ211" s="524"/>
      <c r="BA211" s="524"/>
      <c r="BB211" s="524"/>
      <c r="BC211" s="524"/>
      <c r="BD211" s="524"/>
      <c r="BE211" s="524"/>
      <c r="BF211" s="524"/>
      <c r="BG211" s="524"/>
      <c r="BH211" s="524"/>
      <c r="BI211" s="524"/>
      <c r="BJ211" s="524"/>
      <c r="BK211" s="524"/>
      <c r="BL211" s="524"/>
      <c r="BM211" s="524"/>
      <c r="BN211" s="524"/>
      <c r="BO211" s="524"/>
      <c r="BP211" s="524"/>
      <c r="BQ211" s="524"/>
      <c r="BR211" s="524"/>
      <c r="BS211" s="77"/>
      <c r="BT211" s="85"/>
      <c r="BU211" s="86"/>
      <c r="BV211" s="96"/>
      <c r="BW211" s="252"/>
    </row>
    <row r="212" spans="6:75" ht="11.25" customHeight="1" x14ac:dyDescent="0.2">
      <c r="F212" s="524"/>
      <c r="G212" s="524"/>
      <c r="H212" s="524"/>
      <c r="I212" s="524"/>
      <c r="J212" s="524"/>
      <c r="K212" s="524"/>
      <c r="L212" s="524"/>
      <c r="M212" s="524"/>
      <c r="N212" s="524"/>
      <c r="O212" s="524"/>
      <c r="P212" s="524"/>
      <c r="Q212" s="524"/>
      <c r="R212" s="524"/>
      <c r="S212" s="524"/>
      <c r="T212" s="524"/>
      <c r="U212" s="524"/>
      <c r="V212" s="524"/>
      <c r="W212" s="524"/>
      <c r="X212" s="524"/>
      <c r="Y212" s="524"/>
      <c r="Z212" s="524"/>
      <c r="AA212" s="524"/>
      <c r="AB212" s="524"/>
      <c r="AC212" s="524"/>
      <c r="AD212" s="524"/>
      <c r="AE212" s="524"/>
      <c r="AF212" s="524"/>
      <c r="AG212" s="524"/>
      <c r="AH212" s="524"/>
      <c r="AI212" s="524"/>
      <c r="AJ212" s="524"/>
      <c r="AK212" s="524"/>
      <c r="AL212" s="524"/>
      <c r="AM212" s="524"/>
      <c r="AN212" s="524"/>
      <c r="AO212" s="524"/>
      <c r="AP212" s="524"/>
      <c r="AQ212" s="524"/>
      <c r="AR212" s="524"/>
      <c r="AS212" s="78"/>
      <c r="AT212" s="78"/>
      <c r="AU212" s="83"/>
      <c r="AV212" s="83"/>
      <c r="AW212" s="83"/>
      <c r="AX212" s="524"/>
      <c r="AY212" s="524"/>
      <c r="AZ212" s="524"/>
      <c r="BA212" s="524"/>
      <c r="BB212" s="524"/>
      <c r="BC212" s="524"/>
      <c r="BD212" s="524"/>
      <c r="BE212" s="524"/>
      <c r="BF212" s="524"/>
      <c r="BG212" s="524"/>
      <c r="BH212" s="524"/>
      <c r="BI212" s="524"/>
      <c r="BJ212" s="524"/>
      <c r="BK212" s="524"/>
      <c r="BL212" s="524"/>
      <c r="BM212" s="524"/>
      <c r="BN212" s="524"/>
      <c r="BO212" s="524"/>
      <c r="BP212" s="524"/>
      <c r="BQ212" s="524"/>
      <c r="BR212" s="524"/>
      <c r="BS212" s="77"/>
      <c r="BT212" s="85"/>
      <c r="BU212" s="86"/>
      <c r="BV212" s="96"/>
      <c r="BW212" s="252"/>
    </row>
    <row r="213" spans="6:75" ht="11.25" customHeight="1" x14ac:dyDescent="0.2">
      <c r="F213" s="524"/>
      <c r="G213" s="524"/>
      <c r="H213" s="524"/>
      <c r="I213" s="524"/>
      <c r="J213" s="524"/>
      <c r="K213" s="524"/>
      <c r="L213" s="524"/>
      <c r="M213" s="524"/>
      <c r="N213" s="524"/>
      <c r="O213" s="524"/>
      <c r="P213" s="524"/>
      <c r="Q213" s="524"/>
      <c r="R213" s="524"/>
      <c r="S213" s="524"/>
      <c r="T213" s="524"/>
      <c r="U213" s="524"/>
      <c r="V213" s="524"/>
      <c r="W213" s="524"/>
      <c r="X213" s="524"/>
      <c r="Y213" s="524"/>
      <c r="Z213" s="524"/>
      <c r="AA213" s="524"/>
      <c r="AB213" s="524"/>
      <c r="AC213" s="524"/>
      <c r="AD213" s="524"/>
      <c r="AE213" s="524"/>
      <c r="AF213" s="524"/>
      <c r="AG213" s="524"/>
      <c r="AH213" s="524"/>
      <c r="AI213" s="524"/>
      <c r="AJ213" s="524"/>
      <c r="AK213" s="524"/>
      <c r="AL213" s="524"/>
      <c r="AM213" s="524"/>
      <c r="AN213" s="524"/>
      <c r="AO213" s="524"/>
      <c r="AP213" s="524"/>
      <c r="AQ213" s="524"/>
      <c r="AR213" s="524"/>
      <c r="AS213" s="78"/>
      <c r="AT213" s="78"/>
      <c r="AU213" s="83"/>
      <c r="AV213" s="83"/>
      <c r="AW213" s="83"/>
      <c r="AX213" s="524"/>
      <c r="AY213" s="524"/>
      <c r="AZ213" s="524"/>
      <c r="BA213" s="524"/>
      <c r="BB213" s="524"/>
      <c r="BC213" s="524"/>
      <c r="BD213" s="524"/>
      <c r="BE213" s="524"/>
      <c r="BF213" s="524"/>
      <c r="BG213" s="524"/>
      <c r="BH213" s="524"/>
      <c r="BI213" s="524"/>
      <c r="BJ213" s="524"/>
      <c r="BK213" s="524"/>
      <c r="BL213" s="524"/>
      <c r="BM213" s="524"/>
      <c r="BN213" s="524"/>
      <c r="BO213" s="524"/>
      <c r="BP213" s="524"/>
      <c r="BQ213" s="524"/>
      <c r="BR213" s="524"/>
      <c r="BS213" s="77"/>
      <c r="BT213" s="85"/>
      <c r="BU213" s="86"/>
      <c r="BV213" s="96"/>
      <c r="BW213" s="252"/>
    </row>
    <row r="214" spans="6:75" ht="11.25" customHeight="1" x14ac:dyDescent="0.2">
      <c r="F214" s="524"/>
      <c r="G214" s="524"/>
      <c r="H214" s="524"/>
      <c r="I214" s="524"/>
      <c r="J214" s="524"/>
      <c r="K214" s="524"/>
      <c r="L214" s="524"/>
      <c r="M214" s="524"/>
      <c r="N214" s="524"/>
      <c r="O214" s="524"/>
      <c r="P214" s="524"/>
      <c r="Q214" s="524"/>
      <c r="R214" s="524"/>
      <c r="S214" s="524"/>
      <c r="T214" s="524"/>
      <c r="U214" s="524"/>
      <c r="V214" s="524"/>
      <c r="W214" s="524"/>
      <c r="X214" s="524"/>
      <c r="Y214" s="524"/>
      <c r="Z214" s="524"/>
      <c r="AA214" s="524"/>
      <c r="AB214" s="524"/>
      <c r="AC214" s="524"/>
      <c r="AD214" s="524"/>
      <c r="AE214" s="524"/>
      <c r="AF214" s="524"/>
      <c r="AG214" s="524"/>
      <c r="AH214" s="524"/>
      <c r="AI214" s="524"/>
      <c r="AJ214" s="524"/>
      <c r="AK214" s="524"/>
      <c r="AL214" s="524"/>
      <c r="AM214" s="524"/>
      <c r="AN214" s="524"/>
      <c r="AO214" s="524"/>
      <c r="AP214" s="524"/>
      <c r="AQ214" s="524"/>
      <c r="AR214" s="524"/>
      <c r="AS214" s="78"/>
      <c r="AT214" s="78"/>
      <c r="AU214" s="83"/>
      <c r="AV214" s="83"/>
      <c r="AW214" s="83"/>
      <c r="AX214" s="524"/>
      <c r="AY214" s="524"/>
      <c r="AZ214" s="524"/>
      <c r="BA214" s="524"/>
      <c r="BB214" s="524"/>
      <c r="BC214" s="524"/>
      <c r="BD214" s="524"/>
      <c r="BE214" s="524"/>
      <c r="BF214" s="524"/>
      <c r="BG214" s="524"/>
      <c r="BH214" s="524"/>
      <c r="BI214" s="524"/>
      <c r="BJ214" s="524"/>
      <c r="BK214" s="524"/>
      <c r="BL214" s="524"/>
      <c r="BM214" s="524"/>
      <c r="BN214" s="524"/>
      <c r="BO214" s="524"/>
      <c r="BP214" s="524"/>
      <c r="BQ214" s="524"/>
      <c r="BR214" s="524"/>
      <c r="BS214" s="77"/>
      <c r="BT214" s="85"/>
      <c r="BU214" s="86"/>
      <c r="BV214" s="96"/>
      <c r="BW214" s="252"/>
    </row>
    <row r="215" spans="6:75" ht="11.25" customHeight="1" x14ac:dyDescent="0.2">
      <c r="F215" s="524"/>
      <c r="G215" s="524"/>
      <c r="H215" s="524"/>
      <c r="I215" s="524"/>
      <c r="J215" s="524"/>
      <c r="K215" s="524"/>
      <c r="L215" s="524"/>
      <c r="M215" s="524"/>
      <c r="N215" s="524"/>
      <c r="O215" s="524"/>
      <c r="P215" s="524"/>
      <c r="Q215" s="524"/>
      <c r="R215" s="524"/>
      <c r="S215" s="524"/>
      <c r="T215" s="524"/>
      <c r="U215" s="524"/>
      <c r="V215" s="524"/>
      <c r="W215" s="524"/>
      <c r="X215" s="524"/>
      <c r="Y215" s="524"/>
      <c r="Z215" s="524"/>
      <c r="AA215" s="524"/>
      <c r="AB215" s="524"/>
      <c r="AC215" s="524"/>
      <c r="AD215" s="524"/>
      <c r="AE215" s="524"/>
      <c r="AF215" s="524"/>
      <c r="AG215" s="524"/>
      <c r="AH215" s="524"/>
      <c r="AI215" s="524"/>
      <c r="AJ215" s="524"/>
      <c r="AK215" s="524"/>
      <c r="AL215" s="524"/>
      <c r="AM215" s="524"/>
      <c r="AN215" s="524"/>
      <c r="AO215" s="524"/>
      <c r="AP215" s="524"/>
      <c r="AQ215" s="524"/>
      <c r="AR215" s="524"/>
      <c r="AS215" s="78"/>
      <c r="AT215" s="78"/>
      <c r="AU215" s="83"/>
      <c r="AV215" s="83"/>
      <c r="AW215" s="83"/>
      <c r="AX215" s="524"/>
      <c r="AY215" s="524"/>
      <c r="AZ215" s="524"/>
      <c r="BA215" s="524"/>
      <c r="BB215" s="524"/>
      <c r="BC215" s="524"/>
      <c r="BD215" s="524"/>
      <c r="BE215" s="524"/>
      <c r="BF215" s="524"/>
      <c r="BG215" s="524"/>
      <c r="BH215" s="524"/>
      <c r="BI215" s="524"/>
      <c r="BJ215" s="524"/>
      <c r="BK215" s="524"/>
      <c r="BL215" s="524"/>
      <c r="BM215" s="524"/>
      <c r="BN215" s="524"/>
      <c r="BO215" s="524"/>
      <c r="BP215" s="524"/>
      <c r="BQ215" s="524"/>
      <c r="BR215" s="524"/>
      <c r="BS215" s="77"/>
      <c r="BT215" s="85"/>
      <c r="BU215" s="86"/>
      <c r="BV215" s="96"/>
      <c r="BW215" s="252"/>
    </row>
    <row r="216" spans="6:75" ht="11.25" customHeight="1" x14ac:dyDescent="0.2">
      <c r="F216" s="524"/>
      <c r="G216" s="524"/>
      <c r="H216" s="524"/>
      <c r="I216" s="524"/>
      <c r="J216" s="524"/>
      <c r="K216" s="524"/>
      <c r="L216" s="524"/>
      <c r="M216" s="524"/>
      <c r="N216" s="524"/>
      <c r="O216" s="524"/>
      <c r="P216" s="524"/>
      <c r="Q216" s="524"/>
      <c r="R216" s="524"/>
      <c r="S216" s="524"/>
      <c r="T216" s="524"/>
      <c r="U216" s="524"/>
      <c r="V216" s="524"/>
      <c r="W216" s="524"/>
      <c r="X216" s="524"/>
      <c r="Y216" s="524"/>
      <c r="Z216" s="524"/>
      <c r="AA216" s="524"/>
      <c r="AB216" s="524"/>
      <c r="AC216" s="524"/>
      <c r="AD216" s="524"/>
      <c r="AE216" s="524"/>
      <c r="AF216" s="524"/>
      <c r="AG216" s="524"/>
      <c r="AH216" s="524"/>
      <c r="AI216" s="524"/>
      <c r="AJ216" s="524"/>
      <c r="AK216" s="524"/>
      <c r="AL216" s="524"/>
      <c r="AM216" s="524"/>
      <c r="AN216" s="524"/>
      <c r="AO216" s="524"/>
      <c r="AP216" s="524"/>
      <c r="AQ216" s="524"/>
      <c r="AR216" s="524"/>
      <c r="AS216" s="78"/>
      <c r="AT216" s="78"/>
      <c r="AU216" s="83"/>
      <c r="AV216" s="83"/>
      <c r="AW216" s="83"/>
      <c r="AX216" s="524"/>
      <c r="AY216" s="524"/>
      <c r="AZ216" s="524"/>
      <c r="BA216" s="524"/>
      <c r="BB216" s="524"/>
      <c r="BC216" s="524"/>
      <c r="BD216" s="524"/>
      <c r="BE216" s="524"/>
      <c r="BF216" s="524"/>
      <c r="BG216" s="524"/>
      <c r="BH216" s="524"/>
      <c r="BI216" s="524"/>
      <c r="BJ216" s="524"/>
      <c r="BK216" s="524"/>
      <c r="BL216" s="524"/>
      <c r="BM216" s="524"/>
      <c r="BN216" s="524"/>
      <c r="BO216" s="524"/>
      <c r="BP216" s="524"/>
      <c r="BQ216" s="524"/>
      <c r="BR216" s="524"/>
      <c r="BS216" s="77"/>
      <c r="BT216" s="85"/>
      <c r="BU216" s="86"/>
      <c r="BV216" s="96"/>
      <c r="BW216" s="252"/>
    </row>
    <row r="217" spans="6:75" ht="11.25" customHeight="1" x14ac:dyDescent="0.2">
      <c r="F217" s="524"/>
      <c r="G217" s="524"/>
      <c r="H217" s="524"/>
      <c r="I217" s="524"/>
      <c r="J217" s="524"/>
      <c r="K217" s="524"/>
      <c r="L217" s="524"/>
      <c r="M217" s="524"/>
      <c r="N217" s="524"/>
      <c r="O217" s="524"/>
      <c r="P217" s="524"/>
      <c r="Q217" s="524"/>
      <c r="R217" s="524"/>
      <c r="S217" s="524"/>
      <c r="T217" s="524"/>
      <c r="U217" s="524"/>
      <c r="V217" s="524"/>
      <c r="W217" s="524"/>
      <c r="X217" s="524"/>
      <c r="Y217" s="524"/>
      <c r="Z217" s="524"/>
      <c r="AA217" s="524"/>
      <c r="AB217" s="524"/>
      <c r="AC217" s="524"/>
      <c r="AD217" s="524"/>
      <c r="AE217" s="524"/>
      <c r="AF217" s="524"/>
      <c r="AG217" s="524"/>
      <c r="AH217" s="524"/>
      <c r="AI217" s="524"/>
      <c r="AJ217" s="524"/>
      <c r="AK217" s="524"/>
      <c r="AL217" s="524"/>
      <c r="AM217" s="524"/>
      <c r="AN217" s="524"/>
      <c r="AO217" s="524"/>
      <c r="AP217" s="524"/>
      <c r="AQ217" s="524"/>
      <c r="AR217" s="524"/>
      <c r="AS217" s="78"/>
      <c r="AT217" s="78"/>
      <c r="AU217" s="83"/>
      <c r="AV217" s="83"/>
      <c r="AW217" s="83"/>
      <c r="AX217" s="524"/>
      <c r="AY217" s="524"/>
      <c r="AZ217" s="524"/>
      <c r="BA217" s="524"/>
      <c r="BB217" s="524"/>
      <c r="BC217" s="524"/>
      <c r="BD217" s="524"/>
      <c r="BE217" s="524"/>
      <c r="BF217" s="524"/>
      <c r="BG217" s="524"/>
      <c r="BH217" s="524"/>
      <c r="BI217" s="524"/>
      <c r="BJ217" s="524"/>
      <c r="BK217" s="524"/>
      <c r="BL217" s="524"/>
      <c r="BM217" s="524"/>
      <c r="BN217" s="524"/>
      <c r="BO217" s="524"/>
      <c r="BP217" s="524"/>
      <c r="BQ217" s="524"/>
      <c r="BR217" s="524"/>
      <c r="BS217" s="77"/>
      <c r="BT217" s="85"/>
      <c r="BU217" s="86"/>
      <c r="BV217" s="96"/>
      <c r="BW217" s="252"/>
    </row>
    <row r="218" spans="6:75" ht="11.25" customHeight="1" x14ac:dyDescent="0.2">
      <c r="F218" s="524"/>
      <c r="G218" s="524"/>
      <c r="H218" s="524"/>
      <c r="I218" s="524"/>
      <c r="J218" s="524"/>
      <c r="K218" s="524"/>
      <c r="L218" s="524"/>
      <c r="M218" s="524"/>
      <c r="N218" s="524"/>
      <c r="O218" s="524"/>
      <c r="P218" s="524"/>
      <c r="Q218" s="524"/>
      <c r="R218" s="524"/>
      <c r="S218" s="524"/>
      <c r="T218" s="524"/>
      <c r="U218" s="524"/>
      <c r="V218" s="524"/>
      <c r="W218" s="524"/>
      <c r="X218" s="524"/>
      <c r="Y218" s="524"/>
      <c r="Z218" s="524"/>
      <c r="AA218" s="524"/>
      <c r="AB218" s="524"/>
      <c r="AC218" s="524"/>
      <c r="AD218" s="524"/>
      <c r="AE218" s="524"/>
      <c r="AF218" s="524"/>
      <c r="AG218" s="524"/>
      <c r="AH218" s="524"/>
      <c r="AI218" s="524"/>
      <c r="AJ218" s="524"/>
      <c r="AK218" s="524"/>
      <c r="AL218" s="524"/>
      <c r="AM218" s="524"/>
      <c r="AN218" s="524"/>
      <c r="AO218" s="524"/>
      <c r="AP218" s="524"/>
      <c r="AQ218" s="524"/>
      <c r="AR218" s="524"/>
      <c r="AS218" s="78"/>
      <c r="AT218" s="78"/>
      <c r="AU218" s="83"/>
      <c r="AV218" s="83"/>
      <c r="AW218" s="83"/>
      <c r="AX218" s="524"/>
      <c r="AY218" s="524"/>
      <c r="AZ218" s="524"/>
      <c r="BA218" s="524"/>
      <c r="BB218" s="524"/>
      <c r="BC218" s="524"/>
      <c r="BD218" s="524"/>
      <c r="BE218" s="524"/>
      <c r="BF218" s="524"/>
      <c r="BG218" s="524"/>
      <c r="BH218" s="524"/>
      <c r="BI218" s="524"/>
      <c r="BJ218" s="524"/>
      <c r="BK218" s="524"/>
      <c r="BL218" s="524"/>
      <c r="BM218" s="524"/>
      <c r="BN218" s="524"/>
      <c r="BO218" s="524"/>
      <c r="BP218" s="524"/>
      <c r="BQ218" s="524"/>
      <c r="BR218" s="524"/>
      <c r="BS218" s="77"/>
      <c r="BT218" s="85"/>
      <c r="BU218" s="86"/>
      <c r="BV218" s="96"/>
      <c r="BW218" s="252"/>
    </row>
    <row r="219" spans="6:75" ht="11.25" customHeight="1" x14ac:dyDescent="0.2">
      <c r="F219" s="524"/>
      <c r="G219" s="524"/>
      <c r="H219" s="524"/>
      <c r="I219" s="524"/>
      <c r="J219" s="524"/>
      <c r="K219" s="524"/>
      <c r="L219" s="524"/>
      <c r="M219" s="524"/>
      <c r="N219" s="524"/>
      <c r="O219" s="524"/>
      <c r="P219" s="524"/>
      <c r="Q219" s="524"/>
      <c r="R219" s="524"/>
      <c r="S219" s="524"/>
      <c r="T219" s="524"/>
      <c r="U219" s="524"/>
      <c r="V219" s="524"/>
      <c r="W219" s="524"/>
      <c r="X219" s="524"/>
      <c r="Y219" s="524"/>
      <c r="Z219" s="524"/>
      <c r="AA219" s="524"/>
      <c r="AB219" s="524"/>
      <c r="AC219" s="524"/>
      <c r="AD219" s="524"/>
      <c r="AE219" s="524"/>
      <c r="AF219" s="524"/>
      <c r="AG219" s="524"/>
      <c r="AH219" s="524"/>
      <c r="AI219" s="524"/>
      <c r="AJ219" s="524"/>
      <c r="AK219" s="524"/>
      <c r="AL219" s="524"/>
      <c r="AM219" s="524"/>
      <c r="AN219" s="524"/>
      <c r="AO219" s="524"/>
      <c r="AP219" s="524"/>
      <c r="AQ219" s="524"/>
      <c r="AR219" s="524"/>
      <c r="AS219" s="78"/>
      <c r="AT219" s="78"/>
      <c r="AU219" s="83"/>
      <c r="AV219" s="83"/>
      <c r="AW219" s="83"/>
      <c r="AX219" s="524"/>
      <c r="AY219" s="524"/>
      <c r="AZ219" s="524"/>
      <c r="BA219" s="524"/>
      <c r="BB219" s="524"/>
      <c r="BC219" s="524"/>
      <c r="BD219" s="524"/>
      <c r="BE219" s="524"/>
      <c r="BF219" s="524"/>
      <c r="BG219" s="524"/>
      <c r="BH219" s="524"/>
      <c r="BI219" s="524"/>
      <c r="BJ219" s="524"/>
      <c r="BK219" s="524"/>
      <c r="BL219" s="524"/>
      <c r="BM219" s="524"/>
      <c r="BN219" s="524"/>
      <c r="BO219" s="524"/>
      <c r="BP219" s="524"/>
      <c r="BQ219" s="524"/>
      <c r="BR219" s="524"/>
      <c r="BS219" s="77"/>
      <c r="BT219" s="85"/>
      <c r="BU219" s="86"/>
      <c r="BV219" s="96"/>
      <c r="BW219" s="252"/>
    </row>
    <row r="220" spans="6:75" ht="11.25" customHeight="1" x14ac:dyDescent="0.2">
      <c r="F220" s="524"/>
      <c r="G220" s="524"/>
      <c r="H220" s="524"/>
      <c r="I220" s="524"/>
      <c r="J220" s="524"/>
      <c r="K220" s="524"/>
      <c r="L220" s="524"/>
      <c r="M220" s="524"/>
      <c r="N220" s="524"/>
      <c r="O220" s="524"/>
      <c r="P220" s="524"/>
      <c r="Q220" s="524"/>
      <c r="R220" s="524"/>
      <c r="S220" s="524"/>
      <c r="T220" s="524"/>
      <c r="U220" s="524"/>
      <c r="V220" s="524"/>
      <c r="W220" s="524"/>
      <c r="X220" s="524"/>
      <c r="Y220" s="524"/>
      <c r="Z220" s="524"/>
      <c r="AA220" s="524"/>
      <c r="AB220" s="524"/>
      <c r="AC220" s="524"/>
      <c r="AD220" s="524"/>
      <c r="AE220" s="524"/>
      <c r="AF220" s="524"/>
      <c r="AG220" s="524"/>
      <c r="AH220" s="524"/>
      <c r="AI220" s="524"/>
      <c r="AJ220" s="524"/>
      <c r="AK220" s="524"/>
      <c r="AL220" s="524"/>
      <c r="AM220" s="524"/>
      <c r="AN220" s="524"/>
      <c r="AO220" s="524"/>
      <c r="AP220" s="524"/>
      <c r="AQ220" s="524"/>
      <c r="AR220" s="524"/>
      <c r="AS220" s="78"/>
      <c r="AT220" s="78"/>
      <c r="AU220" s="83"/>
      <c r="AV220" s="83"/>
      <c r="AW220" s="83"/>
      <c r="AX220" s="524"/>
      <c r="AY220" s="524"/>
      <c r="AZ220" s="524"/>
      <c r="BA220" s="524"/>
      <c r="BB220" s="524"/>
      <c r="BC220" s="524"/>
      <c r="BD220" s="524"/>
      <c r="BE220" s="524"/>
      <c r="BF220" s="524"/>
      <c r="BG220" s="524"/>
      <c r="BH220" s="524"/>
      <c r="BI220" s="524"/>
      <c r="BJ220" s="524"/>
      <c r="BK220" s="524"/>
      <c r="BL220" s="524"/>
      <c r="BM220" s="524"/>
      <c r="BN220" s="524"/>
      <c r="BO220" s="524"/>
      <c r="BP220" s="524"/>
      <c r="BQ220" s="524"/>
      <c r="BR220" s="524"/>
      <c r="BS220" s="77"/>
      <c r="BT220" s="85"/>
      <c r="BU220" s="86"/>
      <c r="BV220" s="96"/>
      <c r="BW220" s="252"/>
    </row>
    <row r="221" spans="6:75" ht="11.25" customHeight="1" x14ac:dyDescent="0.2">
      <c r="F221" s="524"/>
      <c r="G221" s="524"/>
      <c r="H221" s="524"/>
      <c r="I221" s="524"/>
      <c r="J221" s="524"/>
      <c r="K221" s="524"/>
      <c r="L221" s="524"/>
      <c r="M221" s="524"/>
      <c r="N221" s="524"/>
      <c r="O221" s="524"/>
      <c r="P221" s="524"/>
      <c r="Q221" s="524"/>
      <c r="R221" s="524"/>
      <c r="S221" s="524"/>
      <c r="T221" s="524"/>
      <c r="U221" s="524"/>
      <c r="V221" s="524"/>
      <c r="W221" s="524"/>
      <c r="X221" s="524"/>
      <c r="Y221" s="524"/>
      <c r="Z221" s="524"/>
      <c r="AA221" s="524"/>
      <c r="AB221" s="524"/>
      <c r="AC221" s="524"/>
      <c r="AD221" s="524"/>
      <c r="AE221" s="524"/>
      <c r="AF221" s="524"/>
      <c r="AG221" s="524"/>
      <c r="AH221" s="524"/>
      <c r="AI221" s="524"/>
      <c r="AJ221" s="524"/>
      <c r="AK221" s="524"/>
      <c r="AL221" s="524"/>
      <c r="AM221" s="524"/>
      <c r="AN221" s="524"/>
      <c r="AO221" s="524"/>
      <c r="AP221" s="524"/>
      <c r="AQ221" s="524"/>
      <c r="AR221" s="524"/>
      <c r="AS221" s="78"/>
      <c r="AT221" s="78"/>
      <c r="AU221" s="83"/>
      <c r="AV221" s="83"/>
      <c r="AW221" s="83"/>
      <c r="AX221" s="524"/>
      <c r="AY221" s="524"/>
      <c r="AZ221" s="524"/>
      <c r="BA221" s="524"/>
      <c r="BB221" s="524"/>
      <c r="BC221" s="524"/>
      <c r="BD221" s="524"/>
      <c r="BE221" s="524"/>
      <c r="BF221" s="524"/>
      <c r="BG221" s="524"/>
      <c r="BH221" s="524"/>
      <c r="BI221" s="524"/>
      <c r="BJ221" s="524"/>
      <c r="BK221" s="524"/>
      <c r="BL221" s="524"/>
      <c r="BM221" s="524"/>
      <c r="BN221" s="524"/>
      <c r="BO221" s="524"/>
      <c r="BP221" s="524"/>
      <c r="BQ221" s="524"/>
      <c r="BR221" s="524"/>
      <c r="BS221" s="77"/>
      <c r="BT221" s="85"/>
      <c r="BU221" s="86"/>
      <c r="BV221" s="96"/>
      <c r="BW221" s="252"/>
    </row>
    <row r="222" spans="6:75" ht="11.25" customHeight="1" x14ac:dyDescent="0.2">
      <c r="F222" s="524"/>
      <c r="G222" s="524"/>
      <c r="H222" s="524"/>
      <c r="I222" s="524"/>
      <c r="J222" s="524"/>
      <c r="K222" s="524"/>
      <c r="L222" s="524"/>
      <c r="M222" s="524"/>
      <c r="N222" s="524"/>
      <c r="O222" s="524"/>
      <c r="P222" s="524"/>
      <c r="Q222" s="524"/>
      <c r="R222" s="524"/>
      <c r="S222" s="524"/>
      <c r="T222" s="524"/>
      <c r="U222" s="524"/>
      <c r="V222" s="524"/>
      <c r="W222" s="524"/>
      <c r="X222" s="524"/>
      <c r="Y222" s="524"/>
      <c r="Z222" s="524"/>
      <c r="AA222" s="524"/>
      <c r="AB222" s="524"/>
      <c r="AC222" s="524"/>
      <c r="AD222" s="524"/>
      <c r="AE222" s="524"/>
      <c r="AF222" s="524"/>
      <c r="AG222" s="524"/>
      <c r="AH222" s="524"/>
      <c r="AI222" s="524"/>
      <c r="AJ222" s="524"/>
      <c r="AK222" s="524"/>
      <c r="AL222" s="524"/>
      <c r="AM222" s="524"/>
      <c r="AN222" s="524"/>
      <c r="AO222" s="524"/>
      <c r="AP222" s="524"/>
      <c r="AQ222" s="524"/>
      <c r="AR222" s="524"/>
      <c r="AS222" s="78"/>
      <c r="AT222" s="78"/>
      <c r="AU222" s="83"/>
      <c r="AV222" s="83"/>
      <c r="AW222" s="83"/>
      <c r="AX222" s="524"/>
      <c r="AY222" s="524"/>
      <c r="AZ222" s="524"/>
      <c r="BA222" s="524"/>
      <c r="BB222" s="524"/>
      <c r="BC222" s="524"/>
      <c r="BD222" s="524"/>
      <c r="BE222" s="524"/>
      <c r="BF222" s="524"/>
      <c r="BG222" s="524"/>
      <c r="BH222" s="524"/>
      <c r="BI222" s="524"/>
      <c r="BJ222" s="524"/>
      <c r="BK222" s="524"/>
      <c r="BL222" s="524"/>
      <c r="BM222" s="524"/>
      <c r="BN222" s="524"/>
      <c r="BO222" s="524"/>
      <c r="BP222" s="524"/>
      <c r="BQ222" s="524"/>
      <c r="BR222" s="524"/>
      <c r="BS222" s="77"/>
      <c r="BT222" s="85"/>
      <c r="BU222" s="86"/>
      <c r="BV222" s="96"/>
      <c r="BW222" s="252"/>
    </row>
    <row r="223" spans="6:75" ht="11.25" customHeight="1" x14ac:dyDescent="0.2">
      <c r="F223" s="524"/>
      <c r="G223" s="524"/>
      <c r="H223" s="524"/>
      <c r="I223" s="524"/>
      <c r="J223" s="524"/>
      <c r="K223" s="524"/>
      <c r="L223" s="524"/>
      <c r="M223" s="524"/>
      <c r="N223" s="524"/>
      <c r="O223" s="524"/>
      <c r="P223" s="524"/>
      <c r="Q223" s="524"/>
      <c r="R223" s="524"/>
      <c r="S223" s="524"/>
      <c r="T223" s="524"/>
      <c r="U223" s="524"/>
      <c r="V223" s="524"/>
      <c r="W223" s="524"/>
      <c r="X223" s="524"/>
      <c r="Y223" s="524"/>
      <c r="Z223" s="524"/>
      <c r="AA223" s="524"/>
      <c r="AB223" s="524"/>
      <c r="AC223" s="524"/>
      <c r="AD223" s="524"/>
      <c r="AE223" s="524"/>
      <c r="AF223" s="524"/>
      <c r="AG223" s="524"/>
      <c r="AH223" s="524"/>
      <c r="AI223" s="524"/>
      <c r="AJ223" s="524"/>
      <c r="AK223" s="524"/>
      <c r="AL223" s="524"/>
      <c r="AM223" s="524"/>
      <c r="AN223" s="524"/>
      <c r="AO223" s="524"/>
      <c r="AP223" s="524"/>
      <c r="AQ223" s="524"/>
      <c r="AR223" s="524"/>
      <c r="AS223" s="78"/>
      <c r="AT223" s="78"/>
      <c r="AU223" s="83"/>
      <c r="AV223" s="83"/>
      <c r="AW223" s="83"/>
      <c r="AX223" s="524"/>
      <c r="AY223" s="524"/>
      <c r="AZ223" s="524"/>
      <c r="BA223" s="524"/>
      <c r="BB223" s="524"/>
      <c r="BC223" s="524"/>
      <c r="BD223" s="524"/>
      <c r="BE223" s="524"/>
      <c r="BF223" s="524"/>
      <c r="BG223" s="524"/>
      <c r="BH223" s="524"/>
      <c r="BI223" s="524"/>
      <c r="BJ223" s="524"/>
      <c r="BK223" s="524"/>
      <c r="BL223" s="524"/>
      <c r="BM223" s="524"/>
      <c r="BN223" s="524"/>
      <c r="BO223" s="524"/>
      <c r="BP223" s="524"/>
      <c r="BQ223" s="524"/>
      <c r="BR223" s="524"/>
      <c r="BS223" s="77"/>
      <c r="BT223" s="85"/>
      <c r="BU223" s="86"/>
      <c r="BV223" s="96"/>
      <c r="BW223" s="252"/>
    </row>
    <row r="224" spans="6:75" ht="11.25" customHeight="1" x14ac:dyDescent="0.2">
      <c r="F224" s="524"/>
      <c r="G224" s="524"/>
      <c r="H224" s="524"/>
      <c r="I224" s="524"/>
      <c r="J224" s="524"/>
      <c r="K224" s="524"/>
      <c r="L224" s="524"/>
      <c r="M224" s="524"/>
      <c r="N224" s="524"/>
      <c r="O224" s="524"/>
      <c r="P224" s="524"/>
      <c r="Q224" s="524"/>
      <c r="R224" s="524"/>
      <c r="S224" s="524"/>
      <c r="T224" s="524"/>
      <c r="U224" s="524"/>
      <c r="V224" s="524"/>
      <c r="W224" s="524"/>
      <c r="X224" s="524"/>
      <c r="Y224" s="524"/>
      <c r="Z224" s="524"/>
      <c r="AA224" s="524"/>
      <c r="AB224" s="524"/>
      <c r="AC224" s="524"/>
      <c r="AD224" s="524"/>
      <c r="AE224" s="524"/>
      <c r="AF224" s="524"/>
      <c r="AG224" s="524"/>
      <c r="AH224" s="524"/>
      <c r="AI224" s="524"/>
      <c r="AJ224" s="524"/>
      <c r="AK224" s="524"/>
      <c r="AL224" s="524"/>
      <c r="AM224" s="524"/>
      <c r="AN224" s="524"/>
      <c r="AO224" s="524"/>
      <c r="AP224" s="524"/>
      <c r="AQ224" s="524"/>
      <c r="AR224" s="524"/>
      <c r="AS224" s="78"/>
      <c r="AT224" s="78"/>
      <c r="AU224" s="83"/>
      <c r="AV224" s="83"/>
      <c r="AW224" s="83"/>
      <c r="AX224" s="524"/>
      <c r="AY224" s="524"/>
      <c r="AZ224" s="524"/>
      <c r="BA224" s="524"/>
      <c r="BB224" s="524"/>
      <c r="BC224" s="524"/>
      <c r="BD224" s="524"/>
      <c r="BE224" s="524"/>
      <c r="BF224" s="524"/>
      <c r="BG224" s="524"/>
      <c r="BH224" s="524"/>
      <c r="BI224" s="524"/>
      <c r="BJ224" s="524"/>
      <c r="BK224" s="524"/>
      <c r="BL224" s="524"/>
      <c r="BM224" s="524"/>
      <c r="BN224" s="524"/>
      <c r="BO224" s="524"/>
      <c r="BP224" s="524"/>
      <c r="BQ224" s="524"/>
      <c r="BR224" s="524"/>
      <c r="BS224" s="77"/>
      <c r="BT224" s="85"/>
      <c r="BU224" s="86"/>
      <c r="BV224" s="96"/>
      <c r="BW224" s="252"/>
    </row>
    <row r="225" spans="6:75" ht="11.25" customHeight="1" x14ac:dyDescent="0.2">
      <c r="F225" s="524"/>
      <c r="G225" s="524"/>
      <c r="H225" s="524"/>
      <c r="I225" s="524"/>
      <c r="J225" s="524"/>
      <c r="K225" s="524"/>
      <c r="L225" s="524"/>
      <c r="M225" s="524"/>
      <c r="N225" s="524"/>
      <c r="O225" s="524"/>
      <c r="P225" s="524"/>
      <c r="Q225" s="524"/>
      <c r="R225" s="524"/>
      <c r="S225" s="524"/>
      <c r="T225" s="524"/>
      <c r="U225" s="524"/>
      <c r="V225" s="524"/>
      <c r="W225" s="524"/>
      <c r="X225" s="524"/>
      <c r="Y225" s="524"/>
      <c r="Z225" s="524"/>
      <c r="AA225" s="524"/>
      <c r="AB225" s="524"/>
      <c r="AC225" s="524"/>
      <c r="AD225" s="524"/>
      <c r="AE225" s="524"/>
      <c r="AF225" s="524"/>
      <c r="AG225" s="524"/>
      <c r="AH225" s="524"/>
      <c r="AI225" s="524"/>
      <c r="AJ225" s="524"/>
      <c r="AK225" s="524"/>
      <c r="AL225" s="524"/>
      <c r="AM225" s="524"/>
      <c r="AN225" s="524"/>
      <c r="AO225" s="524"/>
      <c r="AP225" s="524"/>
      <c r="AQ225" s="524"/>
      <c r="AR225" s="524"/>
      <c r="AS225" s="78"/>
      <c r="AT225" s="78"/>
      <c r="AU225" s="83"/>
      <c r="AV225" s="83"/>
      <c r="AW225" s="83"/>
      <c r="AX225" s="524"/>
      <c r="AY225" s="524"/>
      <c r="AZ225" s="524"/>
      <c r="BA225" s="524"/>
      <c r="BB225" s="524"/>
      <c r="BC225" s="524"/>
      <c r="BD225" s="524"/>
      <c r="BE225" s="524"/>
      <c r="BF225" s="524"/>
      <c r="BG225" s="524"/>
      <c r="BH225" s="524"/>
      <c r="BI225" s="524"/>
      <c r="BJ225" s="524"/>
      <c r="BK225" s="524"/>
      <c r="BL225" s="524"/>
      <c r="BM225" s="524"/>
      <c r="BN225" s="524"/>
      <c r="BO225" s="524"/>
      <c r="BP225" s="524"/>
      <c r="BQ225" s="524"/>
      <c r="BR225" s="524"/>
      <c r="BS225" s="77"/>
      <c r="BT225" s="85"/>
      <c r="BU225" s="86"/>
      <c r="BV225" s="96"/>
      <c r="BW225" s="252"/>
    </row>
    <row r="226" spans="6:75" ht="11.25" customHeight="1" x14ac:dyDescent="0.2">
      <c r="F226" s="524"/>
      <c r="G226" s="524"/>
      <c r="H226" s="524"/>
      <c r="I226" s="524"/>
      <c r="J226" s="524"/>
      <c r="K226" s="524"/>
      <c r="L226" s="524"/>
      <c r="M226" s="524"/>
      <c r="N226" s="524"/>
      <c r="O226" s="524"/>
      <c r="P226" s="524"/>
      <c r="Q226" s="524"/>
      <c r="R226" s="524"/>
      <c r="S226" s="524"/>
      <c r="T226" s="524"/>
      <c r="U226" s="524"/>
      <c r="V226" s="524"/>
      <c r="W226" s="524"/>
      <c r="X226" s="524"/>
      <c r="Y226" s="524"/>
      <c r="Z226" s="524"/>
      <c r="AA226" s="524"/>
      <c r="AB226" s="524"/>
      <c r="AC226" s="524"/>
      <c r="AD226" s="524"/>
      <c r="AE226" s="524"/>
      <c r="AF226" s="524"/>
      <c r="AG226" s="524"/>
      <c r="AH226" s="524"/>
      <c r="AI226" s="524"/>
      <c r="AJ226" s="524"/>
      <c r="AK226" s="524"/>
      <c r="AL226" s="524"/>
      <c r="AM226" s="524"/>
      <c r="AN226" s="524"/>
      <c r="AO226" s="524"/>
      <c r="AP226" s="524"/>
      <c r="AQ226" s="524"/>
      <c r="AR226" s="524"/>
      <c r="AS226" s="78"/>
      <c r="AT226" s="78"/>
      <c r="AU226" s="83"/>
      <c r="AV226" s="83"/>
      <c r="AW226" s="83"/>
      <c r="AX226" s="524"/>
      <c r="AY226" s="524"/>
      <c r="AZ226" s="524"/>
      <c r="BA226" s="524"/>
      <c r="BB226" s="524"/>
      <c r="BC226" s="524"/>
      <c r="BD226" s="524"/>
      <c r="BE226" s="524"/>
      <c r="BF226" s="524"/>
      <c r="BG226" s="524"/>
      <c r="BH226" s="524"/>
      <c r="BI226" s="524"/>
      <c r="BJ226" s="524"/>
      <c r="BK226" s="524"/>
      <c r="BL226" s="524"/>
      <c r="BM226" s="524"/>
      <c r="BN226" s="524"/>
      <c r="BO226" s="524"/>
      <c r="BP226" s="524"/>
      <c r="BQ226" s="524"/>
      <c r="BR226" s="524"/>
      <c r="BS226" s="77"/>
      <c r="BT226" s="85"/>
      <c r="BU226" s="86"/>
      <c r="BV226" s="96"/>
      <c r="BW226" s="252"/>
    </row>
    <row r="227" spans="6:75" ht="11.25" customHeight="1" x14ac:dyDescent="0.2">
      <c r="F227" s="524"/>
      <c r="G227" s="524"/>
      <c r="H227" s="524"/>
      <c r="I227" s="524"/>
      <c r="J227" s="524"/>
      <c r="K227" s="524"/>
      <c r="L227" s="524"/>
      <c r="M227" s="524"/>
      <c r="N227" s="524"/>
      <c r="O227" s="524"/>
      <c r="P227" s="524"/>
      <c r="Q227" s="524"/>
      <c r="R227" s="524"/>
      <c r="S227" s="524"/>
      <c r="T227" s="524"/>
      <c r="U227" s="524"/>
      <c r="V227" s="524"/>
      <c r="W227" s="524"/>
      <c r="X227" s="524"/>
      <c r="Y227" s="524"/>
      <c r="Z227" s="524"/>
      <c r="AA227" s="524"/>
      <c r="AB227" s="524"/>
      <c r="AC227" s="524"/>
      <c r="AD227" s="524"/>
      <c r="AE227" s="524"/>
      <c r="AF227" s="524"/>
      <c r="AG227" s="524"/>
      <c r="AH227" s="524"/>
      <c r="AI227" s="524"/>
      <c r="AJ227" s="524"/>
      <c r="AK227" s="524"/>
      <c r="AL227" s="524"/>
      <c r="AM227" s="524"/>
      <c r="AN227" s="524"/>
      <c r="AO227" s="524"/>
      <c r="AP227" s="524"/>
      <c r="AQ227" s="524"/>
      <c r="AR227" s="524"/>
      <c r="AS227" s="78"/>
      <c r="AT227" s="78"/>
      <c r="AU227" s="83"/>
      <c r="AV227" s="83"/>
      <c r="AW227" s="83"/>
      <c r="AX227" s="524"/>
      <c r="AY227" s="524"/>
      <c r="AZ227" s="524"/>
      <c r="BA227" s="524"/>
      <c r="BB227" s="524"/>
      <c r="BC227" s="524"/>
      <c r="BD227" s="524"/>
      <c r="BE227" s="524"/>
      <c r="BF227" s="524"/>
      <c r="BG227" s="524"/>
      <c r="BH227" s="524"/>
      <c r="BI227" s="524"/>
      <c r="BJ227" s="524"/>
      <c r="BK227" s="524"/>
      <c r="BL227" s="524"/>
      <c r="BM227" s="524"/>
      <c r="BN227" s="524"/>
      <c r="BO227" s="524"/>
      <c r="BP227" s="524"/>
      <c r="BQ227" s="524"/>
      <c r="BR227" s="524"/>
      <c r="BS227" s="77"/>
      <c r="BT227" s="85"/>
      <c r="BU227" s="86"/>
      <c r="BV227" s="96"/>
      <c r="BW227" s="252"/>
    </row>
    <row r="228" spans="6:75" ht="11.25" customHeight="1" x14ac:dyDescent="0.2">
      <c r="F228" s="524"/>
      <c r="G228" s="524"/>
      <c r="H228" s="524"/>
      <c r="I228" s="524"/>
      <c r="J228" s="524"/>
      <c r="K228" s="524"/>
      <c r="L228" s="524"/>
      <c r="M228" s="524"/>
      <c r="N228" s="524"/>
      <c r="O228" s="524"/>
      <c r="P228" s="524"/>
      <c r="Q228" s="524"/>
      <c r="R228" s="524"/>
      <c r="S228" s="524"/>
      <c r="T228" s="524"/>
      <c r="U228" s="524"/>
      <c r="V228" s="524"/>
      <c r="W228" s="524"/>
      <c r="X228" s="524"/>
      <c r="Y228" s="524"/>
      <c r="Z228" s="524"/>
      <c r="AA228" s="524"/>
      <c r="AB228" s="524"/>
      <c r="AC228" s="524"/>
      <c r="AD228" s="524"/>
      <c r="AE228" s="524"/>
      <c r="AF228" s="524"/>
      <c r="AG228" s="524"/>
      <c r="AH228" s="524"/>
      <c r="AI228" s="524"/>
      <c r="AJ228" s="524"/>
      <c r="AK228" s="524"/>
      <c r="AL228" s="524"/>
      <c r="AM228" s="524"/>
      <c r="AN228" s="524"/>
      <c r="AO228" s="524"/>
      <c r="AP228" s="524"/>
      <c r="AQ228" s="524"/>
      <c r="AR228" s="524"/>
      <c r="AS228" s="78"/>
      <c r="AT228" s="78"/>
      <c r="AU228" s="83"/>
      <c r="AV228" s="83"/>
      <c r="AW228" s="83"/>
      <c r="AX228" s="524"/>
      <c r="AY228" s="524"/>
      <c r="AZ228" s="524"/>
      <c r="BA228" s="524"/>
      <c r="BB228" s="524"/>
      <c r="BC228" s="524"/>
      <c r="BD228" s="524"/>
      <c r="BE228" s="524"/>
      <c r="BF228" s="524"/>
      <c r="BG228" s="524"/>
      <c r="BH228" s="524"/>
      <c r="BI228" s="524"/>
      <c r="BJ228" s="524"/>
      <c r="BK228" s="524"/>
      <c r="BL228" s="524"/>
      <c r="BM228" s="524"/>
      <c r="BN228" s="524"/>
      <c r="BO228" s="524"/>
      <c r="BP228" s="524"/>
      <c r="BQ228" s="524"/>
      <c r="BR228" s="524"/>
      <c r="BS228" s="77"/>
      <c r="BT228" s="85"/>
      <c r="BU228" s="86"/>
      <c r="BV228" s="96"/>
      <c r="BW228" s="252"/>
    </row>
    <row r="229" spans="6:75" ht="11.25" customHeight="1" x14ac:dyDescent="0.2">
      <c r="F229" s="524"/>
      <c r="G229" s="524"/>
      <c r="H229" s="524"/>
      <c r="I229" s="524"/>
      <c r="J229" s="524"/>
      <c r="K229" s="524"/>
      <c r="L229" s="524"/>
      <c r="M229" s="524"/>
      <c r="N229" s="524"/>
      <c r="O229" s="524"/>
      <c r="P229" s="524"/>
      <c r="Q229" s="524"/>
      <c r="R229" s="524"/>
      <c r="S229" s="524"/>
      <c r="T229" s="524"/>
      <c r="U229" s="524"/>
      <c r="V229" s="524"/>
      <c r="W229" s="524"/>
      <c r="X229" s="524"/>
      <c r="Y229" s="524"/>
      <c r="Z229" s="524"/>
      <c r="AA229" s="524"/>
      <c r="AB229" s="524"/>
      <c r="AC229" s="524"/>
      <c r="AD229" s="524"/>
      <c r="AE229" s="524"/>
      <c r="AF229" s="524"/>
      <c r="AG229" s="524"/>
      <c r="AH229" s="524"/>
      <c r="AI229" s="524"/>
      <c r="AJ229" s="524"/>
      <c r="AK229" s="524"/>
      <c r="AL229" s="524"/>
      <c r="AM229" s="524"/>
      <c r="AN229" s="524"/>
      <c r="AO229" s="524"/>
      <c r="AP229" s="524"/>
      <c r="AQ229" s="524"/>
      <c r="AR229" s="524"/>
      <c r="AS229" s="78"/>
      <c r="AT229" s="78"/>
      <c r="AU229" s="83"/>
      <c r="AV229" s="83"/>
      <c r="AW229" s="83"/>
      <c r="AX229" s="524"/>
      <c r="AY229" s="524"/>
      <c r="AZ229" s="524"/>
      <c r="BA229" s="524"/>
      <c r="BB229" s="524"/>
      <c r="BC229" s="524"/>
      <c r="BD229" s="524"/>
      <c r="BE229" s="524"/>
      <c r="BF229" s="524"/>
      <c r="BG229" s="524"/>
      <c r="BH229" s="524"/>
      <c r="BI229" s="524"/>
      <c r="BJ229" s="524"/>
      <c r="BK229" s="524"/>
      <c r="BL229" s="524"/>
      <c r="BM229" s="524"/>
      <c r="BN229" s="524"/>
      <c r="BO229" s="524"/>
      <c r="BP229" s="524"/>
      <c r="BQ229" s="524"/>
      <c r="BR229" s="524"/>
      <c r="BS229" s="77"/>
      <c r="BT229" s="85"/>
      <c r="BU229" s="86"/>
      <c r="BV229" s="96"/>
      <c r="BW229" s="252"/>
    </row>
    <row r="230" spans="6:75" ht="11.25" customHeight="1" x14ac:dyDescent="0.2">
      <c r="F230" s="524"/>
      <c r="G230" s="524"/>
      <c r="H230" s="524"/>
      <c r="I230" s="524"/>
      <c r="J230" s="524"/>
      <c r="K230" s="524"/>
      <c r="L230" s="524"/>
      <c r="M230" s="524"/>
      <c r="N230" s="524"/>
      <c r="O230" s="524"/>
      <c r="P230" s="524"/>
      <c r="Q230" s="524"/>
      <c r="R230" s="524"/>
      <c r="S230" s="524"/>
      <c r="T230" s="524"/>
      <c r="U230" s="524"/>
      <c r="V230" s="524"/>
      <c r="W230" s="524"/>
      <c r="X230" s="524"/>
      <c r="Y230" s="524"/>
      <c r="Z230" s="524"/>
      <c r="AA230" s="524"/>
      <c r="AB230" s="524"/>
      <c r="AC230" s="524"/>
      <c r="AD230" s="524"/>
      <c r="AE230" s="524"/>
      <c r="AF230" s="524"/>
      <c r="AG230" s="524"/>
      <c r="AH230" s="524"/>
      <c r="AI230" s="524"/>
      <c r="AJ230" s="524"/>
      <c r="AK230" s="524"/>
      <c r="AL230" s="524"/>
      <c r="AM230" s="524"/>
      <c r="AN230" s="524"/>
      <c r="AO230" s="524"/>
      <c r="AP230" s="524"/>
      <c r="AQ230" s="524"/>
      <c r="AR230" s="524"/>
      <c r="AS230" s="78"/>
      <c r="AT230" s="78"/>
      <c r="AU230" s="83"/>
      <c r="AV230" s="83"/>
      <c r="AW230" s="83"/>
      <c r="AX230" s="524"/>
      <c r="AY230" s="524"/>
      <c r="AZ230" s="524"/>
      <c r="BA230" s="524"/>
      <c r="BB230" s="524"/>
      <c r="BC230" s="524"/>
      <c r="BD230" s="524"/>
      <c r="BE230" s="524"/>
      <c r="BF230" s="524"/>
      <c r="BG230" s="524"/>
      <c r="BH230" s="524"/>
      <c r="BI230" s="524"/>
      <c r="BJ230" s="524"/>
      <c r="BK230" s="524"/>
      <c r="BL230" s="524"/>
      <c r="BM230" s="524"/>
      <c r="BN230" s="524"/>
      <c r="BO230" s="524"/>
      <c r="BP230" s="524"/>
      <c r="BQ230" s="524"/>
      <c r="BR230" s="524"/>
      <c r="BS230" s="77"/>
      <c r="BT230" s="85"/>
      <c r="BU230" s="86"/>
      <c r="BV230" s="96"/>
      <c r="BW230" s="252"/>
    </row>
    <row r="231" spans="6:75" ht="11.25" customHeight="1" x14ac:dyDescent="0.2">
      <c r="F231" s="524"/>
      <c r="G231" s="524"/>
      <c r="H231" s="524"/>
      <c r="I231" s="524"/>
      <c r="J231" s="524"/>
      <c r="K231" s="524"/>
      <c r="L231" s="524"/>
      <c r="M231" s="524"/>
      <c r="N231" s="524"/>
      <c r="O231" s="524"/>
      <c r="P231" s="524"/>
      <c r="Q231" s="524"/>
      <c r="R231" s="524"/>
      <c r="S231" s="524"/>
      <c r="T231" s="524"/>
      <c r="U231" s="524"/>
      <c r="V231" s="524"/>
      <c r="W231" s="524"/>
      <c r="X231" s="524"/>
      <c r="Y231" s="524"/>
      <c r="Z231" s="524"/>
      <c r="AA231" s="524"/>
      <c r="AB231" s="524"/>
      <c r="AC231" s="524"/>
      <c r="AD231" s="524"/>
      <c r="AE231" s="524"/>
      <c r="AF231" s="524"/>
      <c r="AG231" s="524"/>
      <c r="AH231" s="524"/>
      <c r="AI231" s="524"/>
      <c r="AJ231" s="524"/>
      <c r="AK231" s="524"/>
      <c r="AL231" s="524"/>
      <c r="AM231" s="524"/>
      <c r="AN231" s="524"/>
      <c r="AO231" s="524"/>
      <c r="AP231" s="524"/>
      <c r="AQ231" s="524"/>
      <c r="AR231" s="524"/>
      <c r="AS231" s="78"/>
      <c r="AT231" s="78"/>
      <c r="AU231" s="83"/>
      <c r="AV231" s="83"/>
      <c r="AW231" s="83"/>
      <c r="AX231" s="524"/>
      <c r="AY231" s="524"/>
      <c r="AZ231" s="524"/>
      <c r="BA231" s="524"/>
      <c r="BB231" s="524"/>
      <c r="BC231" s="524"/>
      <c r="BD231" s="524"/>
      <c r="BE231" s="524"/>
      <c r="BF231" s="524"/>
      <c r="BG231" s="524"/>
      <c r="BH231" s="524"/>
      <c r="BI231" s="524"/>
      <c r="BJ231" s="524"/>
      <c r="BK231" s="524"/>
      <c r="BL231" s="524"/>
      <c r="BM231" s="524"/>
      <c r="BN231" s="524"/>
      <c r="BO231" s="524"/>
      <c r="BP231" s="524"/>
      <c r="BQ231" s="524"/>
      <c r="BR231" s="524"/>
      <c r="BS231" s="77"/>
      <c r="BT231" s="85"/>
      <c r="BU231" s="86"/>
      <c r="BV231" s="96"/>
      <c r="BW231" s="252"/>
    </row>
    <row r="232" spans="6:75" ht="11.25" customHeight="1" x14ac:dyDescent="0.2">
      <c r="F232" s="524"/>
      <c r="G232" s="524"/>
      <c r="H232" s="524"/>
      <c r="I232" s="524"/>
      <c r="J232" s="524"/>
      <c r="K232" s="524"/>
      <c r="L232" s="524"/>
      <c r="M232" s="524"/>
      <c r="N232" s="524"/>
      <c r="O232" s="524"/>
      <c r="P232" s="524"/>
      <c r="Q232" s="524"/>
      <c r="R232" s="524"/>
      <c r="S232" s="524"/>
      <c r="T232" s="524"/>
      <c r="U232" s="524"/>
      <c r="V232" s="524"/>
      <c r="W232" s="524"/>
      <c r="X232" s="524"/>
      <c r="Y232" s="524"/>
      <c r="Z232" s="524"/>
      <c r="AA232" s="524"/>
      <c r="AB232" s="524"/>
      <c r="AC232" s="524"/>
      <c r="AD232" s="524"/>
      <c r="AE232" s="524"/>
      <c r="AF232" s="524"/>
      <c r="AG232" s="524"/>
      <c r="AH232" s="524"/>
      <c r="AI232" s="524"/>
      <c r="AJ232" s="524"/>
      <c r="AK232" s="524"/>
      <c r="AL232" s="524"/>
      <c r="AM232" s="524"/>
      <c r="AN232" s="524"/>
      <c r="AO232" s="524"/>
      <c r="AP232" s="524"/>
      <c r="AQ232" s="524"/>
      <c r="AR232" s="524"/>
      <c r="AS232" s="78"/>
      <c r="AT232" s="78"/>
      <c r="AU232" s="83"/>
      <c r="AV232" s="83"/>
      <c r="AW232" s="83"/>
      <c r="AX232" s="524"/>
      <c r="AY232" s="524"/>
      <c r="AZ232" s="524"/>
      <c r="BA232" s="524"/>
      <c r="BB232" s="524"/>
      <c r="BC232" s="524"/>
      <c r="BD232" s="524"/>
      <c r="BE232" s="524"/>
      <c r="BF232" s="524"/>
      <c r="BG232" s="524"/>
      <c r="BH232" s="524"/>
      <c r="BI232" s="524"/>
      <c r="BJ232" s="524"/>
      <c r="BK232" s="524"/>
      <c r="BL232" s="524"/>
      <c r="BM232" s="524"/>
      <c r="BN232" s="524"/>
      <c r="BO232" s="524"/>
      <c r="BP232" s="524"/>
      <c r="BQ232" s="524"/>
      <c r="BR232" s="524"/>
      <c r="BS232" s="77"/>
      <c r="BT232" s="85"/>
      <c r="BU232" s="86"/>
      <c r="BV232" s="96"/>
      <c r="BW232" s="252"/>
    </row>
    <row r="233" spans="6:75" ht="11.25" customHeight="1" x14ac:dyDescent="0.2">
      <c r="F233" s="524"/>
      <c r="G233" s="524"/>
      <c r="H233" s="524"/>
      <c r="I233" s="524"/>
      <c r="J233" s="524"/>
      <c r="K233" s="524"/>
      <c r="L233" s="524"/>
      <c r="M233" s="524"/>
      <c r="N233" s="524"/>
      <c r="O233" s="524"/>
      <c r="P233" s="524"/>
      <c r="Q233" s="524"/>
      <c r="R233" s="524"/>
      <c r="S233" s="524"/>
      <c r="T233" s="524"/>
      <c r="U233" s="524"/>
      <c r="V233" s="524"/>
      <c r="W233" s="524"/>
      <c r="X233" s="524"/>
      <c r="Y233" s="524"/>
      <c r="Z233" s="524"/>
      <c r="AA233" s="524"/>
      <c r="AB233" s="524"/>
      <c r="AC233" s="524"/>
      <c r="AD233" s="524"/>
      <c r="AE233" s="524"/>
      <c r="AF233" s="524"/>
      <c r="AG233" s="524"/>
      <c r="AH233" s="524"/>
      <c r="AI233" s="524"/>
      <c r="AJ233" s="524"/>
      <c r="AK233" s="524"/>
      <c r="AL233" s="524"/>
      <c r="AM233" s="524"/>
      <c r="AN233" s="524"/>
      <c r="AO233" s="524"/>
      <c r="AP233" s="524"/>
      <c r="AQ233" s="524"/>
      <c r="AR233" s="524"/>
      <c r="AS233" s="78"/>
      <c r="AT233" s="78"/>
      <c r="AU233" s="83"/>
      <c r="AV233" s="83"/>
      <c r="AW233" s="83"/>
      <c r="AX233" s="524"/>
      <c r="AY233" s="524"/>
      <c r="AZ233" s="524"/>
      <c r="BA233" s="524"/>
      <c r="BB233" s="524"/>
      <c r="BC233" s="524"/>
      <c r="BD233" s="524"/>
      <c r="BE233" s="524"/>
      <c r="BF233" s="524"/>
      <c r="BG233" s="524"/>
      <c r="BH233" s="524"/>
      <c r="BI233" s="524"/>
      <c r="BJ233" s="524"/>
      <c r="BK233" s="524"/>
      <c r="BL233" s="524"/>
      <c r="BM233" s="524"/>
      <c r="BN233" s="524"/>
      <c r="BO233" s="524"/>
      <c r="BP233" s="524"/>
      <c r="BQ233" s="524"/>
      <c r="BR233" s="524"/>
      <c r="BS233" s="77"/>
      <c r="BT233" s="85"/>
      <c r="BU233" s="86"/>
      <c r="BV233" s="96"/>
      <c r="BW233" s="252"/>
    </row>
    <row r="234" spans="6:75" ht="11.25" customHeight="1" x14ac:dyDescent="0.2">
      <c r="F234" s="524"/>
      <c r="G234" s="524"/>
      <c r="H234" s="524"/>
      <c r="I234" s="524"/>
      <c r="J234" s="524"/>
      <c r="K234" s="524"/>
      <c r="L234" s="524"/>
      <c r="M234" s="524"/>
      <c r="N234" s="524"/>
      <c r="O234" s="524"/>
      <c r="P234" s="524"/>
      <c r="Q234" s="524"/>
      <c r="R234" s="524"/>
      <c r="S234" s="524"/>
      <c r="T234" s="524"/>
      <c r="U234" s="524"/>
      <c r="V234" s="524"/>
      <c r="W234" s="524"/>
      <c r="X234" s="524"/>
      <c r="Y234" s="524"/>
      <c r="Z234" s="524"/>
      <c r="AA234" s="524"/>
      <c r="AB234" s="524"/>
      <c r="AC234" s="524"/>
      <c r="AD234" s="524"/>
      <c r="AE234" s="524"/>
      <c r="AF234" s="524"/>
      <c r="AG234" s="524"/>
      <c r="AH234" s="524"/>
      <c r="AI234" s="524"/>
      <c r="AJ234" s="524"/>
      <c r="AK234" s="524"/>
      <c r="AL234" s="524"/>
      <c r="AM234" s="524"/>
      <c r="AN234" s="524"/>
      <c r="AO234" s="524"/>
      <c r="AP234" s="524"/>
      <c r="AQ234" s="524"/>
      <c r="AR234" s="524"/>
      <c r="AS234" s="78"/>
      <c r="AT234" s="78"/>
      <c r="AU234" s="83"/>
      <c r="AV234" s="83"/>
      <c r="AW234" s="83"/>
      <c r="AX234" s="524"/>
      <c r="AY234" s="524"/>
      <c r="AZ234" s="524"/>
      <c r="BA234" s="524"/>
      <c r="BB234" s="524"/>
      <c r="BC234" s="524"/>
      <c r="BD234" s="524"/>
      <c r="BE234" s="524"/>
      <c r="BF234" s="524"/>
      <c r="BG234" s="524"/>
      <c r="BH234" s="524"/>
      <c r="BI234" s="524"/>
      <c r="BJ234" s="524"/>
      <c r="BK234" s="524"/>
      <c r="BL234" s="524"/>
      <c r="BM234" s="524"/>
      <c r="BN234" s="524"/>
      <c r="BO234" s="524"/>
      <c r="BP234" s="524"/>
      <c r="BQ234" s="524"/>
      <c r="BR234" s="524"/>
      <c r="BS234" s="77"/>
      <c r="BT234" s="85"/>
      <c r="BU234" s="86"/>
      <c r="BV234" s="96"/>
      <c r="BW234" s="252"/>
    </row>
    <row r="235" spans="6:75" ht="11.25" customHeight="1" x14ac:dyDescent="0.2">
      <c r="F235" s="524"/>
      <c r="G235" s="524"/>
      <c r="H235" s="524"/>
      <c r="I235" s="524"/>
      <c r="J235" s="524"/>
      <c r="K235" s="524"/>
      <c r="L235" s="524"/>
      <c r="M235" s="524"/>
      <c r="N235" s="524"/>
      <c r="O235" s="524"/>
      <c r="P235" s="524"/>
      <c r="Q235" s="524"/>
      <c r="R235" s="524"/>
      <c r="S235" s="524"/>
      <c r="T235" s="524"/>
      <c r="U235" s="524"/>
      <c r="V235" s="524"/>
      <c r="W235" s="524"/>
      <c r="X235" s="524"/>
      <c r="Y235" s="524"/>
      <c r="Z235" s="524"/>
      <c r="AA235" s="524"/>
      <c r="AB235" s="524"/>
      <c r="AC235" s="524"/>
      <c r="AD235" s="524"/>
      <c r="AE235" s="524"/>
      <c r="AF235" s="524"/>
      <c r="AG235" s="524"/>
      <c r="AH235" s="524"/>
      <c r="AI235" s="524"/>
      <c r="AJ235" s="524"/>
      <c r="AK235" s="524"/>
      <c r="AL235" s="524"/>
      <c r="AM235" s="524"/>
      <c r="AN235" s="524"/>
      <c r="AO235" s="524"/>
      <c r="AP235" s="524"/>
      <c r="AQ235" s="524"/>
      <c r="AR235" s="524"/>
      <c r="AS235" s="78"/>
      <c r="AT235" s="78"/>
      <c r="AU235" s="83"/>
      <c r="AV235" s="83"/>
      <c r="AW235" s="83"/>
      <c r="AX235" s="524"/>
      <c r="AY235" s="524"/>
      <c r="AZ235" s="524"/>
      <c r="BA235" s="524"/>
      <c r="BB235" s="524"/>
      <c r="BC235" s="524"/>
      <c r="BD235" s="524"/>
      <c r="BE235" s="524"/>
      <c r="BF235" s="524"/>
      <c r="BG235" s="524"/>
      <c r="BH235" s="524"/>
      <c r="BI235" s="524"/>
      <c r="BJ235" s="524"/>
      <c r="BK235" s="524"/>
      <c r="BL235" s="524"/>
      <c r="BM235" s="524"/>
      <c r="BN235" s="524"/>
      <c r="BO235" s="524"/>
      <c r="BP235" s="524"/>
      <c r="BQ235" s="524"/>
      <c r="BR235" s="524"/>
      <c r="BS235" s="77"/>
      <c r="BT235" s="85"/>
      <c r="BU235" s="86"/>
      <c r="BV235" s="96"/>
      <c r="BW235" s="252"/>
    </row>
    <row r="236" spans="6:75" ht="11.25" customHeight="1" x14ac:dyDescent="0.2">
      <c r="F236" s="524"/>
      <c r="G236" s="524"/>
      <c r="H236" s="524"/>
      <c r="I236" s="524"/>
      <c r="J236" s="524"/>
      <c r="K236" s="524"/>
      <c r="L236" s="524"/>
      <c r="M236" s="524"/>
      <c r="N236" s="524"/>
      <c r="O236" s="524"/>
      <c r="P236" s="524"/>
      <c r="Q236" s="524"/>
      <c r="R236" s="524"/>
      <c r="S236" s="524"/>
      <c r="T236" s="524"/>
      <c r="U236" s="524"/>
      <c r="V236" s="524"/>
      <c r="W236" s="524"/>
      <c r="X236" s="524"/>
      <c r="Y236" s="524"/>
      <c r="Z236" s="524"/>
      <c r="AA236" s="524"/>
      <c r="AB236" s="524"/>
      <c r="AC236" s="524"/>
      <c r="AD236" s="524"/>
      <c r="AE236" s="524"/>
      <c r="AF236" s="524"/>
      <c r="AG236" s="524"/>
      <c r="AH236" s="524"/>
      <c r="AI236" s="524"/>
      <c r="AJ236" s="524"/>
      <c r="AK236" s="524"/>
      <c r="AL236" s="524"/>
      <c r="AM236" s="524"/>
      <c r="AN236" s="524"/>
      <c r="AO236" s="524"/>
      <c r="AP236" s="524"/>
      <c r="AQ236" s="524"/>
      <c r="AR236" s="524"/>
      <c r="AS236" s="78"/>
      <c r="AT236" s="78"/>
      <c r="AU236" s="83"/>
      <c r="AV236" s="83"/>
      <c r="AW236" s="83"/>
      <c r="AX236" s="524"/>
      <c r="AY236" s="524"/>
      <c r="AZ236" s="524"/>
      <c r="BA236" s="524"/>
      <c r="BB236" s="524"/>
      <c r="BC236" s="524"/>
      <c r="BD236" s="524"/>
      <c r="BE236" s="524"/>
      <c r="BF236" s="524"/>
      <c r="BG236" s="524"/>
      <c r="BH236" s="524"/>
      <c r="BI236" s="524"/>
      <c r="BJ236" s="524"/>
      <c r="BK236" s="524"/>
      <c r="BL236" s="524"/>
      <c r="BM236" s="524"/>
      <c r="BN236" s="524"/>
      <c r="BO236" s="524"/>
      <c r="BP236" s="524"/>
      <c r="BQ236" s="524"/>
      <c r="BR236" s="524"/>
      <c r="BS236" s="77"/>
      <c r="BT236" s="85"/>
      <c r="BU236" s="86"/>
      <c r="BV236" s="96"/>
      <c r="BW236" s="252"/>
    </row>
    <row r="237" spans="6:75" ht="11.25" customHeight="1" x14ac:dyDescent="0.2">
      <c r="F237" s="524"/>
      <c r="G237" s="524"/>
      <c r="H237" s="524"/>
      <c r="I237" s="524"/>
      <c r="J237" s="524"/>
      <c r="K237" s="524"/>
      <c r="L237" s="524"/>
      <c r="M237" s="524"/>
      <c r="N237" s="524"/>
      <c r="O237" s="524"/>
      <c r="P237" s="524"/>
      <c r="Q237" s="524"/>
      <c r="R237" s="524"/>
      <c r="S237" s="524"/>
      <c r="T237" s="524"/>
      <c r="U237" s="524"/>
      <c r="V237" s="524"/>
      <c r="W237" s="524"/>
      <c r="X237" s="524"/>
      <c r="Y237" s="524"/>
      <c r="Z237" s="524"/>
      <c r="AA237" s="524"/>
      <c r="AB237" s="524"/>
      <c r="AC237" s="524"/>
      <c r="AD237" s="524"/>
      <c r="AE237" s="524"/>
      <c r="AF237" s="524"/>
      <c r="AG237" s="524"/>
      <c r="AH237" s="524"/>
      <c r="AI237" s="524"/>
      <c r="AJ237" s="524"/>
      <c r="AK237" s="524"/>
      <c r="AL237" s="524"/>
      <c r="AM237" s="524"/>
      <c r="AN237" s="524"/>
      <c r="AO237" s="524"/>
      <c r="AP237" s="524"/>
      <c r="AQ237" s="524"/>
      <c r="AR237" s="524"/>
      <c r="AS237" s="78"/>
      <c r="AT237" s="78"/>
      <c r="AU237" s="83"/>
      <c r="AV237" s="83"/>
      <c r="AW237" s="83"/>
      <c r="AX237" s="524"/>
      <c r="AY237" s="524"/>
      <c r="AZ237" s="524"/>
      <c r="BA237" s="524"/>
      <c r="BB237" s="524"/>
      <c r="BC237" s="524"/>
      <c r="BD237" s="524"/>
      <c r="BE237" s="524"/>
      <c r="BF237" s="524"/>
      <c r="BG237" s="524"/>
      <c r="BH237" s="524"/>
      <c r="BI237" s="524"/>
      <c r="BJ237" s="524"/>
      <c r="BK237" s="524"/>
      <c r="BL237" s="524"/>
      <c r="BM237" s="524"/>
      <c r="BN237" s="524"/>
      <c r="BO237" s="524"/>
      <c r="BP237" s="524"/>
      <c r="BQ237" s="524"/>
      <c r="BR237" s="524"/>
      <c r="BS237" s="77"/>
      <c r="BT237" s="85"/>
      <c r="BU237" s="86"/>
      <c r="BV237" s="96"/>
      <c r="BW237" s="252"/>
    </row>
    <row r="238" spans="6:75" ht="11.25" customHeight="1" x14ac:dyDescent="0.2">
      <c r="F238" s="524"/>
      <c r="G238" s="524"/>
      <c r="H238" s="524"/>
      <c r="I238" s="524"/>
      <c r="J238" s="524"/>
      <c r="K238" s="524"/>
      <c r="L238" s="524"/>
      <c r="M238" s="524"/>
      <c r="N238" s="524"/>
      <c r="O238" s="524"/>
      <c r="P238" s="524"/>
      <c r="Q238" s="524"/>
      <c r="R238" s="524"/>
      <c r="S238" s="524"/>
      <c r="T238" s="524"/>
      <c r="U238" s="524"/>
      <c r="V238" s="524"/>
      <c r="W238" s="524"/>
      <c r="X238" s="524"/>
      <c r="Y238" s="524"/>
      <c r="Z238" s="524"/>
      <c r="AA238" s="524"/>
      <c r="AB238" s="524"/>
      <c r="AC238" s="524"/>
      <c r="AD238" s="524"/>
      <c r="AE238" s="524"/>
      <c r="AF238" s="524"/>
      <c r="AG238" s="524"/>
      <c r="AH238" s="524"/>
      <c r="AI238" s="524"/>
      <c r="AJ238" s="524"/>
      <c r="AK238" s="524"/>
      <c r="AL238" s="524"/>
      <c r="AM238" s="524"/>
      <c r="AN238" s="524"/>
      <c r="AO238" s="524"/>
      <c r="AP238" s="524"/>
      <c r="AQ238" s="524"/>
      <c r="AR238" s="524"/>
      <c r="AS238" s="78"/>
      <c r="AT238" s="78"/>
      <c r="AU238" s="83"/>
      <c r="AV238" s="83"/>
      <c r="AW238" s="83"/>
      <c r="AX238" s="524"/>
      <c r="AY238" s="524"/>
      <c r="AZ238" s="524"/>
      <c r="BA238" s="524"/>
      <c r="BB238" s="524"/>
      <c r="BC238" s="524"/>
      <c r="BD238" s="524"/>
      <c r="BE238" s="524"/>
      <c r="BF238" s="524"/>
      <c r="BG238" s="524"/>
      <c r="BH238" s="524"/>
      <c r="BI238" s="524"/>
      <c r="BJ238" s="524"/>
      <c r="BK238" s="524"/>
      <c r="BL238" s="524"/>
      <c r="BM238" s="524"/>
      <c r="BN238" s="524"/>
      <c r="BO238" s="524"/>
      <c r="BP238" s="524"/>
      <c r="BQ238" s="524"/>
      <c r="BR238" s="524"/>
      <c r="BS238" s="77"/>
      <c r="BT238" s="85"/>
      <c r="BU238" s="86"/>
      <c r="BV238" s="96"/>
      <c r="BW238" s="252"/>
    </row>
    <row r="239" spans="6:75" ht="11.25" customHeight="1" x14ac:dyDescent="0.2">
      <c r="F239" s="524"/>
      <c r="G239" s="524"/>
      <c r="H239" s="524"/>
      <c r="I239" s="524"/>
      <c r="J239" s="524"/>
      <c r="K239" s="524"/>
      <c r="L239" s="524"/>
      <c r="M239" s="524"/>
      <c r="N239" s="524"/>
      <c r="O239" s="524"/>
      <c r="P239" s="524"/>
      <c r="Q239" s="524"/>
      <c r="R239" s="524"/>
      <c r="S239" s="524"/>
      <c r="T239" s="524"/>
      <c r="U239" s="524"/>
      <c r="V239" s="524"/>
      <c r="W239" s="524"/>
      <c r="X239" s="524"/>
      <c r="Y239" s="524"/>
      <c r="Z239" s="524"/>
      <c r="AA239" s="524"/>
      <c r="AB239" s="524"/>
      <c r="AC239" s="524"/>
      <c r="AD239" s="524"/>
      <c r="AE239" s="524"/>
      <c r="AF239" s="524"/>
      <c r="AG239" s="524"/>
      <c r="AH239" s="524"/>
      <c r="AI239" s="524"/>
      <c r="AJ239" s="524"/>
      <c r="AK239" s="524"/>
      <c r="AL239" s="524"/>
      <c r="AM239" s="524"/>
      <c r="AN239" s="524"/>
      <c r="AO239" s="524"/>
      <c r="AP239" s="524"/>
      <c r="AQ239" s="524"/>
      <c r="AR239" s="524"/>
      <c r="AS239" s="78"/>
      <c r="AT239" s="78"/>
      <c r="AU239" s="83"/>
      <c r="AV239" s="83"/>
      <c r="AW239" s="83"/>
      <c r="AX239" s="524"/>
      <c r="AY239" s="524"/>
      <c r="AZ239" s="524"/>
      <c r="BA239" s="524"/>
      <c r="BB239" s="524"/>
      <c r="BC239" s="524"/>
      <c r="BD239" s="524"/>
      <c r="BE239" s="524"/>
      <c r="BF239" s="524"/>
      <c r="BG239" s="524"/>
      <c r="BH239" s="524"/>
      <c r="BI239" s="524"/>
      <c r="BJ239" s="524"/>
      <c r="BK239" s="524"/>
      <c r="BL239" s="524"/>
      <c r="BM239" s="524"/>
      <c r="BN239" s="524"/>
      <c r="BO239" s="524"/>
      <c r="BP239" s="524"/>
      <c r="BQ239" s="524"/>
      <c r="BR239" s="524"/>
      <c r="BS239" s="77"/>
      <c r="BT239" s="85"/>
      <c r="BU239" s="86"/>
      <c r="BV239" s="96"/>
      <c r="BW239" s="252"/>
    </row>
    <row r="240" spans="6:75" ht="11.25" customHeight="1" x14ac:dyDescent="0.2">
      <c r="F240" s="524"/>
      <c r="G240" s="524"/>
      <c r="H240" s="524"/>
      <c r="I240" s="524"/>
      <c r="J240" s="524"/>
      <c r="K240" s="524"/>
      <c r="L240" s="524"/>
      <c r="M240" s="524"/>
      <c r="N240" s="524"/>
      <c r="O240" s="524"/>
      <c r="P240" s="524"/>
      <c r="Q240" s="524"/>
      <c r="R240" s="524"/>
      <c r="S240" s="524"/>
      <c r="T240" s="524"/>
      <c r="U240" s="524"/>
      <c r="V240" s="524"/>
      <c r="W240" s="524"/>
      <c r="X240" s="524"/>
      <c r="Y240" s="524"/>
      <c r="Z240" s="524"/>
      <c r="AA240" s="524"/>
      <c r="AB240" s="524"/>
      <c r="AC240" s="524"/>
      <c r="AD240" s="524"/>
      <c r="AE240" s="524"/>
      <c r="AF240" s="524"/>
      <c r="AG240" s="524"/>
      <c r="AH240" s="524"/>
      <c r="AI240" s="524"/>
      <c r="AJ240" s="524"/>
      <c r="AK240" s="524"/>
      <c r="AL240" s="524"/>
      <c r="AM240" s="524"/>
      <c r="AN240" s="524"/>
      <c r="AO240" s="524"/>
      <c r="AP240" s="524"/>
      <c r="AQ240" s="524"/>
      <c r="AR240" s="524"/>
      <c r="AS240" s="78"/>
      <c r="AT240" s="78"/>
      <c r="AU240" s="83"/>
      <c r="AV240" s="83"/>
      <c r="AW240" s="83"/>
      <c r="AX240" s="524"/>
      <c r="AY240" s="524"/>
      <c r="AZ240" s="524"/>
      <c r="BA240" s="524"/>
      <c r="BB240" s="524"/>
      <c r="BC240" s="524"/>
      <c r="BD240" s="524"/>
      <c r="BE240" s="524"/>
      <c r="BF240" s="524"/>
      <c r="BG240" s="524"/>
      <c r="BH240" s="524"/>
      <c r="BI240" s="524"/>
      <c r="BJ240" s="524"/>
      <c r="BK240" s="524"/>
      <c r="BL240" s="524"/>
      <c r="BM240" s="524"/>
      <c r="BN240" s="524"/>
      <c r="BO240" s="524"/>
      <c r="BP240" s="524"/>
      <c r="BQ240" s="524"/>
      <c r="BR240" s="524"/>
      <c r="BS240" s="77"/>
      <c r="BT240" s="85"/>
      <c r="BU240" s="86"/>
      <c r="BV240" s="96"/>
      <c r="BW240" s="252"/>
    </row>
    <row r="241" spans="6:75" ht="11.25" customHeight="1" x14ac:dyDescent="0.2">
      <c r="F241" s="524"/>
      <c r="G241" s="524"/>
      <c r="H241" s="524"/>
      <c r="I241" s="524"/>
      <c r="J241" s="524"/>
      <c r="K241" s="524"/>
      <c r="L241" s="524"/>
      <c r="M241" s="524"/>
      <c r="N241" s="524"/>
      <c r="O241" s="524"/>
      <c r="P241" s="524"/>
      <c r="Q241" s="524"/>
      <c r="R241" s="524"/>
      <c r="S241" s="524"/>
      <c r="T241" s="524"/>
      <c r="U241" s="524"/>
      <c r="V241" s="524"/>
      <c r="W241" s="524"/>
      <c r="X241" s="524"/>
      <c r="Y241" s="524"/>
      <c r="Z241" s="524"/>
      <c r="AA241" s="524"/>
      <c r="AB241" s="524"/>
      <c r="AC241" s="524"/>
      <c r="AD241" s="524"/>
      <c r="AE241" s="524"/>
      <c r="AF241" s="524"/>
      <c r="AG241" s="524"/>
      <c r="AH241" s="524"/>
      <c r="AI241" s="524"/>
      <c r="AJ241" s="524"/>
      <c r="AK241" s="524"/>
      <c r="AL241" s="524"/>
      <c r="AM241" s="524"/>
      <c r="AN241" s="524"/>
      <c r="AO241" s="524"/>
      <c r="AP241" s="524"/>
      <c r="AQ241" s="524"/>
      <c r="AR241" s="524"/>
      <c r="AS241" s="78"/>
      <c r="AT241" s="78"/>
      <c r="AU241" s="83"/>
      <c r="AV241" s="83"/>
      <c r="AW241" s="83"/>
      <c r="AX241" s="524"/>
      <c r="AY241" s="524"/>
      <c r="AZ241" s="524"/>
      <c r="BA241" s="524"/>
      <c r="BB241" s="524"/>
      <c r="BC241" s="524"/>
      <c r="BD241" s="524"/>
      <c r="BE241" s="524"/>
      <c r="BF241" s="524"/>
      <c r="BG241" s="524"/>
      <c r="BH241" s="524"/>
      <c r="BI241" s="524"/>
      <c r="BJ241" s="524"/>
      <c r="BK241" s="524"/>
      <c r="BL241" s="524"/>
      <c r="BM241" s="524"/>
      <c r="BN241" s="524"/>
      <c r="BO241" s="524"/>
      <c r="BP241" s="524"/>
      <c r="BQ241" s="524"/>
      <c r="BR241" s="524"/>
      <c r="BS241" s="77"/>
      <c r="BT241" s="85"/>
      <c r="BU241" s="86"/>
      <c r="BV241" s="96"/>
      <c r="BW241" s="252"/>
    </row>
    <row r="242" spans="6:75" ht="11.25" customHeight="1" x14ac:dyDescent="0.2">
      <c r="F242" s="524"/>
      <c r="G242" s="524"/>
      <c r="H242" s="524"/>
      <c r="I242" s="524"/>
      <c r="J242" s="524"/>
      <c r="K242" s="524"/>
      <c r="L242" s="524"/>
      <c r="M242" s="524"/>
      <c r="N242" s="524"/>
      <c r="O242" s="524"/>
      <c r="P242" s="524"/>
      <c r="Q242" s="524"/>
      <c r="R242" s="524"/>
      <c r="S242" s="524"/>
      <c r="T242" s="524"/>
      <c r="U242" s="524"/>
      <c r="V242" s="524"/>
      <c r="W242" s="524"/>
      <c r="X242" s="524"/>
      <c r="Y242" s="524"/>
      <c r="Z242" s="524"/>
      <c r="AA242" s="524"/>
      <c r="AB242" s="524"/>
      <c r="AC242" s="524"/>
      <c r="AD242" s="524"/>
      <c r="AE242" s="524"/>
      <c r="AF242" s="524"/>
      <c r="AG242" s="524"/>
      <c r="AH242" s="524"/>
      <c r="AI242" s="524"/>
      <c r="AJ242" s="524"/>
      <c r="AK242" s="524"/>
      <c r="AL242" s="524"/>
      <c r="AM242" s="524"/>
      <c r="AN242" s="524"/>
      <c r="AO242" s="524"/>
      <c r="AP242" s="524"/>
      <c r="AQ242" s="524"/>
      <c r="AR242" s="524"/>
      <c r="AS242" s="78"/>
      <c r="AT242" s="78"/>
      <c r="AU242" s="83"/>
      <c r="AV242" s="83"/>
      <c r="AW242" s="83"/>
      <c r="AX242" s="524"/>
      <c r="AY242" s="524"/>
      <c r="AZ242" s="524"/>
      <c r="BA242" s="524"/>
      <c r="BB242" s="524"/>
      <c r="BC242" s="524"/>
      <c r="BD242" s="524"/>
      <c r="BE242" s="524"/>
      <c r="BF242" s="524"/>
      <c r="BG242" s="524"/>
      <c r="BH242" s="524"/>
      <c r="BI242" s="524"/>
      <c r="BJ242" s="524"/>
      <c r="BK242" s="524"/>
      <c r="BL242" s="524"/>
      <c r="BM242" s="524"/>
      <c r="BN242" s="524"/>
      <c r="BO242" s="524"/>
      <c r="BP242" s="524"/>
      <c r="BQ242" s="524"/>
      <c r="BR242" s="524"/>
      <c r="BS242" s="77"/>
      <c r="BT242" s="85"/>
      <c r="BU242" s="86"/>
      <c r="BV242" s="96"/>
      <c r="BW242" s="252"/>
    </row>
    <row r="243" spans="6:75" ht="11.25" customHeight="1" x14ac:dyDescent="0.2">
      <c r="F243" s="524"/>
      <c r="G243" s="524"/>
      <c r="H243" s="524"/>
      <c r="I243" s="524"/>
      <c r="J243" s="524"/>
      <c r="K243" s="524"/>
      <c r="L243" s="524"/>
      <c r="M243" s="524"/>
      <c r="N243" s="524"/>
      <c r="O243" s="524"/>
      <c r="P243" s="524"/>
      <c r="Q243" s="524"/>
      <c r="R243" s="524"/>
      <c r="S243" s="524"/>
      <c r="T243" s="524"/>
      <c r="U243" s="524"/>
      <c r="V243" s="524"/>
      <c r="W243" s="524"/>
      <c r="X243" s="524"/>
      <c r="Y243" s="524"/>
      <c r="Z243" s="524"/>
      <c r="AA243" s="524"/>
      <c r="AB243" s="524"/>
      <c r="AC243" s="524"/>
      <c r="AD243" s="524"/>
      <c r="AE243" s="524"/>
      <c r="AF243" s="524"/>
      <c r="AG243" s="524"/>
      <c r="AH243" s="524"/>
      <c r="AI243" s="524"/>
      <c r="AJ243" s="524"/>
      <c r="AK243" s="524"/>
      <c r="AL243" s="524"/>
      <c r="AM243" s="524"/>
      <c r="AN243" s="524"/>
      <c r="AO243" s="524"/>
      <c r="AP243" s="524"/>
      <c r="AQ243" s="524"/>
      <c r="AR243" s="524"/>
      <c r="AS243" s="78"/>
      <c r="AT243" s="78"/>
      <c r="AU243" s="83"/>
      <c r="AV243" s="83"/>
      <c r="AW243" s="83"/>
      <c r="AX243" s="524"/>
      <c r="AY243" s="524"/>
      <c r="AZ243" s="524"/>
      <c r="BA243" s="524"/>
      <c r="BB243" s="524"/>
      <c r="BC243" s="524"/>
      <c r="BD243" s="524"/>
      <c r="BE243" s="524"/>
      <c r="BF243" s="524"/>
      <c r="BG243" s="524"/>
      <c r="BH243" s="524"/>
      <c r="BI243" s="524"/>
      <c r="BJ243" s="524"/>
      <c r="BK243" s="524"/>
      <c r="BL243" s="524"/>
      <c r="BM243" s="524"/>
      <c r="BN243" s="524"/>
      <c r="BO243" s="524"/>
      <c r="BP243" s="524"/>
      <c r="BQ243" s="524"/>
      <c r="BR243" s="524"/>
      <c r="BS243" s="77"/>
      <c r="BT243" s="85"/>
      <c r="BU243" s="86"/>
      <c r="BV243" s="96"/>
      <c r="BW243" s="252"/>
    </row>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sheetData>
  <sortState ref="CD91:CG99">
    <sortCondition ref="CE91:CE99"/>
  </sortState>
  <mergeCells count="4591">
    <mergeCell ref="AM26:AO26"/>
    <mergeCell ref="AM52:AO52"/>
    <mergeCell ref="AP52:AR52"/>
    <mergeCell ref="AX52:AZ52"/>
    <mergeCell ref="BA52:BC52"/>
    <mergeCell ref="BD52:BF52"/>
    <mergeCell ref="BG52:BI52"/>
    <mergeCell ref="BJ52:BL52"/>
    <mergeCell ref="BM52:BO52"/>
    <mergeCell ref="BP52:BR52"/>
    <mergeCell ref="BA112:BC112"/>
    <mergeCell ref="I109:K109"/>
    <mergeCell ref="U109:W109"/>
    <mergeCell ref="X109:Z109"/>
    <mergeCell ref="AA109:AC109"/>
    <mergeCell ref="AD109:AF109"/>
    <mergeCell ref="AG109:AI109"/>
    <mergeCell ref="AP112:AR112"/>
    <mergeCell ref="AX112:AZ112"/>
    <mergeCell ref="AG86:AI86"/>
    <mergeCell ref="AX95:AZ95"/>
    <mergeCell ref="BA94:BC94"/>
    <mergeCell ref="AX97:AZ97"/>
    <mergeCell ref="AJ96:AL96"/>
    <mergeCell ref="BP112:BR112"/>
    <mergeCell ref="BP93:BR93"/>
    <mergeCell ref="O108:Q108"/>
    <mergeCell ref="BD86:BF86"/>
    <mergeCell ref="AG91:AI91"/>
    <mergeCell ref="BA91:BC91"/>
    <mergeCell ref="X83:Z83"/>
    <mergeCell ref="AA83:AC83"/>
    <mergeCell ref="AA108:AC108"/>
    <mergeCell ref="AD108:AF108"/>
    <mergeCell ref="AG108:AI108"/>
    <mergeCell ref="AJ108:AL108"/>
    <mergeCell ref="AM108:AO108"/>
    <mergeCell ref="BW12:BW13"/>
    <mergeCell ref="BG27:BI27"/>
    <mergeCell ref="BJ27:BL27"/>
    <mergeCell ref="BM27:BO27"/>
    <mergeCell ref="BP27:BR27"/>
    <mergeCell ref="A27:B27"/>
    <mergeCell ref="C27:D27"/>
    <mergeCell ref="F27:H27"/>
    <mergeCell ref="I27:K27"/>
    <mergeCell ref="L27:N27"/>
    <mergeCell ref="O27:Q27"/>
    <mergeCell ref="R27:T27"/>
    <mergeCell ref="U27:W27"/>
    <mergeCell ref="X27:Z27"/>
    <mergeCell ref="AA27:AC27"/>
    <mergeCell ref="AD27:AF27"/>
    <mergeCell ref="BM26:BO26"/>
    <mergeCell ref="BP26:BR26"/>
    <mergeCell ref="A26:B26"/>
    <mergeCell ref="C26:D26"/>
    <mergeCell ref="F26:H26"/>
    <mergeCell ref="I26:K26"/>
    <mergeCell ref="L26:N26"/>
    <mergeCell ref="AX27:AZ27"/>
    <mergeCell ref="BA27:BC27"/>
    <mergeCell ref="BD27:BF27"/>
    <mergeCell ref="X26:Z26"/>
    <mergeCell ref="A107:B107"/>
    <mergeCell ref="C107:D107"/>
    <mergeCell ref="F107:H107"/>
    <mergeCell ref="I107:K107"/>
    <mergeCell ref="L107:N107"/>
    <mergeCell ref="O107:Q107"/>
    <mergeCell ref="R107:T107"/>
    <mergeCell ref="AM107:AO107"/>
    <mergeCell ref="A112:B112"/>
    <mergeCell ref="C112:D112"/>
    <mergeCell ref="F112:H112"/>
    <mergeCell ref="I112:K112"/>
    <mergeCell ref="L112:N112"/>
    <mergeCell ref="O112:Q112"/>
    <mergeCell ref="R112:T112"/>
    <mergeCell ref="U112:W112"/>
    <mergeCell ref="X112:Z112"/>
    <mergeCell ref="AA112:AC112"/>
    <mergeCell ref="AD112:AF112"/>
    <mergeCell ref="AG112:AI112"/>
    <mergeCell ref="AJ112:AL112"/>
    <mergeCell ref="AM112:AO112"/>
    <mergeCell ref="X107:Z107"/>
    <mergeCell ref="AM109:AO109"/>
    <mergeCell ref="A109:B109"/>
    <mergeCell ref="C109:D109"/>
    <mergeCell ref="F109:H109"/>
    <mergeCell ref="A108:B108"/>
    <mergeCell ref="C108:D108"/>
    <mergeCell ref="F108:H108"/>
    <mergeCell ref="I108:K108"/>
    <mergeCell ref="L108:N108"/>
    <mergeCell ref="AJ100:AL100"/>
    <mergeCell ref="AM100:AO100"/>
    <mergeCell ref="AP100:AR100"/>
    <mergeCell ref="AX100:AZ100"/>
    <mergeCell ref="BA100:BC100"/>
    <mergeCell ref="AP95:AR95"/>
    <mergeCell ref="AP86:AR86"/>
    <mergeCell ref="X95:Z95"/>
    <mergeCell ref="AA95:AC95"/>
    <mergeCell ref="AD86:AF86"/>
    <mergeCell ref="AG88:AI88"/>
    <mergeCell ref="AJ93:AL93"/>
    <mergeCell ref="AM93:AO93"/>
    <mergeCell ref="AA97:AC97"/>
    <mergeCell ref="X88:Z88"/>
    <mergeCell ref="BD87:BF87"/>
    <mergeCell ref="A106:B106"/>
    <mergeCell ref="C106:D106"/>
    <mergeCell ref="F106:H106"/>
    <mergeCell ref="I106:K106"/>
    <mergeCell ref="L106:N106"/>
    <mergeCell ref="O106:Q106"/>
    <mergeCell ref="R106:T106"/>
    <mergeCell ref="U106:W106"/>
    <mergeCell ref="X106:Z106"/>
    <mergeCell ref="AA106:AC106"/>
    <mergeCell ref="AD106:AF106"/>
    <mergeCell ref="AG106:AI106"/>
    <mergeCell ref="AJ106:AL106"/>
    <mergeCell ref="AM106:AO106"/>
    <mergeCell ref="C99:D99"/>
    <mergeCell ref="A102:B102"/>
    <mergeCell ref="C103:D103"/>
    <mergeCell ref="O68:Q68"/>
    <mergeCell ref="BG83:BI83"/>
    <mergeCell ref="BJ83:BL83"/>
    <mergeCell ref="AJ83:AL83"/>
    <mergeCell ref="AD83:AF83"/>
    <mergeCell ref="BG84:BI84"/>
    <mergeCell ref="BJ84:BL84"/>
    <mergeCell ref="BD71:BF71"/>
    <mergeCell ref="O72:Q72"/>
    <mergeCell ref="R72:T72"/>
    <mergeCell ref="I69:K69"/>
    <mergeCell ref="BD84:BF84"/>
    <mergeCell ref="BA73:BC73"/>
    <mergeCell ref="U73:W73"/>
    <mergeCell ref="X73:Z73"/>
    <mergeCell ref="AA73:AC73"/>
    <mergeCell ref="AD73:AF73"/>
    <mergeCell ref="AG73:AI73"/>
    <mergeCell ref="R83:T83"/>
    <mergeCell ref="U83:W83"/>
    <mergeCell ref="R82:T82"/>
    <mergeCell ref="BD81:BF81"/>
    <mergeCell ref="AG84:AI84"/>
    <mergeCell ref="AG74:AI74"/>
    <mergeCell ref="AJ80:AL80"/>
    <mergeCell ref="AX75:AZ75"/>
    <mergeCell ref="BA75:BC75"/>
    <mergeCell ref="AX85:AZ85"/>
    <mergeCell ref="BD100:BF100"/>
    <mergeCell ref="L62:N62"/>
    <mergeCell ref="AX69:AZ69"/>
    <mergeCell ref="BA69:BC69"/>
    <mergeCell ref="A60:B60"/>
    <mergeCell ref="A61:B61"/>
    <mergeCell ref="A62:B62"/>
    <mergeCell ref="A65:B65"/>
    <mergeCell ref="AD71:AF71"/>
    <mergeCell ref="AG71:AI71"/>
    <mergeCell ref="U72:W72"/>
    <mergeCell ref="X72:Z72"/>
    <mergeCell ref="C80:D80"/>
    <mergeCell ref="F76:H76"/>
    <mergeCell ref="A78:B78"/>
    <mergeCell ref="C78:D78"/>
    <mergeCell ref="AM60:AO60"/>
    <mergeCell ref="A56:B56"/>
    <mergeCell ref="A57:B57"/>
    <mergeCell ref="O62:Q62"/>
    <mergeCell ref="R62:T62"/>
    <mergeCell ref="A73:B73"/>
    <mergeCell ref="A70:B70"/>
    <mergeCell ref="C72:D72"/>
    <mergeCell ref="C73:D73"/>
    <mergeCell ref="C74:D74"/>
    <mergeCell ref="C75:D75"/>
    <mergeCell ref="I75:K75"/>
    <mergeCell ref="L75:N75"/>
    <mergeCell ref="O75:Q75"/>
    <mergeCell ref="R75:T75"/>
    <mergeCell ref="AX66:AZ66"/>
    <mergeCell ref="BA66:BC66"/>
    <mergeCell ref="BJ61:BL61"/>
    <mergeCell ref="A66:B66"/>
    <mergeCell ref="C66:D66"/>
    <mergeCell ref="F66:H66"/>
    <mergeCell ref="I66:K66"/>
    <mergeCell ref="BJ69:BL69"/>
    <mergeCell ref="BD61:BF61"/>
    <mergeCell ref="L73:N73"/>
    <mergeCell ref="F70:H70"/>
    <mergeCell ref="A83:B83"/>
    <mergeCell ref="L80:N80"/>
    <mergeCell ref="U58:W58"/>
    <mergeCell ref="X58:Z58"/>
    <mergeCell ref="AA58:AC58"/>
    <mergeCell ref="AD58:AF58"/>
    <mergeCell ref="AG58:AI58"/>
    <mergeCell ref="AP60:AR60"/>
    <mergeCell ref="A72:B72"/>
    <mergeCell ref="C76:D76"/>
    <mergeCell ref="I60:K60"/>
    <mergeCell ref="L60:N60"/>
    <mergeCell ref="O60:Q60"/>
    <mergeCell ref="R60:T60"/>
    <mergeCell ref="F69:H69"/>
    <mergeCell ref="F59:H59"/>
    <mergeCell ref="C68:D68"/>
    <mergeCell ref="C69:D69"/>
    <mergeCell ref="C70:D70"/>
    <mergeCell ref="C71:D71"/>
    <mergeCell ref="A59:B59"/>
    <mergeCell ref="F62:H62"/>
    <mergeCell ref="I62:K62"/>
    <mergeCell ref="BM19:BO19"/>
    <mergeCell ref="BM72:BO72"/>
    <mergeCell ref="AA72:AC72"/>
    <mergeCell ref="AD72:AF72"/>
    <mergeCell ref="U76:W76"/>
    <mergeCell ref="X76:Z76"/>
    <mergeCell ref="AA76:AC76"/>
    <mergeCell ref="AD76:AF76"/>
    <mergeCell ref="AG76:AI76"/>
    <mergeCell ref="AJ76:AL76"/>
    <mergeCell ref="AM76:AO76"/>
    <mergeCell ref="AP76:AR76"/>
    <mergeCell ref="AX76:AZ76"/>
    <mergeCell ref="BA76:BC76"/>
    <mergeCell ref="BD76:BF76"/>
    <mergeCell ref="BG76:BI76"/>
    <mergeCell ref="BJ76:BL76"/>
    <mergeCell ref="AA53:AC53"/>
    <mergeCell ref="AD53:AF53"/>
    <mergeCell ref="BM70:BO70"/>
    <mergeCell ref="BM68:BO68"/>
    <mergeCell ref="BG65:BI65"/>
    <mergeCell ref="BJ65:BL65"/>
    <mergeCell ref="AJ75:AL75"/>
    <mergeCell ref="AM75:AO75"/>
    <mergeCell ref="BD62:BF62"/>
    <mergeCell ref="BG74:BI74"/>
    <mergeCell ref="BJ74:BL74"/>
    <mergeCell ref="BJ70:BL70"/>
    <mergeCell ref="BJ68:BL68"/>
    <mergeCell ref="BG62:BI62"/>
    <mergeCell ref="BG61:BI61"/>
    <mergeCell ref="X53:Z53"/>
    <mergeCell ref="A71:B71"/>
    <mergeCell ref="A74:B74"/>
    <mergeCell ref="A6:BV7"/>
    <mergeCell ref="AA12:AW12"/>
    <mergeCell ref="A25:B25"/>
    <mergeCell ref="C25:D25"/>
    <mergeCell ref="F25:H25"/>
    <mergeCell ref="I25:K25"/>
    <mergeCell ref="L25:N25"/>
    <mergeCell ref="O25:Q25"/>
    <mergeCell ref="R25:T25"/>
    <mergeCell ref="U25:W25"/>
    <mergeCell ref="X25:Z25"/>
    <mergeCell ref="AA25:AC25"/>
    <mergeCell ref="AD25:AF25"/>
    <mergeCell ref="AG25:AI25"/>
    <mergeCell ref="AJ25:AL25"/>
    <mergeCell ref="AM25:AO25"/>
    <mergeCell ref="AP25:AR25"/>
    <mergeCell ref="AJ24:AL24"/>
    <mergeCell ref="AM24:AO24"/>
    <mergeCell ref="BM22:BO22"/>
    <mergeCell ref="BP22:BR22"/>
    <mergeCell ref="AJ22:AL22"/>
    <mergeCell ref="AM22:AO22"/>
    <mergeCell ref="AP22:AR22"/>
    <mergeCell ref="AX22:AZ22"/>
    <mergeCell ref="BA22:BC22"/>
    <mergeCell ref="U22:W22"/>
    <mergeCell ref="X22:Z22"/>
    <mergeCell ref="AA22:AC22"/>
    <mergeCell ref="U82:W82"/>
    <mergeCell ref="F81:H81"/>
    <mergeCell ref="AD84:AF84"/>
    <mergeCell ref="C23:D23"/>
    <mergeCell ref="C33:D33"/>
    <mergeCell ref="C34:D34"/>
    <mergeCell ref="C35:D35"/>
    <mergeCell ref="BA59:BC59"/>
    <mergeCell ref="A22:B22"/>
    <mergeCell ref="A46:B46"/>
    <mergeCell ref="BJ46:BL46"/>
    <mergeCell ref="I77:K77"/>
    <mergeCell ref="L77:N77"/>
    <mergeCell ref="O77:Q77"/>
    <mergeCell ref="R77:T77"/>
    <mergeCell ref="O80:Q80"/>
    <mergeCell ref="R80:T80"/>
    <mergeCell ref="C24:D24"/>
    <mergeCell ref="C52:D52"/>
    <mergeCell ref="C47:D47"/>
    <mergeCell ref="C30:D30"/>
    <mergeCell ref="C31:D31"/>
    <mergeCell ref="C32:D32"/>
    <mergeCell ref="C39:D39"/>
    <mergeCell ref="C42:D42"/>
    <mergeCell ref="C43:D43"/>
    <mergeCell ref="C60:D60"/>
    <mergeCell ref="C61:D61"/>
    <mergeCell ref="C62:D62"/>
    <mergeCell ref="C48:D48"/>
    <mergeCell ref="R47:T47"/>
    <mergeCell ref="BA53:BC53"/>
    <mergeCell ref="BP46:BR46"/>
    <mergeCell ref="AG27:AI27"/>
    <mergeCell ref="AJ27:AL27"/>
    <mergeCell ref="AM27:AO27"/>
    <mergeCell ref="AG33:AI33"/>
    <mergeCell ref="U91:W91"/>
    <mergeCell ref="X91:Z91"/>
    <mergeCell ref="AA91:AC91"/>
    <mergeCell ref="AD91:AF91"/>
    <mergeCell ref="L88:N88"/>
    <mergeCell ref="AM89:AO89"/>
    <mergeCell ref="U92:W92"/>
    <mergeCell ref="X92:Z92"/>
    <mergeCell ref="AA92:AC92"/>
    <mergeCell ref="AD92:AF92"/>
    <mergeCell ref="C93:D93"/>
    <mergeCell ref="C92:D92"/>
    <mergeCell ref="C77:D77"/>
    <mergeCell ref="F86:H86"/>
    <mergeCell ref="X84:Z84"/>
    <mergeCell ref="AA84:AC84"/>
    <mergeCell ref="C81:D81"/>
    <mergeCell ref="C82:D82"/>
    <mergeCell ref="C83:D83"/>
    <mergeCell ref="C84:D84"/>
    <mergeCell ref="C85:D85"/>
    <mergeCell ref="C86:D86"/>
    <mergeCell ref="C91:D91"/>
    <mergeCell ref="R84:T84"/>
    <mergeCell ref="O91:Q91"/>
    <mergeCell ref="R88:T88"/>
    <mergeCell ref="U88:W88"/>
    <mergeCell ref="F30:H30"/>
    <mergeCell ref="F68:H68"/>
    <mergeCell ref="I81:K81"/>
    <mergeCell ref="L81:N81"/>
    <mergeCell ref="I47:K47"/>
    <mergeCell ref="L92:N92"/>
    <mergeCell ref="X93:Z93"/>
    <mergeCell ref="R91:T91"/>
    <mergeCell ref="BV12:BV13"/>
    <mergeCell ref="A14:BV14"/>
    <mergeCell ref="BU12:BU13"/>
    <mergeCell ref="F24:H24"/>
    <mergeCell ref="I24:K24"/>
    <mergeCell ref="L24:N24"/>
    <mergeCell ref="BD25:BF25"/>
    <mergeCell ref="BG25:BI25"/>
    <mergeCell ref="BM24:BO24"/>
    <mergeCell ref="BP24:BR24"/>
    <mergeCell ref="BG24:BI24"/>
    <mergeCell ref="AP24:AR24"/>
    <mergeCell ref="U43:W43"/>
    <mergeCell ref="AD46:AF46"/>
    <mergeCell ref="AG46:AI46"/>
    <mergeCell ref="AJ46:AL46"/>
    <mergeCell ref="AM46:AO46"/>
    <mergeCell ref="AP46:AR46"/>
    <mergeCell ref="AX46:AZ46"/>
    <mergeCell ref="BA46:BC46"/>
    <mergeCell ref="C22:D22"/>
    <mergeCell ref="C29:D29"/>
    <mergeCell ref="F45:H45"/>
    <mergeCell ref="F43:H43"/>
    <mergeCell ref="I97:K97"/>
    <mergeCell ref="L97:N97"/>
    <mergeCell ref="O97:Q97"/>
    <mergeCell ref="R97:T97"/>
    <mergeCell ref="AP96:AR96"/>
    <mergeCell ref="AX96:AZ96"/>
    <mergeCell ref="BA96:BC96"/>
    <mergeCell ref="X86:Z86"/>
    <mergeCell ref="AM83:AO83"/>
    <mergeCell ref="AP83:AR83"/>
    <mergeCell ref="AD97:AF97"/>
    <mergeCell ref="AG97:AI97"/>
    <mergeCell ref="AP97:AR97"/>
    <mergeCell ref="F93:H93"/>
    <mergeCell ref="I93:K93"/>
    <mergeCell ref="L93:N93"/>
    <mergeCell ref="I91:K91"/>
    <mergeCell ref="O92:Q92"/>
    <mergeCell ref="R92:T92"/>
    <mergeCell ref="AA94:AC94"/>
    <mergeCell ref="AD94:AF94"/>
    <mergeCell ref="AG94:AI94"/>
    <mergeCell ref="O84:Q84"/>
    <mergeCell ref="AJ92:AL92"/>
    <mergeCell ref="AM92:AO92"/>
    <mergeCell ref="AP92:AR92"/>
    <mergeCell ref="AX92:AZ92"/>
    <mergeCell ref="F91:H91"/>
    <mergeCell ref="F96:H96"/>
    <mergeCell ref="U93:W93"/>
    <mergeCell ref="F84:H84"/>
    <mergeCell ref="I84:K84"/>
    <mergeCell ref="C98:D98"/>
    <mergeCell ref="L96:N96"/>
    <mergeCell ref="O96:Q96"/>
    <mergeCell ref="AM99:AO99"/>
    <mergeCell ref="AP99:AR99"/>
    <mergeCell ref="AX99:AZ99"/>
    <mergeCell ref="BA99:BC99"/>
    <mergeCell ref="U99:W99"/>
    <mergeCell ref="BD96:BF96"/>
    <mergeCell ref="U97:W97"/>
    <mergeCell ref="F98:H98"/>
    <mergeCell ref="I98:K98"/>
    <mergeCell ref="L98:N98"/>
    <mergeCell ref="BG93:BI93"/>
    <mergeCell ref="BJ93:BL93"/>
    <mergeCell ref="BM93:BO93"/>
    <mergeCell ref="BG94:BI94"/>
    <mergeCell ref="BJ94:BL94"/>
    <mergeCell ref="BM94:BO94"/>
    <mergeCell ref="F94:H94"/>
    <mergeCell ref="I94:K94"/>
    <mergeCell ref="L94:N94"/>
    <mergeCell ref="BD95:BF95"/>
    <mergeCell ref="BG95:BI95"/>
    <mergeCell ref="U94:W94"/>
    <mergeCell ref="X94:Z94"/>
    <mergeCell ref="U95:W95"/>
    <mergeCell ref="F99:H99"/>
    <mergeCell ref="I99:K99"/>
    <mergeCell ref="L99:N99"/>
    <mergeCell ref="O99:Q99"/>
    <mergeCell ref="R99:T99"/>
    <mergeCell ref="AX86:AZ86"/>
    <mergeCell ref="BA86:BC86"/>
    <mergeCell ref="U86:W86"/>
    <mergeCell ref="AG89:AI89"/>
    <mergeCell ref="AJ89:AL89"/>
    <mergeCell ref="AA86:AC86"/>
    <mergeCell ref="U89:W89"/>
    <mergeCell ref="X89:Z89"/>
    <mergeCell ref="AX93:AZ93"/>
    <mergeCell ref="L85:N85"/>
    <mergeCell ref="O85:Q85"/>
    <mergeCell ref="U85:W85"/>
    <mergeCell ref="X85:Z85"/>
    <mergeCell ref="AJ86:AL86"/>
    <mergeCell ref="AM86:AO86"/>
    <mergeCell ref="AA85:AC85"/>
    <mergeCell ref="BP99:BR99"/>
    <mergeCell ref="AJ99:AL99"/>
    <mergeCell ref="BJ92:BL92"/>
    <mergeCell ref="BP98:BR98"/>
    <mergeCell ref="AJ98:AL98"/>
    <mergeCell ref="BD98:BF98"/>
    <mergeCell ref="AD88:AF88"/>
    <mergeCell ref="AP98:AR98"/>
    <mergeCell ref="AX94:AZ94"/>
    <mergeCell ref="BD97:BF97"/>
    <mergeCell ref="AP85:AR85"/>
    <mergeCell ref="A103:B103"/>
    <mergeCell ref="A99:B99"/>
    <mergeCell ref="AX102:AZ102"/>
    <mergeCell ref="BA102:BC102"/>
    <mergeCell ref="U102:W102"/>
    <mergeCell ref="X102:Z102"/>
    <mergeCell ref="AA102:AC102"/>
    <mergeCell ref="AD102:AF102"/>
    <mergeCell ref="AG102:AI102"/>
    <mergeCell ref="F102:H102"/>
    <mergeCell ref="I102:K102"/>
    <mergeCell ref="L102:N102"/>
    <mergeCell ref="O102:Q102"/>
    <mergeCell ref="R102:T102"/>
    <mergeCell ref="A98:B98"/>
    <mergeCell ref="C97:D97"/>
    <mergeCell ref="I96:K96"/>
    <mergeCell ref="X99:Z99"/>
    <mergeCell ref="AA99:AC99"/>
    <mergeCell ref="AD99:AF99"/>
    <mergeCell ref="AG99:AI99"/>
    <mergeCell ref="C100:D100"/>
    <mergeCell ref="F100:H100"/>
    <mergeCell ref="I100:K100"/>
    <mergeCell ref="L100:N100"/>
    <mergeCell ref="O100:Q100"/>
    <mergeCell ref="R100:T100"/>
    <mergeCell ref="U100:W100"/>
    <mergeCell ref="X100:Z100"/>
    <mergeCell ref="AA100:AC100"/>
    <mergeCell ref="AD100:AF100"/>
    <mergeCell ref="AG100:AI100"/>
    <mergeCell ref="A96:B96"/>
    <mergeCell ref="A97:B97"/>
    <mergeCell ref="F48:H48"/>
    <mergeCell ref="A76:B76"/>
    <mergeCell ref="F72:H72"/>
    <mergeCell ref="F92:H92"/>
    <mergeCell ref="A81:B81"/>
    <mergeCell ref="A94:B94"/>
    <mergeCell ref="A84:B84"/>
    <mergeCell ref="C94:D94"/>
    <mergeCell ref="C51:D51"/>
    <mergeCell ref="C56:D56"/>
    <mergeCell ref="C57:D57"/>
    <mergeCell ref="C49:D49"/>
    <mergeCell ref="C58:D58"/>
    <mergeCell ref="C59:D59"/>
    <mergeCell ref="C50:D50"/>
    <mergeCell ref="A91:B91"/>
    <mergeCell ref="A82:B82"/>
    <mergeCell ref="F73:H73"/>
    <mergeCell ref="A77:B77"/>
    <mergeCell ref="A80:B80"/>
    <mergeCell ref="C96:D96"/>
    <mergeCell ref="A88:B88"/>
    <mergeCell ref="C88:D88"/>
    <mergeCell ref="F88:H88"/>
    <mergeCell ref="F83:H83"/>
    <mergeCell ref="A92:B92"/>
    <mergeCell ref="A93:B93"/>
    <mergeCell ref="F97:H97"/>
    <mergeCell ref="F53:H53"/>
    <mergeCell ref="F85:H85"/>
    <mergeCell ref="AG53:AI53"/>
    <mergeCell ref="AD85:AF85"/>
    <mergeCell ref="AG59:AI59"/>
    <mergeCell ref="AJ53:AL53"/>
    <mergeCell ref="AM53:AO53"/>
    <mergeCell ref="U52:W52"/>
    <mergeCell ref="X52:Z52"/>
    <mergeCell ref="AA52:AC52"/>
    <mergeCell ref="AD52:AF52"/>
    <mergeCell ref="C95:D95"/>
    <mergeCell ref="A75:B75"/>
    <mergeCell ref="A85:B85"/>
    <mergeCell ref="A86:B86"/>
    <mergeCell ref="C65:D65"/>
    <mergeCell ref="A68:B68"/>
    <mergeCell ref="A69:B69"/>
    <mergeCell ref="F95:H95"/>
    <mergeCell ref="A95:B95"/>
    <mergeCell ref="I88:K88"/>
    <mergeCell ref="I83:K83"/>
    <mergeCell ref="L84:N84"/>
    <mergeCell ref="L91:N91"/>
    <mergeCell ref="L86:N86"/>
    <mergeCell ref="O93:Q93"/>
    <mergeCell ref="R93:T93"/>
    <mergeCell ref="I53:K53"/>
    <mergeCell ref="L53:N53"/>
    <mergeCell ref="O53:Q53"/>
    <mergeCell ref="R53:T53"/>
    <mergeCell ref="U53:W53"/>
    <mergeCell ref="L69:N69"/>
    <mergeCell ref="O69:Q69"/>
    <mergeCell ref="A35:B35"/>
    <mergeCell ref="A39:B39"/>
    <mergeCell ref="A58:B58"/>
    <mergeCell ref="F51:H51"/>
    <mergeCell ref="I51:K51"/>
    <mergeCell ref="F58:H58"/>
    <mergeCell ref="I58:K58"/>
    <mergeCell ref="L58:N58"/>
    <mergeCell ref="O58:Q58"/>
    <mergeCell ref="R58:T58"/>
    <mergeCell ref="I56:K56"/>
    <mergeCell ref="L56:N56"/>
    <mergeCell ref="O56:Q56"/>
    <mergeCell ref="R56:T56"/>
    <mergeCell ref="A53:B53"/>
    <mergeCell ref="F56:H56"/>
    <mergeCell ref="L47:N47"/>
    <mergeCell ref="O47:Q47"/>
    <mergeCell ref="I50:K50"/>
    <mergeCell ref="L50:N50"/>
    <mergeCell ref="F50:H50"/>
    <mergeCell ref="O49:Q49"/>
    <mergeCell ref="R49:T49"/>
    <mergeCell ref="R51:T51"/>
    <mergeCell ref="A47:B47"/>
    <mergeCell ref="A38:B38"/>
    <mergeCell ref="C38:D38"/>
    <mergeCell ref="I48:K48"/>
    <mergeCell ref="L51:N51"/>
    <mergeCell ref="O51:Q51"/>
    <mergeCell ref="C46:D46"/>
    <mergeCell ref="O38:Q38"/>
    <mergeCell ref="R38:T38"/>
    <mergeCell ref="A52:B52"/>
    <mergeCell ref="F52:H52"/>
    <mergeCell ref="I52:K52"/>
    <mergeCell ref="L52:N52"/>
    <mergeCell ref="O52:Q52"/>
    <mergeCell ref="R52:T52"/>
    <mergeCell ref="A23:B23"/>
    <mergeCell ref="A24:B24"/>
    <mergeCell ref="A29:B29"/>
    <mergeCell ref="A30:B30"/>
    <mergeCell ref="A31:B31"/>
    <mergeCell ref="A32:B32"/>
    <mergeCell ref="A33:B33"/>
    <mergeCell ref="A34:B34"/>
    <mergeCell ref="I46:K46"/>
    <mergeCell ref="C44:D44"/>
    <mergeCell ref="C45:D45"/>
    <mergeCell ref="I30:K30"/>
    <mergeCell ref="L30:N30"/>
    <mergeCell ref="R30:T30"/>
    <mergeCell ref="L48:N48"/>
    <mergeCell ref="O48:Q48"/>
    <mergeCell ref="R48:T48"/>
    <mergeCell ref="A45:B45"/>
    <mergeCell ref="R35:T35"/>
    <mergeCell ref="F39:H39"/>
    <mergeCell ref="I39:K39"/>
    <mergeCell ref="O30:Q30"/>
    <mergeCell ref="I33:K33"/>
    <mergeCell ref="L33:N33"/>
    <mergeCell ref="A42:B42"/>
    <mergeCell ref="BP232:BR232"/>
    <mergeCell ref="BM233:BO233"/>
    <mergeCell ref="BP233:BR233"/>
    <mergeCell ref="BJ230:BL230"/>
    <mergeCell ref="L39:N39"/>
    <mergeCell ref="F46:H46"/>
    <mergeCell ref="I45:K45"/>
    <mergeCell ref="L45:N45"/>
    <mergeCell ref="O39:Q39"/>
    <mergeCell ref="R39:T39"/>
    <mergeCell ref="F42:H42"/>
    <mergeCell ref="L42:N42"/>
    <mergeCell ref="O42:Q42"/>
    <mergeCell ref="R42:T42"/>
    <mergeCell ref="I43:K43"/>
    <mergeCell ref="L43:N43"/>
    <mergeCell ref="F44:H44"/>
    <mergeCell ref="I42:K42"/>
    <mergeCell ref="O45:Q45"/>
    <mergeCell ref="R45:T45"/>
    <mergeCell ref="I44:K44"/>
    <mergeCell ref="L44:N44"/>
    <mergeCell ref="O44:Q44"/>
    <mergeCell ref="R44:T44"/>
    <mergeCell ref="O43:Q43"/>
    <mergeCell ref="L66:N66"/>
    <mergeCell ref="AJ54:AL54"/>
    <mergeCell ref="AM54:AO54"/>
    <mergeCell ref="I76:K76"/>
    <mergeCell ref="L76:N76"/>
    <mergeCell ref="O76:Q76"/>
    <mergeCell ref="BM31:BO31"/>
    <mergeCell ref="BP31:BR31"/>
    <mergeCell ref="BJ30:BL30"/>
    <mergeCell ref="BM45:BO45"/>
    <mergeCell ref="BP45:BR45"/>
    <mergeCell ref="F31:H31"/>
    <mergeCell ref="I31:K31"/>
    <mergeCell ref="L31:N31"/>
    <mergeCell ref="O31:Q31"/>
    <mergeCell ref="R31:T31"/>
    <mergeCell ref="U31:W31"/>
    <mergeCell ref="X31:Z31"/>
    <mergeCell ref="AA31:AC31"/>
    <mergeCell ref="AD31:AF31"/>
    <mergeCell ref="AG31:AI31"/>
    <mergeCell ref="AJ31:AL31"/>
    <mergeCell ref="AM31:AO31"/>
    <mergeCell ref="AP31:AR31"/>
    <mergeCell ref="AX31:AZ31"/>
    <mergeCell ref="BA31:BC31"/>
    <mergeCell ref="BG31:BI31"/>
    <mergeCell ref="X43:Z43"/>
    <mergeCell ref="AA43:AC43"/>
    <mergeCell ref="R43:T43"/>
    <mergeCell ref="F36:H36"/>
    <mergeCell ref="I36:K36"/>
    <mergeCell ref="L36:N36"/>
    <mergeCell ref="O36:Q36"/>
    <mergeCell ref="R36:T36"/>
    <mergeCell ref="F38:H38"/>
    <mergeCell ref="I38:K38"/>
    <mergeCell ref="L38:N38"/>
    <mergeCell ref="BJ205:BL205"/>
    <mergeCell ref="BM205:BO205"/>
    <mergeCell ref="BM228:BO228"/>
    <mergeCell ref="BG240:BI240"/>
    <mergeCell ref="BM201:BO201"/>
    <mergeCell ref="BD199:BF199"/>
    <mergeCell ref="BG199:BI199"/>
    <mergeCell ref="BJ190:BL190"/>
    <mergeCell ref="BM190:BO190"/>
    <mergeCell ref="BM238:BO238"/>
    <mergeCell ref="BA238:BC238"/>
    <mergeCell ref="BD197:BF197"/>
    <mergeCell ref="BG197:BI197"/>
    <mergeCell ref="BM197:BO197"/>
    <mergeCell ref="BJ233:BL233"/>
    <mergeCell ref="A43:B43"/>
    <mergeCell ref="A44:B44"/>
    <mergeCell ref="BJ234:BL234"/>
    <mergeCell ref="L74:N74"/>
    <mergeCell ref="O86:Q86"/>
    <mergeCell ref="R86:T86"/>
    <mergeCell ref="I59:K59"/>
    <mergeCell ref="L59:N59"/>
    <mergeCell ref="O59:Q59"/>
    <mergeCell ref="R59:T59"/>
    <mergeCell ref="I68:K68"/>
    <mergeCell ref="L68:N68"/>
    <mergeCell ref="U60:W60"/>
    <mergeCell ref="X60:Z60"/>
    <mergeCell ref="AA60:AC60"/>
    <mergeCell ref="AD60:AF60"/>
    <mergeCell ref="AG60:AI60"/>
    <mergeCell ref="BP226:BR226"/>
    <mergeCell ref="BJ227:BL227"/>
    <mergeCell ref="BM227:BO227"/>
    <mergeCell ref="BA240:BC240"/>
    <mergeCell ref="BD241:BF241"/>
    <mergeCell ref="BG241:BI241"/>
    <mergeCell ref="BD238:BF238"/>
    <mergeCell ref="BG238:BI238"/>
    <mergeCell ref="BD239:BF239"/>
    <mergeCell ref="BG239:BI239"/>
    <mergeCell ref="BD236:BF236"/>
    <mergeCell ref="BG236:BI236"/>
    <mergeCell ref="BD237:BF237"/>
    <mergeCell ref="BG237:BI237"/>
    <mergeCell ref="BD234:BF234"/>
    <mergeCell ref="BG234:BI234"/>
    <mergeCell ref="BD235:BF235"/>
    <mergeCell ref="BM232:BO232"/>
    <mergeCell ref="BM203:BO203"/>
    <mergeCell ref="BP203:BR203"/>
    <mergeCell ref="BD196:BF196"/>
    <mergeCell ref="BM230:BO230"/>
    <mergeCell ref="BP230:BR230"/>
    <mergeCell ref="BD231:BF231"/>
    <mergeCell ref="BG231:BI231"/>
    <mergeCell ref="BJ231:BL231"/>
    <mergeCell ref="BM231:BO231"/>
    <mergeCell ref="BP231:BR231"/>
    <mergeCell ref="BG204:BI204"/>
    <mergeCell ref="BJ204:BL204"/>
    <mergeCell ref="BM204:BO204"/>
    <mergeCell ref="BD202:BF202"/>
    <mergeCell ref="BG202:BI202"/>
    <mergeCell ref="BJ202:BL202"/>
    <mergeCell ref="BM202:BO202"/>
    <mergeCell ref="BP204:BR204"/>
    <mergeCell ref="BJ224:BL224"/>
    <mergeCell ref="BJ208:BL208"/>
    <mergeCell ref="BM208:BO208"/>
    <mergeCell ref="BP228:BR228"/>
    <mergeCell ref="BP229:BR229"/>
    <mergeCell ref="BD226:BF226"/>
    <mergeCell ref="BG226:BI226"/>
    <mergeCell ref="BG218:BI218"/>
    <mergeCell ref="BJ218:BL218"/>
    <mergeCell ref="BM218:BO218"/>
    <mergeCell ref="BJ217:BL217"/>
    <mergeCell ref="BD205:BF205"/>
    <mergeCell ref="BJ226:BL226"/>
    <mergeCell ref="BM226:BO226"/>
    <mergeCell ref="BP216:BR216"/>
    <mergeCell ref="BP215:BR215"/>
    <mergeCell ref="BJ215:BL215"/>
    <mergeCell ref="BG196:BI196"/>
    <mergeCell ref="BJ196:BL196"/>
    <mergeCell ref="BM196:BO196"/>
    <mergeCell ref="BD192:BF192"/>
    <mergeCell ref="BG192:BI192"/>
    <mergeCell ref="BJ192:BL192"/>
    <mergeCell ref="BD194:BF194"/>
    <mergeCell ref="BG194:BI194"/>
    <mergeCell ref="BJ194:BL194"/>
    <mergeCell ref="BM194:BO194"/>
    <mergeCell ref="BM192:BO192"/>
    <mergeCell ref="BM211:BO211"/>
    <mergeCell ref="BP211:BR211"/>
    <mergeCell ref="BJ220:BL220"/>
    <mergeCell ref="BM220:BO220"/>
    <mergeCell ref="BD208:BF208"/>
    <mergeCell ref="BP213:BR213"/>
    <mergeCell ref="BJ212:BL212"/>
    <mergeCell ref="BM212:BO212"/>
    <mergeCell ref="BP217:BR217"/>
    <mergeCell ref="BP205:BR205"/>
    <mergeCell ref="BP202:BR202"/>
    <mergeCell ref="BJ203:BL203"/>
    <mergeCell ref="BD204:BF204"/>
    <mergeCell ref="BJ197:BL197"/>
    <mergeCell ref="BD214:BF214"/>
    <mergeCell ref="BG214:BI214"/>
    <mergeCell ref="BJ199:BL199"/>
    <mergeCell ref="BM199:BO199"/>
    <mergeCell ref="BG208:BI208"/>
    <mergeCell ref="BD210:BF210"/>
    <mergeCell ref="AJ209:AL209"/>
    <mergeCell ref="BG210:BI210"/>
    <mergeCell ref="BD209:BF209"/>
    <mergeCell ref="BP227:BR227"/>
    <mergeCell ref="BD224:BF224"/>
    <mergeCell ref="BP208:BR208"/>
    <mergeCell ref="BJ209:BL209"/>
    <mergeCell ref="BM209:BO209"/>
    <mergeCell ref="BP209:BR209"/>
    <mergeCell ref="BD206:BF206"/>
    <mergeCell ref="BG206:BI206"/>
    <mergeCell ref="BJ206:BL206"/>
    <mergeCell ref="BM206:BO206"/>
    <mergeCell ref="BP206:BR206"/>
    <mergeCell ref="BJ207:BL207"/>
    <mergeCell ref="BM207:BO207"/>
    <mergeCell ref="BP207:BR207"/>
    <mergeCell ref="BJ214:BL214"/>
    <mergeCell ref="BM214:BO214"/>
    <mergeCell ref="BP214:BR214"/>
    <mergeCell ref="BJ211:BL211"/>
    <mergeCell ref="BP212:BR212"/>
    <mergeCell ref="BD207:BF207"/>
    <mergeCell ref="BG207:BI207"/>
    <mergeCell ref="BJ221:BL221"/>
    <mergeCell ref="BM221:BO221"/>
    <mergeCell ref="BP221:BR221"/>
    <mergeCell ref="BP210:BR210"/>
    <mergeCell ref="BG209:BI209"/>
    <mergeCell ref="BG224:BI224"/>
    <mergeCell ref="AX214:AZ214"/>
    <mergeCell ref="BA214:BC214"/>
    <mergeCell ref="BA221:BC221"/>
    <mergeCell ref="AG218:AI218"/>
    <mergeCell ref="BD217:BF217"/>
    <mergeCell ref="AJ217:AL217"/>
    <mergeCell ref="BG205:BI205"/>
    <mergeCell ref="BD203:BF203"/>
    <mergeCell ref="BG203:BI203"/>
    <mergeCell ref="AA236:AC236"/>
    <mergeCell ref="AD236:AF236"/>
    <mergeCell ref="AG236:AI236"/>
    <mergeCell ref="AJ234:AL234"/>
    <mergeCell ref="AM234:AO234"/>
    <mergeCell ref="AP234:AR234"/>
    <mergeCell ref="AX234:AZ234"/>
    <mergeCell ref="BA234:BC234"/>
    <mergeCell ref="AA224:AC224"/>
    <mergeCell ref="AD224:AF224"/>
    <mergeCell ref="AG224:AI224"/>
    <mergeCell ref="AP218:AR218"/>
    <mergeCell ref="AX218:AZ218"/>
    <mergeCell ref="BA218:BC218"/>
    <mergeCell ref="AA207:AC207"/>
    <mergeCell ref="AD207:AF207"/>
    <mergeCell ref="AP221:AR221"/>
    <mergeCell ref="AX217:AZ217"/>
    <mergeCell ref="BA217:BC217"/>
    <mergeCell ref="AA210:AC210"/>
    <mergeCell ref="AD210:AF210"/>
    <mergeCell ref="AG210:AI210"/>
    <mergeCell ref="BA210:BC210"/>
    <mergeCell ref="BD215:BF215"/>
    <mergeCell ref="BG215:BI215"/>
    <mergeCell ref="AP209:AR209"/>
    <mergeCell ref="U209:W209"/>
    <mergeCell ref="X209:Z209"/>
    <mergeCell ref="AA209:AC209"/>
    <mergeCell ref="AD209:AF209"/>
    <mergeCell ref="AG209:AI209"/>
    <mergeCell ref="AX196:AZ196"/>
    <mergeCell ref="BA196:BC196"/>
    <mergeCell ref="U196:W196"/>
    <mergeCell ref="X196:Z196"/>
    <mergeCell ref="AA196:AC196"/>
    <mergeCell ref="AD196:AF196"/>
    <mergeCell ref="AG196:AI196"/>
    <mergeCell ref="AM209:AO209"/>
    <mergeCell ref="X231:Z231"/>
    <mergeCell ref="AA231:AC231"/>
    <mergeCell ref="AD231:AF231"/>
    <mergeCell ref="AG231:AI231"/>
    <mergeCell ref="AG228:AI228"/>
    <mergeCell ref="AJ226:AL226"/>
    <mergeCell ref="AM226:AO226"/>
    <mergeCell ref="AP226:AR226"/>
    <mergeCell ref="BD220:BF220"/>
    <mergeCell ref="AX216:AZ216"/>
    <mergeCell ref="BA216:BC216"/>
    <mergeCell ref="AJ214:AL214"/>
    <mergeCell ref="AM214:AO214"/>
    <mergeCell ref="AP222:AR222"/>
    <mergeCell ref="AX222:AZ222"/>
    <mergeCell ref="BA222:BC222"/>
    <mergeCell ref="AD217:AF217"/>
    <mergeCell ref="AG217:AI217"/>
    <mergeCell ref="AJ215:AL215"/>
    <mergeCell ref="AM215:AO215"/>
    <mergeCell ref="AP215:AR215"/>
    <mergeCell ref="AX215:AZ215"/>
    <mergeCell ref="BA215:BC215"/>
    <mergeCell ref="U215:W215"/>
    <mergeCell ref="X215:Z215"/>
    <mergeCell ref="AA215:AC215"/>
    <mergeCell ref="AD215:AF215"/>
    <mergeCell ref="AG215:AI215"/>
    <mergeCell ref="AP108:AR108"/>
    <mergeCell ref="AX108:AZ108"/>
    <mergeCell ref="AM240:AO240"/>
    <mergeCell ref="AP240:AR240"/>
    <mergeCell ref="AM217:AO217"/>
    <mergeCell ref="AP217:AR217"/>
    <mergeCell ref="U222:W222"/>
    <mergeCell ref="X222:Z222"/>
    <mergeCell ref="AA222:AC222"/>
    <mergeCell ref="AD222:AF222"/>
    <mergeCell ref="AG222:AI222"/>
    <mergeCell ref="U224:W224"/>
    <mergeCell ref="X224:Z224"/>
    <mergeCell ref="AJ221:AL221"/>
    <mergeCell ref="AM221:AO221"/>
    <mergeCell ref="AJ236:AL236"/>
    <mergeCell ref="AM236:AO236"/>
    <mergeCell ref="AP236:AR236"/>
    <mergeCell ref="AX236:AZ236"/>
    <mergeCell ref="AP214:AR214"/>
    <mergeCell ref="F240:H240"/>
    <mergeCell ref="AD240:AF240"/>
    <mergeCell ref="AG240:AI240"/>
    <mergeCell ref="AP210:AR210"/>
    <mergeCell ref="AX210:AZ210"/>
    <mergeCell ref="U234:W234"/>
    <mergeCell ref="X234:Z234"/>
    <mergeCell ref="AA234:AC234"/>
    <mergeCell ref="AD234:AF234"/>
    <mergeCell ref="AG234:AI234"/>
    <mergeCell ref="AJ231:AL231"/>
    <mergeCell ref="BJ242:BL242"/>
    <mergeCell ref="BM242:BO242"/>
    <mergeCell ref="BP242:BR242"/>
    <mergeCell ref="AJ242:AL242"/>
    <mergeCell ref="AM242:AO242"/>
    <mergeCell ref="AP242:AR242"/>
    <mergeCell ref="AX242:AZ242"/>
    <mergeCell ref="BA242:BC242"/>
    <mergeCell ref="U242:W242"/>
    <mergeCell ref="X242:Z242"/>
    <mergeCell ref="AA242:AC242"/>
    <mergeCell ref="AD242:AF242"/>
    <mergeCell ref="AG242:AI242"/>
    <mergeCell ref="AM231:AO231"/>
    <mergeCell ref="AP231:AR231"/>
    <mergeCell ref="AX231:AZ231"/>
    <mergeCell ref="BA231:BC231"/>
    <mergeCell ref="U231:W231"/>
    <mergeCell ref="U236:W236"/>
    <mergeCell ref="X236:Z236"/>
    <mergeCell ref="U238:W238"/>
    <mergeCell ref="F242:H242"/>
    <mergeCell ref="I242:K242"/>
    <mergeCell ref="L242:N242"/>
    <mergeCell ref="O242:Q242"/>
    <mergeCell ref="R242:T242"/>
    <mergeCell ref="BD242:BF242"/>
    <mergeCell ref="BG242:BI242"/>
    <mergeCell ref="BD243:BF243"/>
    <mergeCell ref="BG243:BI243"/>
    <mergeCell ref="BJ243:BL243"/>
    <mergeCell ref="BM243:BO243"/>
    <mergeCell ref="BP243:BR243"/>
    <mergeCell ref="AJ243:AL243"/>
    <mergeCell ref="AM243:AO243"/>
    <mergeCell ref="AP243:AR243"/>
    <mergeCell ref="AX243:AZ243"/>
    <mergeCell ref="BA243:BC243"/>
    <mergeCell ref="U243:W243"/>
    <mergeCell ref="X243:Z243"/>
    <mergeCell ref="AA243:AC243"/>
    <mergeCell ref="AD243:AF243"/>
    <mergeCell ref="AG243:AI243"/>
    <mergeCell ref="F243:H243"/>
    <mergeCell ref="I243:K243"/>
    <mergeCell ref="L243:N243"/>
    <mergeCell ref="O243:Q243"/>
    <mergeCell ref="R243:T243"/>
    <mergeCell ref="BJ238:BL238"/>
    <mergeCell ref="I240:K240"/>
    <mergeCell ref="L240:N240"/>
    <mergeCell ref="O240:Q240"/>
    <mergeCell ref="R240:T240"/>
    <mergeCell ref="BJ241:BL241"/>
    <mergeCell ref="BM241:BO241"/>
    <mergeCell ref="BP241:BR241"/>
    <mergeCell ref="AJ241:AL241"/>
    <mergeCell ref="AM241:AO241"/>
    <mergeCell ref="AP241:AR241"/>
    <mergeCell ref="AX241:AZ241"/>
    <mergeCell ref="BA241:BC241"/>
    <mergeCell ref="U241:W241"/>
    <mergeCell ref="X241:Z241"/>
    <mergeCell ref="AA241:AC241"/>
    <mergeCell ref="AD241:AF241"/>
    <mergeCell ref="AG241:AI241"/>
    <mergeCell ref="U240:W240"/>
    <mergeCell ref="X240:Z240"/>
    <mergeCell ref="AA240:AC240"/>
    <mergeCell ref="AM238:AO238"/>
    <mergeCell ref="AP238:AR238"/>
    <mergeCell ref="AX238:AZ238"/>
    <mergeCell ref="X238:Z238"/>
    <mergeCell ref="AA238:AC238"/>
    <mergeCell ref="AD238:AF238"/>
    <mergeCell ref="AG238:AI238"/>
    <mergeCell ref="BP238:BR238"/>
    <mergeCell ref="AX240:AZ240"/>
    <mergeCell ref="BD240:BF240"/>
    <mergeCell ref="AJ240:AL240"/>
    <mergeCell ref="F241:H241"/>
    <mergeCell ref="I241:K241"/>
    <mergeCell ref="L241:N241"/>
    <mergeCell ref="O241:Q241"/>
    <mergeCell ref="R241:T241"/>
    <mergeCell ref="BJ240:BL240"/>
    <mergeCell ref="BM240:BO240"/>
    <mergeCell ref="BP240:BR240"/>
    <mergeCell ref="F238:H238"/>
    <mergeCell ref="I238:K238"/>
    <mergeCell ref="L238:N238"/>
    <mergeCell ref="O238:Q238"/>
    <mergeCell ref="R238:T238"/>
    <mergeCell ref="BJ239:BL239"/>
    <mergeCell ref="BM239:BO239"/>
    <mergeCell ref="BP239:BR239"/>
    <mergeCell ref="AJ239:AL239"/>
    <mergeCell ref="AM239:AO239"/>
    <mergeCell ref="AP239:AR239"/>
    <mergeCell ref="AX239:AZ239"/>
    <mergeCell ref="BA239:BC239"/>
    <mergeCell ref="U239:W239"/>
    <mergeCell ref="X239:Z239"/>
    <mergeCell ref="AA239:AC239"/>
    <mergeCell ref="AD239:AF239"/>
    <mergeCell ref="AG239:AI239"/>
    <mergeCell ref="F239:H239"/>
    <mergeCell ref="I239:K239"/>
    <mergeCell ref="L239:N239"/>
    <mergeCell ref="O239:Q239"/>
    <mergeCell ref="R239:T239"/>
    <mergeCell ref="AJ238:AL238"/>
    <mergeCell ref="F236:H236"/>
    <mergeCell ref="I236:K236"/>
    <mergeCell ref="L236:N236"/>
    <mergeCell ref="O236:Q236"/>
    <mergeCell ref="R236:T236"/>
    <mergeCell ref="BJ237:BL237"/>
    <mergeCell ref="BM237:BO237"/>
    <mergeCell ref="BP237:BR237"/>
    <mergeCell ref="AJ237:AL237"/>
    <mergeCell ref="AM237:AO237"/>
    <mergeCell ref="AP237:AR237"/>
    <mergeCell ref="AX237:AZ237"/>
    <mergeCell ref="BA237:BC237"/>
    <mergeCell ref="U237:W237"/>
    <mergeCell ref="X237:Z237"/>
    <mergeCell ref="AA237:AC237"/>
    <mergeCell ref="AD237:AF237"/>
    <mergeCell ref="AG237:AI237"/>
    <mergeCell ref="F237:H237"/>
    <mergeCell ref="I237:K237"/>
    <mergeCell ref="L237:N237"/>
    <mergeCell ref="O237:Q237"/>
    <mergeCell ref="R237:T237"/>
    <mergeCell ref="BA236:BC236"/>
    <mergeCell ref="BJ236:BL236"/>
    <mergeCell ref="BM236:BO236"/>
    <mergeCell ref="BP236:BR236"/>
    <mergeCell ref="L232:N232"/>
    <mergeCell ref="O232:Q232"/>
    <mergeCell ref="R232:T232"/>
    <mergeCell ref="BD232:BF232"/>
    <mergeCell ref="BG232:BI232"/>
    <mergeCell ref="F234:H234"/>
    <mergeCell ref="I234:K234"/>
    <mergeCell ref="L234:N234"/>
    <mergeCell ref="O234:Q234"/>
    <mergeCell ref="R234:T234"/>
    <mergeCell ref="BJ235:BL235"/>
    <mergeCell ref="BM235:BO235"/>
    <mergeCell ref="BP235:BR235"/>
    <mergeCell ref="AJ235:AL235"/>
    <mergeCell ref="AM235:AO235"/>
    <mergeCell ref="AP235:AR235"/>
    <mergeCell ref="AX235:AZ235"/>
    <mergeCell ref="BA235:BC235"/>
    <mergeCell ref="U235:W235"/>
    <mergeCell ref="X235:Z235"/>
    <mergeCell ref="AA235:AC235"/>
    <mergeCell ref="AD235:AF235"/>
    <mergeCell ref="AG235:AI235"/>
    <mergeCell ref="F235:H235"/>
    <mergeCell ref="I235:K235"/>
    <mergeCell ref="L235:N235"/>
    <mergeCell ref="O235:Q235"/>
    <mergeCell ref="R235:T235"/>
    <mergeCell ref="BG235:BI235"/>
    <mergeCell ref="BM234:BO234"/>
    <mergeCell ref="BP234:BR234"/>
    <mergeCell ref="BJ232:BL232"/>
    <mergeCell ref="R230:T230"/>
    <mergeCell ref="BD230:BF230"/>
    <mergeCell ref="BG230:BI230"/>
    <mergeCell ref="AJ233:AL233"/>
    <mergeCell ref="AM233:AO233"/>
    <mergeCell ref="AP233:AR233"/>
    <mergeCell ref="AX233:AZ233"/>
    <mergeCell ref="BA233:BC233"/>
    <mergeCell ref="U233:W233"/>
    <mergeCell ref="X233:Z233"/>
    <mergeCell ref="AA233:AC233"/>
    <mergeCell ref="AD233:AF233"/>
    <mergeCell ref="AG233:AI233"/>
    <mergeCell ref="F233:H233"/>
    <mergeCell ref="I233:K233"/>
    <mergeCell ref="L233:N233"/>
    <mergeCell ref="O233:Q233"/>
    <mergeCell ref="R233:T233"/>
    <mergeCell ref="BG233:BI233"/>
    <mergeCell ref="BD233:BF233"/>
    <mergeCell ref="AJ232:AL232"/>
    <mergeCell ref="AM232:AO232"/>
    <mergeCell ref="AP232:AR232"/>
    <mergeCell ref="AX232:AZ232"/>
    <mergeCell ref="BA232:BC232"/>
    <mergeCell ref="U232:W232"/>
    <mergeCell ref="X232:Z232"/>
    <mergeCell ref="AA232:AC232"/>
    <mergeCell ref="AD232:AF232"/>
    <mergeCell ref="AG232:AI232"/>
    <mergeCell ref="F232:H232"/>
    <mergeCell ref="I232:K232"/>
    <mergeCell ref="F231:H231"/>
    <mergeCell ref="I231:K231"/>
    <mergeCell ref="L231:N231"/>
    <mergeCell ref="O231:Q231"/>
    <mergeCell ref="R231:T231"/>
    <mergeCell ref="BD228:BF228"/>
    <mergeCell ref="BG228:BI228"/>
    <mergeCell ref="BD229:BF229"/>
    <mergeCell ref="BG229:BI229"/>
    <mergeCell ref="AJ230:AL230"/>
    <mergeCell ref="AM230:AO230"/>
    <mergeCell ref="AP230:AR230"/>
    <mergeCell ref="AX230:AZ230"/>
    <mergeCell ref="BA230:BC230"/>
    <mergeCell ref="U230:W230"/>
    <mergeCell ref="X230:Z230"/>
    <mergeCell ref="AA230:AC230"/>
    <mergeCell ref="AD230:AF230"/>
    <mergeCell ref="AG230:AI230"/>
    <mergeCell ref="F230:H230"/>
    <mergeCell ref="I230:K230"/>
    <mergeCell ref="L230:N230"/>
    <mergeCell ref="O230:Q230"/>
    <mergeCell ref="AJ228:AL228"/>
    <mergeCell ref="AM228:AO228"/>
    <mergeCell ref="AP228:AR228"/>
    <mergeCell ref="AX228:AZ228"/>
    <mergeCell ref="BA228:BC228"/>
    <mergeCell ref="U228:W228"/>
    <mergeCell ref="X228:Z228"/>
    <mergeCell ref="AA228:AC228"/>
    <mergeCell ref="AD228:AF228"/>
    <mergeCell ref="F228:H228"/>
    <mergeCell ref="I228:K228"/>
    <mergeCell ref="L228:N228"/>
    <mergeCell ref="O228:Q228"/>
    <mergeCell ref="R228:T228"/>
    <mergeCell ref="BJ229:BL229"/>
    <mergeCell ref="BM229:BO229"/>
    <mergeCell ref="AJ229:AL229"/>
    <mergeCell ref="AM229:AO229"/>
    <mergeCell ref="AP229:AR229"/>
    <mergeCell ref="AX229:AZ229"/>
    <mergeCell ref="BA229:BC229"/>
    <mergeCell ref="U229:W229"/>
    <mergeCell ref="X229:Z229"/>
    <mergeCell ref="AA229:AC229"/>
    <mergeCell ref="AD229:AF229"/>
    <mergeCell ref="AG229:AI229"/>
    <mergeCell ref="F229:H229"/>
    <mergeCell ref="I229:K229"/>
    <mergeCell ref="L229:N229"/>
    <mergeCell ref="O229:Q229"/>
    <mergeCell ref="R229:T229"/>
    <mergeCell ref="BJ228:BL228"/>
    <mergeCell ref="F226:H226"/>
    <mergeCell ref="I226:K226"/>
    <mergeCell ref="L226:N226"/>
    <mergeCell ref="O226:Q226"/>
    <mergeCell ref="R226:T226"/>
    <mergeCell ref="BD227:BF227"/>
    <mergeCell ref="BG227:BI227"/>
    <mergeCell ref="AJ227:AL227"/>
    <mergeCell ref="AM227:AO227"/>
    <mergeCell ref="AP227:AR227"/>
    <mergeCell ref="AX227:AZ227"/>
    <mergeCell ref="BA227:BC227"/>
    <mergeCell ref="U227:W227"/>
    <mergeCell ref="X227:Z227"/>
    <mergeCell ref="AA227:AC227"/>
    <mergeCell ref="AD227:AF227"/>
    <mergeCell ref="AG227:AI227"/>
    <mergeCell ref="F227:H227"/>
    <mergeCell ref="I227:K227"/>
    <mergeCell ref="L227:N227"/>
    <mergeCell ref="O227:Q227"/>
    <mergeCell ref="R227:T227"/>
    <mergeCell ref="AX226:AZ226"/>
    <mergeCell ref="BA226:BC226"/>
    <mergeCell ref="U226:W226"/>
    <mergeCell ref="X226:Z226"/>
    <mergeCell ref="AA226:AC226"/>
    <mergeCell ref="AD226:AF226"/>
    <mergeCell ref="AG226:AI226"/>
    <mergeCell ref="F224:H224"/>
    <mergeCell ref="I224:K224"/>
    <mergeCell ref="L224:N224"/>
    <mergeCell ref="O224:Q224"/>
    <mergeCell ref="R224:T224"/>
    <mergeCell ref="BD225:BF225"/>
    <mergeCell ref="BG225:BI225"/>
    <mergeCell ref="BJ225:BL225"/>
    <mergeCell ref="BM225:BO225"/>
    <mergeCell ref="BP225:BR225"/>
    <mergeCell ref="AJ225:AL225"/>
    <mergeCell ref="AM225:AO225"/>
    <mergeCell ref="AP225:AR225"/>
    <mergeCell ref="AX225:AZ225"/>
    <mergeCell ref="BA225:BC225"/>
    <mergeCell ref="U225:W225"/>
    <mergeCell ref="X225:Z225"/>
    <mergeCell ref="AA225:AC225"/>
    <mergeCell ref="AD225:AF225"/>
    <mergeCell ref="AG225:AI225"/>
    <mergeCell ref="F225:H225"/>
    <mergeCell ref="I225:K225"/>
    <mergeCell ref="L225:N225"/>
    <mergeCell ref="O225:Q225"/>
    <mergeCell ref="R225:T225"/>
    <mergeCell ref="BM224:BO224"/>
    <mergeCell ref="BP224:BR224"/>
    <mergeCell ref="AJ224:AL224"/>
    <mergeCell ref="AM224:AO224"/>
    <mergeCell ref="AP224:AR224"/>
    <mergeCell ref="AX224:AZ224"/>
    <mergeCell ref="BA224:BC224"/>
    <mergeCell ref="F222:H222"/>
    <mergeCell ref="I222:K222"/>
    <mergeCell ref="L222:N222"/>
    <mergeCell ref="O222:Q222"/>
    <mergeCell ref="R222:T222"/>
    <mergeCell ref="BD223:BF223"/>
    <mergeCell ref="BG223:BI223"/>
    <mergeCell ref="BJ223:BL223"/>
    <mergeCell ref="BM223:BO223"/>
    <mergeCell ref="BP223:BR223"/>
    <mergeCell ref="AJ223:AL223"/>
    <mergeCell ref="AM223:AO223"/>
    <mergeCell ref="AP223:AR223"/>
    <mergeCell ref="AX223:AZ223"/>
    <mergeCell ref="BA223:BC223"/>
    <mergeCell ref="U223:W223"/>
    <mergeCell ref="X223:Z223"/>
    <mergeCell ref="AA223:AC223"/>
    <mergeCell ref="AD223:AF223"/>
    <mergeCell ref="AG223:AI223"/>
    <mergeCell ref="F223:H223"/>
    <mergeCell ref="I223:K223"/>
    <mergeCell ref="L223:N223"/>
    <mergeCell ref="O223:Q223"/>
    <mergeCell ref="R223:T223"/>
    <mergeCell ref="BD222:BF222"/>
    <mergeCell ref="BG222:BI222"/>
    <mergeCell ref="BJ222:BL222"/>
    <mergeCell ref="BM222:BO222"/>
    <mergeCell ref="BP222:BR222"/>
    <mergeCell ref="AJ222:AL222"/>
    <mergeCell ref="AM222:AO222"/>
    <mergeCell ref="F221:H221"/>
    <mergeCell ref="I221:K221"/>
    <mergeCell ref="L221:N221"/>
    <mergeCell ref="O221:Q221"/>
    <mergeCell ref="R221:T221"/>
    <mergeCell ref="R219:T219"/>
    <mergeCell ref="BP220:BR220"/>
    <mergeCell ref="AJ220:AL220"/>
    <mergeCell ref="AM220:AO220"/>
    <mergeCell ref="AP220:AR220"/>
    <mergeCell ref="AX220:AZ220"/>
    <mergeCell ref="BA220:BC220"/>
    <mergeCell ref="U220:W220"/>
    <mergeCell ref="X220:Z220"/>
    <mergeCell ref="AA220:AC220"/>
    <mergeCell ref="AD220:AF220"/>
    <mergeCell ref="AG220:AI220"/>
    <mergeCell ref="F220:H220"/>
    <mergeCell ref="I220:K220"/>
    <mergeCell ref="L220:N220"/>
    <mergeCell ref="O220:Q220"/>
    <mergeCell ref="R220:T220"/>
    <mergeCell ref="BG220:BI220"/>
    <mergeCell ref="U221:W221"/>
    <mergeCell ref="X221:Z221"/>
    <mergeCell ref="AA221:AC221"/>
    <mergeCell ref="AD221:AF221"/>
    <mergeCell ref="AG221:AI221"/>
    <mergeCell ref="AX221:AZ221"/>
    <mergeCell ref="BD221:BF221"/>
    <mergeCell ref="BG221:BI221"/>
    <mergeCell ref="F218:H218"/>
    <mergeCell ref="I218:K218"/>
    <mergeCell ref="L218:N218"/>
    <mergeCell ref="O218:Q218"/>
    <mergeCell ref="R218:T218"/>
    <mergeCell ref="BD219:BF219"/>
    <mergeCell ref="BG219:BI219"/>
    <mergeCell ref="BJ219:BL219"/>
    <mergeCell ref="BM219:BO219"/>
    <mergeCell ref="BP219:BR219"/>
    <mergeCell ref="AJ219:AL219"/>
    <mergeCell ref="AM219:AO219"/>
    <mergeCell ref="AP219:AR219"/>
    <mergeCell ref="AX219:AZ219"/>
    <mergeCell ref="BA219:BC219"/>
    <mergeCell ref="U219:W219"/>
    <mergeCell ref="X219:Z219"/>
    <mergeCell ref="AA219:AC219"/>
    <mergeCell ref="AD219:AF219"/>
    <mergeCell ref="AG219:AI219"/>
    <mergeCell ref="F219:H219"/>
    <mergeCell ref="BP218:BR218"/>
    <mergeCell ref="AJ218:AL218"/>
    <mergeCell ref="AM218:AO218"/>
    <mergeCell ref="U218:W218"/>
    <mergeCell ref="X218:Z218"/>
    <mergeCell ref="AA218:AC218"/>
    <mergeCell ref="AD218:AF218"/>
    <mergeCell ref="I219:K219"/>
    <mergeCell ref="L219:N219"/>
    <mergeCell ref="O219:Q219"/>
    <mergeCell ref="BD218:BF218"/>
    <mergeCell ref="F217:H217"/>
    <mergeCell ref="I217:K217"/>
    <mergeCell ref="L217:N217"/>
    <mergeCell ref="O217:Q217"/>
    <mergeCell ref="R217:T217"/>
    <mergeCell ref="BJ213:BL213"/>
    <mergeCell ref="BM213:BO213"/>
    <mergeCell ref="U216:W216"/>
    <mergeCell ref="X216:Z216"/>
    <mergeCell ref="AA216:AC216"/>
    <mergeCell ref="AD216:AF216"/>
    <mergeCell ref="AG216:AI216"/>
    <mergeCell ref="F214:H214"/>
    <mergeCell ref="I214:K214"/>
    <mergeCell ref="L214:N214"/>
    <mergeCell ref="O214:Q214"/>
    <mergeCell ref="R214:T214"/>
    <mergeCell ref="F216:H216"/>
    <mergeCell ref="I216:K216"/>
    <mergeCell ref="L216:N216"/>
    <mergeCell ref="O216:Q216"/>
    <mergeCell ref="AJ216:AL216"/>
    <mergeCell ref="AM216:AO216"/>
    <mergeCell ref="AP216:AR216"/>
    <mergeCell ref="X213:Z213"/>
    <mergeCell ref="AA213:AC213"/>
    <mergeCell ref="AD213:AF213"/>
    <mergeCell ref="AG213:AI213"/>
    <mergeCell ref="R216:T216"/>
    <mergeCell ref="BJ216:BL216"/>
    <mergeCell ref="BM216:BO216"/>
    <mergeCell ref="F215:H215"/>
    <mergeCell ref="BM215:BO215"/>
    <mergeCell ref="BG216:BI216"/>
    <mergeCell ref="BD216:BF216"/>
    <mergeCell ref="BM217:BO217"/>
    <mergeCell ref="BG217:BI217"/>
    <mergeCell ref="I215:K215"/>
    <mergeCell ref="L215:N215"/>
    <mergeCell ref="O215:Q215"/>
    <mergeCell ref="R215:T215"/>
    <mergeCell ref="AJ211:AL211"/>
    <mergeCell ref="AM211:AO211"/>
    <mergeCell ref="AP211:AR211"/>
    <mergeCell ref="AX211:AZ211"/>
    <mergeCell ref="BA211:BC211"/>
    <mergeCell ref="U211:W211"/>
    <mergeCell ref="X211:Z211"/>
    <mergeCell ref="AA211:AC211"/>
    <mergeCell ref="AD211:AF211"/>
    <mergeCell ref="AG211:AI211"/>
    <mergeCell ref="AM212:AO212"/>
    <mergeCell ref="AP212:AR212"/>
    <mergeCell ref="AX212:AZ212"/>
    <mergeCell ref="BA212:BC212"/>
    <mergeCell ref="U212:W212"/>
    <mergeCell ref="U214:W214"/>
    <mergeCell ref="X214:Z214"/>
    <mergeCell ref="AA214:AC214"/>
    <mergeCell ref="AD214:AF214"/>
    <mergeCell ref="AG214:AI214"/>
    <mergeCell ref="U217:W217"/>
    <mergeCell ref="X217:Z217"/>
    <mergeCell ref="AA217:AC217"/>
    <mergeCell ref="F211:H211"/>
    <mergeCell ref="I211:K211"/>
    <mergeCell ref="L211:N211"/>
    <mergeCell ref="O211:Q211"/>
    <mergeCell ref="R211:T211"/>
    <mergeCell ref="BD211:BF211"/>
    <mergeCell ref="BG211:BI211"/>
    <mergeCell ref="AJ213:AL213"/>
    <mergeCell ref="AM213:AO213"/>
    <mergeCell ref="AP213:AR213"/>
    <mergeCell ref="AX213:AZ213"/>
    <mergeCell ref="BA213:BC213"/>
    <mergeCell ref="U213:W213"/>
    <mergeCell ref="F213:H213"/>
    <mergeCell ref="I213:K213"/>
    <mergeCell ref="L213:N213"/>
    <mergeCell ref="O213:Q213"/>
    <mergeCell ref="R213:T213"/>
    <mergeCell ref="AJ212:AL212"/>
    <mergeCell ref="X212:Z212"/>
    <mergeCell ref="AA212:AC212"/>
    <mergeCell ref="AD212:AF212"/>
    <mergeCell ref="AG212:AI212"/>
    <mergeCell ref="F212:H212"/>
    <mergeCell ref="I212:K212"/>
    <mergeCell ref="L212:N212"/>
    <mergeCell ref="O212:Q212"/>
    <mergeCell ref="R212:T212"/>
    <mergeCell ref="BD212:BF212"/>
    <mergeCell ref="BG212:BI212"/>
    <mergeCell ref="BD213:BF213"/>
    <mergeCell ref="BG213:BI213"/>
    <mergeCell ref="F209:H209"/>
    <mergeCell ref="I209:K209"/>
    <mergeCell ref="L209:N209"/>
    <mergeCell ref="O209:Q209"/>
    <mergeCell ref="R209:T209"/>
    <mergeCell ref="AJ210:AL210"/>
    <mergeCell ref="AM210:AO210"/>
    <mergeCell ref="AJ208:AL208"/>
    <mergeCell ref="AM208:AO208"/>
    <mergeCell ref="AP208:AR208"/>
    <mergeCell ref="R208:T208"/>
    <mergeCell ref="AX208:AZ208"/>
    <mergeCell ref="BA208:BC208"/>
    <mergeCell ref="U208:W208"/>
    <mergeCell ref="X208:Z208"/>
    <mergeCell ref="AA208:AC208"/>
    <mergeCell ref="AD208:AF208"/>
    <mergeCell ref="AG208:AI208"/>
    <mergeCell ref="U210:W210"/>
    <mergeCell ref="X210:Z210"/>
    <mergeCell ref="AX209:AZ209"/>
    <mergeCell ref="BA209:BC209"/>
    <mergeCell ref="BJ210:BL210"/>
    <mergeCell ref="BM210:BO210"/>
    <mergeCell ref="F210:H210"/>
    <mergeCell ref="I210:K210"/>
    <mergeCell ref="L210:N210"/>
    <mergeCell ref="O210:Q210"/>
    <mergeCell ref="R210:T210"/>
    <mergeCell ref="U206:W206"/>
    <mergeCell ref="X206:Z206"/>
    <mergeCell ref="AA206:AC206"/>
    <mergeCell ref="AD206:AF206"/>
    <mergeCell ref="AG206:AI206"/>
    <mergeCell ref="F206:H206"/>
    <mergeCell ref="I206:K206"/>
    <mergeCell ref="L206:N206"/>
    <mergeCell ref="O206:Q206"/>
    <mergeCell ref="R206:T206"/>
    <mergeCell ref="AJ207:AL207"/>
    <mergeCell ref="AM207:AO207"/>
    <mergeCell ref="F208:H208"/>
    <mergeCell ref="I208:K208"/>
    <mergeCell ref="L208:N208"/>
    <mergeCell ref="O208:Q208"/>
    <mergeCell ref="AP207:AR207"/>
    <mergeCell ref="AX207:AZ207"/>
    <mergeCell ref="BA207:BC207"/>
    <mergeCell ref="U207:W207"/>
    <mergeCell ref="X207:Z207"/>
    <mergeCell ref="AG207:AI207"/>
    <mergeCell ref="F207:H207"/>
    <mergeCell ref="I207:K207"/>
    <mergeCell ref="L207:N207"/>
    <mergeCell ref="O207:Q207"/>
    <mergeCell ref="R207:T207"/>
    <mergeCell ref="AJ206:AL206"/>
    <mergeCell ref="AM206:AO206"/>
    <mergeCell ref="AP206:AR206"/>
    <mergeCell ref="AX206:AZ206"/>
    <mergeCell ref="BA206:BC206"/>
    <mergeCell ref="AM204:AO204"/>
    <mergeCell ref="AP204:AR204"/>
    <mergeCell ref="AX204:AZ204"/>
    <mergeCell ref="BA204:BC204"/>
    <mergeCell ref="U204:W204"/>
    <mergeCell ref="X204:Z204"/>
    <mergeCell ref="AA204:AC204"/>
    <mergeCell ref="AD204:AF204"/>
    <mergeCell ref="AG204:AI204"/>
    <mergeCell ref="F204:H204"/>
    <mergeCell ref="I204:K204"/>
    <mergeCell ref="L204:N204"/>
    <mergeCell ref="O204:Q204"/>
    <mergeCell ref="R204:T204"/>
    <mergeCell ref="AJ205:AL205"/>
    <mergeCell ref="AM205:AO205"/>
    <mergeCell ref="AP205:AR205"/>
    <mergeCell ref="AX205:AZ205"/>
    <mergeCell ref="BA205:BC205"/>
    <mergeCell ref="U205:W205"/>
    <mergeCell ref="X205:Z205"/>
    <mergeCell ref="AA205:AC205"/>
    <mergeCell ref="AD205:AF205"/>
    <mergeCell ref="AG205:AI205"/>
    <mergeCell ref="F205:H205"/>
    <mergeCell ref="I205:K205"/>
    <mergeCell ref="L205:N205"/>
    <mergeCell ref="O205:Q205"/>
    <mergeCell ref="R205:T205"/>
    <mergeCell ref="AJ204:AL204"/>
    <mergeCell ref="AJ202:AL202"/>
    <mergeCell ref="AM202:AO202"/>
    <mergeCell ref="AP202:AR202"/>
    <mergeCell ref="AX202:AZ202"/>
    <mergeCell ref="BA202:BC202"/>
    <mergeCell ref="U202:W202"/>
    <mergeCell ref="X202:Z202"/>
    <mergeCell ref="AA202:AC202"/>
    <mergeCell ref="AD202:AF202"/>
    <mergeCell ref="AG202:AI202"/>
    <mergeCell ref="F202:H202"/>
    <mergeCell ref="I202:K202"/>
    <mergeCell ref="L202:N202"/>
    <mergeCell ref="O202:Q202"/>
    <mergeCell ref="R202:T202"/>
    <mergeCell ref="AJ203:AL203"/>
    <mergeCell ref="AM203:AO203"/>
    <mergeCell ref="AP203:AR203"/>
    <mergeCell ref="AX203:AZ203"/>
    <mergeCell ref="BA203:BC203"/>
    <mergeCell ref="U203:W203"/>
    <mergeCell ref="X203:Z203"/>
    <mergeCell ref="AA203:AC203"/>
    <mergeCell ref="AD203:AF203"/>
    <mergeCell ref="AG203:AI203"/>
    <mergeCell ref="F203:H203"/>
    <mergeCell ref="I203:K203"/>
    <mergeCell ref="L203:N203"/>
    <mergeCell ref="O203:Q203"/>
    <mergeCell ref="R203:T203"/>
    <mergeCell ref="F201:H201"/>
    <mergeCell ref="I201:K201"/>
    <mergeCell ref="L201:N201"/>
    <mergeCell ref="O201:Q201"/>
    <mergeCell ref="R201:T201"/>
    <mergeCell ref="AJ200:AL200"/>
    <mergeCell ref="AM200:AO200"/>
    <mergeCell ref="AP200:AR200"/>
    <mergeCell ref="AX200:AZ200"/>
    <mergeCell ref="BA200:BC200"/>
    <mergeCell ref="U200:W200"/>
    <mergeCell ref="X200:Z200"/>
    <mergeCell ref="AA200:AC200"/>
    <mergeCell ref="AD200:AF200"/>
    <mergeCell ref="AG200:AI200"/>
    <mergeCell ref="F200:H200"/>
    <mergeCell ref="I200:K200"/>
    <mergeCell ref="L200:N200"/>
    <mergeCell ref="O200:Q200"/>
    <mergeCell ref="R200:T200"/>
    <mergeCell ref="BP201:BR201"/>
    <mergeCell ref="AJ201:AL201"/>
    <mergeCell ref="AM201:AO201"/>
    <mergeCell ref="AP201:AR201"/>
    <mergeCell ref="AX201:AZ201"/>
    <mergeCell ref="BA201:BC201"/>
    <mergeCell ref="U201:W201"/>
    <mergeCell ref="X201:Z201"/>
    <mergeCell ref="AA201:AC201"/>
    <mergeCell ref="AD201:AF201"/>
    <mergeCell ref="AG201:AI201"/>
    <mergeCell ref="BD201:BF201"/>
    <mergeCell ref="BG201:BI201"/>
    <mergeCell ref="BD200:BF200"/>
    <mergeCell ref="BG200:BI200"/>
    <mergeCell ref="BJ200:BL200"/>
    <mergeCell ref="BM200:BO200"/>
    <mergeCell ref="BP200:BR200"/>
    <mergeCell ref="BJ201:BL201"/>
    <mergeCell ref="BP199:BR199"/>
    <mergeCell ref="AJ199:AL199"/>
    <mergeCell ref="AM199:AO199"/>
    <mergeCell ref="AP199:AR199"/>
    <mergeCell ref="AX199:AZ199"/>
    <mergeCell ref="BA199:BC199"/>
    <mergeCell ref="U199:W199"/>
    <mergeCell ref="X199:Z199"/>
    <mergeCell ref="AA199:AC199"/>
    <mergeCell ref="AD199:AF199"/>
    <mergeCell ref="AG199:AI199"/>
    <mergeCell ref="F199:H199"/>
    <mergeCell ref="BD198:BF198"/>
    <mergeCell ref="BG198:BI198"/>
    <mergeCell ref="BJ198:BL198"/>
    <mergeCell ref="BM198:BO198"/>
    <mergeCell ref="I199:K199"/>
    <mergeCell ref="L199:N199"/>
    <mergeCell ref="O199:Q199"/>
    <mergeCell ref="R199:T199"/>
    <mergeCell ref="BP198:BR198"/>
    <mergeCell ref="AJ198:AL198"/>
    <mergeCell ref="AM198:AO198"/>
    <mergeCell ref="U198:W198"/>
    <mergeCell ref="X198:Z198"/>
    <mergeCell ref="AA198:AC198"/>
    <mergeCell ref="AD198:AF198"/>
    <mergeCell ref="AG198:AI198"/>
    <mergeCell ref="AP198:AR198"/>
    <mergeCell ref="AX198:AZ198"/>
    <mergeCell ref="BA198:BC198"/>
    <mergeCell ref="F196:H196"/>
    <mergeCell ref="I196:K196"/>
    <mergeCell ref="L196:N196"/>
    <mergeCell ref="O196:Q196"/>
    <mergeCell ref="R196:T196"/>
    <mergeCell ref="F198:H198"/>
    <mergeCell ref="I198:K198"/>
    <mergeCell ref="L198:N198"/>
    <mergeCell ref="O198:Q198"/>
    <mergeCell ref="R198:T198"/>
    <mergeCell ref="F195:H195"/>
    <mergeCell ref="I195:K195"/>
    <mergeCell ref="L195:N195"/>
    <mergeCell ref="O195:Q195"/>
    <mergeCell ref="R195:T195"/>
    <mergeCell ref="BP194:BR194"/>
    <mergeCell ref="AJ194:AL194"/>
    <mergeCell ref="AM194:AO194"/>
    <mergeCell ref="AP194:AR194"/>
    <mergeCell ref="AX194:AZ194"/>
    <mergeCell ref="BA194:BC194"/>
    <mergeCell ref="U194:W194"/>
    <mergeCell ref="BP197:BR197"/>
    <mergeCell ref="AJ197:AL197"/>
    <mergeCell ref="AM197:AO197"/>
    <mergeCell ref="AP197:AR197"/>
    <mergeCell ref="AX197:AZ197"/>
    <mergeCell ref="BA197:BC197"/>
    <mergeCell ref="U197:W197"/>
    <mergeCell ref="X197:Z197"/>
    <mergeCell ref="AA197:AC197"/>
    <mergeCell ref="AD197:AF197"/>
    <mergeCell ref="AG197:AI197"/>
    <mergeCell ref="F197:H197"/>
    <mergeCell ref="I197:K197"/>
    <mergeCell ref="L197:N197"/>
    <mergeCell ref="O197:Q197"/>
    <mergeCell ref="R197:T197"/>
    <mergeCell ref="BP196:BR196"/>
    <mergeCell ref="AJ196:AL196"/>
    <mergeCell ref="AM196:AO196"/>
    <mergeCell ref="AP196:AR196"/>
    <mergeCell ref="O194:Q194"/>
    <mergeCell ref="R194:T194"/>
    <mergeCell ref="BD195:BF195"/>
    <mergeCell ref="BG195:BI195"/>
    <mergeCell ref="BJ195:BL195"/>
    <mergeCell ref="BM195:BO195"/>
    <mergeCell ref="BP195:BR195"/>
    <mergeCell ref="AJ195:AL195"/>
    <mergeCell ref="AM195:AO195"/>
    <mergeCell ref="AP195:AR195"/>
    <mergeCell ref="AX195:AZ195"/>
    <mergeCell ref="BA195:BC195"/>
    <mergeCell ref="U195:W195"/>
    <mergeCell ref="X195:Z195"/>
    <mergeCell ref="AA195:AC195"/>
    <mergeCell ref="AD195:AF195"/>
    <mergeCell ref="AG195:AI195"/>
    <mergeCell ref="X194:Z194"/>
    <mergeCell ref="AA194:AC194"/>
    <mergeCell ref="AD194:AF194"/>
    <mergeCell ref="AG194:AI194"/>
    <mergeCell ref="F194:H194"/>
    <mergeCell ref="F192:H192"/>
    <mergeCell ref="I192:K192"/>
    <mergeCell ref="L192:N192"/>
    <mergeCell ref="O192:Q192"/>
    <mergeCell ref="R192:T192"/>
    <mergeCell ref="BD193:BF193"/>
    <mergeCell ref="BG193:BI193"/>
    <mergeCell ref="BJ193:BL193"/>
    <mergeCell ref="BM193:BO193"/>
    <mergeCell ref="BP193:BR193"/>
    <mergeCell ref="AJ193:AL193"/>
    <mergeCell ref="AM193:AO193"/>
    <mergeCell ref="AP193:AR193"/>
    <mergeCell ref="AX193:AZ193"/>
    <mergeCell ref="BA193:BC193"/>
    <mergeCell ref="U193:W193"/>
    <mergeCell ref="X193:Z193"/>
    <mergeCell ref="AA193:AC193"/>
    <mergeCell ref="AD193:AF193"/>
    <mergeCell ref="AG193:AI193"/>
    <mergeCell ref="F193:H193"/>
    <mergeCell ref="I193:K193"/>
    <mergeCell ref="L193:N193"/>
    <mergeCell ref="O193:Q193"/>
    <mergeCell ref="R193:T193"/>
    <mergeCell ref="I194:K194"/>
    <mergeCell ref="L194:N194"/>
    <mergeCell ref="AP190:AR190"/>
    <mergeCell ref="AX190:AZ190"/>
    <mergeCell ref="BA190:BC190"/>
    <mergeCell ref="U190:W190"/>
    <mergeCell ref="X190:Z190"/>
    <mergeCell ref="AA190:AC190"/>
    <mergeCell ref="AD190:AF190"/>
    <mergeCell ref="AG190:AI190"/>
    <mergeCell ref="BP192:BR192"/>
    <mergeCell ref="AJ192:AL192"/>
    <mergeCell ref="AM192:AO192"/>
    <mergeCell ref="AP192:AR192"/>
    <mergeCell ref="AX192:AZ192"/>
    <mergeCell ref="BA192:BC192"/>
    <mergeCell ref="U192:W192"/>
    <mergeCell ref="X192:Z192"/>
    <mergeCell ref="AA192:AC192"/>
    <mergeCell ref="AD192:AF192"/>
    <mergeCell ref="AG192:AI192"/>
    <mergeCell ref="F190:H190"/>
    <mergeCell ref="I190:K190"/>
    <mergeCell ref="L190:N190"/>
    <mergeCell ref="O190:Q190"/>
    <mergeCell ref="R190:T190"/>
    <mergeCell ref="BD191:BF191"/>
    <mergeCell ref="BG191:BI191"/>
    <mergeCell ref="BJ191:BL191"/>
    <mergeCell ref="BM191:BO191"/>
    <mergeCell ref="BP191:BR191"/>
    <mergeCell ref="AJ191:AL191"/>
    <mergeCell ref="AM191:AO191"/>
    <mergeCell ref="AP191:AR191"/>
    <mergeCell ref="AX191:AZ191"/>
    <mergeCell ref="BA191:BC191"/>
    <mergeCell ref="U191:W191"/>
    <mergeCell ref="X191:Z191"/>
    <mergeCell ref="AA191:AC191"/>
    <mergeCell ref="AD191:AF191"/>
    <mergeCell ref="AG191:AI191"/>
    <mergeCell ref="F191:H191"/>
    <mergeCell ref="I191:K191"/>
    <mergeCell ref="L191:N191"/>
    <mergeCell ref="O191:Q191"/>
    <mergeCell ref="R191:T191"/>
    <mergeCell ref="BD190:BF190"/>
    <mergeCell ref="BG190:BI190"/>
    <mergeCell ref="BP190:BR190"/>
    <mergeCell ref="AJ190:AL190"/>
    <mergeCell ref="AM190:AO190"/>
    <mergeCell ref="F188:H188"/>
    <mergeCell ref="I188:K188"/>
    <mergeCell ref="L188:N188"/>
    <mergeCell ref="O188:Q188"/>
    <mergeCell ref="R188:T188"/>
    <mergeCell ref="BD189:BF189"/>
    <mergeCell ref="BG189:BI189"/>
    <mergeCell ref="BJ189:BL189"/>
    <mergeCell ref="BM189:BO189"/>
    <mergeCell ref="BP189:BR189"/>
    <mergeCell ref="AJ189:AL189"/>
    <mergeCell ref="AM189:AO189"/>
    <mergeCell ref="AP189:AR189"/>
    <mergeCell ref="AX189:AZ189"/>
    <mergeCell ref="BA189:BC189"/>
    <mergeCell ref="U189:W189"/>
    <mergeCell ref="X189:Z189"/>
    <mergeCell ref="AA189:AC189"/>
    <mergeCell ref="AD189:AF189"/>
    <mergeCell ref="AG189:AI189"/>
    <mergeCell ref="F189:H189"/>
    <mergeCell ref="I189:K189"/>
    <mergeCell ref="L189:N189"/>
    <mergeCell ref="O189:Q189"/>
    <mergeCell ref="R189:T189"/>
    <mergeCell ref="BD188:BF188"/>
    <mergeCell ref="BG188:BI188"/>
    <mergeCell ref="BJ188:BL188"/>
    <mergeCell ref="BM188:BO188"/>
    <mergeCell ref="AP186:AR186"/>
    <mergeCell ref="AX186:AZ186"/>
    <mergeCell ref="BA186:BC186"/>
    <mergeCell ref="U186:W186"/>
    <mergeCell ref="X186:Z186"/>
    <mergeCell ref="AA186:AC186"/>
    <mergeCell ref="AD186:AF186"/>
    <mergeCell ref="AG186:AI186"/>
    <mergeCell ref="BP188:BR188"/>
    <mergeCell ref="AJ188:AL188"/>
    <mergeCell ref="AM188:AO188"/>
    <mergeCell ref="AP188:AR188"/>
    <mergeCell ref="AX188:AZ188"/>
    <mergeCell ref="BA188:BC188"/>
    <mergeCell ref="U188:W188"/>
    <mergeCell ref="X188:Z188"/>
    <mergeCell ref="AA188:AC188"/>
    <mergeCell ref="AD188:AF188"/>
    <mergeCell ref="AG188:AI188"/>
    <mergeCell ref="F186:H186"/>
    <mergeCell ref="I186:K186"/>
    <mergeCell ref="L186:N186"/>
    <mergeCell ref="O186:Q186"/>
    <mergeCell ref="R186:T186"/>
    <mergeCell ref="BD187:BF187"/>
    <mergeCell ref="BG187:BI187"/>
    <mergeCell ref="BJ187:BL187"/>
    <mergeCell ref="BM187:BO187"/>
    <mergeCell ref="BP187:BR187"/>
    <mergeCell ref="AJ187:AL187"/>
    <mergeCell ref="AM187:AO187"/>
    <mergeCell ref="AP187:AR187"/>
    <mergeCell ref="AX187:AZ187"/>
    <mergeCell ref="BA187:BC187"/>
    <mergeCell ref="U187:W187"/>
    <mergeCell ref="X187:Z187"/>
    <mergeCell ref="AA187:AC187"/>
    <mergeCell ref="AD187:AF187"/>
    <mergeCell ref="AG187:AI187"/>
    <mergeCell ref="F187:H187"/>
    <mergeCell ref="I187:K187"/>
    <mergeCell ref="L187:N187"/>
    <mergeCell ref="O187:Q187"/>
    <mergeCell ref="R187:T187"/>
    <mergeCell ref="BD186:BF186"/>
    <mergeCell ref="BG186:BI186"/>
    <mergeCell ref="BJ186:BL186"/>
    <mergeCell ref="BM186:BO186"/>
    <mergeCell ref="BP186:BR186"/>
    <mergeCell ref="AJ186:AL186"/>
    <mergeCell ref="AM186:AO186"/>
    <mergeCell ref="F184:H184"/>
    <mergeCell ref="I184:K184"/>
    <mergeCell ref="L184:N184"/>
    <mergeCell ref="O184:Q184"/>
    <mergeCell ref="R184:T184"/>
    <mergeCell ref="BD185:BF185"/>
    <mergeCell ref="BG185:BI185"/>
    <mergeCell ref="BJ185:BL185"/>
    <mergeCell ref="BM185:BO185"/>
    <mergeCell ref="BP185:BR185"/>
    <mergeCell ref="AJ185:AL185"/>
    <mergeCell ref="AM185:AO185"/>
    <mergeCell ref="AP185:AR185"/>
    <mergeCell ref="AX185:AZ185"/>
    <mergeCell ref="BA185:BC185"/>
    <mergeCell ref="U185:W185"/>
    <mergeCell ref="X185:Z185"/>
    <mergeCell ref="AA185:AC185"/>
    <mergeCell ref="AD185:AF185"/>
    <mergeCell ref="AG185:AI185"/>
    <mergeCell ref="F185:H185"/>
    <mergeCell ref="I185:K185"/>
    <mergeCell ref="L185:N185"/>
    <mergeCell ref="O185:Q185"/>
    <mergeCell ref="R185:T185"/>
    <mergeCell ref="BD184:BF184"/>
    <mergeCell ref="BG184:BI184"/>
    <mergeCell ref="BJ184:BL184"/>
    <mergeCell ref="BM184:BO184"/>
    <mergeCell ref="AP182:AR182"/>
    <mergeCell ref="AX182:AZ182"/>
    <mergeCell ref="BA182:BC182"/>
    <mergeCell ref="U182:W182"/>
    <mergeCell ref="X182:Z182"/>
    <mergeCell ref="AA182:AC182"/>
    <mergeCell ref="AD182:AF182"/>
    <mergeCell ref="AG182:AI182"/>
    <mergeCell ref="BP184:BR184"/>
    <mergeCell ref="AJ184:AL184"/>
    <mergeCell ref="AM184:AO184"/>
    <mergeCell ref="AP184:AR184"/>
    <mergeCell ref="AX184:AZ184"/>
    <mergeCell ref="BA184:BC184"/>
    <mergeCell ref="U184:W184"/>
    <mergeCell ref="X184:Z184"/>
    <mergeCell ref="AA184:AC184"/>
    <mergeCell ref="AD184:AF184"/>
    <mergeCell ref="AG184:AI184"/>
    <mergeCell ref="F182:H182"/>
    <mergeCell ref="I182:K182"/>
    <mergeCell ref="L182:N182"/>
    <mergeCell ref="O182:Q182"/>
    <mergeCell ref="R182:T182"/>
    <mergeCell ref="BD183:BF183"/>
    <mergeCell ref="BG183:BI183"/>
    <mergeCell ref="BJ183:BL183"/>
    <mergeCell ref="BM183:BO183"/>
    <mergeCell ref="BP183:BR183"/>
    <mergeCell ref="AJ183:AL183"/>
    <mergeCell ref="AM183:AO183"/>
    <mergeCell ref="AP183:AR183"/>
    <mergeCell ref="AX183:AZ183"/>
    <mergeCell ref="BA183:BC183"/>
    <mergeCell ref="U183:W183"/>
    <mergeCell ref="X183:Z183"/>
    <mergeCell ref="AA183:AC183"/>
    <mergeCell ref="AD183:AF183"/>
    <mergeCell ref="AG183:AI183"/>
    <mergeCell ref="F183:H183"/>
    <mergeCell ref="I183:K183"/>
    <mergeCell ref="L183:N183"/>
    <mergeCell ref="O183:Q183"/>
    <mergeCell ref="R183:T183"/>
    <mergeCell ref="BD182:BF182"/>
    <mergeCell ref="BG182:BI182"/>
    <mergeCell ref="BJ182:BL182"/>
    <mergeCell ref="BM182:BO182"/>
    <mergeCell ref="BP182:BR182"/>
    <mergeCell ref="AJ182:AL182"/>
    <mergeCell ref="AM182:AO182"/>
    <mergeCell ref="F180:H180"/>
    <mergeCell ref="I180:K180"/>
    <mergeCell ref="L180:N180"/>
    <mergeCell ref="O180:Q180"/>
    <mergeCell ref="R180:T180"/>
    <mergeCell ref="BD181:BF181"/>
    <mergeCell ref="BG181:BI181"/>
    <mergeCell ref="BJ181:BL181"/>
    <mergeCell ref="BM181:BO181"/>
    <mergeCell ref="BP181:BR181"/>
    <mergeCell ref="AJ181:AL181"/>
    <mergeCell ref="AM181:AO181"/>
    <mergeCell ref="AP181:AR181"/>
    <mergeCell ref="AX181:AZ181"/>
    <mergeCell ref="BA181:BC181"/>
    <mergeCell ref="U181:W181"/>
    <mergeCell ref="X181:Z181"/>
    <mergeCell ref="AA181:AC181"/>
    <mergeCell ref="AD181:AF181"/>
    <mergeCell ref="AG181:AI181"/>
    <mergeCell ref="F181:H181"/>
    <mergeCell ref="I181:K181"/>
    <mergeCell ref="L181:N181"/>
    <mergeCell ref="O181:Q181"/>
    <mergeCell ref="R181:T181"/>
    <mergeCell ref="BD180:BF180"/>
    <mergeCell ref="BG180:BI180"/>
    <mergeCell ref="BJ180:BL180"/>
    <mergeCell ref="BM180:BO180"/>
    <mergeCell ref="AP178:AR178"/>
    <mergeCell ref="AX178:AZ178"/>
    <mergeCell ref="BA178:BC178"/>
    <mergeCell ref="U178:W178"/>
    <mergeCell ref="X178:Z178"/>
    <mergeCell ref="AA178:AC178"/>
    <mergeCell ref="AD178:AF178"/>
    <mergeCell ref="AG178:AI178"/>
    <mergeCell ref="BP180:BR180"/>
    <mergeCell ref="AJ180:AL180"/>
    <mergeCell ref="AM180:AO180"/>
    <mergeCell ref="AP180:AR180"/>
    <mergeCell ref="AX180:AZ180"/>
    <mergeCell ref="BA180:BC180"/>
    <mergeCell ref="U180:W180"/>
    <mergeCell ref="X180:Z180"/>
    <mergeCell ref="AA180:AC180"/>
    <mergeCell ref="AD180:AF180"/>
    <mergeCell ref="AG180:AI180"/>
    <mergeCell ref="F178:H178"/>
    <mergeCell ref="I178:K178"/>
    <mergeCell ref="L178:N178"/>
    <mergeCell ref="O178:Q178"/>
    <mergeCell ref="R178:T178"/>
    <mergeCell ref="BD179:BF179"/>
    <mergeCell ref="BG179:BI179"/>
    <mergeCell ref="BJ179:BL179"/>
    <mergeCell ref="BM179:BO179"/>
    <mergeCell ref="BP179:BR179"/>
    <mergeCell ref="AJ179:AL179"/>
    <mergeCell ref="AM179:AO179"/>
    <mergeCell ref="AP179:AR179"/>
    <mergeCell ref="AX179:AZ179"/>
    <mergeCell ref="BA179:BC179"/>
    <mergeCell ref="U179:W179"/>
    <mergeCell ref="X179:Z179"/>
    <mergeCell ref="AA179:AC179"/>
    <mergeCell ref="AD179:AF179"/>
    <mergeCell ref="AG179:AI179"/>
    <mergeCell ref="F179:H179"/>
    <mergeCell ref="I179:K179"/>
    <mergeCell ref="L179:N179"/>
    <mergeCell ref="O179:Q179"/>
    <mergeCell ref="R179:T179"/>
    <mergeCell ref="BD178:BF178"/>
    <mergeCell ref="BG178:BI178"/>
    <mergeCell ref="BJ178:BL178"/>
    <mergeCell ref="BM178:BO178"/>
    <mergeCell ref="BP178:BR178"/>
    <mergeCell ref="AJ178:AL178"/>
    <mergeCell ref="AM178:AO178"/>
    <mergeCell ref="F176:H176"/>
    <mergeCell ref="I176:K176"/>
    <mergeCell ref="L176:N176"/>
    <mergeCell ref="O176:Q176"/>
    <mergeCell ref="R176:T176"/>
    <mergeCell ref="BD177:BF177"/>
    <mergeCell ref="BG177:BI177"/>
    <mergeCell ref="BJ177:BL177"/>
    <mergeCell ref="BM177:BO177"/>
    <mergeCell ref="BP177:BR177"/>
    <mergeCell ref="AJ177:AL177"/>
    <mergeCell ref="AM177:AO177"/>
    <mergeCell ref="AP177:AR177"/>
    <mergeCell ref="AX177:AZ177"/>
    <mergeCell ref="BA177:BC177"/>
    <mergeCell ref="U177:W177"/>
    <mergeCell ref="X177:Z177"/>
    <mergeCell ref="AA177:AC177"/>
    <mergeCell ref="AD177:AF177"/>
    <mergeCell ref="AG177:AI177"/>
    <mergeCell ref="F177:H177"/>
    <mergeCell ref="I177:K177"/>
    <mergeCell ref="L177:N177"/>
    <mergeCell ref="O177:Q177"/>
    <mergeCell ref="R177:T177"/>
    <mergeCell ref="BD176:BF176"/>
    <mergeCell ref="BG176:BI176"/>
    <mergeCell ref="BJ176:BL176"/>
    <mergeCell ref="BM176:BO176"/>
    <mergeCell ref="AP174:AR174"/>
    <mergeCell ref="AX174:AZ174"/>
    <mergeCell ref="BA174:BC174"/>
    <mergeCell ref="U174:W174"/>
    <mergeCell ref="X174:Z174"/>
    <mergeCell ref="AA174:AC174"/>
    <mergeCell ref="AD174:AF174"/>
    <mergeCell ref="AG174:AI174"/>
    <mergeCell ref="BP176:BR176"/>
    <mergeCell ref="AJ176:AL176"/>
    <mergeCell ref="AM176:AO176"/>
    <mergeCell ref="AP176:AR176"/>
    <mergeCell ref="AX176:AZ176"/>
    <mergeCell ref="BA176:BC176"/>
    <mergeCell ref="U176:W176"/>
    <mergeCell ref="X176:Z176"/>
    <mergeCell ref="AA176:AC176"/>
    <mergeCell ref="AD176:AF176"/>
    <mergeCell ref="AG176:AI176"/>
    <mergeCell ref="F174:H174"/>
    <mergeCell ref="I174:K174"/>
    <mergeCell ref="L174:N174"/>
    <mergeCell ref="O174:Q174"/>
    <mergeCell ref="R174:T174"/>
    <mergeCell ref="BD175:BF175"/>
    <mergeCell ref="BG175:BI175"/>
    <mergeCell ref="BJ175:BL175"/>
    <mergeCell ref="BM175:BO175"/>
    <mergeCell ref="BP175:BR175"/>
    <mergeCell ref="AJ175:AL175"/>
    <mergeCell ref="AM175:AO175"/>
    <mergeCell ref="AP175:AR175"/>
    <mergeCell ref="AX175:AZ175"/>
    <mergeCell ref="BA175:BC175"/>
    <mergeCell ref="U175:W175"/>
    <mergeCell ref="X175:Z175"/>
    <mergeCell ref="AA175:AC175"/>
    <mergeCell ref="AD175:AF175"/>
    <mergeCell ref="AG175:AI175"/>
    <mergeCell ref="F175:H175"/>
    <mergeCell ref="I175:K175"/>
    <mergeCell ref="L175:N175"/>
    <mergeCell ref="O175:Q175"/>
    <mergeCell ref="R175:T175"/>
    <mergeCell ref="BD174:BF174"/>
    <mergeCell ref="BG174:BI174"/>
    <mergeCell ref="BJ174:BL174"/>
    <mergeCell ref="BM174:BO174"/>
    <mergeCell ref="BP174:BR174"/>
    <mergeCell ref="AJ174:AL174"/>
    <mergeCell ref="AM174:AO174"/>
    <mergeCell ref="F172:H172"/>
    <mergeCell ref="I172:K172"/>
    <mergeCell ref="L172:N172"/>
    <mergeCell ref="O172:Q172"/>
    <mergeCell ref="R172:T172"/>
    <mergeCell ref="BD173:BF173"/>
    <mergeCell ref="BG173:BI173"/>
    <mergeCell ref="BJ173:BL173"/>
    <mergeCell ref="BM173:BO173"/>
    <mergeCell ref="BP173:BR173"/>
    <mergeCell ref="AJ173:AL173"/>
    <mergeCell ref="AM173:AO173"/>
    <mergeCell ref="AP173:AR173"/>
    <mergeCell ref="AX173:AZ173"/>
    <mergeCell ref="BA173:BC173"/>
    <mergeCell ref="U173:W173"/>
    <mergeCell ref="X173:Z173"/>
    <mergeCell ref="AA173:AC173"/>
    <mergeCell ref="AD173:AF173"/>
    <mergeCell ref="AG173:AI173"/>
    <mergeCell ref="F173:H173"/>
    <mergeCell ref="I173:K173"/>
    <mergeCell ref="L173:N173"/>
    <mergeCell ref="O173:Q173"/>
    <mergeCell ref="R173:T173"/>
    <mergeCell ref="BD172:BF172"/>
    <mergeCell ref="BG172:BI172"/>
    <mergeCell ref="BJ172:BL172"/>
    <mergeCell ref="BM172:BO172"/>
    <mergeCell ref="AP170:AR170"/>
    <mergeCell ref="AX170:AZ170"/>
    <mergeCell ref="BA170:BC170"/>
    <mergeCell ref="U170:W170"/>
    <mergeCell ref="X170:Z170"/>
    <mergeCell ref="AA170:AC170"/>
    <mergeCell ref="AD170:AF170"/>
    <mergeCell ref="AG170:AI170"/>
    <mergeCell ref="BP172:BR172"/>
    <mergeCell ref="AJ172:AL172"/>
    <mergeCell ref="AM172:AO172"/>
    <mergeCell ref="AP172:AR172"/>
    <mergeCell ref="AX172:AZ172"/>
    <mergeCell ref="BA172:BC172"/>
    <mergeCell ref="U172:W172"/>
    <mergeCell ref="X172:Z172"/>
    <mergeCell ref="AA172:AC172"/>
    <mergeCell ref="AD172:AF172"/>
    <mergeCell ref="AG172:AI172"/>
    <mergeCell ref="F170:H170"/>
    <mergeCell ref="I170:K170"/>
    <mergeCell ref="L170:N170"/>
    <mergeCell ref="O170:Q170"/>
    <mergeCell ref="R170:T170"/>
    <mergeCell ref="BD171:BF171"/>
    <mergeCell ref="BG171:BI171"/>
    <mergeCell ref="BJ171:BL171"/>
    <mergeCell ref="BM171:BO171"/>
    <mergeCell ref="BP171:BR171"/>
    <mergeCell ref="AJ171:AL171"/>
    <mergeCell ref="AM171:AO171"/>
    <mergeCell ref="AP171:AR171"/>
    <mergeCell ref="AX171:AZ171"/>
    <mergeCell ref="BA171:BC171"/>
    <mergeCell ref="U171:W171"/>
    <mergeCell ref="X171:Z171"/>
    <mergeCell ref="AA171:AC171"/>
    <mergeCell ref="AD171:AF171"/>
    <mergeCell ref="AG171:AI171"/>
    <mergeCell ref="F171:H171"/>
    <mergeCell ref="I171:K171"/>
    <mergeCell ref="L171:N171"/>
    <mergeCell ref="O171:Q171"/>
    <mergeCell ref="R171:T171"/>
    <mergeCell ref="BD170:BF170"/>
    <mergeCell ref="BG170:BI170"/>
    <mergeCell ref="BJ170:BL170"/>
    <mergeCell ref="BM170:BO170"/>
    <mergeCell ref="BP170:BR170"/>
    <mergeCell ref="AJ170:AL170"/>
    <mergeCell ref="AM170:AO170"/>
    <mergeCell ref="F168:H168"/>
    <mergeCell ref="I168:K168"/>
    <mergeCell ref="L168:N168"/>
    <mergeCell ref="O168:Q168"/>
    <mergeCell ref="R168:T168"/>
    <mergeCell ref="BD169:BF169"/>
    <mergeCell ref="BG169:BI169"/>
    <mergeCell ref="BJ169:BL169"/>
    <mergeCell ref="BM169:BO169"/>
    <mergeCell ref="BP169:BR169"/>
    <mergeCell ref="AJ169:AL169"/>
    <mergeCell ref="AM169:AO169"/>
    <mergeCell ref="AP169:AR169"/>
    <mergeCell ref="AX169:AZ169"/>
    <mergeCell ref="BA169:BC169"/>
    <mergeCell ref="U169:W169"/>
    <mergeCell ref="X169:Z169"/>
    <mergeCell ref="AA169:AC169"/>
    <mergeCell ref="AD169:AF169"/>
    <mergeCell ref="AG169:AI169"/>
    <mergeCell ref="F169:H169"/>
    <mergeCell ref="I169:K169"/>
    <mergeCell ref="L169:N169"/>
    <mergeCell ref="O169:Q169"/>
    <mergeCell ref="R169:T169"/>
    <mergeCell ref="BM168:BO168"/>
    <mergeCell ref="BG168:BI168"/>
    <mergeCell ref="BJ168:BL168"/>
    <mergeCell ref="BD168:BF168"/>
    <mergeCell ref="AP166:AR166"/>
    <mergeCell ref="AX166:AZ166"/>
    <mergeCell ref="BA166:BC166"/>
    <mergeCell ref="U166:W166"/>
    <mergeCell ref="X166:Z166"/>
    <mergeCell ref="AA166:AC166"/>
    <mergeCell ref="AD166:AF166"/>
    <mergeCell ref="AG166:AI166"/>
    <mergeCell ref="BP168:BR168"/>
    <mergeCell ref="AJ168:AL168"/>
    <mergeCell ref="AM168:AO168"/>
    <mergeCell ref="AP168:AR168"/>
    <mergeCell ref="AX168:AZ168"/>
    <mergeCell ref="BA168:BC168"/>
    <mergeCell ref="U168:W168"/>
    <mergeCell ref="X168:Z168"/>
    <mergeCell ref="AA168:AC168"/>
    <mergeCell ref="AD168:AF168"/>
    <mergeCell ref="AG168:AI168"/>
    <mergeCell ref="F166:H166"/>
    <mergeCell ref="I166:K166"/>
    <mergeCell ref="L166:N166"/>
    <mergeCell ref="O166:Q166"/>
    <mergeCell ref="R166:T166"/>
    <mergeCell ref="BD167:BF167"/>
    <mergeCell ref="BG167:BI167"/>
    <mergeCell ref="BJ167:BL167"/>
    <mergeCell ref="BM167:BO167"/>
    <mergeCell ref="BP167:BR167"/>
    <mergeCell ref="AJ167:AL167"/>
    <mergeCell ref="AM167:AO167"/>
    <mergeCell ref="AP167:AR167"/>
    <mergeCell ref="AX167:AZ167"/>
    <mergeCell ref="BA167:BC167"/>
    <mergeCell ref="U167:W167"/>
    <mergeCell ref="X167:Z167"/>
    <mergeCell ref="AA167:AC167"/>
    <mergeCell ref="AD167:AF167"/>
    <mergeCell ref="AG167:AI167"/>
    <mergeCell ref="F167:H167"/>
    <mergeCell ref="I167:K167"/>
    <mergeCell ref="L167:N167"/>
    <mergeCell ref="O167:Q167"/>
    <mergeCell ref="R167:T167"/>
    <mergeCell ref="BD166:BF166"/>
    <mergeCell ref="BG166:BI166"/>
    <mergeCell ref="BJ166:BL166"/>
    <mergeCell ref="BM166:BO166"/>
    <mergeCell ref="BP166:BR166"/>
    <mergeCell ref="AJ166:AL166"/>
    <mergeCell ref="AM166:AO166"/>
    <mergeCell ref="F164:H164"/>
    <mergeCell ref="I164:K164"/>
    <mergeCell ref="L164:N164"/>
    <mergeCell ref="O164:Q164"/>
    <mergeCell ref="R164:T164"/>
    <mergeCell ref="BD165:BF165"/>
    <mergeCell ref="BG165:BI165"/>
    <mergeCell ref="BJ165:BL165"/>
    <mergeCell ref="BM165:BO165"/>
    <mergeCell ref="BP165:BR165"/>
    <mergeCell ref="AJ165:AL165"/>
    <mergeCell ref="AM165:AO165"/>
    <mergeCell ref="AP165:AR165"/>
    <mergeCell ref="AX165:AZ165"/>
    <mergeCell ref="BA165:BC165"/>
    <mergeCell ref="U165:W165"/>
    <mergeCell ref="X165:Z165"/>
    <mergeCell ref="AA165:AC165"/>
    <mergeCell ref="AD165:AF165"/>
    <mergeCell ref="AG165:AI165"/>
    <mergeCell ref="F165:H165"/>
    <mergeCell ref="I165:K165"/>
    <mergeCell ref="L165:N165"/>
    <mergeCell ref="O165:Q165"/>
    <mergeCell ref="R165:T165"/>
    <mergeCell ref="BD164:BF164"/>
    <mergeCell ref="BG164:BI164"/>
    <mergeCell ref="BJ164:BL164"/>
    <mergeCell ref="BM164:BO164"/>
    <mergeCell ref="AP162:AR162"/>
    <mergeCell ref="AX162:AZ162"/>
    <mergeCell ref="BA162:BC162"/>
    <mergeCell ref="U162:W162"/>
    <mergeCell ref="X162:Z162"/>
    <mergeCell ref="AA162:AC162"/>
    <mergeCell ref="AD162:AF162"/>
    <mergeCell ref="AG162:AI162"/>
    <mergeCell ref="BP164:BR164"/>
    <mergeCell ref="AJ164:AL164"/>
    <mergeCell ref="AM164:AO164"/>
    <mergeCell ref="AP164:AR164"/>
    <mergeCell ref="AX164:AZ164"/>
    <mergeCell ref="BA164:BC164"/>
    <mergeCell ref="U164:W164"/>
    <mergeCell ref="X164:Z164"/>
    <mergeCell ref="AA164:AC164"/>
    <mergeCell ref="AD164:AF164"/>
    <mergeCell ref="AG164:AI164"/>
    <mergeCell ref="F162:H162"/>
    <mergeCell ref="I162:K162"/>
    <mergeCell ref="L162:N162"/>
    <mergeCell ref="O162:Q162"/>
    <mergeCell ref="R162:T162"/>
    <mergeCell ref="BD163:BF163"/>
    <mergeCell ref="BG163:BI163"/>
    <mergeCell ref="BJ163:BL163"/>
    <mergeCell ref="BM163:BO163"/>
    <mergeCell ref="BP163:BR163"/>
    <mergeCell ref="AJ163:AL163"/>
    <mergeCell ref="AM163:AO163"/>
    <mergeCell ref="AP163:AR163"/>
    <mergeCell ref="AX163:AZ163"/>
    <mergeCell ref="BA163:BC163"/>
    <mergeCell ref="U163:W163"/>
    <mergeCell ref="X163:Z163"/>
    <mergeCell ref="AA163:AC163"/>
    <mergeCell ref="AD163:AF163"/>
    <mergeCell ref="AG163:AI163"/>
    <mergeCell ref="F163:H163"/>
    <mergeCell ref="I163:K163"/>
    <mergeCell ref="L163:N163"/>
    <mergeCell ref="O163:Q163"/>
    <mergeCell ref="R163:T163"/>
    <mergeCell ref="BD162:BF162"/>
    <mergeCell ref="BG162:BI162"/>
    <mergeCell ref="BJ162:BL162"/>
    <mergeCell ref="BM162:BO162"/>
    <mergeCell ref="BP162:BR162"/>
    <mergeCell ref="AJ162:AL162"/>
    <mergeCell ref="AM162:AO162"/>
    <mergeCell ref="BJ160:BL160"/>
    <mergeCell ref="BM160:BO160"/>
    <mergeCell ref="BP160:BR160"/>
    <mergeCell ref="AJ160:AL160"/>
    <mergeCell ref="AM160:AO160"/>
    <mergeCell ref="AP160:AR160"/>
    <mergeCell ref="AX160:AZ160"/>
    <mergeCell ref="BA160:BC160"/>
    <mergeCell ref="U160:W160"/>
    <mergeCell ref="X160:Z160"/>
    <mergeCell ref="AA160:AC160"/>
    <mergeCell ref="AD160:AF160"/>
    <mergeCell ref="AG160:AI160"/>
    <mergeCell ref="F160:H160"/>
    <mergeCell ref="I160:K160"/>
    <mergeCell ref="L160:N160"/>
    <mergeCell ref="O160:Q160"/>
    <mergeCell ref="R160:T160"/>
    <mergeCell ref="BD160:BF160"/>
    <mergeCell ref="BG160:BI160"/>
    <mergeCell ref="BD161:BF161"/>
    <mergeCell ref="BG161:BI161"/>
    <mergeCell ref="BJ161:BL161"/>
    <mergeCell ref="BM161:BO161"/>
    <mergeCell ref="BP161:BR161"/>
    <mergeCell ref="AJ161:AL161"/>
    <mergeCell ref="AM161:AO161"/>
    <mergeCell ref="AP161:AR161"/>
    <mergeCell ref="AX161:AZ161"/>
    <mergeCell ref="BA161:BC161"/>
    <mergeCell ref="U161:W161"/>
    <mergeCell ref="X161:Z161"/>
    <mergeCell ref="AA161:AC161"/>
    <mergeCell ref="AD161:AF161"/>
    <mergeCell ref="AG161:AI161"/>
    <mergeCell ref="F161:H161"/>
    <mergeCell ref="I161:K161"/>
    <mergeCell ref="L161:N161"/>
    <mergeCell ref="O161:Q161"/>
    <mergeCell ref="R161:T161"/>
    <mergeCell ref="BD158:BF158"/>
    <mergeCell ref="BG158:BI158"/>
    <mergeCell ref="BJ158:BL158"/>
    <mergeCell ref="BM158:BO158"/>
    <mergeCell ref="BP158:BR158"/>
    <mergeCell ref="AJ158:AL158"/>
    <mergeCell ref="AM158:AO158"/>
    <mergeCell ref="AP158:AR158"/>
    <mergeCell ref="AX158:AZ158"/>
    <mergeCell ref="BA158:BC158"/>
    <mergeCell ref="U158:W158"/>
    <mergeCell ref="X158:Z158"/>
    <mergeCell ref="AA158:AC158"/>
    <mergeCell ref="AD158:AF158"/>
    <mergeCell ref="AG158:AI158"/>
    <mergeCell ref="F158:H158"/>
    <mergeCell ref="I158:K158"/>
    <mergeCell ref="L158:N158"/>
    <mergeCell ref="O158:Q158"/>
    <mergeCell ref="R158:T158"/>
    <mergeCell ref="BD159:BF159"/>
    <mergeCell ref="BG159:BI159"/>
    <mergeCell ref="BJ159:BL159"/>
    <mergeCell ref="BM159:BO159"/>
    <mergeCell ref="BP159:BR159"/>
    <mergeCell ref="AJ159:AL159"/>
    <mergeCell ref="AM159:AO159"/>
    <mergeCell ref="AP159:AR159"/>
    <mergeCell ref="AX159:AZ159"/>
    <mergeCell ref="BA159:BC159"/>
    <mergeCell ref="U159:W159"/>
    <mergeCell ref="X159:Z159"/>
    <mergeCell ref="AA159:AC159"/>
    <mergeCell ref="AD159:AF159"/>
    <mergeCell ref="AG159:AI159"/>
    <mergeCell ref="F159:H159"/>
    <mergeCell ref="I159:K159"/>
    <mergeCell ref="L159:N159"/>
    <mergeCell ref="O159:Q159"/>
    <mergeCell ref="R159:T159"/>
    <mergeCell ref="BD156:BF156"/>
    <mergeCell ref="BG156:BI156"/>
    <mergeCell ref="BJ156:BL156"/>
    <mergeCell ref="BM156:BO156"/>
    <mergeCell ref="BP156:BR156"/>
    <mergeCell ref="AJ156:AL156"/>
    <mergeCell ref="AM156:AO156"/>
    <mergeCell ref="AP156:AR156"/>
    <mergeCell ref="AX156:AZ156"/>
    <mergeCell ref="BA156:BC156"/>
    <mergeCell ref="U156:W156"/>
    <mergeCell ref="X156:Z156"/>
    <mergeCell ref="AA156:AC156"/>
    <mergeCell ref="AD156:AF156"/>
    <mergeCell ref="AG156:AI156"/>
    <mergeCell ref="F156:H156"/>
    <mergeCell ref="I156:K156"/>
    <mergeCell ref="L156:N156"/>
    <mergeCell ref="O156:Q156"/>
    <mergeCell ref="R156:T156"/>
    <mergeCell ref="BD157:BF157"/>
    <mergeCell ref="BG157:BI157"/>
    <mergeCell ref="BJ157:BL157"/>
    <mergeCell ref="BM157:BO157"/>
    <mergeCell ref="BP157:BR157"/>
    <mergeCell ref="AJ157:AL157"/>
    <mergeCell ref="AM157:AO157"/>
    <mergeCell ref="AP157:AR157"/>
    <mergeCell ref="AX157:AZ157"/>
    <mergeCell ref="BA157:BC157"/>
    <mergeCell ref="U157:W157"/>
    <mergeCell ref="X157:Z157"/>
    <mergeCell ref="AA157:AC157"/>
    <mergeCell ref="AD157:AF157"/>
    <mergeCell ref="AG157:AI157"/>
    <mergeCell ref="F157:H157"/>
    <mergeCell ref="I157:K157"/>
    <mergeCell ref="L157:N157"/>
    <mergeCell ref="O157:Q157"/>
    <mergeCell ref="R157:T157"/>
    <mergeCell ref="BD154:BF154"/>
    <mergeCell ref="BG154:BI154"/>
    <mergeCell ref="BJ154:BL154"/>
    <mergeCell ref="BM154:BO154"/>
    <mergeCell ref="BP154:BR154"/>
    <mergeCell ref="AJ154:AL154"/>
    <mergeCell ref="AM154:AO154"/>
    <mergeCell ref="AP154:AR154"/>
    <mergeCell ref="AX154:AZ154"/>
    <mergeCell ref="BA154:BC154"/>
    <mergeCell ref="U154:W154"/>
    <mergeCell ref="X154:Z154"/>
    <mergeCell ref="AA154:AC154"/>
    <mergeCell ref="AD154:AF154"/>
    <mergeCell ref="AG154:AI154"/>
    <mergeCell ref="F154:H154"/>
    <mergeCell ref="I154:K154"/>
    <mergeCell ref="L154:N154"/>
    <mergeCell ref="O154:Q154"/>
    <mergeCell ref="R154:T154"/>
    <mergeCell ref="BD155:BF155"/>
    <mergeCell ref="BG155:BI155"/>
    <mergeCell ref="BJ155:BL155"/>
    <mergeCell ref="BM155:BO155"/>
    <mergeCell ref="BP155:BR155"/>
    <mergeCell ref="AJ155:AL155"/>
    <mergeCell ref="AM155:AO155"/>
    <mergeCell ref="AP155:AR155"/>
    <mergeCell ref="AX155:AZ155"/>
    <mergeCell ref="BA155:BC155"/>
    <mergeCell ref="U155:W155"/>
    <mergeCell ref="X155:Z155"/>
    <mergeCell ref="AA155:AC155"/>
    <mergeCell ref="AD155:AF155"/>
    <mergeCell ref="AG155:AI155"/>
    <mergeCell ref="F155:H155"/>
    <mergeCell ref="I155:K155"/>
    <mergeCell ref="L155:N155"/>
    <mergeCell ref="O155:Q155"/>
    <mergeCell ref="R155:T155"/>
    <mergeCell ref="BD152:BF152"/>
    <mergeCell ref="BG152:BI152"/>
    <mergeCell ref="BJ152:BL152"/>
    <mergeCell ref="BM152:BO152"/>
    <mergeCell ref="BP152:BR152"/>
    <mergeCell ref="AJ152:AL152"/>
    <mergeCell ref="AM152:AO152"/>
    <mergeCell ref="AP152:AR152"/>
    <mergeCell ref="AX152:AZ152"/>
    <mergeCell ref="BA152:BC152"/>
    <mergeCell ref="U152:W152"/>
    <mergeCell ref="X152:Z152"/>
    <mergeCell ref="AA152:AC152"/>
    <mergeCell ref="AD152:AF152"/>
    <mergeCell ref="AG152:AI152"/>
    <mergeCell ref="F152:H152"/>
    <mergeCell ref="I152:K152"/>
    <mergeCell ref="L152:N152"/>
    <mergeCell ref="O152:Q152"/>
    <mergeCell ref="R152:T152"/>
    <mergeCell ref="BD153:BF153"/>
    <mergeCell ref="BG153:BI153"/>
    <mergeCell ref="BJ153:BL153"/>
    <mergeCell ref="BM153:BO153"/>
    <mergeCell ref="BP153:BR153"/>
    <mergeCell ref="AJ153:AL153"/>
    <mergeCell ref="AM153:AO153"/>
    <mergeCell ref="AP153:AR153"/>
    <mergeCell ref="AX153:AZ153"/>
    <mergeCell ref="BA153:BC153"/>
    <mergeCell ref="U153:W153"/>
    <mergeCell ref="X153:Z153"/>
    <mergeCell ref="AA153:AC153"/>
    <mergeCell ref="AD153:AF153"/>
    <mergeCell ref="AG153:AI153"/>
    <mergeCell ref="F153:H153"/>
    <mergeCell ref="I153:K153"/>
    <mergeCell ref="L153:N153"/>
    <mergeCell ref="O153:Q153"/>
    <mergeCell ref="R153:T153"/>
    <mergeCell ref="BD150:BF150"/>
    <mergeCell ref="BG150:BI150"/>
    <mergeCell ref="BJ150:BL150"/>
    <mergeCell ref="BM150:BO150"/>
    <mergeCell ref="BP150:BR150"/>
    <mergeCell ref="AJ150:AL150"/>
    <mergeCell ref="AM150:AO150"/>
    <mergeCell ref="AP150:AR150"/>
    <mergeCell ref="AX150:AZ150"/>
    <mergeCell ref="BA150:BC150"/>
    <mergeCell ref="U150:W150"/>
    <mergeCell ref="X150:Z150"/>
    <mergeCell ref="AA150:AC150"/>
    <mergeCell ref="AD150:AF150"/>
    <mergeCell ref="AG150:AI150"/>
    <mergeCell ref="F150:H150"/>
    <mergeCell ref="I150:K150"/>
    <mergeCell ref="L150:N150"/>
    <mergeCell ref="O150:Q150"/>
    <mergeCell ref="R150:T150"/>
    <mergeCell ref="BD151:BF151"/>
    <mergeCell ref="BG151:BI151"/>
    <mergeCell ref="BJ151:BL151"/>
    <mergeCell ref="BM151:BO151"/>
    <mergeCell ref="BP151:BR151"/>
    <mergeCell ref="AJ151:AL151"/>
    <mergeCell ref="AM151:AO151"/>
    <mergeCell ref="AP151:AR151"/>
    <mergeCell ref="AX151:AZ151"/>
    <mergeCell ref="BA151:BC151"/>
    <mergeCell ref="U151:W151"/>
    <mergeCell ref="X151:Z151"/>
    <mergeCell ref="AA151:AC151"/>
    <mergeCell ref="AD151:AF151"/>
    <mergeCell ref="AG151:AI151"/>
    <mergeCell ref="F151:H151"/>
    <mergeCell ref="I151:K151"/>
    <mergeCell ref="L151:N151"/>
    <mergeCell ref="O151:Q151"/>
    <mergeCell ref="R151:T151"/>
    <mergeCell ref="BD148:BF148"/>
    <mergeCell ref="BG148:BI148"/>
    <mergeCell ref="BJ148:BL148"/>
    <mergeCell ref="BM148:BO148"/>
    <mergeCell ref="BP148:BR148"/>
    <mergeCell ref="AJ148:AL148"/>
    <mergeCell ref="AM148:AO148"/>
    <mergeCell ref="AP148:AR148"/>
    <mergeCell ref="AX148:AZ148"/>
    <mergeCell ref="BA148:BC148"/>
    <mergeCell ref="U148:W148"/>
    <mergeCell ref="X148:Z148"/>
    <mergeCell ref="AA148:AC148"/>
    <mergeCell ref="AD148:AF148"/>
    <mergeCell ref="AG148:AI148"/>
    <mergeCell ref="F148:H148"/>
    <mergeCell ref="I148:K148"/>
    <mergeCell ref="L148:N148"/>
    <mergeCell ref="O148:Q148"/>
    <mergeCell ref="R148:T148"/>
    <mergeCell ref="BD149:BF149"/>
    <mergeCell ref="BG149:BI149"/>
    <mergeCell ref="BJ149:BL149"/>
    <mergeCell ref="BM149:BO149"/>
    <mergeCell ref="BP149:BR149"/>
    <mergeCell ref="AJ149:AL149"/>
    <mergeCell ref="AM149:AO149"/>
    <mergeCell ref="AP149:AR149"/>
    <mergeCell ref="AX149:AZ149"/>
    <mergeCell ref="BA149:BC149"/>
    <mergeCell ref="U149:W149"/>
    <mergeCell ref="X149:Z149"/>
    <mergeCell ref="AA149:AC149"/>
    <mergeCell ref="AD149:AF149"/>
    <mergeCell ref="AG149:AI149"/>
    <mergeCell ref="F149:H149"/>
    <mergeCell ref="I149:K149"/>
    <mergeCell ref="L149:N149"/>
    <mergeCell ref="O149:Q149"/>
    <mergeCell ref="R149:T149"/>
    <mergeCell ref="BD146:BF146"/>
    <mergeCell ref="BG146:BI146"/>
    <mergeCell ref="BJ146:BL146"/>
    <mergeCell ref="BM146:BO146"/>
    <mergeCell ref="BP146:BR146"/>
    <mergeCell ref="AJ146:AL146"/>
    <mergeCell ref="AM146:AO146"/>
    <mergeCell ref="AP146:AR146"/>
    <mergeCell ref="AX146:AZ146"/>
    <mergeCell ref="BA146:BC146"/>
    <mergeCell ref="U146:W146"/>
    <mergeCell ref="X146:Z146"/>
    <mergeCell ref="AA146:AC146"/>
    <mergeCell ref="AD146:AF146"/>
    <mergeCell ref="AG146:AI146"/>
    <mergeCell ref="F146:H146"/>
    <mergeCell ref="I146:K146"/>
    <mergeCell ref="L146:N146"/>
    <mergeCell ref="O146:Q146"/>
    <mergeCell ref="R146:T146"/>
    <mergeCell ref="BD147:BF147"/>
    <mergeCell ref="BG147:BI147"/>
    <mergeCell ref="BJ147:BL147"/>
    <mergeCell ref="BM147:BO147"/>
    <mergeCell ref="BP147:BR147"/>
    <mergeCell ref="AJ147:AL147"/>
    <mergeCell ref="AM147:AO147"/>
    <mergeCell ref="AP147:AR147"/>
    <mergeCell ref="AX147:AZ147"/>
    <mergeCell ref="BA147:BC147"/>
    <mergeCell ref="U147:W147"/>
    <mergeCell ref="X147:Z147"/>
    <mergeCell ref="AA147:AC147"/>
    <mergeCell ref="AD147:AF147"/>
    <mergeCell ref="AG147:AI147"/>
    <mergeCell ref="F147:H147"/>
    <mergeCell ref="I147:K147"/>
    <mergeCell ref="L147:N147"/>
    <mergeCell ref="O147:Q147"/>
    <mergeCell ref="R147:T147"/>
    <mergeCell ref="BD144:BF144"/>
    <mergeCell ref="BG144:BI144"/>
    <mergeCell ref="BJ144:BL144"/>
    <mergeCell ref="BM144:BO144"/>
    <mergeCell ref="BP144:BR144"/>
    <mergeCell ref="AJ144:AL144"/>
    <mergeCell ref="AM144:AO144"/>
    <mergeCell ref="AP144:AR144"/>
    <mergeCell ref="AX144:AZ144"/>
    <mergeCell ref="BA144:BC144"/>
    <mergeCell ref="U144:W144"/>
    <mergeCell ref="X144:Z144"/>
    <mergeCell ref="AA144:AC144"/>
    <mergeCell ref="AD144:AF144"/>
    <mergeCell ref="AG144:AI144"/>
    <mergeCell ref="F144:H144"/>
    <mergeCell ref="I144:K144"/>
    <mergeCell ref="L144:N144"/>
    <mergeCell ref="O144:Q144"/>
    <mergeCell ref="R144:T144"/>
    <mergeCell ref="BD145:BF145"/>
    <mergeCell ref="BG145:BI145"/>
    <mergeCell ref="BJ145:BL145"/>
    <mergeCell ref="BM145:BO145"/>
    <mergeCell ref="BP145:BR145"/>
    <mergeCell ref="AJ145:AL145"/>
    <mergeCell ref="AM145:AO145"/>
    <mergeCell ref="AP145:AR145"/>
    <mergeCell ref="AX145:AZ145"/>
    <mergeCell ref="BA145:BC145"/>
    <mergeCell ref="U145:W145"/>
    <mergeCell ref="X145:Z145"/>
    <mergeCell ref="AA145:AC145"/>
    <mergeCell ref="AD145:AF145"/>
    <mergeCell ref="AG145:AI145"/>
    <mergeCell ref="F145:H145"/>
    <mergeCell ref="I145:K145"/>
    <mergeCell ref="L145:N145"/>
    <mergeCell ref="O145:Q145"/>
    <mergeCell ref="R145:T145"/>
    <mergeCell ref="BD142:BF142"/>
    <mergeCell ref="BG142:BI142"/>
    <mergeCell ref="BJ142:BL142"/>
    <mergeCell ref="BM142:BO142"/>
    <mergeCell ref="BP142:BR142"/>
    <mergeCell ref="AJ142:AL142"/>
    <mergeCell ref="AM142:AO142"/>
    <mergeCell ref="AP142:AR142"/>
    <mergeCell ref="AX142:AZ142"/>
    <mergeCell ref="BA142:BC142"/>
    <mergeCell ref="U142:W142"/>
    <mergeCell ref="X142:Z142"/>
    <mergeCell ref="AA142:AC142"/>
    <mergeCell ref="AD142:AF142"/>
    <mergeCell ref="AG142:AI142"/>
    <mergeCell ref="F142:H142"/>
    <mergeCell ref="I142:K142"/>
    <mergeCell ref="L142:N142"/>
    <mergeCell ref="O142:Q142"/>
    <mergeCell ref="R142:T142"/>
    <mergeCell ref="BD143:BF143"/>
    <mergeCell ref="BG143:BI143"/>
    <mergeCell ref="BJ143:BL143"/>
    <mergeCell ref="BM143:BO143"/>
    <mergeCell ref="BP143:BR143"/>
    <mergeCell ref="AJ143:AL143"/>
    <mergeCell ref="AM143:AO143"/>
    <mergeCell ref="AP143:AR143"/>
    <mergeCell ref="AX143:AZ143"/>
    <mergeCell ref="BA143:BC143"/>
    <mergeCell ref="U143:W143"/>
    <mergeCell ref="X143:Z143"/>
    <mergeCell ref="AA143:AC143"/>
    <mergeCell ref="AD143:AF143"/>
    <mergeCell ref="AG143:AI143"/>
    <mergeCell ref="F143:H143"/>
    <mergeCell ref="I143:K143"/>
    <mergeCell ref="L143:N143"/>
    <mergeCell ref="O143:Q143"/>
    <mergeCell ref="R143:T143"/>
    <mergeCell ref="BD140:BF140"/>
    <mergeCell ref="BG140:BI140"/>
    <mergeCell ref="BJ140:BL140"/>
    <mergeCell ref="BM140:BO140"/>
    <mergeCell ref="BP140:BR140"/>
    <mergeCell ref="AJ140:AL140"/>
    <mergeCell ref="AM140:AO140"/>
    <mergeCell ref="AP140:AR140"/>
    <mergeCell ref="AX140:AZ140"/>
    <mergeCell ref="BA140:BC140"/>
    <mergeCell ref="U140:W140"/>
    <mergeCell ref="X140:Z140"/>
    <mergeCell ref="AA140:AC140"/>
    <mergeCell ref="AD140:AF140"/>
    <mergeCell ref="AG140:AI140"/>
    <mergeCell ref="F140:H140"/>
    <mergeCell ref="I140:K140"/>
    <mergeCell ref="L140:N140"/>
    <mergeCell ref="O140:Q140"/>
    <mergeCell ref="R140:T140"/>
    <mergeCell ref="BD141:BF141"/>
    <mergeCell ref="BG141:BI141"/>
    <mergeCell ref="BJ141:BL141"/>
    <mergeCell ref="BM141:BO141"/>
    <mergeCell ref="BP141:BR141"/>
    <mergeCell ref="AJ141:AL141"/>
    <mergeCell ref="AM141:AO141"/>
    <mergeCell ref="AP141:AR141"/>
    <mergeCell ref="AX141:AZ141"/>
    <mergeCell ref="BA141:BC141"/>
    <mergeCell ref="U141:W141"/>
    <mergeCell ref="X141:Z141"/>
    <mergeCell ref="AA141:AC141"/>
    <mergeCell ref="AD141:AF141"/>
    <mergeCell ref="AG141:AI141"/>
    <mergeCell ref="F141:H141"/>
    <mergeCell ref="I141:K141"/>
    <mergeCell ref="L141:N141"/>
    <mergeCell ref="O141:Q141"/>
    <mergeCell ref="R141:T141"/>
    <mergeCell ref="BD138:BF138"/>
    <mergeCell ref="BG138:BI138"/>
    <mergeCell ref="BJ138:BL138"/>
    <mergeCell ref="BM138:BO138"/>
    <mergeCell ref="BP138:BR138"/>
    <mergeCell ref="AJ138:AL138"/>
    <mergeCell ref="AM138:AO138"/>
    <mergeCell ref="AP138:AR138"/>
    <mergeCell ref="AX138:AZ138"/>
    <mergeCell ref="BA138:BC138"/>
    <mergeCell ref="U138:W138"/>
    <mergeCell ref="X138:Z138"/>
    <mergeCell ref="AA138:AC138"/>
    <mergeCell ref="AD138:AF138"/>
    <mergeCell ref="AG138:AI138"/>
    <mergeCell ref="F138:H138"/>
    <mergeCell ref="I138:K138"/>
    <mergeCell ref="L138:N138"/>
    <mergeCell ref="O138:Q138"/>
    <mergeCell ref="R138:T138"/>
    <mergeCell ref="BD139:BF139"/>
    <mergeCell ref="BG139:BI139"/>
    <mergeCell ref="BJ139:BL139"/>
    <mergeCell ref="BM139:BO139"/>
    <mergeCell ref="BP139:BR139"/>
    <mergeCell ref="AJ139:AL139"/>
    <mergeCell ref="AM139:AO139"/>
    <mergeCell ref="AP139:AR139"/>
    <mergeCell ref="AX139:AZ139"/>
    <mergeCell ref="BA139:BC139"/>
    <mergeCell ref="U139:W139"/>
    <mergeCell ref="X139:Z139"/>
    <mergeCell ref="AA139:AC139"/>
    <mergeCell ref="AD139:AF139"/>
    <mergeCell ref="AG139:AI139"/>
    <mergeCell ref="F139:H139"/>
    <mergeCell ref="I139:K139"/>
    <mergeCell ref="L139:N139"/>
    <mergeCell ref="O139:Q139"/>
    <mergeCell ref="R139:T139"/>
    <mergeCell ref="BD136:BF136"/>
    <mergeCell ref="BG136:BI136"/>
    <mergeCell ref="BJ136:BL136"/>
    <mergeCell ref="BM136:BO136"/>
    <mergeCell ref="BP136:BR136"/>
    <mergeCell ref="AJ136:AL136"/>
    <mergeCell ref="AM136:AO136"/>
    <mergeCell ref="AP136:AR136"/>
    <mergeCell ref="AX136:AZ136"/>
    <mergeCell ref="BA136:BC136"/>
    <mergeCell ref="U136:W136"/>
    <mergeCell ref="X136:Z136"/>
    <mergeCell ref="AA136:AC136"/>
    <mergeCell ref="AD136:AF136"/>
    <mergeCell ref="AG136:AI136"/>
    <mergeCell ref="F136:H136"/>
    <mergeCell ref="I136:K136"/>
    <mergeCell ref="L136:N136"/>
    <mergeCell ref="O136:Q136"/>
    <mergeCell ref="R136:T136"/>
    <mergeCell ref="BD137:BF137"/>
    <mergeCell ref="BG137:BI137"/>
    <mergeCell ref="BJ137:BL137"/>
    <mergeCell ref="BM137:BO137"/>
    <mergeCell ref="BP137:BR137"/>
    <mergeCell ref="AJ137:AL137"/>
    <mergeCell ref="AM137:AO137"/>
    <mergeCell ref="AP137:AR137"/>
    <mergeCell ref="AX137:AZ137"/>
    <mergeCell ref="BA137:BC137"/>
    <mergeCell ref="U137:W137"/>
    <mergeCell ref="X137:Z137"/>
    <mergeCell ref="AA137:AC137"/>
    <mergeCell ref="AD137:AF137"/>
    <mergeCell ref="AG137:AI137"/>
    <mergeCell ref="F137:H137"/>
    <mergeCell ref="I137:K137"/>
    <mergeCell ref="L137:N137"/>
    <mergeCell ref="O137:Q137"/>
    <mergeCell ref="R137:T137"/>
    <mergeCell ref="BD134:BF134"/>
    <mergeCell ref="BG134:BI134"/>
    <mergeCell ref="BJ134:BL134"/>
    <mergeCell ref="BM134:BO134"/>
    <mergeCell ref="BP134:BR134"/>
    <mergeCell ref="AJ134:AL134"/>
    <mergeCell ref="AM134:AO134"/>
    <mergeCell ref="AP134:AR134"/>
    <mergeCell ref="AX134:AZ134"/>
    <mergeCell ref="BA134:BC134"/>
    <mergeCell ref="U134:W134"/>
    <mergeCell ref="X134:Z134"/>
    <mergeCell ref="AA134:AC134"/>
    <mergeCell ref="AD134:AF134"/>
    <mergeCell ref="AG134:AI134"/>
    <mergeCell ref="F134:H134"/>
    <mergeCell ref="I134:K134"/>
    <mergeCell ref="L134:N134"/>
    <mergeCell ref="O134:Q134"/>
    <mergeCell ref="R134:T134"/>
    <mergeCell ref="BD135:BF135"/>
    <mergeCell ref="BG135:BI135"/>
    <mergeCell ref="BJ135:BL135"/>
    <mergeCell ref="BM135:BO135"/>
    <mergeCell ref="BP135:BR135"/>
    <mergeCell ref="AJ135:AL135"/>
    <mergeCell ref="AM135:AO135"/>
    <mergeCell ref="AP135:AR135"/>
    <mergeCell ref="AX135:AZ135"/>
    <mergeCell ref="BA135:BC135"/>
    <mergeCell ref="U135:W135"/>
    <mergeCell ref="X135:Z135"/>
    <mergeCell ref="AA135:AC135"/>
    <mergeCell ref="AD135:AF135"/>
    <mergeCell ref="AG135:AI135"/>
    <mergeCell ref="F135:H135"/>
    <mergeCell ref="I135:K135"/>
    <mergeCell ref="L135:N135"/>
    <mergeCell ref="O135:Q135"/>
    <mergeCell ref="R135:T135"/>
    <mergeCell ref="BD132:BF132"/>
    <mergeCell ref="BG132:BI132"/>
    <mergeCell ref="BJ132:BL132"/>
    <mergeCell ref="BM132:BO132"/>
    <mergeCell ref="BP132:BR132"/>
    <mergeCell ref="AJ132:AL132"/>
    <mergeCell ref="AM132:AO132"/>
    <mergeCell ref="AP132:AR132"/>
    <mergeCell ref="AX132:AZ132"/>
    <mergeCell ref="BA132:BC132"/>
    <mergeCell ref="U132:W132"/>
    <mergeCell ref="X132:Z132"/>
    <mergeCell ref="AA132:AC132"/>
    <mergeCell ref="AD132:AF132"/>
    <mergeCell ref="AG132:AI132"/>
    <mergeCell ref="F132:H132"/>
    <mergeCell ref="I132:K132"/>
    <mergeCell ref="L132:N132"/>
    <mergeCell ref="O132:Q132"/>
    <mergeCell ref="R132:T132"/>
    <mergeCell ref="BD133:BF133"/>
    <mergeCell ref="BG133:BI133"/>
    <mergeCell ref="BJ133:BL133"/>
    <mergeCell ref="BM133:BO133"/>
    <mergeCell ref="BP133:BR133"/>
    <mergeCell ref="AJ133:AL133"/>
    <mergeCell ref="AM133:AO133"/>
    <mergeCell ref="AP133:AR133"/>
    <mergeCell ref="AX133:AZ133"/>
    <mergeCell ref="BA133:BC133"/>
    <mergeCell ref="U133:W133"/>
    <mergeCell ref="X133:Z133"/>
    <mergeCell ref="AA133:AC133"/>
    <mergeCell ref="AD133:AF133"/>
    <mergeCell ref="AG133:AI133"/>
    <mergeCell ref="F133:H133"/>
    <mergeCell ref="I133:K133"/>
    <mergeCell ref="L133:N133"/>
    <mergeCell ref="O133:Q133"/>
    <mergeCell ref="R133:T133"/>
    <mergeCell ref="BD130:BF130"/>
    <mergeCell ref="BG130:BI130"/>
    <mergeCell ref="BJ130:BL130"/>
    <mergeCell ref="BM130:BO130"/>
    <mergeCell ref="BP130:BR130"/>
    <mergeCell ref="AJ130:AL130"/>
    <mergeCell ref="AM130:AO130"/>
    <mergeCell ref="AP130:AR130"/>
    <mergeCell ref="AX130:AZ130"/>
    <mergeCell ref="BA130:BC130"/>
    <mergeCell ref="U130:W130"/>
    <mergeCell ref="X130:Z130"/>
    <mergeCell ref="AA130:AC130"/>
    <mergeCell ref="AD130:AF130"/>
    <mergeCell ref="AG130:AI130"/>
    <mergeCell ref="F130:H130"/>
    <mergeCell ref="I130:K130"/>
    <mergeCell ref="L130:N130"/>
    <mergeCell ref="O130:Q130"/>
    <mergeCell ref="R130:T130"/>
    <mergeCell ref="BD131:BF131"/>
    <mergeCell ref="BG131:BI131"/>
    <mergeCell ref="BJ131:BL131"/>
    <mergeCell ref="BM131:BO131"/>
    <mergeCell ref="BP131:BR131"/>
    <mergeCell ref="AJ131:AL131"/>
    <mergeCell ref="AM131:AO131"/>
    <mergeCell ref="AP131:AR131"/>
    <mergeCell ref="AX131:AZ131"/>
    <mergeCell ref="BA131:BC131"/>
    <mergeCell ref="U131:W131"/>
    <mergeCell ref="X131:Z131"/>
    <mergeCell ref="AA131:AC131"/>
    <mergeCell ref="AD131:AF131"/>
    <mergeCell ref="AG131:AI131"/>
    <mergeCell ref="F131:H131"/>
    <mergeCell ref="I131:K131"/>
    <mergeCell ref="L131:N131"/>
    <mergeCell ref="O131:Q131"/>
    <mergeCell ref="R131:T131"/>
    <mergeCell ref="BD128:BF128"/>
    <mergeCell ref="BG128:BI128"/>
    <mergeCell ref="BJ128:BL128"/>
    <mergeCell ref="BM128:BO128"/>
    <mergeCell ref="BP128:BR128"/>
    <mergeCell ref="AJ128:AL128"/>
    <mergeCell ref="AM128:AO128"/>
    <mergeCell ref="AP128:AR128"/>
    <mergeCell ref="AX128:AZ128"/>
    <mergeCell ref="BA128:BC128"/>
    <mergeCell ref="U128:W128"/>
    <mergeCell ref="X128:Z128"/>
    <mergeCell ref="AA128:AC128"/>
    <mergeCell ref="AD128:AF128"/>
    <mergeCell ref="AG128:AI128"/>
    <mergeCell ref="F128:H128"/>
    <mergeCell ref="I128:K128"/>
    <mergeCell ref="L128:N128"/>
    <mergeCell ref="O128:Q128"/>
    <mergeCell ref="R128:T128"/>
    <mergeCell ref="BD129:BF129"/>
    <mergeCell ref="BG129:BI129"/>
    <mergeCell ref="BJ129:BL129"/>
    <mergeCell ref="BM129:BO129"/>
    <mergeCell ref="BP129:BR129"/>
    <mergeCell ref="AJ129:AL129"/>
    <mergeCell ref="AM129:AO129"/>
    <mergeCell ref="AP129:AR129"/>
    <mergeCell ref="AX129:AZ129"/>
    <mergeCell ref="BA129:BC129"/>
    <mergeCell ref="U129:W129"/>
    <mergeCell ref="X129:Z129"/>
    <mergeCell ref="AA129:AC129"/>
    <mergeCell ref="AD129:AF129"/>
    <mergeCell ref="AG129:AI129"/>
    <mergeCell ref="F129:H129"/>
    <mergeCell ref="I129:K129"/>
    <mergeCell ref="L129:N129"/>
    <mergeCell ref="O129:Q129"/>
    <mergeCell ref="R129:T129"/>
    <mergeCell ref="BD126:BF126"/>
    <mergeCell ref="BG126:BI126"/>
    <mergeCell ref="BJ126:BL126"/>
    <mergeCell ref="BM126:BO126"/>
    <mergeCell ref="BP126:BR126"/>
    <mergeCell ref="AJ126:AL126"/>
    <mergeCell ref="AM126:AO126"/>
    <mergeCell ref="AP126:AR126"/>
    <mergeCell ref="AX126:AZ126"/>
    <mergeCell ref="BA126:BC126"/>
    <mergeCell ref="U126:W126"/>
    <mergeCell ref="X126:Z126"/>
    <mergeCell ref="AA126:AC126"/>
    <mergeCell ref="AD126:AF126"/>
    <mergeCell ref="AG126:AI126"/>
    <mergeCell ref="F126:H126"/>
    <mergeCell ref="I126:K126"/>
    <mergeCell ref="L126:N126"/>
    <mergeCell ref="O126:Q126"/>
    <mergeCell ref="R126:T126"/>
    <mergeCell ref="BD127:BF127"/>
    <mergeCell ref="BG127:BI127"/>
    <mergeCell ref="BJ127:BL127"/>
    <mergeCell ref="BM127:BO127"/>
    <mergeCell ref="BP127:BR127"/>
    <mergeCell ref="AJ127:AL127"/>
    <mergeCell ref="AM127:AO127"/>
    <mergeCell ref="AP127:AR127"/>
    <mergeCell ref="AX127:AZ127"/>
    <mergeCell ref="BA127:BC127"/>
    <mergeCell ref="U127:W127"/>
    <mergeCell ref="X127:Z127"/>
    <mergeCell ref="AA127:AC127"/>
    <mergeCell ref="AD127:AF127"/>
    <mergeCell ref="AG127:AI127"/>
    <mergeCell ref="F127:H127"/>
    <mergeCell ref="I127:K127"/>
    <mergeCell ref="L127:N127"/>
    <mergeCell ref="O127:Q127"/>
    <mergeCell ref="R127:T127"/>
    <mergeCell ref="BD124:BF124"/>
    <mergeCell ref="BG124:BI124"/>
    <mergeCell ref="BJ124:BL124"/>
    <mergeCell ref="BM124:BO124"/>
    <mergeCell ref="BP124:BR124"/>
    <mergeCell ref="AJ124:AL124"/>
    <mergeCell ref="AM124:AO124"/>
    <mergeCell ref="AP124:AR124"/>
    <mergeCell ref="AX124:AZ124"/>
    <mergeCell ref="BA124:BC124"/>
    <mergeCell ref="U124:W124"/>
    <mergeCell ref="X124:Z124"/>
    <mergeCell ref="AA124:AC124"/>
    <mergeCell ref="AD124:AF124"/>
    <mergeCell ref="AG124:AI124"/>
    <mergeCell ref="F124:H124"/>
    <mergeCell ref="I124:K124"/>
    <mergeCell ref="L124:N124"/>
    <mergeCell ref="O124:Q124"/>
    <mergeCell ref="R124:T124"/>
    <mergeCell ref="BD125:BF125"/>
    <mergeCell ref="BG125:BI125"/>
    <mergeCell ref="BJ125:BL125"/>
    <mergeCell ref="BM125:BO125"/>
    <mergeCell ref="BP125:BR125"/>
    <mergeCell ref="AJ125:AL125"/>
    <mergeCell ref="AM125:AO125"/>
    <mergeCell ref="AP125:AR125"/>
    <mergeCell ref="AX125:AZ125"/>
    <mergeCell ref="BA125:BC125"/>
    <mergeCell ref="U125:W125"/>
    <mergeCell ref="X125:Z125"/>
    <mergeCell ref="AA125:AC125"/>
    <mergeCell ref="AD125:AF125"/>
    <mergeCell ref="AG125:AI125"/>
    <mergeCell ref="F125:H125"/>
    <mergeCell ref="I125:K125"/>
    <mergeCell ref="L125:N125"/>
    <mergeCell ref="O125:Q125"/>
    <mergeCell ref="R125:T125"/>
    <mergeCell ref="BD122:BF122"/>
    <mergeCell ref="BG122:BI122"/>
    <mergeCell ref="BJ122:BL122"/>
    <mergeCell ref="BM122:BO122"/>
    <mergeCell ref="BP122:BR122"/>
    <mergeCell ref="AJ122:AL122"/>
    <mergeCell ref="AM122:AO122"/>
    <mergeCell ref="AP122:AR122"/>
    <mergeCell ref="AX122:AZ122"/>
    <mergeCell ref="BA122:BC122"/>
    <mergeCell ref="U122:W122"/>
    <mergeCell ref="X122:Z122"/>
    <mergeCell ref="AA122:AC122"/>
    <mergeCell ref="AD122:AF122"/>
    <mergeCell ref="AG122:AI122"/>
    <mergeCell ref="F122:H122"/>
    <mergeCell ref="I122:K122"/>
    <mergeCell ref="L122:N122"/>
    <mergeCell ref="O122:Q122"/>
    <mergeCell ref="R122:T122"/>
    <mergeCell ref="BD123:BF123"/>
    <mergeCell ref="BG123:BI123"/>
    <mergeCell ref="BJ123:BL123"/>
    <mergeCell ref="BM123:BO123"/>
    <mergeCell ref="BP123:BR123"/>
    <mergeCell ref="AJ123:AL123"/>
    <mergeCell ref="AM123:AO123"/>
    <mergeCell ref="AP123:AR123"/>
    <mergeCell ref="AX123:AZ123"/>
    <mergeCell ref="BA123:BC123"/>
    <mergeCell ref="U123:W123"/>
    <mergeCell ref="X123:Z123"/>
    <mergeCell ref="AA123:AC123"/>
    <mergeCell ref="AD123:AF123"/>
    <mergeCell ref="AG123:AI123"/>
    <mergeCell ref="F123:H123"/>
    <mergeCell ref="I123:K123"/>
    <mergeCell ref="L123:N123"/>
    <mergeCell ref="O123:Q123"/>
    <mergeCell ref="R123:T123"/>
    <mergeCell ref="BD120:BF120"/>
    <mergeCell ref="BG120:BI120"/>
    <mergeCell ref="BJ120:BL120"/>
    <mergeCell ref="BM120:BO120"/>
    <mergeCell ref="BP120:BR120"/>
    <mergeCell ref="AJ120:AL120"/>
    <mergeCell ref="AM120:AO120"/>
    <mergeCell ref="AP120:AR120"/>
    <mergeCell ref="AX120:AZ120"/>
    <mergeCell ref="BA120:BC120"/>
    <mergeCell ref="U120:W120"/>
    <mergeCell ref="X120:Z120"/>
    <mergeCell ref="AA120:AC120"/>
    <mergeCell ref="AD120:AF120"/>
    <mergeCell ref="AG120:AI120"/>
    <mergeCell ref="F120:H120"/>
    <mergeCell ref="I120:K120"/>
    <mergeCell ref="L120:N120"/>
    <mergeCell ref="O120:Q120"/>
    <mergeCell ref="R120:T120"/>
    <mergeCell ref="BD121:BF121"/>
    <mergeCell ref="BG121:BI121"/>
    <mergeCell ref="BJ121:BL121"/>
    <mergeCell ref="BM121:BO121"/>
    <mergeCell ref="BP121:BR121"/>
    <mergeCell ref="AJ121:AL121"/>
    <mergeCell ref="AM121:AO121"/>
    <mergeCell ref="AP121:AR121"/>
    <mergeCell ref="AX121:AZ121"/>
    <mergeCell ref="BA121:BC121"/>
    <mergeCell ref="U121:W121"/>
    <mergeCell ref="X121:Z121"/>
    <mergeCell ref="AA121:AC121"/>
    <mergeCell ref="AD121:AF121"/>
    <mergeCell ref="AG121:AI121"/>
    <mergeCell ref="F121:H121"/>
    <mergeCell ref="I121:K121"/>
    <mergeCell ref="L121:N121"/>
    <mergeCell ref="O121:Q121"/>
    <mergeCell ref="R121:T121"/>
    <mergeCell ref="BD118:BF118"/>
    <mergeCell ref="BG118:BI118"/>
    <mergeCell ref="BJ118:BL118"/>
    <mergeCell ref="BM118:BO118"/>
    <mergeCell ref="BP118:BR118"/>
    <mergeCell ref="AJ118:AL118"/>
    <mergeCell ref="AM118:AO118"/>
    <mergeCell ref="AP118:AR118"/>
    <mergeCell ref="AX118:AZ118"/>
    <mergeCell ref="BA118:BC118"/>
    <mergeCell ref="U118:W118"/>
    <mergeCell ref="X118:Z118"/>
    <mergeCell ref="AA118:AC118"/>
    <mergeCell ref="AD118:AF118"/>
    <mergeCell ref="AG118:AI118"/>
    <mergeCell ref="F118:H118"/>
    <mergeCell ref="I118:K118"/>
    <mergeCell ref="L118:N118"/>
    <mergeCell ref="O118:Q118"/>
    <mergeCell ref="R118:T118"/>
    <mergeCell ref="BD119:BF119"/>
    <mergeCell ref="BG119:BI119"/>
    <mergeCell ref="BJ119:BL119"/>
    <mergeCell ref="BM119:BO119"/>
    <mergeCell ref="BP119:BR119"/>
    <mergeCell ref="AJ119:AL119"/>
    <mergeCell ref="AM119:AO119"/>
    <mergeCell ref="AP119:AR119"/>
    <mergeCell ref="AX119:AZ119"/>
    <mergeCell ref="BA119:BC119"/>
    <mergeCell ref="U119:W119"/>
    <mergeCell ref="X119:Z119"/>
    <mergeCell ref="AA119:AC119"/>
    <mergeCell ref="AD119:AF119"/>
    <mergeCell ref="AG119:AI119"/>
    <mergeCell ref="F119:H119"/>
    <mergeCell ref="I119:K119"/>
    <mergeCell ref="L119:N119"/>
    <mergeCell ref="O119:Q119"/>
    <mergeCell ref="R119:T119"/>
    <mergeCell ref="F117:H117"/>
    <mergeCell ref="I117:K117"/>
    <mergeCell ref="L117:N117"/>
    <mergeCell ref="O117:Q117"/>
    <mergeCell ref="R117:T117"/>
    <mergeCell ref="BD116:BF116"/>
    <mergeCell ref="BG116:BI116"/>
    <mergeCell ref="BJ116:BL116"/>
    <mergeCell ref="BM116:BO116"/>
    <mergeCell ref="BP116:BR116"/>
    <mergeCell ref="AJ116:AL116"/>
    <mergeCell ref="AM116:AO116"/>
    <mergeCell ref="AP116:AR116"/>
    <mergeCell ref="AX116:AZ116"/>
    <mergeCell ref="BA116:BC116"/>
    <mergeCell ref="U116:W116"/>
    <mergeCell ref="X116:Z116"/>
    <mergeCell ref="AA116:AC116"/>
    <mergeCell ref="AD116:AF116"/>
    <mergeCell ref="AG116:AI116"/>
    <mergeCell ref="F116:H116"/>
    <mergeCell ref="I116:K116"/>
    <mergeCell ref="L116:N116"/>
    <mergeCell ref="O116:Q116"/>
    <mergeCell ref="R116:T116"/>
    <mergeCell ref="L114:N114"/>
    <mergeCell ref="O114:Q114"/>
    <mergeCell ref="R114:T114"/>
    <mergeCell ref="BD117:BF117"/>
    <mergeCell ref="BG117:BI117"/>
    <mergeCell ref="BJ117:BL117"/>
    <mergeCell ref="BM117:BO117"/>
    <mergeCell ref="BP117:BR117"/>
    <mergeCell ref="AJ117:AL117"/>
    <mergeCell ref="AM117:AO117"/>
    <mergeCell ref="AP117:AR117"/>
    <mergeCell ref="AX117:AZ117"/>
    <mergeCell ref="BA117:BC117"/>
    <mergeCell ref="U117:W117"/>
    <mergeCell ref="X117:Z117"/>
    <mergeCell ref="AA117:AC117"/>
    <mergeCell ref="AD117:AF117"/>
    <mergeCell ref="AG117:AI117"/>
    <mergeCell ref="U115:W115"/>
    <mergeCell ref="X115:Z115"/>
    <mergeCell ref="AA115:AC115"/>
    <mergeCell ref="AD115:AF115"/>
    <mergeCell ref="AG115:AI115"/>
    <mergeCell ref="BA108:BC108"/>
    <mergeCell ref="BD107:BF107"/>
    <mergeCell ref="BM107:BO107"/>
    <mergeCell ref="BA109:BC109"/>
    <mergeCell ref="BD109:BF109"/>
    <mergeCell ref="AP107:AR107"/>
    <mergeCell ref="F115:H115"/>
    <mergeCell ref="I115:K115"/>
    <mergeCell ref="L115:N115"/>
    <mergeCell ref="O115:Q115"/>
    <mergeCell ref="R115:T115"/>
    <mergeCell ref="BD114:BF114"/>
    <mergeCell ref="BG114:BI114"/>
    <mergeCell ref="BJ114:BL114"/>
    <mergeCell ref="BM114:BO114"/>
    <mergeCell ref="AJ114:AL114"/>
    <mergeCell ref="AM114:AO114"/>
    <mergeCell ref="AP114:AR114"/>
    <mergeCell ref="AX114:AZ114"/>
    <mergeCell ref="BA114:BC114"/>
    <mergeCell ref="U114:W114"/>
    <mergeCell ref="X114:Z114"/>
    <mergeCell ref="AA114:AC114"/>
    <mergeCell ref="AD114:AF114"/>
    <mergeCell ref="AG114:AI114"/>
    <mergeCell ref="BJ112:BL112"/>
    <mergeCell ref="BM112:BO112"/>
    <mergeCell ref="AP106:AR106"/>
    <mergeCell ref="AX106:AZ106"/>
    <mergeCell ref="BA106:BC106"/>
    <mergeCell ref="BM109:BO109"/>
    <mergeCell ref="AP109:AR109"/>
    <mergeCell ref="AX109:AZ109"/>
    <mergeCell ref="BG107:BI107"/>
    <mergeCell ref="BJ107:BL107"/>
    <mergeCell ref="BD115:BF115"/>
    <mergeCell ref="BG115:BI115"/>
    <mergeCell ref="BJ115:BL115"/>
    <mergeCell ref="BM115:BO115"/>
    <mergeCell ref="BP115:BR115"/>
    <mergeCell ref="AJ115:AL115"/>
    <mergeCell ref="AM115:AO115"/>
    <mergeCell ref="AP115:AR115"/>
    <mergeCell ref="AX115:AZ115"/>
    <mergeCell ref="BA115:BC115"/>
    <mergeCell ref="BP114:BR114"/>
    <mergeCell ref="L109:N109"/>
    <mergeCell ref="O109:Q109"/>
    <mergeCell ref="R109:T109"/>
    <mergeCell ref="AJ109:AL109"/>
    <mergeCell ref="AJ102:AL102"/>
    <mergeCell ref="AM102:AO102"/>
    <mergeCell ref="AP102:AR102"/>
    <mergeCell ref="BD110:BF110"/>
    <mergeCell ref="BG110:BI110"/>
    <mergeCell ref="BJ110:BL110"/>
    <mergeCell ref="BM110:BO110"/>
    <mergeCell ref="BD106:BF106"/>
    <mergeCell ref="BG106:BI106"/>
    <mergeCell ref="BJ106:BL106"/>
    <mergeCell ref="BM106:BO106"/>
    <mergeCell ref="U107:W107"/>
    <mergeCell ref="BD108:BF108"/>
    <mergeCell ref="BG108:BI108"/>
    <mergeCell ref="BJ108:BL108"/>
    <mergeCell ref="BM108:BO108"/>
    <mergeCell ref="X104:Z104"/>
    <mergeCell ref="AA104:AC104"/>
    <mergeCell ref="AD104:AF104"/>
    <mergeCell ref="AG104:AI104"/>
    <mergeCell ref="AJ104:AL104"/>
    <mergeCell ref="AM104:AO104"/>
    <mergeCell ref="AP104:AR104"/>
    <mergeCell ref="AX104:AZ104"/>
    <mergeCell ref="BA104:BC104"/>
    <mergeCell ref="R108:T108"/>
    <mergeCell ref="U108:W108"/>
    <mergeCell ref="X108:Z108"/>
    <mergeCell ref="I113:K113"/>
    <mergeCell ref="L113:N113"/>
    <mergeCell ref="O113:Q113"/>
    <mergeCell ref="BD103:BF103"/>
    <mergeCell ref="BG103:BI103"/>
    <mergeCell ref="BJ103:BL103"/>
    <mergeCell ref="BM103:BO103"/>
    <mergeCell ref="BP103:BR103"/>
    <mergeCell ref="AJ103:AL103"/>
    <mergeCell ref="AM103:AO103"/>
    <mergeCell ref="AP103:AR103"/>
    <mergeCell ref="AX103:AZ103"/>
    <mergeCell ref="BA103:BC103"/>
    <mergeCell ref="U103:W103"/>
    <mergeCell ref="X103:Z103"/>
    <mergeCell ref="AA103:AC103"/>
    <mergeCell ref="BD113:BF113"/>
    <mergeCell ref="BG113:BI113"/>
    <mergeCell ref="BJ113:BL113"/>
    <mergeCell ref="BM113:BO113"/>
    <mergeCell ref="AD103:AF103"/>
    <mergeCell ref="AG103:AI103"/>
    <mergeCell ref="AD107:AF107"/>
    <mergeCell ref="AG107:AI107"/>
    <mergeCell ref="AJ107:AL107"/>
    <mergeCell ref="AX107:AZ107"/>
    <mergeCell ref="BA107:BC107"/>
    <mergeCell ref="AA107:AC107"/>
    <mergeCell ref="O104:Q104"/>
    <mergeCell ref="R104:T104"/>
    <mergeCell ref="U104:W104"/>
    <mergeCell ref="R113:T113"/>
    <mergeCell ref="BG100:BI100"/>
    <mergeCell ref="BD104:BF104"/>
    <mergeCell ref="BG104:BI104"/>
    <mergeCell ref="BJ104:BL104"/>
    <mergeCell ref="BM104:BO104"/>
    <mergeCell ref="O103:Q103"/>
    <mergeCell ref="BP113:BR113"/>
    <mergeCell ref="AJ113:AL113"/>
    <mergeCell ref="AM113:AO113"/>
    <mergeCell ref="AP113:AR113"/>
    <mergeCell ref="AX113:AZ113"/>
    <mergeCell ref="BA113:BC113"/>
    <mergeCell ref="U113:W113"/>
    <mergeCell ref="X113:Z113"/>
    <mergeCell ref="AA113:AC113"/>
    <mergeCell ref="AD113:AF113"/>
    <mergeCell ref="AG113:AI113"/>
    <mergeCell ref="BD102:BF102"/>
    <mergeCell ref="BG102:BI102"/>
    <mergeCell ref="BJ102:BL102"/>
    <mergeCell ref="BM102:BO102"/>
    <mergeCell ref="BP107:BR107"/>
    <mergeCell ref="BP108:BR108"/>
    <mergeCell ref="BP109:BR109"/>
    <mergeCell ref="BP102:BR102"/>
    <mergeCell ref="BP106:BR106"/>
    <mergeCell ref="BG109:BI109"/>
    <mergeCell ref="BJ109:BL109"/>
    <mergeCell ref="BP110:BR110"/>
    <mergeCell ref="BP100:BR100"/>
    <mergeCell ref="BD112:BF112"/>
    <mergeCell ref="BG112:BI112"/>
    <mergeCell ref="BJ99:BL99"/>
    <mergeCell ref="BA88:BC88"/>
    <mergeCell ref="AJ94:AL94"/>
    <mergeCell ref="AM94:AO94"/>
    <mergeCell ref="AJ95:AL95"/>
    <mergeCell ref="AM95:AO95"/>
    <mergeCell ref="BG98:BI98"/>
    <mergeCell ref="BJ98:BL98"/>
    <mergeCell ref="AM96:AO96"/>
    <mergeCell ref="BJ91:BL91"/>
    <mergeCell ref="AX89:AZ89"/>
    <mergeCell ref="BA89:BC89"/>
    <mergeCell ref="AA89:AC89"/>
    <mergeCell ref="AD89:AF89"/>
    <mergeCell ref="AP91:AR91"/>
    <mergeCell ref="BG97:BI97"/>
    <mergeCell ref="AM97:AO97"/>
    <mergeCell ref="AA96:AC96"/>
    <mergeCell ref="AD95:AF95"/>
    <mergeCell ref="AG95:AI95"/>
    <mergeCell ref="AA93:AC93"/>
    <mergeCell ref="AD93:AF93"/>
    <mergeCell ref="AG93:AI93"/>
    <mergeCell ref="BP97:BR97"/>
    <mergeCell ref="AJ97:AL97"/>
    <mergeCell ref="X96:Z96"/>
    <mergeCell ref="R98:T98"/>
    <mergeCell ref="BG96:BI96"/>
    <mergeCell ref="BJ96:BL96"/>
    <mergeCell ref="BM96:BO96"/>
    <mergeCell ref="BA97:BC97"/>
    <mergeCell ref="U96:W96"/>
    <mergeCell ref="BJ86:BL86"/>
    <mergeCell ref="BM86:BO86"/>
    <mergeCell ref="BP86:BR86"/>
    <mergeCell ref="R96:T96"/>
    <mergeCell ref="BA95:BC95"/>
    <mergeCell ref="BP96:BR96"/>
    <mergeCell ref="AD96:AF96"/>
    <mergeCell ref="AG96:AI96"/>
    <mergeCell ref="BP95:BR95"/>
    <mergeCell ref="BJ95:BL95"/>
    <mergeCell ref="BM95:BO95"/>
    <mergeCell ref="X98:Z98"/>
    <mergeCell ref="AA98:AC98"/>
    <mergeCell ref="AD98:AF98"/>
    <mergeCell ref="AG98:AI98"/>
    <mergeCell ref="BA93:BC93"/>
    <mergeCell ref="BP92:BR92"/>
    <mergeCell ref="AA88:AC88"/>
    <mergeCell ref="BP88:BR88"/>
    <mergeCell ref="BD91:BF91"/>
    <mergeCell ref="BG91:BI91"/>
    <mergeCell ref="BD92:BF92"/>
    <mergeCell ref="BM98:BO98"/>
    <mergeCell ref="BP91:BR91"/>
    <mergeCell ref="AJ91:AL91"/>
    <mergeCell ref="AM91:AO91"/>
    <mergeCell ref="AG92:AI92"/>
    <mergeCell ref="AX91:AZ91"/>
    <mergeCell ref="BA92:BC92"/>
    <mergeCell ref="BG89:BI89"/>
    <mergeCell ref="BJ89:BL89"/>
    <mergeCell ref="BM89:BO89"/>
    <mergeCell ref="BD94:BF94"/>
    <mergeCell ref="BD88:BF88"/>
    <mergeCell ref="BD89:BF89"/>
    <mergeCell ref="BD93:BF93"/>
    <mergeCell ref="BG88:BI88"/>
    <mergeCell ref="BJ88:BL88"/>
    <mergeCell ref="BM88:BO88"/>
    <mergeCell ref="AJ88:AL88"/>
    <mergeCell ref="AM88:AO88"/>
    <mergeCell ref="AP88:AR88"/>
    <mergeCell ref="AX88:AZ88"/>
    <mergeCell ref="AP94:AR94"/>
    <mergeCell ref="AP93:AR93"/>
    <mergeCell ref="BP94:BR94"/>
    <mergeCell ref="BP89:BR89"/>
    <mergeCell ref="BM92:BO92"/>
    <mergeCell ref="BM91:BO91"/>
    <mergeCell ref="AP89:AR89"/>
    <mergeCell ref="BG92:BI92"/>
    <mergeCell ref="BP85:BR85"/>
    <mergeCell ref="AJ85:AL85"/>
    <mergeCell ref="AM85:AO85"/>
    <mergeCell ref="AM82:AO82"/>
    <mergeCell ref="BP81:BR81"/>
    <mergeCell ref="AJ81:AL81"/>
    <mergeCell ref="BM83:BO83"/>
    <mergeCell ref="BP83:BR83"/>
    <mergeCell ref="BM84:BO84"/>
    <mergeCell ref="BP84:BR84"/>
    <mergeCell ref="AG83:AI83"/>
    <mergeCell ref="AG85:AI85"/>
    <mergeCell ref="BA85:BC85"/>
    <mergeCell ref="AJ82:AL82"/>
    <mergeCell ref="AX84:AZ84"/>
    <mergeCell ref="BA84:BC84"/>
    <mergeCell ref="AJ84:AL84"/>
    <mergeCell ref="AM84:AO84"/>
    <mergeCell ref="BG85:BI85"/>
    <mergeCell ref="BJ85:BL85"/>
    <mergeCell ref="BM85:BO85"/>
    <mergeCell ref="BD85:BF85"/>
    <mergeCell ref="BP82:BR82"/>
    <mergeCell ref="AX81:AZ81"/>
    <mergeCell ref="BA81:BC81"/>
    <mergeCell ref="BD83:BF83"/>
    <mergeCell ref="AX83:AZ83"/>
    <mergeCell ref="BA83:BC83"/>
    <mergeCell ref="AP84:AR84"/>
    <mergeCell ref="BM75:BO75"/>
    <mergeCell ref="AM81:AO81"/>
    <mergeCell ref="F78:H78"/>
    <mergeCell ref="I78:K78"/>
    <mergeCell ref="L78:N78"/>
    <mergeCell ref="F82:H82"/>
    <mergeCell ref="U75:W75"/>
    <mergeCell ref="X75:Z75"/>
    <mergeCell ref="AA75:AC75"/>
    <mergeCell ref="AD75:AF75"/>
    <mergeCell ref="AG77:AI77"/>
    <mergeCell ref="AJ77:AL77"/>
    <mergeCell ref="BP78:BR78"/>
    <mergeCell ref="AX77:AZ77"/>
    <mergeCell ref="BA77:BC77"/>
    <mergeCell ref="BP75:BR75"/>
    <mergeCell ref="BP76:BR76"/>
    <mergeCell ref="AM77:AO77"/>
    <mergeCell ref="AP77:AR77"/>
    <mergeCell ref="BP77:BR77"/>
    <mergeCell ref="AG81:AI81"/>
    <mergeCell ref="BG82:BI82"/>
    <mergeCell ref="BJ82:BL82"/>
    <mergeCell ref="BM82:BO82"/>
    <mergeCell ref="BD82:BF82"/>
    <mergeCell ref="BA82:BC82"/>
    <mergeCell ref="BG81:BI81"/>
    <mergeCell ref="BJ81:BL81"/>
    <mergeCell ref="BM81:BO81"/>
    <mergeCell ref="BM76:BO76"/>
    <mergeCell ref="AG75:AI75"/>
    <mergeCell ref="AD81:AF81"/>
    <mergeCell ref="BP69:BR69"/>
    <mergeCell ref="U69:W69"/>
    <mergeCell ref="X69:Z69"/>
    <mergeCell ref="AA69:AC69"/>
    <mergeCell ref="BP72:BR72"/>
    <mergeCell ref="AJ72:AL72"/>
    <mergeCell ref="AM72:AO72"/>
    <mergeCell ref="AP72:AR72"/>
    <mergeCell ref="AX72:AZ72"/>
    <mergeCell ref="BA72:BC72"/>
    <mergeCell ref="BD77:BF77"/>
    <mergeCell ref="BG77:BI77"/>
    <mergeCell ref="BJ77:BL77"/>
    <mergeCell ref="BM77:BO77"/>
    <mergeCell ref="AP71:AR71"/>
    <mergeCell ref="AX71:AZ71"/>
    <mergeCell ref="BG71:BI71"/>
    <mergeCell ref="BJ71:BL71"/>
    <mergeCell ref="BD72:BF72"/>
    <mergeCell ref="BG72:BI72"/>
    <mergeCell ref="BJ72:BL72"/>
    <mergeCell ref="BM71:BO71"/>
    <mergeCell ref="BP71:BR71"/>
    <mergeCell ref="AJ71:AL71"/>
    <mergeCell ref="AM71:AO71"/>
    <mergeCell ref="BP74:BR74"/>
    <mergeCell ref="BJ73:BL73"/>
    <mergeCell ref="BM73:BO73"/>
    <mergeCell ref="BA74:BC74"/>
    <mergeCell ref="BA71:BC71"/>
    <mergeCell ref="BG69:BI69"/>
    <mergeCell ref="BJ75:BL75"/>
    <mergeCell ref="BP68:BR68"/>
    <mergeCell ref="AJ68:AL68"/>
    <mergeCell ref="AM68:AO68"/>
    <mergeCell ref="AP68:AR68"/>
    <mergeCell ref="AX68:AZ68"/>
    <mergeCell ref="BA68:BC68"/>
    <mergeCell ref="U68:W68"/>
    <mergeCell ref="X68:Z68"/>
    <mergeCell ref="AA68:AC68"/>
    <mergeCell ref="AD68:AF68"/>
    <mergeCell ref="AG68:AI68"/>
    <mergeCell ref="BD68:BF68"/>
    <mergeCell ref="BG68:BI68"/>
    <mergeCell ref="BJ62:BL62"/>
    <mergeCell ref="BM62:BO62"/>
    <mergeCell ref="BP62:BR62"/>
    <mergeCell ref="AJ62:AL62"/>
    <mergeCell ref="AM62:AO62"/>
    <mergeCell ref="AP62:AR62"/>
    <mergeCell ref="AX62:AZ62"/>
    <mergeCell ref="BA62:BC62"/>
    <mergeCell ref="U62:W62"/>
    <mergeCell ref="X62:Z62"/>
    <mergeCell ref="AA62:AC62"/>
    <mergeCell ref="AD62:AF62"/>
    <mergeCell ref="AG62:AI62"/>
    <mergeCell ref="BJ66:BL66"/>
    <mergeCell ref="BM66:BO66"/>
    <mergeCell ref="BP66:BR66"/>
    <mergeCell ref="BD66:BF66"/>
    <mergeCell ref="BG66:BI66"/>
    <mergeCell ref="BD65:BF65"/>
    <mergeCell ref="BP65:BR65"/>
    <mergeCell ref="AJ65:AL65"/>
    <mergeCell ref="AM65:AO65"/>
    <mergeCell ref="AP65:AR65"/>
    <mergeCell ref="AX65:AZ65"/>
    <mergeCell ref="BA65:BC65"/>
    <mergeCell ref="U65:W65"/>
    <mergeCell ref="X65:Z65"/>
    <mergeCell ref="AA65:AC65"/>
    <mergeCell ref="AD65:AF65"/>
    <mergeCell ref="AG65:AI65"/>
    <mergeCell ref="F65:H65"/>
    <mergeCell ref="I65:K65"/>
    <mergeCell ref="L65:N65"/>
    <mergeCell ref="O65:Q65"/>
    <mergeCell ref="R65:T65"/>
    <mergeCell ref="BD63:BF63"/>
    <mergeCell ref="BG63:BI63"/>
    <mergeCell ref="BJ63:BL63"/>
    <mergeCell ref="BM63:BO63"/>
    <mergeCell ref="BP63:BR63"/>
    <mergeCell ref="BM65:BO65"/>
    <mergeCell ref="BD64:BF64"/>
    <mergeCell ref="BG64:BI64"/>
    <mergeCell ref="BJ64:BL64"/>
    <mergeCell ref="BM64:BO64"/>
    <mergeCell ref="BP64:BR64"/>
    <mergeCell ref="AJ64:AL64"/>
    <mergeCell ref="BP61:BR61"/>
    <mergeCell ref="AJ61:AL61"/>
    <mergeCell ref="AM61:AO61"/>
    <mergeCell ref="AP61:AR61"/>
    <mergeCell ref="AX61:AZ61"/>
    <mergeCell ref="BA61:BC61"/>
    <mergeCell ref="U57:W57"/>
    <mergeCell ref="X57:Z57"/>
    <mergeCell ref="AA57:AC57"/>
    <mergeCell ref="AD57:AF57"/>
    <mergeCell ref="AG57:AI57"/>
    <mergeCell ref="F57:H57"/>
    <mergeCell ref="I57:K57"/>
    <mergeCell ref="L57:N57"/>
    <mergeCell ref="O57:Q57"/>
    <mergeCell ref="R57:T57"/>
    <mergeCell ref="U61:W61"/>
    <mergeCell ref="X61:Z61"/>
    <mergeCell ref="AA61:AC61"/>
    <mergeCell ref="AD61:AF61"/>
    <mergeCell ref="AG61:AI61"/>
    <mergeCell ref="F61:H61"/>
    <mergeCell ref="I61:K61"/>
    <mergeCell ref="L61:N61"/>
    <mergeCell ref="O61:Q61"/>
    <mergeCell ref="R61:T61"/>
    <mergeCell ref="U59:W59"/>
    <mergeCell ref="X59:Z59"/>
    <mergeCell ref="AA59:AC59"/>
    <mergeCell ref="BG57:BI57"/>
    <mergeCell ref="AD59:AF59"/>
    <mergeCell ref="F60:H60"/>
    <mergeCell ref="BP57:BR57"/>
    <mergeCell ref="AJ57:AL57"/>
    <mergeCell ref="BD60:BF60"/>
    <mergeCell ref="BG60:BI60"/>
    <mergeCell ref="BJ60:BL60"/>
    <mergeCell ref="BD59:BF59"/>
    <mergeCell ref="BG59:BI59"/>
    <mergeCell ref="BJ59:BL59"/>
    <mergeCell ref="BD58:BF58"/>
    <mergeCell ref="BG58:BI58"/>
    <mergeCell ref="BJ58:BL58"/>
    <mergeCell ref="BM58:BO58"/>
    <mergeCell ref="BP58:BR58"/>
    <mergeCell ref="AJ58:AL58"/>
    <mergeCell ref="AM58:AO58"/>
    <mergeCell ref="AP58:AR58"/>
    <mergeCell ref="AX58:AZ58"/>
    <mergeCell ref="BA58:BC58"/>
    <mergeCell ref="AM57:AO57"/>
    <mergeCell ref="AP57:AR57"/>
    <mergeCell ref="AX57:AZ57"/>
    <mergeCell ref="BA57:BC57"/>
    <mergeCell ref="BM59:BO59"/>
    <mergeCell ref="BP59:BR59"/>
    <mergeCell ref="BM60:BO60"/>
    <mergeCell ref="BP60:BR60"/>
    <mergeCell ref="BD57:BF57"/>
    <mergeCell ref="AJ60:AL60"/>
    <mergeCell ref="AX60:AZ60"/>
    <mergeCell ref="BA60:BC60"/>
    <mergeCell ref="AX59:AZ59"/>
    <mergeCell ref="AP59:AR59"/>
    <mergeCell ref="BP56:BR56"/>
    <mergeCell ref="AJ56:AL56"/>
    <mergeCell ref="AM56:AO56"/>
    <mergeCell ref="AP56:AR56"/>
    <mergeCell ref="AX56:AZ56"/>
    <mergeCell ref="BA56:BC56"/>
    <mergeCell ref="U56:W56"/>
    <mergeCell ref="X56:Z56"/>
    <mergeCell ref="AA56:AC56"/>
    <mergeCell ref="AD56:AF56"/>
    <mergeCell ref="AG56:AI56"/>
    <mergeCell ref="BM50:BO50"/>
    <mergeCell ref="BJ54:BL54"/>
    <mergeCell ref="BM54:BO54"/>
    <mergeCell ref="BP54:BR54"/>
    <mergeCell ref="BG53:BI53"/>
    <mergeCell ref="BJ53:BL53"/>
    <mergeCell ref="BM53:BO53"/>
    <mergeCell ref="BP53:BR53"/>
    <mergeCell ref="BD53:BF53"/>
    <mergeCell ref="BP50:BR50"/>
    <mergeCell ref="AJ50:AL50"/>
    <mergeCell ref="AM50:AO50"/>
    <mergeCell ref="AP50:AR50"/>
    <mergeCell ref="AX50:AZ50"/>
    <mergeCell ref="BA50:BC50"/>
    <mergeCell ref="U50:W50"/>
    <mergeCell ref="X50:Z50"/>
    <mergeCell ref="AX53:AZ53"/>
    <mergeCell ref="AP53:AR53"/>
    <mergeCell ref="AG52:AI52"/>
    <mergeCell ref="AJ52:AL52"/>
    <mergeCell ref="BP51:BR51"/>
    <mergeCell ref="AJ51:AL51"/>
    <mergeCell ref="AM51:AO51"/>
    <mergeCell ref="AP51:AR51"/>
    <mergeCell ref="AX51:AZ51"/>
    <mergeCell ref="BA51:BC51"/>
    <mergeCell ref="U51:W51"/>
    <mergeCell ref="X51:Z51"/>
    <mergeCell ref="AA51:AC51"/>
    <mergeCell ref="AD51:AF51"/>
    <mergeCell ref="AG51:AI51"/>
    <mergeCell ref="U49:W49"/>
    <mergeCell ref="X49:Z49"/>
    <mergeCell ref="AA49:AC49"/>
    <mergeCell ref="AD49:AF49"/>
    <mergeCell ref="AG49:AI49"/>
    <mergeCell ref="BJ51:BL51"/>
    <mergeCell ref="BD50:BF50"/>
    <mergeCell ref="BG50:BI50"/>
    <mergeCell ref="BJ50:BL50"/>
    <mergeCell ref="BM51:BO51"/>
    <mergeCell ref="AP49:AR49"/>
    <mergeCell ref="AX49:AZ49"/>
    <mergeCell ref="BA49:BC49"/>
    <mergeCell ref="BD49:BF49"/>
    <mergeCell ref="BG49:BI49"/>
    <mergeCell ref="BJ49:BL49"/>
    <mergeCell ref="BM49:BO49"/>
    <mergeCell ref="BP49:BR49"/>
    <mergeCell ref="BM48:BO48"/>
    <mergeCell ref="BP48:BR48"/>
    <mergeCell ref="AJ48:AL48"/>
    <mergeCell ref="AM48:AO48"/>
    <mergeCell ref="AP48:AR48"/>
    <mergeCell ref="AX48:AZ48"/>
    <mergeCell ref="BA48:BC48"/>
    <mergeCell ref="U48:W48"/>
    <mergeCell ref="AJ49:AL49"/>
    <mergeCell ref="AM49:AO49"/>
    <mergeCell ref="BD47:BF47"/>
    <mergeCell ref="BG47:BI47"/>
    <mergeCell ref="BJ47:BL47"/>
    <mergeCell ref="BM47:BO47"/>
    <mergeCell ref="BP47:BR47"/>
    <mergeCell ref="AJ47:AL47"/>
    <mergeCell ref="AM47:AO47"/>
    <mergeCell ref="AP47:AR47"/>
    <mergeCell ref="AX47:AZ47"/>
    <mergeCell ref="BA47:BC47"/>
    <mergeCell ref="X48:Z48"/>
    <mergeCell ref="AA48:AC48"/>
    <mergeCell ref="AD48:AF48"/>
    <mergeCell ref="AG48:AI48"/>
    <mergeCell ref="U47:W47"/>
    <mergeCell ref="AG47:AI47"/>
    <mergeCell ref="BP42:BR42"/>
    <mergeCell ref="AA44:AC44"/>
    <mergeCell ref="AD44:AF44"/>
    <mergeCell ref="AG44:AI44"/>
    <mergeCell ref="AD42:AF42"/>
    <mergeCell ref="AG42:AI42"/>
    <mergeCell ref="BD42:BF42"/>
    <mergeCell ref="BG42:BI42"/>
    <mergeCell ref="BJ42:BL42"/>
    <mergeCell ref="AJ42:AL42"/>
    <mergeCell ref="AM42:AO42"/>
    <mergeCell ref="AP42:AR42"/>
    <mergeCell ref="AX42:AZ42"/>
    <mergeCell ref="BA42:BC42"/>
    <mergeCell ref="U42:W42"/>
    <mergeCell ref="X42:Z42"/>
    <mergeCell ref="BG43:BI43"/>
    <mergeCell ref="BJ44:BL44"/>
    <mergeCell ref="BM44:BO44"/>
    <mergeCell ref="BP44:BR44"/>
    <mergeCell ref="BM43:BO43"/>
    <mergeCell ref="BP43:BR43"/>
    <mergeCell ref="BG44:BI44"/>
    <mergeCell ref="U44:W44"/>
    <mergeCell ref="X44:Z44"/>
    <mergeCell ref="AD43:AF43"/>
    <mergeCell ref="AG43:AI43"/>
    <mergeCell ref="BA44:BC44"/>
    <mergeCell ref="BM42:BO42"/>
    <mergeCell ref="BA43:BC43"/>
    <mergeCell ref="BJ43:BL43"/>
    <mergeCell ref="BD43:BF43"/>
    <mergeCell ref="AJ44:AL44"/>
    <mergeCell ref="AM44:AO44"/>
    <mergeCell ref="BM39:BO39"/>
    <mergeCell ref="BG39:BI39"/>
    <mergeCell ref="BG45:BI45"/>
    <mergeCell ref="AP44:AR44"/>
    <mergeCell ref="AX44:AZ44"/>
    <mergeCell ref="AP43:AR43"/>
    <mergeCell ref="AX43:AZ43"/>
    <mergeCell ref="AJ43:AL43"/>
    <mergeCell ref="AM43:AO43"/>
    <mergeCell ref="AM45:AO45"/>
    <mergeCell ref="BG46:BI46"/>
    <mergeCell ref="U45:W45"/>
    <mergeCell ref="X45:Z45"/>
    <mergeCell ref="AA45:AC45"/>
    <mergeCell ref="AD45:AF45"/>
    <mergeCell ref="AG39:AI39"/>
    <mergeCell ref="X39:Z39"/>
    <mergeCell ref="AG45:AI45"/>
    <mergeCell ref="AJ45:AL45"/>
    <mergeCell ref="AA42:AC42"/>
    <mergeCell ref="BD44:BF44"/>
    <mergeCell ref="AP40:AR40"/>
    <mergeCell ref="AX40:AZ40"/>
    <mergeCell ref="BA40:BC40"/>
    <mergeCell ref="AA46:AC46"/>
    <mergeCell ref="BM46:BO46"/>
    <mergeCell ref="BP34:BR34"/>
    <mergeCell ref="AJ34:AL34"/>
    <mergeCell ref="AJ39:AL39"/>
    <mergeCell ref="AM39:AO39"/>
    <mergeCell ref="AP39:AR39"/>
    <mergeCell ref="AX39:AZ39"/>
    <mergeCell ref="BA39:BC39"/>
    <mergeCell ref="U39:W39"/>
    <mergeCell ref="BG35:BI35"/>
    <mergeCell ref="BD39:BF39"/>
    <mergeCell ref="AA39:AC39"/>
    <mergeCell ref="AD39:AF39"/>
    <mergeCell ref="U34:W34"/>
    <mergeCell ref="BG36:BI36"/>
    <mergeCell ref="BJ36:BL36"/>
    <mergeCell ref="BM36:BO36"/>
    <mergeCell ref="BP36:BR36"/>
    <mergeCell ref="BJ39:BL39"/>
    <mergeCell ref="BP39:BR39"/>
    <mergeCell ref="BD34:BF34"/>
    <mergeCell ref="BD36:BF36"/>
    <mergeCell ref="BJ35:BL35"/>
    <mergeCell ref="U36:W36"/>
    <mergeCell ref="X36:Z36"/>
    <mergeCell ref="AD36:AF36"/>
    <mergeCell ref="AG36:AI36"/>
    <mergeCell ref="AJ36:AL36"/>
    <mergeCell ref="AM36:AO36"/>
    <mergeCell ref="AP36:AR36"/>
    <mergeCell ref="U35:W35"/>
    <mergeCell ref="AA36:AC36"/>
    <mergeCell ref="BM34:BO34"/>
    <mergeCell ref="BD33:BF33"/>
    <mergeCell ref="BG33:BI33"/>
    <mergeCell ref="BJ33:BL33"/>
    <mergeCell ref="AX36:AZ36"/>
    <mergeCell ref="BA36:BC36"/>
    <mergeCell ref="F35:H35"/>
    <mergeCell ref="I35:K35"/>
    <mergeCell ref="L35:N35"/>
    <mergeCell ref="O35:Q35"/>
    <mergeCell ref="F34:H34"/>
    <mergeCell ref="I34:K34"/>
    <mergeCell ref="L34:N34"/>
    <mergeCell ref="O34:Q34"/>
    <mergeCell ref="R34:T34"/>
    <mergeCell ref="F33:H33"/>
    <mergeCell ref="AX33:AZ33"/>
    <mergeCell ref="AP33:AR33"/>
    <mergeCell ref="AM34:AO34"/>
    <mergeCell ref="AP34:AR34"/>
    <mergeCell ref="AX34:AZ34"/>
    <mergeCell ref="BA34:BC34"/>
    <mergeCell ref="O33:Q33"/>
    <mergeCell ref="R33:T33"/>
    <mergeCell ref="BP32:BR32"/>
    <mergeCell ref="AJ33:AL33"/>
    <mergeCell ref="AM33:AO33"/>
    <mergeCell ref="BJ34:BL34"/>
    <mergeCell ref="BM35:BO35"/>
    <mergeCell ref="BP35:BR35"/>
    <mergeCell ref="AJ35:AL35"/>
    <mergeCell ref="AM35:AO35"/>
    <mergeCell ref="AP35:AR35"/>
    <mergeCell ref="BD35:BF35"/>
    <mergeCell ref="BG34:BI34"/>
    <mergeCell ref="O26:Q26"/>
    <mergeCell ref="R26:T26"/>
    <mergeCell ref="U26:W26"/>
    <mergeCell ref="AP26:AR26"/>
    <mergeCell ref="AX26:AZ26"/>
    <mergeCell ref="BG26:BI26"/>
    <mergeCell ref="AP27:AR27"/>
    <mergeCell ref="BM33:BO33"/>
    <mergeCell ref="BP33:BR33"/>
    <mergeCell ref="BJ31:BL31"/>
    <mergeCell ref="AP30:AR30"/>
    <mergeCell ref="AX30:AZ30"/>
    <mergeCell ref="X35:Z35"/>
    <mergeCell ref="AA35:AC35"/>
    <mergeCell ref="AD35:AF35"/>
    <mergeCell ref="AG35:AI35"/>
    <mergeCell ref="BG32:BI32"/>
    <mergeCell ref="O29:Q29"/>
    <mergeCell ref="BM32:BO32"/>
    <mergeCell ref="BA33:BC33"/>
    <mergeCell ref="U33:W33"/>
    <mergeCell ref="BM23:BO23"/>
    <mergeCell ref="BP23:BR23"/>
    <mergeCell ref="AJ23:AL23"/>
    <mergeCell ref="AM23:AO23"/>
    <mergeCell ref="AP23:AR23"/>
    <mergeCell ref="AX23:AZ23"/>
    <mergeCell ref="BA23:BC23"/>
    <mergeCell ref="U23:W23"/>
    <mergeCell ref="X23:Z23"/>
    <mergeCell ref="AA23:AC23"/>
    <mergeCell ref="AD23:AF23"/>
    <mergeCell ref="AG23:AI23"/>
    <mergeCell ref="BM29:BO29"/>
    <mergeCell ref="BP29:BR29"/>
    <mergeCell ref="AJ29:AL29"/>
    <mergeCell ref="BM30:BO30"/>
    <mergeCell ref="BP30:BR30"/>
    <mergeCell ref="BJ25:BL25"/>
    <mergeCell ref="BJ26:BL26"/>
    <mergeCell ref="AX25:AZ25"/>
    <mergeCell ref="BA25:BC25"/>
    <mergeCell ref="AX24:AZ24"/>
    <mergeCell ref="BM25:BO25"/>
    <mergeCell ref="BP25:BR25"/>
    <mergeCell ref="BG29:BI29"/>
    <mergeCell ref="BJ29:BL29"/>
    <mergeCell ref="AX29:AZ29"/>
    <mergeCell ref="BA26:BC26"/>
    <mergeCell ref="BD26:BF26"/>
    <mergeCell ref="U30:W30"/>
    <mergeCell ref="AA26:AC26"/>
    <mergeCell ref="AD26:AF26"/>
    <mergeCell ref="BP19:BR19"/>
    <mergeCell ref="AD19:AF19"/>
    <mergeCell ref="AG19:AI19"/>
    <mergeCell ref="F21:H21"/>
    <mergeCell ref="I21:K21"/>
    <mergeCell ref="L21:N21"/>
    <mergeCell ref="O21:Q21"/>
    <mergeCell ref="R21:T21"/>
    <mergeCell ref="BJ20:BL20"/>
    <mergeCell ref="BM20:BO20"/>
    <mergeCell ref="BP20:BR20"/>
    <mergeCell ref="AJ20:AL20"/>
    <mergeCell ref="AM20:AO20"/>
    <mergeCell ref="AP20:AR20"/>
    <mergeCell ref="AX20:AZ20"/>
    <mergeCell ref="BA20:BC20"/>
    <mergeCell ref="U20:W20"/>
    <mergeCell ref="X20:Z20"/>
    <mergeCell ref="AA20:AC20"/>
    <mergeCell ref="BJ19:BL19"/>
    <mergeCell ref="AP19:AR19"/>
    <mergeCell ref="BJ21:BL21"/>
    <mergeCell ref="BM21:BO21"/>
    <mergeCell ref="BP21:BR21"/>
    <mergeCell ref="AJ21:AL21"/>
    <mergeCell ref="AM21:AO21"/>
    <mergeCell ref="AP21:AR21"/>
    <mergeCell ref="AX21:AZ21"/>
    <mergeCell ref="BA21:BC21"/>
    <mergeCell ref="U21:W21"/>
    <mergeCell ref="X21:Z21"/>
    <mergeCell ref="AX19:AZ19"/>
    <mergeCell ref="BJ15:BL15"/>
    <mergeCell ref="BM15:BO15"/>
    <mergeCell ref="BP15:BR15"/>
    <mergeCell ref="AJ15:AL15"/>
    <mergeCell ref="AM15:AO15"/>
    <mergeCell ref="AP15:AR15"/>
    <mergeCell ref="AX15:AZ15"/>
    <mergeCell ref="BA15:BC15"/>
    <mergeCell ref="BD16:BF16"/>
    <mergeCell ref="BG16:BI16"/>
    <mergeCell ref="BJ16:BL16"/>
    <mergeCell ref="BM16:BO16"/>
    <mergeCell ref="BP16:BR16"/>
    <mergeCell ref="BA17:BC17"/>
    <mergeCell ref="AJ16:AL16"/>
    <mergeCell ref="AM16:AO16"/>
    <mergeCell ref="AP16:AR16"/>
    <mergeCell ref="AX16:AZ16"/>
    <mergeCell ref="BA16:BC16"/>
    <mergeCell ref="BJ17:BL17"/>
    <mergeCell ref="BM17:BO17"/>
    <mergeCell ref="BP17:BR17"/>
    <mergeCell ref="BD17:BF17"/>
    <mergeCell ref="BG17:BI17"/>
    <mergeCell ref="AP17:AR17"/>
    <mergeCell ref="AX17:AZ17"/>
    <mergeCell ref="BD15:BF15"/>
    <mergeCell ref="BG15:BI15"/>
    <mergeCell ref="C12:D13"/>
    <mergeCell ref="A12:B13"/>
    <mergeCell ref="X16:Z16"/>
    <mergeCell ref="AA16:AC16"/>
    <mergeCell ref="AJ17:AL17"/>
    <mergeCell ref="AM17:AO17"/>
    <mergeCell ref="F15:H15"/>
    <mergeCell ref="I15:K15"/>
    <mergeCell ref="L15:N15"/>
    <mergeCell ref="U15:W15"/>
    <mergeCell ref="AD15:AF15"/>
    <mergeCell ref="AG15:AI15"/>
    <mergeCell ref="AD16:AF16"/>
    <mergeCell ref="AG16:AI16"/>
    <mergeCell ref="AA17:AC17"/>
    <mergeCell ref="AD17:AF17"/>
    <mergeCell ref="AG17:AI17"/>
    <mergeCell ref="E12:E13"/>
    <mergeCell ref="R16:T16"/>
    <mergeCell ref="U16:W16"/>
    <mergeCell ref="F12:K12"/>
    <mergeCell ref="R17:T17"/>
    <mergeCell ref="O17:Q17"/>
    <mergeCell ref="L17:N17"/>
    <mergeCell ref="I17:K17"/>
    <mergeCell ref="F17:H17"/>
    <mergeCell ref="L13:N13"/>
    <mergeCell ref="I13:K13"/>
    <mergeCell ref="F13:H13"/>
    <mergeCell ref="U17:W17"/>
    <mergeCell ref="BA19:BC19"/>
    <mergeCell ref="R19:T19"/>
    <mergeCell ref="BD19:BF19"/>
    <mergeCell ref="BG19:BI19"/>
    <mergeCell ref="BD21:BF21"/>
    <mergeCell ref="BG21:BI21"/>
    <mergeCell ref="BD20:BF20"/>
    <mergeCell ref="BG20:BI20"/>
    <mergeCell ref="AJ19:AL19"/>
    <mergeCell ref="AD20:AF20"/>
    <mergeCell ref="AG20:AI20"/>
    <mergeCell ref="F20:H20"/>
    <mergeCell ref="I20:K20"/>
    <mergeCell ref="L20:N20"/>
    <mergeCell ref="O20:Q20"/>
    <mergeCell ref="BG23:BI23"/>
    <mergeCell ref="BD23:BF23"/>
    <mergeCell ref="BD22:BF22"/>
    <mergeCell ref="AA19:AC19"/>
    <mergeCell ref="BG22:BI22"/>
    <mergeCell ref="AD22:AF22"/>
    <mergeCell ref="AG22:AI22"/>
    <mergeCell ref="F32:H32"/>
    <mergeCell ref="F29:H29"/>
    <mergeCell ref="I29:K29"/>
    <mergeCell ref="L29:N29"/>
    <mergeCell ref="BD32:BF32"/>
    <mergeCell ref="L19:N19"/>
    <mergeCell ref="O19:Q19"/>
    <mergeCell ref="O24:Q24"/>
    <mergeCell ref="R24:T24"/>
    <mergeCell ref="BD24:BF24"/>
    <mergeCell ref="AJ32:AL32"/>
    <mergeCell ref="AM19:AO19"/>
    <mergeCell ref="F22:H22"/>
    <mergeCell ref="I22:K22"/>
    <mergeCell ref="L22:N22"/>
    <mergeCell ref="O22:Q22"/>
    <mergeCell ref="R22:T22"/>
    <mergeCell ref="BA29:BC29"/>
    <mergeCell ref="U29:W29"/>
    <mergeCell ref="X29:Z29"/>
    <mergeCell ref="AA29:AC29"/>
    <mergeCell ref="AD29:AF29"/>
    <mergeCell ref="BA24:BC24"/>
    <mergeCell ref="U24:W24"/>
    <mergeCell ref="AJ30:AL30"/>
    <mergeCell ref="AM30:AO30"/>
    <mergeCell ref="U32:W32"/>
    <mergeCell ref="F23:H23"/>
    <mergeCell ref="I23:K23"/>
    <mergeCell ref="L23:N23"/>
    <mergeCell ref="O23:Q23"/>
    <mergeCell ref="R23:T23"/>
    <mergeCell ref="A21:B21"/>
    <mergeCell ref="A20:B20"/>
    <mergeCell ref="A19:B19"/>
    <mergeCell ref="A18:B18"/>
    <mergeCell ref="A17:B17"/>
    <mergeCell ref="A16:B16"/>
    <mergeCell ref="A15:B15"/>
    <mergeCell ref="BG12:BS12"/>
    <mergeCell ref="BG13:BI13"/>
    <mergeCell ref="BD13:BF13"/>
    <mergeCell ref="BA13:BC13"/>
    <mergeCell ref="AX13:AZ13"/>
    <mergeCell ref="BP13:BR13"/>
    <mergeCell ref="BM13:BO13"/>
    <mergeCell ref="BJ13:BL13"/>
    <mergeCell ref="X13:Z13"/>
    <mergeCell ref="U13:W13"/>
    <mergeCell ref="R13:T13"/>
    <mergeCell ref="O13:Q13"/>
    <mergeCell ref="BJ18:BL18"/>
    <mergeCell ref="BM18:BO18"/>
    <mergeCell ref="BP18:BR18"/>
    <mergeCell ref="AJ18:AL18"/>
    <mergeCell ref="AM18:AO18"/>
    <mergeCell ref="AP18:AR18"/>
    <mergeCell ref="F16:H16"/>
    <mergeCell ref="I16:K16"/>
    <mergeCell ref="L16:N16"/>
    <mergeCell ref="F19:H19"/>
    <mergeCell ref="I19:K19"/>
    <mergeCell ref="AG18:AI18"/>
    <mergeCell ref="BD18:BF18"/>
    <mergeCell ref="BT12:BT13"/>
    <mergeCell ref="O16:Q16"/>
    <mergeCell ref="A36:B36"/>
    <mergeCell ref="C21:D21"/>
    <mergeCell ref="C20:D20"/>
    <mergeCell ref="C19:D19"/>
    <mergeCell ref="C18:D18"/>
    <mergeCell ref="C17:D17"/>
    <mergeCell ref="C16:D16"/>
    <mergeCell ref="C15:D15"/>
    <mergeCell ref="F18:H18"/>
    <mergeCell ref="I18:K18"/>
    <mergeCell ref="L18:N18"/>
    <mergeCell ref="O18:Q18"/>
    <mergeCell ref="R18:T18"/>
    <mergeCell ref="O15:Q15"/>
    <mergeCell ref="R15:T15"/>
    <mergeCell ref="X15:Z15"/>
    <mergeCell ref="AA15:AC15"/>
    <mergeCell ref="U19:W19"/>
    <mergeCell ref="C36:D36"/>
    <mergeCell ref="U12:Z12"/>
    <mergeCell ref="L12:T12"/>
    <mergeCell ref="BG18:BI18"/>
    <mergeCell ref="AX12:BF12"/>
    <mergeCell ref="AX18:AZ18"/>
    <mergeCell ref="BA18:BC18"/>
    <mergeCell ref="U18:W18"/>
    <mergeCell ref="X18:Z18"/>
    <mergeCell ref="AA18:AC18"/>
    <mergeCell ref="AD18:AF18"/>
    <mergeCell ref="X17:Z17"/>
    <mergeCell ref="A54:B54"/>
    <mergeCell ref="C54:D54"/>
    <mergeCell ref="F54:H54"/>
    <mergeCell ref="I54:K54"/>
    <mergeCell ref="L54:N54"/>
    <mergeCell ref="O54:Q54"/>
    <mergeCell ref="R54:T54"/>
    <mergeCell ref="O50:Q50"/>
    <mergeCell ref="R50:T50"/>
    <mergeCell ref="AA50:AC50"/>
    <mergeCell ref="AD50:AF50"/>
    <mergeCell ref="AG50:AI50"/>
    <mergeCell ref="C53:D53"/>
    <mergeCell ref="F49:H49"/>
    <mergeCell ref="I49:K49"/>
    <mergeCell ref="L49:N49"/>
    <mergeCell ref="R46:T46"/>
    <mergeCell ref="A48:B48"/>
    <mergeCell ref="A49:B49"/>
    <mergeCell ref="A50:B50"/>
    <mergeCell ref="A51:B51"/>
    <mergeCell ref="F47:H47"/>
    <mergeCell ref="L46:N46"/>
    <mergeCell ref="O46:Q46"/>
    <mergeCell ref="AA54:AC54"/>
    <mergeCell ref="AD54:AF54"/>
    <mergeCell ref="AG54:AI54"/>
    <mergeCell ref="U46:W46"/>
    <mergeCell ref="X46:Z46"/>
    <mergeCell ref="X47:Z47"/>
    <mergeCell ref="AA47:AC47"/>
    <mergeCell ref="AD47:AF47"/>
    <mergeCell ref="AP13:AR13"/>
    <mergeCell ref="AA13:AC13"/>
    <mergeCell ref="AD13:AF13"/>
    <mergeCell ref="AG13:AI13"/>
    <mergeCell ref="AJ13:AL13"/>
    <mergeCell ref="AM13:AO13"/>
    <mergeCell ref="AG29:AI29"/>
    <mergeCell ref="X30:Z30"/>
    <mergeCell ref="AA30:AC30"/>
    <mergeCell ref="AD30:AF30"/>
    <mergeCell ref="AG30:AI30"/>
    <mergeCell ref="R20:T20"/>
    <mergeCell ref="X34:Z34"/>
    <mergeCell ref="AA34:AC34"/>
    <mergeCell ref="AD34:AF34"/>
    <mergeCell ref="AG34:AI34"/>
    <mergeCell ref="X24:Z24"/>
    <mergeCell ref="AA24:AC24"/>
    <mergeCell ref="AD24:AF24"/>
    <mergeCell ref="AG24:AI24"/>
    <mergeCell ref="AM32:AO32"/>
    <mergeCell ref="AP32:AR32"/>
    <mergeCell ref="R29:T29"/>
    <mergeCell ref="X33:Z33"/>
    <mergeCell ref="AA33:AC33"/>
    <mergeCell ref="AD33:AF33"/>
    <mergeCell ref="AD32:AF32"/>
    <mergeCell ref="AG32:AI32"/>
    <mergeCell ref="X32:Z32"/>
    <mergeCell ref="AA32:AC32"/>
    <mergeCell ref="AG26:AI26"/>
    <mergeCell ref="AJ26:AL26"/>
    <mergeCell ref="I32:K32"/>
    <mergeCell ref="L32:N32"/>
    <mergeCell ref="O32:Q32"/>
    <mergeCell ref="R32:T32"/>
    <mergeCell ref="AA21:AC21"/>
    <mergeCell ref="AD21:AF21"/>
    <mergeCell ref="AG21:AI21"/>
    <mergeCell ref="X19:Z19"/>
    <mergeCell ref="AD70:AF70"/>
    <mergeCell ref="AG70:AI70"/>
    <mergeCell ref="AX80:AZ80"/>
    <mergeCell ref="R73:T73"/>
    <mergeCell ref="O78:Q78"/>
    <mergeCell ref="BA80:BC80"/>
    <mergeCell ref="BP70:BR70"/>
    <mergeCell ref="AJ70:AL70"/>
    <mergeCell ref="AM70:AO70"/>
    <mergeCell ref="AP70:AR70"/>
    <mergeCell ref="AX70:AZ70"/>
    <mergeCell ref="BA70:BC70"/>
    <mergeCell ref="BD74:BF74"/>
    <mergeCell ref="BD73:BF73"/>
    <mergeCell ref="BP73:BR73"/>
    <mergeCell ref="AJ73:AL73"/>
    <mergeCell ref="AM73:AO73"/>
    <mergeCell ref="AP73:AR73"/>
    <mergeCell ref="AX73:AZ73"/>
    <mergeCell ref="BM74:BO74"/>
    <mergeCell ref="BJ78:BL78"/>
    <mergeCell ref="BM78:BO78"/>
    <mergeCell ref="AG78:AI78"/>
    <mergeCell ref="AJ78:AL78"/>
    <mergeCell ref="AP45:AR45"/>
    <mergeCell ref="BD51:BF51"/>
    <mergeCell ref="BG51:BI51"/>
    <mergeCell ref="BD56:BF56"/>
    <mergeCell ref="BG56:BI56"/>
    <mergeCell ref="AD69:AF69"/>
    <mergeCell ref="AG69:AI69"/>
    <mergeCell ref="R69:T69"/>
    <mergeCell ref="BJ22:BL22"/>
    <mergeCell ref="BA32:BC32"/>
    <mergeCell ref="AX35:AZ35"/>
    <mergeCell ref="AM29:AO29"/>
    <mergeCell ref="AP29:AR29"/>
    <mergeCell ref="BG30:BI30"/>
    <mergeCell ref="BJ24:BL24"/>
    <mergeCell ref="BA30:BC30"/>
    <mergeCell ref="BD30:BF30"/>
    <mergeCell ref="BD69:BF69"/>
    <mergeCell ref="BJ23:BL23"/>
    <mergeCell ref="BD31:BF31"/>
    <mergeCell ref="BJ32:BL32"/>
    <mergeCell ref="BA35:BC35"/>
    <mergeCell ref="AX32:AZ32"/>
    <mergeCell ref="AX45:AZ45"/>
    <mergeCell ref="BA45:BC45"/>
    <mergeCell ref="BD45:BF45"/>
    <mergeCell ref="BD46:BF46"/>
    <mergeCell ref="BD48:BF48"/>
    <mergeCell ref="BG48:BI48"/>
    <mergeCell ref="BJ48:BL48"/>
    <mergeCell ref="BD29:BF29"/>
    <mergeCell ref="BJ45:BL45"/>
    <mergeCell ref="BM100:BO100"/>
    <mergeCell ref="AM64:AO64"/>
    <mergeCell ref="AP64:AR64"/>
    <mergeCell ref="AX64:AZ64"/>
    <mergeCell ref="BA64:BC64"/>
    <mergeCell ref="AX54:AZ54"/>
    <mergeCell ref="BA54:BC54"/>
    <mergeCell ref="BD54:BF54"/>
    <mergeCell ref="BG54:BI54"/>
    <mergeCell ref="BJ100:BL100"/>
    <mergeCell ref="BM56:BO56"/>
    <mergeCell ref="BM57:BO57"/>
    <mergeCell ref="BM61:BO61"/>
    <mergeCell ref="BM69:BO69"/>
    <mergeCell ref="AX98:AZ98"/>
    <mergeCell ref="BA98:BC98"/>
    <mergeCell ref="BG86:BI86"/>
    <mergeCell ref="BD99:BF99"/>
    <mergeCell ref="BG99:BI99"/>
    <mergeCell ref="BM99:BO99"/>
    <mergeCell ref="BJ97:BL97"/>
    <mergeCell ref="AX74:AZ74"/>
    <mergeCell ref="AM66:AO66"/>
    <mergeCell ref="AP66:AR66"/>
    <mergeCell ref="AM69:AO69"/>
    <mergeCell ref="BD80:BF80"/>
    <mergeCell ref="BG80:BI80"/>
    <mergeCell ref="BG70:BI70"/>
    <mergeCell ref="BG78:BI78"/>
    <mergeCell ref="AP82:AR82"/>
    <mergeCell ref="AX82:AZ82"/>
    <mergeCell ref="BD70:BF70"/>
    <mergeCell ref="AD82:AF82"/>
    <mergeCell ref="AG82:AI82"/>
    <mergeCell ref="I82:K82"/>
    <mergeCell ref="L82:N82"/>
    <mergeCell ref="O82:Q82"/>
    <mergeCell ref="AP81:AR81"/>
    <mergeCell ref="BJ56:BL56"/>
    <mergeCell ref="BJ57:BL57"/>
    <mergeCell ref="R68:T68"/>
    <mergeCell ref="AD64:AF64"/>
    <mergeCell ref="AG64:AI64"/>
    <mergeCell ref="I70:K70"/>
    <mergeCell ref="L70:N70"/>
    <mergeCell ref="O70:Q70"/>
    <mergeCell ref="R70:T70"/>
    <mergeCell ref="AP69:AR69"/>
    <mergeCell ref="AP78:AR78"/>
    <mergeCell ref="O66:Q66"/>
    <mergeCell ref="R66:T66"/>
    <mergeCell ref="U66:W66"/>
    <mergeCell ref="X66:Z66"/>
    <mergeCell ref="AA66:AC66"/>
    <mergeCell ref="AD66:AF66"/>
    <mergeCell ref="AG66:AI66"/>
    <mergeCell ref="AJ66:AL66"/>
    <mergeCell ref="AJ69:AL69"/>
    <mergeCell ref="AX78:AZ78"/>
    <mergeCell ref="BA78:BC78"/>
    <mergeCell ref="BD78:BF78"/>
    <mergeCell ref="BD75:BF75"/>
    <mergeCell ref="AJ59:AL59"/>
    <mergeCell ref="AM59:AO59"/>
    <mergeCell ref="F74:H74"/>
    <mergeCell ref="AM74:AO74"/>
    <mergeCell ref="U74:W74"/>
    <mergeCell ref="X74:Z74"/>
    <mergeCell ref="AA74:AC74"/>
    <mergeCell ref="F71:H71"/>
    <mergeCell ref="I71:K71"/>
    <mergeCell ref="L71:N71"/>
    <mergeCell ref="R74:T74"/>
    <mergeCell ref="U71:W71"/>
    <mergeCell ref="R78:T78"/>
    <mergeCell ref="U78:W78"/>
    <mergeCell ref="X78:Z78"/>
    <mergeCell ref="U70:W70"/>
    <mergeCell ref="X70:Z70"/>
    <mergeCell ref="AA70:AC70"/>
    <mergeCell ref="F75:H75"/>
    <mergeCell ref="O74:Q74"/>
    <mergeCell ref="O73:Q73"/>
    <mergeCell ref="I72:K72"/>
    <mergeCell ref="L72:N72"/>
    <mergeCell ref="AD74:AF74"/>
    <mergeCell ref="I73:K73"/>
    <mergeCell ref="AM78:AO78"/>
    <mergeCell ref="I74:K74"/>
    <mergeCell ref="BG73:BI73"/>
    <mergeCell ref="U80:W80"/>
    <mergeCell ref="O71:Q71"/>
    <mergeCell ref="R71:T71"/>
    <mergeCell ref="X71:Z71"/>
    <mergeCell ref="AA71:AC71"/>
    <mergeCell ref="AG72:AI72"/>
    <mergeCell ref="AJ74:AL74"/>
    <mergeCell ref="R76:T76"/>
    <mergeCell ref="BG75:BI75"/>
    <mergeCell ref="O81:Q81"/>
    <mergeCell ref="R81:T81"/>
    <mergeCell ref="X80:Z80"/>
    <mergeCell ref="AA80:AC80"/>
    <mergeCell ref="AD80:AF80"/>
    <mergeCell ref="AG80:AI80"/>
    <mergeCell ref="AP74:AR74"/>
    <mergeCell ref="AP75:AR75"/>
    <mergeCell ref="A110:B110"/>
    <mergeCell ref="C110:D110"/>
    <mergeCell ref="F110:H110"/>
    <mergeCell ref="I110:K110"/>
    <mergeCell ref="L110:N110"/>
    <mergeCell ref="O110:Q110"/>
    <mergeCell ref="R110:T110"/>
    <mergeCell ref="U110:W110"/>
    <mergeCell ref="X110:Z110"/>
    <mergeCell ref="AA110:AC110"/>
    <mergeCell ref="AD110:AF110"/>
    <mergeCell ref="AG110:AI110"/>
    <mergeCell ref="AJ110:AL110"/>
    <mergeCell ref="AM110:AO110"/>
    <mergeCell ref="AP110:AR110"/>
    <mergeCell ref="AX110:AZ110"/>
    <mergeCell ref="BA110:BC110"/>
    <mergeCell ref="AP80:AR80"/>
    <mergeCell ref="AA78:AC78"/>
    <mergeCell ref="AD78:AF78"/>
    <mergeCell ref="BP80:BR80"/>
    <mergeCell ref="BP104:BR104"/>
    <mergeCell ref="A89:B89"/>
    <mergeCell ref="C89:D89"/>
    <mergeCell ref="F89:H89"/>
    <mergeCell ref="I89:K89"/>
    <mergeCell ref="L89:N89"/>
    <mergeCell ref="O89:Q89"/>
    <mergeCell ref="R89:T89"/>
    <mergeCell ref="A100:B100"/>
    <mergeCell ref="F77:H77"/>
    <mergeCell ref="U98:W98"/>
    <mergeCell ref="AM98:AO98"/>
    <mergeCell ref="I95:K95"/>
    <mergeCell ref="L95:N95"/>
    <mergeCell ref="O95:Q95"/>
    <mergeCell ref="R95:T95"/>
    <mergeCell ref="O94:Q94"/>
    <mergeCell ref="R94:T94"/>
    <mergeCell ref="O98:Q98"/>
    <mergeCell ref="I85:K85"/>
    <mergeCell ref="U84:W84"/>
    <mergeCell ref="U81:W81"/>
    <mergeCell ref="X81:Z81"/>
    <mergeCell ref="AA81:AC81"/>
    <mergeCell ref="BM97:BO97"/>
    <mergeCell ref="X97:Z97"/>
    <mergeCell ref="X82:Z82"/>
    <mergeCell ref="AA82:AC82"/>
    <mergeCell ref="L83:N83"/>
    <mergeCell ref="O83:Q83"/>
    <mergeCell ref="I92:K92"/>
    <mergeCell ref="R85:T85"/>
    <mergeCell ref="O88:Q88"/>
    <mergeCell ref="F80:H80"/>
    <mergeCell ref="I80:K80"/>
    <mergeCell ref="I86:K86"/>
    <mergeCell ref="A104:B104"/>
    <mergeCell ref="C104:D104"/>
    <mergeCell ref="F104:H104"/>
    <mergeCell ref="I104:K104"/>
    <mergeCell ref="L104:N104"/>
    <mergeCell ref="A1:AS3"/>
    <mergeCell ref="F103:H103"/>
    <mergeCell ref="I103:K103"/>
    <mergeCell ref="L103:N103"/>
    <mergeCell ref="R103:T103"/>
    <mergeCell ref="C102:D102"/>
    <mergeCell ref="A64:B64"/>
    <mergeCell ref="C64:D64"/>
    <mergeCell ref="F64:H64"/>
    <mergeCell ref="I64:K64"/>
    <mergeCell ref="L64:N64"/>
    <mergeCell ref="O64:Q64"/>
    <mergeCell ref="R64:T64"/>
    <mergeCell ref="U64:W64"/>
    <mergeCell ref="X64:Z64"/>
    <mergeCell ref="AA64:AC64"/>
    <mergeCell ref="AG40:AI40"/>
    <mergeCell ref="AJ40:AL40"/>
    <mergeCell ref="AM40:AO40"/>
    <mergeCell ref="AX1:BH4"/>
    <mergeCell ref="BK1:BT4"/>
    <mergeCell ref="A63:B63"/>
    <mergeCell ref="C63:D63"/>
    <mergeCell ref="F63:H63"/>
    <mergeCell ref="I63:K63"/>
    <mergeCell ref="L63:N63"/>
    <mergeCell ref="O63:Q63"/>
    <mergeCell ref="R63:T63"/>
    <mergeCell ref="U63:W63"/>
    <mergeCell ref="X63:Z63"/>
    <mergeCell ref="AA63:AC63"/>
    <mergeCell ref="AD63:AF63"/>
    <mergeCell ref="AG63:AI63"/>
    <mergeCell ref="AJ63:AL63"/>
    <mergeCell ref="AM63:AO63"/>
    <mergeCell ref="AP63:AR63"/>
    <mergeCell ref="AX63:AZ63"/>
    <mergeCell ref="BA63:BC63"/>
    <mergeCell ref="U54:W54"/>
    <mergeCell ref="X54:Z54"/>
    <mergeCell ref="A40:B40"/>
    <mergeCell ref="C40:D40"/>
    <mergeCell ref="F40:H40"/>
    <mergeCell ref="I40:K40"/>
    <mergeCell ref="L40:N40"/>
    <mergeCell ref="O40:Q40"/>
    <mergeCell ref="R40:T40"/>
    <mergeCell ref="U40:W40"/>
    <mergeCell ref="X40:Z40"/>
    <mergeCell ref="AA40:AC40"/>
    <mergeCell ref="AD40:AF40"/>
    <mergeCell ref="BG87:BI87"/>
    <mergeCell ref="BJ87:BL87"/>
    <mergeCell ref="BM87:BO87"/>
    <mergeCell ref="BP87:BR87"/>
    <mergeCell ref="BD40:BF40"/>
    <mergeCell ref="BG40:BI40"/>
    <mergeCell ref="BJ40:BL40"/>
    <mergeCell ref="BM40:BO40"/>
    <mergeCell ref="BP40:BR40"/>
    <mergeCell ref="U38:W38"/>
    <mergeCell ref="X38:Z38"/>
    <mergeCell ref="AA38:AC38"/>
    <mergeCell ref="AD38:AF38"/>
    <mergeCell ref="AG38:AI38"/>
    <mergeCell ref="AJ38:AL38"/>
    <mergeCell ref="AM38:AO38"/>
    <mergeCell ref="AP38:AR38"/>
    <mergeCell ref="AX38:AZ38"/>
    <mergeCell ref="BA38:BC38"/>
    <mergeCell ref="BD38:BF38"/>
    <mergeCell ref="BG38:BI38"/>
    <mergeCell ref="BJ38:BL38"/>
    <mergeCell ref="BM38:BO38"/>
    <mergeCell ref="BP38:BR38"/>
    <mergeCell ref="AP54:AR54"/>
    <mergeCell ref="BJ80:BL80"/>
    <mergeCell ref="U77:W77"/>
    <mergeCell ref="X77:Z77"/>
    <mergeCell ref="AA77:AC77"/>
    <mergeCell ref="AD77:AF77"/>
    <mergeCell ref="BM80:BO80"/>
    <mergeCell ref="AM80:AO80"/>
    <mergeCell ref="A87:B87"/>
    <mergeCell ref="C87:D87"/>
    <mergeCell ref="F87:H87"/>
    <mergeCell ref="I87:K87"/>
    <mergeCell ref="L87:N87"/>
    <mergeCell ref="O87:Q87"/>
    <mergeCell ref="R87:T87"/>
    <mergeCell ref="U87:W87"/>
    <mergeCell ref="X87:Z87"/>
    <mergeCell ref="AA87:AC87"/>
    <mergeCell ref="AD87:AF87"/>
    <mergeCell ref="AG87:AI87"/>
    <mergeCell ref="AJ87:AL87"/>
    <mergeCell ref="AM87:AO87"/>
    <mergeCell ref="AP87:AR87"/>
    <mergeCell ref="AX87:AZ87"/>
    <mergeCell ref="BA87:BC87"/>
  </mergeCells>
  <printOptions horizontalCentered="1"/>
  <pageMargins left="0.2" right="0.2" top="0.5" bottom="0.261811024" header="0" footer="0"/>
  <pageSetup paperSize="9" scale="65"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6" max="74" man="1"/>
  </rowBreaks>
  <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2"/>
  <sheetViews>
    <sheetView showGridLines="0" view="pageBreakPreview" topLeftCell="A87" zoomScale="80" zoomScaleNormal="100" zoomScaleSheetLayoutView="80" workbookViewId="0">
      <selection activeCell="F116" sqref="F116:H116"/>
    </sheetView>
  </sheetViews>
  <sheetFormatPr baseColWidth="10" defaultRowHeight="12.75" customHeight="1" x14ac:dyDescent="0.2"/>
  <cols>
    <col min="1" max="4" width="3.28515625" style="87" customWidth="1"/>
    <col min="5" max="5" width="4.42578125" style="87" customWidth="1"/>
    <col min="6" max="7" width="3.28515625" style="87" customWidth="1"/>
    <col min="8" max="8" width="2.28515625" style="87" customWidth="1"/>
    <col min="9" max="9" width="5.42578125" style="94" customWidth="1"/>
    <col min="10" max="10" width="3.28515625" style="87" customWidth="1"/>
    <col min="11" max="11" width="5.85546875" style="87" customWidth="1"/>
    <col min="12" max="13" width="3.28515625" style="87" customWidth="1"/>
    <col min="14" max="14" width="1.28515625" style="87" customWidth="1"/>
    <col min="15" max="25" width="3.28515625" style="87" customWidth="1"/>
    <col min="26" max="26" width="3.42578125" style="87" customWidth="1"/>
    <col min="27" max="32" width="3.28515625" style="87" customWidth="1"/>
    <col min="33" max="33" width="4.5703125" style="87" customWidth="1"/>
    <col min="34" max="34" width="3.28515625" style="87" customWidth="1"/>
    <col min="35" max="35" width="3" style="87" customWidth="1"/>
    <col min="36" max="40" width="3.28515625" style="87" customWidth="1"/>
    <col min="41" max="41" width="4" style="87" customWidth="1"/>
    <col min="42" max="43" width="3.28515625" style="87" customWidth="1"/>
    <col min="44" max="44" width="3.42578125" style="87" customWidth="1"/>
    <col min="45" max="45" width="8.140625" style="87" customWidth="1"/>
    <col min="46" max="46" width="8.28515625" style="87" customWidth="1"/>
    <col min="47" max="47" width="6.140625" style="87" customWidth="1"/>
    <col min="48" max="48" width="3.28515625" style="87" customWidth="1"/>
    <col min="49" max="49" width="5.140625" style="87" customWidth="1"/>
    <col min="50" max="50" width="4.42578125" style="87" customWidth="1"/>
    <col min="51" max="51" width="11.42578125" style="87"/>
    <col min="52" max="52" width="3.140625" style="87" customWidth="1"/>
    <col min="53" max="54" width="11.42578125" style="87"/>
    <col min="55" max="55" width="2.42578125" style="87" customWidth="1"/>
    <col min="56" max="63" width="11.42578125" style="87"/>
    <col min="64" max="64" width="2.42578125" style="87" customWidth="1"/>
    <col min="65" max="72" width="11.42578125" style="87"/>
    <col min="73" max="73" width="6.140625" style="87" customWidth="1"/>
    <col min="74" max="74" width="9.5703125" style="87" customWidth="1"/>
    <col min="75" max="81" width="11.42578125" style="87"/>
    <col min="82" max="82" width="5.28515625" style="87" customWidth="1"/>
    <col min="83" max="278" width="11.42578125" style="87"/>
    <col min="279" max="279" width="14.5703125" style="87" customWidth="1"/>
    <col min="280" max="280" width="12.7109375" style="87" customWidth="1"/>
    <col min="281" max="281" width="1.5703125" style="87" customWidth="1"/>
    <col min="282" max="282" width="18.28515625" style="87" customWidth="1"/>
    <col min="283" max="283" width="11" style="87" customWidth="1"/>
    <col min="284" max="284" width="13.28515625" style="87" bestFit="1" customWidth="1"/>
    <col min="285" max="285" width="18" style="87" customWidth="1"/>
    <col min="286" max="286" width="11.42578125" style="87"/>
    <col min="287" max="287" width="11.140625" style="87" customWidth="1"/>
    <col min="288" max="288" width="11.42578125" style="87"/>
    <col min="289" max="289" width="17.42578125" style="87" customWidth="1"/>
    <col min="290" max="534" width="11.42578125" style="87"/>
    <col min="535" max="535" width="14.5703125" style="87" customWidth="1"/>
    <col min="536" max="536" width="12.7109375" style="87" customWidth="1"/>
    <col min="537" max="537" width="1.5703125" style="87" customWidth="1"/>
    <col min="538" max="538" width="18.28515625" style="87" customWidth="1"/>
    <col min="539" max="539" width="11" style="87" customWidth="1"/>
    <col min="540" max="540" width="13.28515625" style="87" bestFit="1" customWidth="1"/>
    <col min="541" max="541" width="18" style="87" customWidth="1"/>
    <col min="542" max="542" width="11.42578125" style="87"/>
    <col min="543" max="543" width="11.140625" style="87" customWidth="1"/>
    <col min="544" max="544" width="11.42578125" style="87"/>
    <col min="545" max="545" width="17.42578125" style="87" customWidth="1"/>
    <col min="546" max="790" width="11.42578125" style="87"/>
    <col min="791" max="791" width="14.5703125" style="87" customWidth="1"/>
    <col min="792" max="792" width="12.7109375" style="87" customWidth="1"/>
    <col min="793" max="793" width="1.5703125" style="87" customWidth="1"/>
    <col min="794" max="794" width="18.28515625" style="87" customWidth="1"/>
    <col min="795" max="795" width="11" style="87" customWidth="1"/>
    <col min="796" max="796" width="13.28515625" style="87" bestFit="1" customWidth="1"/>
    <col min="797" max="797" width="18" style="87" customWidth="1"/>
    <col min="798" max="798" width="11.42578125" style="87"/>
    <col min="799" max="799" width="11.140625" style="87" customWidth="1"/>
    <col min="800" max="800" width="11.42578125" style="87"/>
    <col min="801" max="801" width="17.42578125" style="87" customWidth="1"/>
    <col min="802" max="1046" width="11.42578125" style="87"/>
    <col min="1047" max="1047" width="14.5703125" style="87" customWidth="1"/>
    <col min="1048" max="1048" width="12.7109375" style="87" customWidth="1"/>
    <col min="1049" max="1049" width="1.5703125" style="87" customWidth="1"/>
    <col min="1050" max="1050" width="18.28515625" style="87" customWidth="1"/>
    <col min="1051" max="1051" width="11" style="87" customWidth="1"/>
    <col min="1052" max="1052" width="13.28515625" style="87" bestFit="1" customWidth="1"/>
    <col min="1053" max="1053" width="18" style="87" customWidth="1"/>
    <col min="1054" max="1054" width="11.42578125" style="87"/>
    <col min="1055" max="1055" width="11.140625" style="87" customWidth="1"/>
    <col min="1056" max="1056" width="11.42578125" style="87"/>
    <col min="1057" max="1057" width="17.42578125" style="87" customWidth="1"/>
    <col min="1058" max="1302" width="11.42578125" style="87"/>
    <col min="1303" max="1303" width="14.5703125" style="87" customWidth="1"/>
    <col min="1304" max="1304" width="12.7109375" style="87" customWidth="1"/>
    <col min="1305" max="1305" width="1.5703125" style="87" customWidth="1"/>
    <col min="1306" max="1306" width="18.28515625" style="87" customWidth="1"/>
    <col min="1307" max="1307" width="11" style="87" customWidth="1"/>
    <col min="1308" max="1308" width="13.28515625" style="87" bestFit="1" customWidth="1"/>
    <col min="1309" max="1309" width="18" style="87" customWidth="1"/>
    <col min="1310" max="1310" width="11.42578125" style="87"/>
    <col min="1311" max="1311" width="11.140625" style="87" customWidth="1"/>
    <col min="1312" max="1312" width="11.42578125" style="87"/>
    <col min="1313" max="1313" width="17.42578125" style="87" customWidth="1"/>
    <col min="1314" max="1558" width="11.42578125" style="87"/>
    <col min="1559" max="1559" width="14.5703125" style="87" customWidth="1"/>
    <col min="1560" max="1560" width="12.7109375" style="87" customWidth="1"/>
    <col min="1561" max="1561" width="1.5703125" style="87" customWidth="1"/>
    <col min="1562" max="1562" width="18.28515625" style="87" customWidth="1"/>
    <col min="1563" max="1563" width="11" style="87" customWidth="1"/>
    <col min="1564" max="1564" width="13.28515625" style="87" bestFit="1" customWidth="1"/>
    <col min="1565" max="1565" width="18" style="87" customWidth="1"/>
    <col min="1566" max="1566" width="11.42578125" style="87"/>
    <col min="1567" max="1567" width="11.140625" style="87" customWidth="1"/>
    <col min="1568" max="1568" width="11.42578125" style="87"/>
    <col min="1569" max="1569" width="17.42578125" style="87" customWidth="1"/>
    <col min="1570" max="1814" width="11.42578125" style="87"/>
    <col min="1815" max="1815" width="14.5703125" style="87" customWidth="1"/>
    <col min="1816" max="1816" width="12.7109375" style="87" customWidth="1"/>
    <col min="1817" max="1817" width="1.5703125" style="87" customWidth="1"/>
    <col min="1818" max="1818" width="18.28515625" style="87" customWidth="1"/>
    <col min="1819" max="1819" width="11" style="87" customWidth="1"/>
    <col min="1820" max="1820" width="13.28515625" style="87" bestFit="1" customWidth="1"/>
    <col min="1821" max="1821" width="18" style="87" customWidth="1"/>
    <col min="1822" max="1822" width="11.42578125" style="87"/>
    <col min="1823" max="1823" width="11.140625" style="87" customWidth="1"/>
    <col min="1824" max="1824" width="11.42578125" style="87"/>
    <col min="1825" max="1825" width="17.42578125" style="87" customWidth="1"/>
    <col min="1826" max="2070" width="11.42578125" style="87"/>
    <col min="2071" max="2071" width="14.5703125" style="87" customWidth="1"/>
    <col min="2072" max="2072" width="12.7109375" style="87" customWidth="1"/>
    <col min="2073" max="2073" width="1.5703125" style="87" customWidth="1"/>
    <col min="2074" max="2074" width="18.28515625" style="87" customWidth="1"/>
    <col min="2075" max="2075" width="11" style="87" customWidth="1"/>
    <col min="2076" max="2076" width="13.28515625" style="87" bestFit="1" customWidth="1"/>
    <col min="2077" max="2077" width="18" style="87" customWidth="1"/>
    <col min="2078" max="2078" width="11.42578125" style="87"/>
    <col min="2079" max="2079" width="11.140625" style="87" customWidth="1"/>
    <col min="2080" max="2080" width="11.42578125" style="87"/>
    <col min="2081" max="2081" width="17.42578125" style="87" customWidth="1"/>
    <col min="2082" max="2326" width="11.42578125" style="87"/>
    <col min="2327" max="2327" width="14.5703125" style="87" customWidth="1"/>
    <col min="2328" max="2328" width="12.7109375" style="87" customWidth="1"/>
    <col min="2329" max="2329" width="1.5703125" style="87" customWidth="1"/>
    <col min="2330" max="2330" width="18.28515625" style="87" customWidth="1"/>
    <col min="2331" max="2331" width="11" style="87" customWidth="1"/>
    <col min="2332" max="2332" width="13.28515625" style="87" bestFit="1" customWidth="1"/>
    <col min="2333" max="2333" width="18" style="87" customWidth="1"/>
    <col min="2334" max="2334" width="11.42578125" style="87"/>
    <col min="2335" max="2335" width="11.140625" style="87" customWidth="1"/>
    <col min="2336" max="2336" width="11.42578125" style="87"/>
    <col min="2337" max="2337" width="17.42578125" style="87" customWidth="1"/>
    <col min="2338" max="2582" width="11.42578125" style="87"/>
    <col min="2583" max="2583" width="14.5703125" style="87" customWidth="1"/>
    <col min="2584" max="2584" width="12.7109375" style="87" customWidth="1"/>
    <col min="2585" max="2585" width="1.5703125" style="87" customWidth="1"/>
    <col min="2586" max="2586" width="18.28515625" style="87" customWidth="1"/>
    <col min="2587" max="2587" width="11" style="87" customWidth="1"/>
    <col min="2588" max="2588" width="13.28515625" style="87" bestFit="1" customWidth="1"/>
    <col min="2589" max="2589" width="18" style="87" customWidth="1"/>
    <col min="2590" max="2590" width="11.42578125" style="87"/>
    <col min="2591" max="2591" width="11.140625" style="87" customWidth="1"/>
    <col min="2592" max="2592" width="11.42578125" style="87"/>
    <col min="2593" max="2593" width="17.42578125" style="87" customWidth="1"/>
    <col min="2594" max="2838" width="11.42578125" style="87"/>
    <col min="2839" max="2839" width="14.5703125" style="87" customWidth="1"/>
    <col min="2840" max="2840" width="12.7109375" style="87" customWidth="1"/>
    <col min="2841" max="2841" width="1.5703125" style="87" customWidth="1"/>
    <col min="2842" max="2842" width="18.28515625" style="87" customWidth="1"/>
    <col min="2843" max="2843" width="11" style="87" customWidth="1"/>
    <col min="2844" max="2844" width="13.28515625" style="87" bestFit="1" customWidth="1"/>
    <col min="2845" max="2845" width="18" style="87" customWidth="1"/>
    <col min="2846" max="2846" width="11.42578125" style="87"/>
    <col min="2847" max="2847" width="11.140625" style="87" customWidth="1"/>
    <col min="2848" max="2848" width="11.42578125" style="87"/>
    <col min="2849" max="2849" width="17.42578125" style="87" customWidth="1"/>
    <col min="2850" max="3094" width="11.42578125" style="87"/>
    <col min="3095" max="3095" width="14.5703125" style="87" customWidth="1"/>
    <col min="3096" max="3096" width="12.7109375" style="87" customWidth="1"/>
    <col min="3097" max="3097" width="1.5703125" style="87" customWidth="1"/>
    <col min="3098" max="3098" width="18.28515625" style="87" customWidth="1"/>
    <col min="3099" max="3099" width="11" style="87" customWidth="1"/>
    <col min="3100" max="3100" width="13.28515625" style="87" bestFit="1" customWidth="1"/>
    <col min="3101" max="3101" width="18" style="87" customWidth="1"/>
    <col min="3102" max="3102" width="11.42578125" style="87"/>
    <col min="3103" max="3103" width="11.140625" style="87" customWidth="1"/>
    <col min="3104" max="3104" width="11.42578125" style="87"/>
    <col min="3105" max="3105" width="17.42578125" style="87" customWidth="1"/>
    <col min="3106" max="3350" width="11.42578125" style="87"/>
    <col min="3351" max="3351" width="14.5703125" style="87" customWidth="1"/>
    <col min="3352" max="3352" width="12.7109375" style="87" customWidth="1"/>
    <col min="3353" max="3353" width="1.5703125" style="87" customWidth="1"/>
    <col min="3354" max="3354" width="18.28515625" style="87" customWidth="1"/>
    <col min="3355" max="3355" width="11" style="87" customWidth="1"/>
    <col min="3356" max="3356" width="13.28515625" style="87" bestFit="1" customWidth="1"/>
    <col min="3357" max="3357" width="18" style="87" customWidth="1"/>
    <col min="3358" max="3358" width="11.42578125" style="87"/>
    <col min="3359" max="3359" width="11.140625" style="87" customWidth="1"/>
    <col min="3360" max="3360" width="11.42578125" style="87"/>
    <col min="3361" max="3361" width="17.42578125" style="87" customWidth="1"/>
    <col min="3362" max="3606" width="11.42578125" style="87"/>
    <col min="3607" max="3607" width="14.5703125" style="87" customWidth="1"/>
    <col min="3608" max="3608" width="12.7109375" style="87" customWidth="1"/>
    <col min="3609" max="3609" width="1.5703125" style="87" customWidth="1"/>
    <col min="3610" max="3610" width="18.28515625" style="87" customWidth="1"/>
    <col min="3611" max="3611" width="11" style="87" customWidth="1"/>
    <col min="3612" max="3612" width="13.28515625" style="87" bestFit="1" customWidth="1"/>
    <col min="3613" max="3613" width="18" style="87" customWidth="1"/>
    <col min="3614" max="3614" width="11.42578125" style="87"/>
    <col min="3615" max="3615" width="11.140625" style="87" customWidth="1"/>
    <col min="3616" max="3616" width="11.42578125" style="87"/>
    <col min="3617" max="3617" width="17.42578125" style="87" customWidth="1"/>
    <col min="3618" max="3862" width="11.42578125" style="87"/>
    <col min="3863" max="3863" width="14.5703125" style="87" customWidth="1"/>
    <col min="3864" max="3864" width="12.7109375" style="87" customWidth="1"/>
    <col min="3865" max="3865" width="1.5703125" style="87" customWidth="1"/>
    <col min="3866" max="3866" width="18.28515625" style="87" customWidth="1"/>
    <col min="3867" max="3867" width="11" style="87" customWidth="1"/>
    <col min="3868" max="3868" width="13.28515625" style="87" bestFit="1" customWidth="1"/>
    <col min="3869" max="3869" width="18" style="87" customWidth="1"/>
    <col min="3870" max="3870" width="11.42578125" style="87"/>
    <col min="3871" max="3871" width="11.140625" style="87" customWidth="1"/>
    <col min="3872" max="3872" width="11.42578125" style="87"/>
    <col min="3873" max="3873" width="17.42578125" style="87" customWidth="1"/>
    <col min="3874" max="4118" width="11.42578125" style="87"/>
    <col min="4119" max="4119" width="14.5703125" style="87" customWidth="1"/>
    <col min="4120" max="4120" width="12.7109375" style="87" customWidth="1"/>
    <col min="4121" max="4121" width="1.5703125" style="87" customWidth="1"/>
    <col min="4122" max="4122" width="18.28515625" style="87" customWidth="1"/>
    <col min="4123" max="4123" width="11" style="87" customWidth="1"/>
    <col min="4124" max="4124" width="13.28515625" style="87" bestFit="1" customWidth="1"/>
    <col min="4125" max="4125" width="18" style="87" customWidth="1"/>
    <col min="4126" max="4126" width="11.42578125" style="87"/>
    <col min="4127" max="4127" width="11.140625" style="87" customWidth="1"/>
    <col min="4128" max="4128" width="11.42578125" style="87"/>
    <col min="4129" max="4129" width="17.42578125" style="87" customWidth="1"/>
    <col min="4130" max="4374" width="11.42578125" style="87"/>
    <col min="4375" max="4375" width="14.5703125" style="87" customWidth="1"/>
    <col min="4376" max="4376" width="12.7109375" style="87" customWidth="1"/>
    <col min="4377" max="4377" width="1.5703125" style="87" customWidth="1"/>
    <col min="4378" max="4378" width="18.28515625" style="87" customWidth="1"/>
    <col min="4379" max="4379" width="11" style="87" customWidth="1"/>
    <col min="4380" max="4380" width="13.28515625" style="87" bestFit="1" customWidth="1"/>
    <col min="4381" max="4381" width="18" style="87" customWidth="1"/>
    <col min="4382" max="4382" width="11.42578125" style="87"/>
    <col min="4383" max="4383" width="11.140625" style="87" customWidth="1"/>
    <col min="4384" max="4384" width="11.42578125" style="87"/>
    <col min="4385" max="4385" width="17.42578125" style="87" customWidth="1"/>
    <col min="4386" max="4630" width="11.42578125" style="87"/>
    <col min="4631" max="4631" width="14.5703125" style="87" customWidth="1"/>
    <col min="4632" max="4632" width="12.7109375" style="87" customWidth="1"/>
    <col min="4633" max="4633" width="1.5703125" style="87" customWidth="1"/>
    <col min="4634" max="4634" width="18.28515625" style="87" customWidth="1"/>
    <col min="4635" max="4635" width="11" style="87" customWidth="1"/>
    <col min="4636" max="4636" width="13.28515625" style="87" bestFit="1" customWidth="1"/>
    <col min="4637" max="4637" width="18" style="87" customWidth="1"/>
    <col min="4638" max="4638" width="11.42578125" style="87"/>
    <col min="4639" max="4639" width="11.140625" style="87" customWidth="1"/>
    <col min="4640" max="4640" width="11.42578125" style="87"/>
    <col min="4641" max="4641" width="17.42578125" style="87" customWidth="1"/>
    <col min="4642" max="4886" width="11.42578125" style="87"/>
    <col min="4887" max="4887" width="14.5703125" style="87" customWidth="1"/>
    <col min="4888" max="4888" width="12.7109375" style="87" customWidth="1"/>
    <col min="4889" max="4889" width="1.5703125" style="87" customWidth="1"/>
    <col min="4890" max="4890" width="18.28515625" style="87" customWidth="1"/>
    <col min="4891" max="4891" width="11" style="87" customWidth="1"/>
    <col min="4892" max="4892" width="13.28515625" style="87" bestFit="1" customWidth="1"/>
    <col min="4893" max="4893" width="18" style="87" customWidth="1"/>
    <col min="4894" max="4894" width="11.42578125" style="87"/>
    <col min="4895" max="4895" width="11.140625" style="87" customWidth="1"/>
    <col min="4896" max="4896" width="11.42578125" style="87"/>
    <col min="4897" max="4897" width="17.42578125" style="87" customWidth="1"/>
    <col min="4898" max="5142" width="11.42578125" style="87"/>
    <col min="5143" max="5143" width="14.5703125" style="87" customWidth="1"/>
    <col min="5144" max="5144" width="12.7109375" style="87" customWidth="1"/>
    <col min="5145" max="5145" width="1.5703125" style="87" customWidth="1"/>
    <col min="5146" max="5146" width="18.28515625" style="87" customWidth="1"/>
    <col min="5147" max="5147" width="11" style="87" customWidth="1"/>
    <col min="5148" max="5148" width="13.28515625" style="87" bestFit="1" customWidth="1"/>
    <col min="5149" max="5149" width="18" style="87" customWidth="1"/>
    <col min="5150" max="5150" width="11.42578125" style="87"/>
    <col min="5151" max="5151" width="11.140625" style="87" customWidth="1"/>
    <col min="5152" max="5152" width="11.42578125" style="87"/>
    <col min="5153" max="5153" width="17.42578125" style="87" customWidth="1"/>
    <col min="5154" max="5398" width="11.42578125" style="87"/>
    <col min="5399" max="5399" width="14.5703125" style="87" customWidth="1"/>
    <col min="5400" max="5400" width="12.7109375" style="87" customWidth="1"/>
    <col min="5401" max="5401" width="1.5703125" style="87" customWidth="1"/>
    <col min="5402" max="5402" width="18.28515625" style="87" customWidth="1"/>
    <col min="5403" max="5403" width="11" style="87" customWidth="1"/>
    <col min="5404" max="5404" width="13.28515625" style="87" bestFit="1" customWidth="1"/>
    <col min="5405" max="5405" width="18" style="87" customWidth="1"/>
    <col min="5406" max="5406" width="11.42578125" style="87"/>
    <col min="5407" max="5407" width="11.140625" style="87" customWidth="1"/>
    <col min="5408" max="5408" width="11.42578125" style="87"/>
    <col min="5409" max="5409" width="17.42578125" style="87" customWidth="1"/>
    <col min="5410" max="5654" width="11.42578125" style="87"/>
    <col min="5655" max="5655" width="14.5703125" style="87" customWidth="1"/>
    <col min="5656" max="5656" width="12.7109375" style="87" customWidth="1"/>
    <col min="5657" max="5657" width="1.5703125" style="87" customWidth="1"/>
    <col min="5658" max="5658" width="18.28515625" style="87" customWidth="1"/>
    <col min="5659" max="5659" width="11" style="87" customWidth="1"/>
    <col min="5660" max="5660" width="13.28515625" style="87" bestFit="1" customWidth="1"/>
    <col min="5661" max="5661" width="18" style="87" customWidth="1"/>
    <col min="5662" max="5662" width="11.42578125" style="87"/>
    <col min="5663" max="5663" width="11.140625" style="87" customWidth="1"/>
    <col min="5664" max="5664" width="11.42578125" style="87"/>
    <col min="5665" max="5665" width="17.42578125" style="87" customWidth="1"/>
    <col min="5666" max="5910" width="11.42578125" style="87"/>
    <col min="5911" max="5911" width="14.5703125" style="87" customWidth="1"/>
    <col min="5912" max="5912" width="12.7109375" style="87" customWidth="1"/>
    <col min="5913" max="5913" width="1.5703125" style="87" customWidth="1"/>
    <col min="5914" max="5914" width="18.28515625" style="87" customWidth="1"/>
    <col min="5915" max="5915" width="11" style="87" customWidth="1"/>
    <col min="5916" max="5916" width="13.28515625" style="87" bestFit="1" customWidth="1"/>
    <col min="5917" max="5917" width="18" style="87" customWidth="1"/>
    <col min="5918" max="5918" width="11.42578125" style="87"/>
    <col min="5919" max="5919" width="11.140625" style="87" customWidth="1"/>
    <col min="5920" max="5920" width="11.42578125" style="87"/>
    <col min="5921" max="5921" width="17.42578125" style="87" customWidth="1"/>
    <col min="5922" max="6166" width="11.42578125" style="87"/>
    <col min="6167" max="6167" width="14.5703125" style="87" customWidth="1"/>
    <col min="6168" max="6168" width="12.7109375" style="87" customWidth="1"/>
    <col min="6169" max="6169" width="1.5703125" style="87" customWidth="1"/>
    <col min="6170" max="6170" width="18.28515625" style="87" customWidth="1"/>
    <col min="6171" max="6171" width="11" style="87" customWidth="1"/>
    <col min="6172" max="6172" width="13.28515625" style="87" bestFit="1" customWidth="1"/>
    <col min="6173" max="6173" width="18" style="87" customWidth="1"/>
    <col min="6174" max="6174" width="11.42578125" style="87"/>
    <col min="6175" max="6175" width="11.140625" style="87" customWidth="1"/>
    <col min="6176" max="6176" width="11.42578125" style="87"/>
    <col min="6177" max="6177" width="17.42578125" style="87" customWidth="1"/>
    <col min="6178" max="6422" width="11.42578125" style="87"/>
    <col min="6423" max="6423" width="14.5703125" style="87" customWidth="1"/>
    <col min="6424" max="6424" width="12.7109375" style="87" customWidth="1"/>
    <col min="6425" max="6425" width="1.5703125" style="87" customWidth="1"/>
    <col min="6426" max="6426" width="18.28515625" style="87" customWidth="1"/>
    <col min="6427" max="6427" width="11" style="87" customWidth="1"/>
    <col min="6428" max="6428" width="13.28515625" style="87" bestFit="1" customWidth="1"/>
    <col min="6429" max="6429" width="18" style="87" customWidth="1"/>
    <col min="6430" max="6430" width="11.42578125" style="87"/>
    <col min="6431" max="6431" width="11.140625" style="87" customWidth="1"/>
    <col min="6432" max="6432" width="11.42578125" style="87"/>
    <col min="6433" max="6433" width="17.42578125" style="87" customWidth="1"/>
    <col min="6434" max="6678" width="11.42578125" style="87"/>
    <col min="6679" max="6679" width="14.5703125" style="87" customWidth="1"/>
    <col min="6680" max="6680" width="12.7109375" style="87" customWidth="1"/>
    <col min="6681" max="6681" width="1.5703125" style="87" customWidth="1"/>
    <col min="6682" max="6682" width="18.28515625" style="87" customWidth="1"/>
    <col min="6683" max="6683" width="11" style="87" customWidth="1"/>
    <col min="6684" max="6684" width="13.28515625" style="87" bestFit="1" customWidth="1"/>
    <col min="6685" max="6685" width="18" style="87" customWidth="1"/>
    <col min="6686" max="6686" width="11.42578125" style="87"/>
    <col min="6687" max="6687" width="11.140625" style="87" customWidth="1"/>
    <col min="6688" max="6688" width="11.42578125" style="87"/>
    <col min="6689" max="6689" width="17.42578125" style="87" customWidth="1"/>
    <col min="6690" max="6934" width="11.42578125" style="87"/>
    <col min="6935" max="6935" width="14.5703125" style="87" customWidth="1"/>
    <col min="6936" max="6936" width="12.7109375" style="87" customWidth="1"/>
    <col min="6937" max="6937" width="1.5703125" style="87" customWidth="1"/>
    <col min="6938" max="6938" width="18.28515625" style="87" customWidth="1"/>
    <col min="6939" max="6939" width="11" style="87" customWidth="1"/>
    <col min="6940" max="6940" width="13.28515625" style="87" bestFit="1" customWidth="1"/>
    <col min="6941" max="6941" width="18" style="87" customWidth="1"/>
    <col min="6942" max="6942" width="11.42578125" style="87"/>
    <col min="6943" max="6943" width="11.140625" style="87" customWidth="1"/>
    <col min="6944" max="6944" width="11.42578125" style="87"/>
    <col min="6945" max="6945" width="17.42578125" style="87" customWidth="1"/>
    <col min="6946" max="7190" width="11.42578125" style="87"/>
    <col min="7191" max="7191" width="14.5703125" style="87" customWidth="1"/>
    <col min="7192" max="7192" width="12.7109375" style="87" customWidth="1"/>
    <col min="7193" max="7193" width="1.5703125" style="87" customWidth="1"/>
    <col min="7194" max="7194" width="18.28515625" style="87" customWidth="1"/>
    <col min="7195" max="7195" width="11" style="87" customWidth="1"/>
    <col min="7196" max="7196" width="13.28515625" style="87" bestFit="1" customWidth="1"/>
    <col min="7197" max="7197" width="18" style="87" customWidth="1"/>
    <col min="7198" max="7198" width="11.42578125" style="87"/>
    <col min="7199" max="7199" width="11.140625" style="87" customWidth="1"/>
    <col min="7200" max="7200" width="11.42578125" style="87"/>
    <col min="7201" max="7201" width="17.42578125" style="87" customWidth="1"/>
    <col min="7202" max="7446" width="11.42578125" style="87"/>
    <col min="7447" max="7447" width="14.5703125" style="87" customWidth="1"/>
    <col min="7448" max="7448" width="12.7109375" style="87" customWidth="1"/>
    <col min="7449" max="7449" width="1.5703125" style="87" customWidth="1"/>
    <col min="7450" max="7450" width="18.28515625" style="87" customWidth="1"/>
    <col min="7451" max="7451" width="11" style="87" customWidth="1"/>
    <col min="7452" max="7452" width="13.28515625" style="87" bestFit="1" customWidth="1"/>
    <col min="7453" max="7453" width="18" style="87" customWidth="1"/>
    <col min="7454" max="7454" width="11.42578125" style="87"/>
    <col min="7455" max="7455" width="11.140625" style="87" customWidth="1"/>
    <col min="7456" max="7456" width="11.42578125" style="87"/>
    <col min="7457" max="7457" width="17.42578125" style="87" customWidth="1"/>
    <col min="7458" max="7702" width="11.42578125" style="87"/>
    <col min="7703" max="7703" width="14.5703125" style="87" customWidth="1"/>
    <col min="7704" max="7704" width="12.7109375" style="87" customWidth="1"/>
    <col min="7705" max="7705" width="1.5703125" style="87" customWidth="1"/>
    <col min="7706" max="7706" width="18.28515625" style="87" customWidth="1"/>
    <col min="7707" max="7707" width="11" style="87" customWidth="1"/>
    <col min="7708" max="7708" width="13.28515625" style="87" bestFit="1" customWidth="1"/>
    <col min="7709" max="7709" width="18" style="87" customWidth="1"/>
    <col min="7710" max="7710" width="11.42578125" style="87"/>
    <col min="7711" max="7711" width="11.140625" style="87" customWidth="1"/>
    <col min="7712" max="7712" width="11.42578125" style="87"/>
    <col min="7713" max="7713" width="17.42578125" style="87" customWidth="1"/>
    <col min="7714" max="7958" width="11.42578125" style="87"/>
    <col min="7959" max="7959" width="14.5703125" style="87" customWidth="1"/>
    <col min="7960" max="7960" width="12.7109375" style="87" customWidth="1"/>
    <col min="7961" max="7961" width="1.5703125" style="87" customWidth="1"/>
    <col min="7962" max="7962" width="18.28515625" style="87" customWidth="1"/>
    <col min="7963" max="7963" width="11" style="87" customWidth="1"/>
    <col min="7964" max="7964" width="13.28515625" style="87" bestFit="1" customWidth="1"/>
    <col min="7965" max="7965" width="18" style="87" customWidth="1"/>
    <col min="7966" max="7966" width="11.42578125" style="87"/>
    <col min="7967" max="7967" width="11.140625" style="87" customWidth="1"/>
    <col min="7968" max="7968" width="11.42578125" style="87"/>
    <col min="7969" max="7969" width="17.42578125" style="87" customWidth="1"/>
    <col min="7970" max="8214" width="11.42578125" style="87"/>
    <col min="8215" max="8215" width="14.5703125" style="87" customWidth="1"/>
    <col min="8216" max="8216" width="12.7109375" style="87" customWidth="1"/>
    <col min="8217" max="8217" width="1.5703125" style="87" customWidth="1"/>
    <col min="8218" max="8218" width="18.28515625" style="87" customWidth="1"/>
    <col min="8219" max="8219" width="11" style="87" customWidth="1"/>
    <col min="8220" max="8220" width="13.28515625" style="87" bestFit="1" customWidth="1"/>
    <col min="8221" max="8221" width="18" style="87" customWidth="1"/>
    <col min="8222" max="8222" width="11.42578125" style="87"/>
    <col min="8223" max="8223" width="11.140625" style="87" customWidth="1"/>
    <col min="8224" max="8224" width="11.42578125" style="87"/>
    <col min="8225" max="8225" width="17.42578125" style="87" customWidth="1"/>
    <col min="8226" max="8470" width="11.42578125" style="87"/>
    <col min="8471" max="8471" width="14.5703125" style="87" customWidth="1"/>
    <col min="8472" max="8472" width="12.7109375" style="87" customWidth="1"/>
    <col min="8473" max="8473" width="1.5703125" style="87" customWidth="1"/>
    <col min="8474" max="8474" width="18.28515625" style="87" customWidth="1"/>
    <col min="8475" max="8475" width="11" style="87" customWidth="1"/>
    <col min="8476" max="8476" width="13.28515625" style="87" bestFit="1" customWidth="1"/>
    <col min="8477" max="8477" width="18" style="87" customWidth="1"/>
    <col min="8478" max="8478" width="11.42578125" style="87"/>
    <col min="8479" max="8479" width="11.140625" style="87" customWidth="1"/>
    <col min="8480" max="8480" width="11.42578125" style="87"/>
    <col min="8481" max="8481" width="17.42578125" style="87" customWidth="1"/>
    <col min="8482" max="8726" width="11.42578125" style="87"/>
    <col min="8727" max="8727" width="14.5703125" style="87" customWidth="1"/>
    <col min="8728" max="8728" width="12.7109375" style="87" customWidth="1"/>
    <col min="8729" max="8729" width="1.5703125" style="87" customWidth="1"/>
    <col min="8730" max="8730" width="18.28515625" style="87" customWidth="1"/>
    <col min="8731" max="8731" width="11" style="87" customWidth="1"/>
    <col min="8732" max="8732" width="13.28515625" style="87" bestFit="1" customWidth="1"/>
    <col min="8733" max="8733" width="18" style="87" customWidth="1"/>
    <col min="8734" max="8734" width="11.42578125" style="87"/>
    <col min="8735" max="8735" width="11.140625" style="87" customWidth="1"/>
    <col min="8736" max="8736" width="11.42578125" style="87"/>
    <col min="8737" max="8737" width="17.42578125" style="87" customWidth="1"/>
    <col min="8738" max="8982" width="11.42578125" style="87"/>
    <col min="8983" max="8983" width="14.5703125" style="87" customWidth="1"/>
    <col min="8984" max="8984" width="12.7109375" style="87" customWidth="1"/>
    <col min="8985" max="8985" width="1.5703125" style="87" customWidth="1"/>
    <col min="8986" max="8986" width="18.28515625" style="87" customWidth="1"/>
    <col min="8987" max="8987" width="11" style="87" customWidth="1"/>
    <col min="8988" max="8988" width="13.28515625" style="87" bestFit="1" customWidth="1"/>
    <col min="8989" max="8989" width="18" style="87" customWidth="1"/>
    <col min="8990" max="8990" width="11.42578125" style="87"/>
    <col min="8991" max="8991" width="11.140625" style="87" customWidth="1"/>
    <col min="8992" max="8992" width="11.42578125" style="87"/>
    <col min="8993" max="8993" width="17.42578125" style="87" customWidth="1"/>
    <col min="8994" max="9238" width="11.42578125" style="87"/>
    <col min="9239" max="9239" width="14.5703125" style="87" customWidth="1"/>
    <col min="9240" max="9240" width="12.7109375" style="87" customWidth="1"/>
    <col min="9241" max="9241" width="1.5703125" style="87" customWidth="1"/>
    <col min="9242" max="9242" width="18.28515625" style="87" customWidth="1"/>
    <col min="9243" max="9243" width="11" style="87" customWidth="1"/>
    <col min="9244" max="9244" width="13.28515625" style="87" bestFit="1" customWidth="1"/>
    <col min="9245" max="9245" width="18" style="87" customWidth="1"/>
    <col min="9246" max="9246" width="11.42578125" style="87"/>
    <col min="9247" max="9247" width="11.140625" style="87" customWidth="1"/>
    <col min="9248" max="9248" width="11.42578125" style="87"/>
    <col min="9249" max="9249" width="17.42578125" style="87" customWidth="1"/>
    <col min="9250" max="9494" width="11.42578125" style="87"/>
    <col min="9495" max="9495" width="14.5703125" style="87" customWidth="1"/>
    <col min="9496" max="9496" width="12.7109375" style="87" customWidth="1"/>
    <col min="9497" max="9497" width="1.5703125" style="87" customWidth="1"/>
    <col min="9498" max="9498" width="18.28515625" style="87" customWidth="1"/>
    <col min="9499" max="9499" width="11" style="87" customWidth="1"/>
    <col min="9500" max="9500" width="13.28515625" style="87" bestFit="1" customWidth="1"/>
    <col min="9501" max="9501" width="18" style="87" customWidth="1"/>
    <col min="9502" max="9502" width="11.42578125" style="87"/>
    <col min="9503" max="9503" width="11.140625" style="87" customWidth="1"/>
    <col min="9504" max="9504" width="11.42578125" style="87"/>
    <col min="9505" max="9505" width="17.42578125" style="87" customWidth="1"/>
    <col min="9506" max="9750" width="11.42578125" style="87"/>
    <col min="9751" max="9751" width="14.5703125" style="87" customWidth="1"/>
    <col min="9752" max="9752" width="12.7109375" style="87" customWidth="1"/>
    <col min="9753" max="9753" width="1.5703125" style="87" customWidth="1"/>
    <col min="9754" max="9754" width="18.28515625" style="87" customWidth="1"/>
    <col min="9755" max="9755" width="11" style="87" customWidth="1"/>
    <col min="9756" max="9756" width="13.28515625" style="87" bestFit="1" customWidth="1"/>
    <col min="9757" max="9757" width="18" style="87" customWidth="1"/>
    <col min="9758" max="9758" width="11.42578125" style="87"/>
    <col min="9759" max="9759" width="11.140625" style="87" customWidth="1"/>
    <col min="9760" max="9760" width="11.42578125" style="87"/>
    <col min="9761" max="9761" width="17.42578125" style="87" customWidth="1"/>
    <col min="9762" max="10006" width="11.42578125" style="87"/>
    <col min="10007" max="10007" width="14.5703125" style="87" customWidth="1"/>
    <col min="10008" max="10008" width="12.7109375" style="87" customWidth="1"/>
    <col min="10009" max="10009" width="1.5703125" style="87" customWidth="1"/>
    <col min="10010" max="10010" width="18.28515625" style="87" customWidth="1"/>
    <col min="10011" max="10011" width="11" style="87" customWidth="1"/>
    <col min="10012" max="10012" width="13.28515625" style="87" bestFit="1" customWidth="1"/>
    <col min="10013" max="10013" width="18" style="87" customWidth="1"/>
    <col min="10014" max="10014" width="11.42578125" style="87"/>
    <col min="10015" max="10015" width="11.140625" style="87" customWidth="1"/>
    <col min="10016" max="10016" width="11.42578125" style="87"/>
    <col min="10017" max="10017" width="17.42578125" style="87" customWidth="1"/>
    <col min="10018" max="10262" width="11.42578125" style="87"/>
    <col min="10263" max="10263" width="14.5703125" style="87" customWidth="1"/>
    <col min="10264" max="10264" width="12.7109375" style="87" customWidth="1"/>
    <col min="10265" max="10265" width="1.5703125" style="87" customWidth="1"/>
    <col min="10266" max="10266" width="18.28515625" style="87" customWidth="1"/>
    <col min="10267" max="10267" width="11" style="87" customWidth="1"/>
    <col min="10268" max="10268" width="13.28515625" style="87" bestFit="1" customWidth="1"/>
    <col min="10269" max="10269" width="18" style="87" customWidth="1"/>
    <col min="10270" max="10270" width="11.42578125" style="87"/>
    <col min="10271" max="10271" width="11.140625" style="87" customWidth="1"/>
    <col min="10272" max="10272" width="11.42578125" style="87"/>
    <col min="10273" max="10273" width="17.42578125" style="87" customWidth="1"/>
    <col min="10274" max="10518" width="11.42578125" style="87"/>
    <col min="10519" max="10519" width="14.5703125" style="87" customWidth="1"/>
    <col min="10520" max="10520" width="12.7109375" style="87" customWidth="1"/>
    <col min="10521" max="10521" width="1.5703125" style="87" customWidth="1"/>
    <col min="10522" max="10522" width="18.28515625" style="87" customWidth="1"/>
    <col min="10523" max="10523" width="11" style="87" customWidth="1"/>
    <col min="10524" max="10524" width="13.28515625" style="87" bestFit="1" customWidth="1"/>
    <col min="10525" max="10525" width="18" style="87" customWidth="1"/>
    <col min="10526" max="10526" width="11.42578125" style="87"/>
    <col min="10527" max="10527" width="11.140625" style="87" customWidth="1"/>
    <col min="10528" max="10528" width="11.42578125" style="87"/>
    <col min="10529" max="10529" width="17.42578125" style="87" customWidth="1"/>
    <col min="10530" max="10774" width="11.42578125" style="87"/>
    <col min="10775" max="10775" width="14.5703125" style="87" customWidth="1"/>
    <col min="10776" max="10776" width="12.7109375" style="87" customWidth="1"/>
    <col min="10777" max="10777" width="1.5703125" style="87" customWidth="1"/>
    <col min="10778" max="10778" width="18.28515625" style="87" customWidth="1"/>
    <col min="10779" max="10779" width="11" style="87" customWidth="1"/>
    <col min="10780" max="10780" width="13.28515625" style="87" bestFit="1" customWidth="1"/>
    <col min="10781" max="10781" width="18" style="87" customWidth="1"/>
    <col min="10782" max="10782" width="11.42578125" style="87"/>
    <col min="10783" max="10783" width="11.140625" style="87" customWidth="1"/>
    <col min="10784" max="10784" width="11.42578125" style="87"/>
    <col min="10785" max="10785" width="17.42578125" style="87" customWidth="1"/>
    <col min="10786" max="11030" width="11.42578125" style="87"/>
    <col min="11031" max="11031" width="14.5703125" style="87" customWidth="1"/>
    <col min="11032" max="11032" width="12.7109375" style="87" customWidth="1"/>
    <col min="11033" max="11033" width="1.5703125" style="87" customWidth="1"/>
    <col min="11034" max="11034" width="18.28515625" style="87" customWidth="1"/>
    <col min="11035" max="11035" width="11" style="87" customWidth="1"/>
    <col min="11036" max="11036" width="13.28515625" style="87" bestFit="1" customWidth="1"/>
    <col min="11037" max="11037" width="18" style="87" customWidth="1"/>
    <col min="11038" max="11038" width="11.42578125" style="87"/>
    <col min="11039" max="11039" width="11.140625" style="87" customWidth="1"/>
    <col min="11040" max="11040" width="11.42578125" style="87"/>
    <col min="11041" max="11041" width="17.42578125" style="87" customWidth="1"/>
    <col min="11042" max="11286" width="11.42578125" style="87"/>
    <col min="11287" max="11287" width="14.5703125" style="87" customWidth="1"/>
    <col min="11288" max="11288" width="12.7109375" style="87" customWidth="1"/>
    <col min="11289" max="11289" width="1.5703125" style="87" customWidth="1"/>
    <col min="11290" max="11290" width="18.28515625" style="87" customWidth="1"/>
    <col min="11291" max="11291" width="11" style="87" customWidth="1"/>
    <col min="11292" max="11292" width="13.28515625" style="87" bestFit="1" customWidth="1"/>
    <col min="11293" max="11293" width="18" style="87" customWidth="1"/>
    <col min="11294" max="11294" width="11.42578125" style="87"/>
    <col min="11295" max="11295" width="11.140625" style="87" customWidth="1"/>
    <col min="11296" max="11296" width="11.42578125" style="87"/>
    <col min="11297" max="11297" width="17.42578125" style="87" customWidth="1"/>
    <col min="11298" max="11542" width="11.42578125" style="87"/>
    <col min="11543" max="11543" width="14.5703125" style="87" customWidth="1"/>
    <col min="11544" max="11544" width="12.7109375" style="87" customWidth="1"/>
    <col min="11545" max="11545" width="1.5703125" style="87" customWidth="1"/>
    <col min="11546" max="11546" width="18.28515625" style="87" customWidth="1"/>
    <col min="11547" max="11547" width="11" style="87" customWidth="1"/>
    <col min="11548" max="11548" width="13.28515625" style="87" bestFit="1" customWidth="1"/>
    <col min="11549" max="11549" width="18" style="87" customWidth="1"/>
    <col min="11550" max="11550" width="11.42578125" style="87"/>
    <col min="11551" max="11551" width="11.140625" style="87" customWidth="1"/>
    <col min="11552" max="11552" width="11.42578125" style="87"/>
    <col min="11553" max="11553" width="17.42578125" style="87" customWidth="1"/>
    <col min="11554" max="11798" width="11.42578125" style="87"/>
    <col min="11799" max="11799" width="14.5703125" style="87" customWidth="1"/>
    <col min="11800" max="11800" width="12.7109375" style="87" customWidth="1"/>
    <col min="11801" max="11801" width="1.5703125" style="87" customWidth="1"/>
    <col min="11802" max="11802" width="18.28515625" style="87" customWidth="1"/>
    <col min="11803" max="11803" width="11" style="87" customWidth="1"/>
    <col min="11804" max="11804" width="13.28515625" style="87" bestFit="1" customWidth="1"/>
    <col min="11805" max="11805" width="18" style="87" customWidth="1"/>
    <col min="11806" max="11806" width="11.42578125" style="87"/>
    <col min="11807" max="11807" width="11.140625" style="87" customWidth="1"/>
    <col min="11808" max="11808" width="11.42578125" style="87"/>
    <col min="11809" max="11809" width="17.42578125" style="87" customWidth="1"/>
    <col min="11810" max="12054" width="11.42578125" style="87"/>
    <col min="12055" max="12055" width="14.5703125" style="87" customWidth="1"/>
    <col min="12056" max="12056" width="12.7109375" style="87" customWidth="1"/>
    <col min="12057" max="12057" width="1.5703125" style="87" customWidth="1"/>
    <col min="12058" max="12058" width="18.28515625" style="87" customWidth="1"/>
    <col min="12059" max="12059" width="11" style="87" customWidth="1"/>
    <col min="12060" max="12060" width="13.28515625" style="87" bestFit="1" customWidth="1"/>
    <col min="12061" max="12061" width="18" style="87" customWidth="1"/>
    <col min="12062" max="12062" width="11.42578125" style="87"/>
    <col min="12063" max="12063" width="11.140625" style="87" customWidth="1"/>
    <col min="12064" max="12064" width="11.42578125" style="87"/>
    <col min="12065" max="12065" width="17.42578125" style="87" customWidth="1"/>
    <col min="12066" max="12310" width="11.42578125" style="87"/>
    <col min="12311" max="12311" width="14.5703125" style="87" customWidth="1"/>
    <col min="12312" max="12312" width="12.7109375" style="87" customWidth="1"/>
    <col min="12313" max="12313" width="1.5703125" style="87" customWidth="1"/>
    <col min="12314" max="12314" width="18.28515625" style="87" customWidth="1"/>
    <col min="12315" max="12315" width="11" style="87" customWidth="1"/>
    <col min="12316" max="12316" width="13.28515625" style="87" bestFit="1" customWidth="1"/>
    <col min="12317" max="12317" width="18" style="87" customWidth="1"/>
    <col min="12318" max="12318" width="11.42578125" style="87"/>
    <col min="12319" max="12319" width="11.140625" style="87" customWidth="1"/>
    <col min="12320" max="12320" width="11.42578125" style="87"/>
    <col min="12321" max="12321" width="17.42578125" style="87" customWidth="1"/>
    <col min="12322" max="12566" width="11.42578125" style="87"/>
    <col min="12567" max="12567" width="14.5703125" style="87" customWidth="1"/>
    <col min="12568" max="12568" width="12.7109375" style="87" customWidth="1"/>
    <col min="12569" max="12569" width="1.5703125" style="87" customWidth="1"/>
    <col min="12570" max="12570" width="18.28515625" style="87" customWidth="1"/>
    <col min="12571" max="12571" width="11" style="87" customWidth="1"/>
    <col min="12572" max="12572" width="13.28515625" style="87" bestFit="1" customWidth="1"/>
    <col min="12573" max="12573" width="18" style="87" customWidth="1"/>
    <col min="12574" max="12574" width="11.42578125" style="87"/>
    <col min="12575" max="12575" width="11.140625" style="87" customWidth="1"/>
    <col min="12576" max="12576" width="11.42578125" style="87"/>
    <col min="12577" max="12577" width="17.42578125" style="87" customWidth="1"/>
    <col min="12578" max="12822" width="11.42578125" style="87"/>
    <col min="12823" max="12823" width="14.5703125" style="87" customWidth="1"/>
    <col min="12824" max="12824" width="12.7109375" style="87" customWidth="1"/>
    <col min="12825" max="12825" width="1.5703125" style="87" customWidth="1"/>
    <col min="12826" max="12826" width="18.28515625" style="87" customWidth="1"/>
    <col min="12827" max="12827" width="11" style="87" customWidth="1"/>
    <col min="12828" max="12828" width="13.28515625" style="87" bestFit="1" customWidth="1"/>
    <col min="12829" max="12829" width="18" style="87" customWidth="1"/>
    <col min="12830" max="12830" width="11.42578125" style="87"/>
    <col min="12831" max="12831" width="11.140625" style="87" customWidth="1"/>
    <col min="12832" max="12832" width="11.42578125" style="87"/>
    <col min="12833" max="12833" width="17.42578125" style="87" customWidth="1"/>
    <col min="12834" max="13078" width="11.42578125" style="87"/>
    <col min="13079" max="13079" width="14.5703125" style="87" customWidth="1"/>
    <col min="13080" max="13080" width="12.7109375" style="87" customWidth="1"/>
    <col min="13081" max="13081" width="1.5703125" style="87" customWidth="1"/>
    <col min="13082" max="13082" width="18.28515625" style="87" customWidth="1"/>
    <col min="13083" max="13083" width="11" style="87" customWidth="1"/>
    <col min="13084" max="13084" width="13.28515625" style="87" bestFit="1" customWidth="1"/>
    <col min="13085" max="13085" width="18" style="87" customWidth="1"/>
    <col min="13086" max="13086" width="11.42578125" style="87"/>
    <col min="13087" max="13087" width="11.140625" style="87" customWidth="1"/>
    <col min="13088" max="13088" width="11.42578125" style="87"/>
    <col min="13089" max="13089" width="17.42578125" style="87" customWidth="1"/>
    <col min="13090" max="13334" width="11.42578125" style="87"/>
    <col min="13335" max="13335" width="14.5703125" style="87" customWidth="1"/>
    <col min="13336" max="13336" width="12.7109375" style="87" customWidth="1"/>
    <col min="13337" max="13337" width="1.5703125" style="87" customWidth="1"/>
    <col min="13338" max="13338" width="18.28515625" style="87" customWidth="1"/>
    <col min="13339" max="13339" width="11" style="87" customWidth="1"/>
    <col min="13340" max="13340" width="13.28515625" style="87" bestFit="1" customWidth="1"/>
    <col min="13341" max="13341" width="18" style="87" customWidth="1"/>
    <col min="13342" max="13342" width="11.42578125" style="87"/>
    <col min="13343" max="13343" width="11.140625" style="87" customWidth="1"/>
    <col min="13344" max="13344" width="11.42578125" style="87"/>
    <col min="13345" max="13345" width="17.42578125" style="87" customWidth="1"/>
    <col min="13346" max="13590" width="11.42578125" style="87"/>
    <col min="13591" max="13591" width="14.5703125" style="87" customWidth="1"/>
    <col min="13592" max="13592" width="12.7109375" style="87" customWidth="1"/>
    <col min="13593" max="13593" width="1.5703125" style="87" customWidth="1"/>
    <col min="13594" max="13594" width="18.28515625" style="87" customWidth="1"/>
    <col min="13595" max="13595" width="11" style="87" customWidth="1"/>
    <col min="13596" max="13596" width="13.28515625" style="87" bestFit="1" customWidth="1"/>
    <col min="13597" max="13597" width="18" style="87" customWidth="1"/>
    <col min="13598" max="13598" width="11.42578125" style="87"/>
    <col min="13599" max="13599" width="11.140625" style="87" customWidth="1"/>
    <col min="13600" max="13600" width="11.42578125" style="87"/>
    <col min="13601" max="13601" width="17.42578125" style="87" customWidth="1"/>
    <col min="13602" max="13846" width="11.42578125" style="87"/>
    <col min="13847" max="13847" width="14.5703125" style="87" customWidth="1"/>
    <col min="13848" max="13848" width="12.7109375" style="87" customWidth="1"/>
    <col min="13849" max="13849" width="1.5703125" style="87" customWidth="1"/>
    <col min="13850" max="13850" width="18.28515625" style="87" customWidth="1"/>
    <col min="13851" max="13851" width="11" style="87" customWidth="1"/>
    <col min="13852" max="13852" width="13.28515625" style="87" bestFit="1" customWidth="1"/>
    <col min="13853" max="13853" width="18" style="87" customWidth="1"/>
    <col min="13854" max="13854" width="11.42578125" style="87"/>
    <col min="13855" max="13855" width="11.140625" style="87" customWidth="1"/>
    <col min="13856" max="13856" width="11.42578125" style="87"/>
    <col min="13857" max="13857" width="17.42578125" style="87" customWidth="1"/>
    <col min="13858" max="14102" width="11.42578125" style="87"/>
    <col min="14103" max="14103" width="14.5703125" style="87" customWidth="1"/>
    <col min="14104" max="14104" width="12.7109375" style="87" customWidth="1"/>
    <col min="14105" max="14105" width="1.5703125" style="87" customWidth="1"/>
    <col min="14106" max="14106" width="18.28515625" style="87" customWidth="1"/>
    <col min="14107" max="14107" width="11" style="87" customWidth="1"/>
    <col min="14108" max="14108" width="13.28515625" style="87" bestFit="1" customWidth="1"/>
    <col min="14109" max="14109" width="18" style="87" customWidth="1"/>
    <col min="14110" max="14110" width="11.42578125" style="87"/>
    <col min="14111" max="14111" width="11.140625" style="87" customWidth="1"/>
    <col min="14112" max="14112" width="11.42578125" style="87"/>
    <col min="14113" max="14113" width="17.42578125" style="87" customWidth="1"/>
    <col min="14114" max="14358" width="11.42578125" style="87"/>
    <col min="14359" max="14359" width="14.5703125" style="87" customWidth="1"/>
    <col min="14360" max="14360" width="12.7109375" style="87" customWidth="1"/>
    <col min="14361" max="14361" width="1.5703125" style="87" customWidth="1"/>
    <col min="14362" max="14362" width="18.28515625" style="87" customWidth="1"/>
    <col min="14363" max="14363" width="11" style="87" customWidth="1"/>
    <col min="14364" max="14364" width="13.28515625" style="87" bestFit="1" customWidth="1"/>
    <col min="14365" max="14365" width="18" style="87" customWidth="1"/>
    <col min="14366" max="14366" width="11.42578125" style="87"/>
    <col min="14367" max="14367" width="11.140625" style="87" customWidth="1"/>
    <col min="14368" max="14368" width="11.42578125" style="87"/>
    <col min="14369" max="14369" width="17.42578125" style="87" customWidth="1"/>
    <col min="14370" max="14614" width="11.42578125" style="87"/>
    <col min="14615" max="14615" width="14.5703125" style="87" customWidth="1"/>
    <col min="14616" max="14616" width="12.7109375" style="87" customWidth="1"/>
    <col min="14617" max="14617" width="1.5703125" style="87" customWidth="1"/>
    <col min="14618" max="14618" width="18.28515625" style="87" customWidth="1"/>
    <col min="14619" max="14619" width="11" style="87" customWidth="1"/>
    <col min="14620" max="14620" width="13.28515625" style="87" bestFit="1" customWidth="1"/>
    <col min="14621" max="14621" width="18" style="87" customWidth="1"/>
    <col min="14622" max="14622" width="11.42578125" style="87"/>
    <col min="14623" max="14623" width="11.140625" style="87" customWidth="1"/>
    <col min="14624" max="14624" width="11.42578125" style="87"/>
    <col min="14625" max="14625" width="17.42578125" style="87" customWidth="1"/>
    <col min="14626" max="14870" width="11.42578125" style="87"/>
    <col min="14871" max="14871" width="14.5703125" style="87" customWidth="1"/>
    <col min="14872" max="14872" width="12.7109375" style="87" customWidth="1"/>
    <col min="14873" max="14873" width="1.5703125" style="87" customWidth="1"/>
    <col min="14874" max="14874" width="18.28515625" style="87" customWidth="1"/>
    <col min="14875" max="14875" width="11" style="87" customWidth="1"/>
    <col min="14876" max="14876" width="13.28515625" style="87" bestFit="1" customWidth="1"/>
    <col min="14877" max="14877" width="18" style="87" customWidth="1"/>
    <col min="14878" max="14878" width="11.42578125" style="87"/>
    <col min="14879" max="14879" width="11.140625" style="87" customWidth="1"/>
    <col min="14880" max="14880" width="11.42578125" style="87"/>
    <col min="14881" max="14881" width="17.42578125" style="87" customWidth="1"/>
    <col min="14882" max="15126" width="11.42578125" style="87"/>
    <col min="15127" max="15127" width="14.5703125" style="87" customWidth="1"/>
    <col min="15128" max="15128" width="12.7109375" style="87" customWidth="1"/>
    <col min="15129" max="15129" width="1.5703125" style="87" customWidth="1"/>
    <col min="15130" max="15130" width="18.28515625" style="87" customWidth="1"/>
    <col min="15131" max="15131" width="11" style="87" customWidth="1"/>
    <col min="15132" max="15132" width="13.28515625" style="87" bestFit="1" customWidth="1"/>
    <col min="15133" max="15133" width="18" style="87" customWidth="1"/>
    <col min="15134" max="15134" width="11.42578125" style="87"/>
    <col min="15135" max="15135" width="11.140625" style="87" customWidth="1"/>
    <col min="15136" max="15136" width="11.42578125" style="87"/>
    <col min="15137" max="15137" width="17.42578125" style="87" customWidth="1"/>
    <col min="15138" max="15382" width="11.42578125" style="87"/>
    <col min="15383" max="15383" width="14.5703125" style="87" customWidth="1"/>
    <col min="15384" max="15384" width="12.7109375" style="87" customWidth="1"/>
    <col min="15385" max="15385" width="1.5703125" style="87" customWidth="1"/>
    <col min="15386" max="15386" width="18.28515625" style="87" customWidth="1"/>
    <col min="15387" max="15387" width="11" style="87" customWidth="1"/>
    <col min="15388" max="15388" width="13.28515625" style="87" bestFit="1" customWidth="1"/>
    <col min="15389" max="15389" width="18" style="87" customWidth="1"/>
    <col min="15390" max="15390" width="11.42578125" style="87"/>
    <col min="15391" max="15391" width="11.140625" style="87" customWidth="1"/>
    <col min="15392" max="15392" width="11.42578125" style="87"/>
    <col min="15393" max="15393" width="17.42578125" style="87" customWidth="1"/>
    <col min="15394" max="15638" width="11.42578125" style="87"/>
    <col min="15639" max="15639" width="14.5703125" style="87" customWidth="1"/>
    <col min="15640" max="15640" width="12.7109375" style="87" customWidth="1"/>
    <col min="15641" max="15641" width="1.5703125" style="87" customWidth="1"/>
    <col min="15642" max="15642" width="18.28515625" style="87" customWidth="1"/>
    <col min="15643" max="15643" width="11" style="87" customWidth="1"/>
    <col min="15644" max="15644" width="13.28515625" style="87" bestFit="1" customWidth="1"/>
    <col min="15645" max="15645" width="18" style="87" customWidth="1"/>
    <col min="15646" max="15646" width="11.42578125" style="87"/>
    <col min="15647" max="15647" width="11.140625" style="87" customWidth="1"/>
    <col min="15648" max="15648" width="11.42578125" style="87"/>
    <col min="15649" max="15649" width="17.42578125" style="87" customWidth="1"/>
    <col min="15650" max="15894" width="11.42578125" style="87"/>
    <col min="15895" max="15895" width="14.5703125" style="87" customWidth="1"/>
    <col min="15896" max="15896" width="12.7109375" style="87" customWidth="1"/>
    <col min="15897" max="15897" width="1.5703125" style="87" customWidth="1"/>
    <col min="15898" max="15898" width="18.28515625" style="87" customWidth="1"/>
    <col min="15899" max="15899" width="11" style="87" customWidth="1"/>
    <col min="15900" max="15900" width="13.28515625" style="87" bestFit="1" customWidth="1"/>
    <col min="15901" max="15901" width="18" style="87" customWidth="1"/>
    <col min="15902" max="15902" width="11.42578125" style="87"/>
    <col min="15903" max="15903" width="11.140625" style="87" customWidth="1"/>
    <col min="15904" max="15904" width="11.42578125" style="87"/>
    <col min="15905" max="15905" width="17.42578125" style="87" customWidth="1"/>
    <col min="15906" max="16150" width="11.42578125" style="87"/>
    <col min="16151" max="16151" width="14.5703125" style="87" customWidth="1"/>
    <col min="16152" max="16152" width="12.7109375" style="87" customWidth="1"/>
    <col min="16153" max="16153" width="1.5703125" style="87" customWidth="1"/>
    <col min="16154" max="16154" width="18.28515625" style="87" customWidth="1"/>
    <col min="16155" max="16155" width="11" style="87" customWidth="1"/>
    <col min="16156" max="16156" width="13.28515625" style="87" bestFit="1" customWidth="1"/>
    <col min="16157" max="16157" width="18" style="87" customWidth="1"/>
    <col min="16158" max="16158" width="11.42578125" style="87"/>
    <col min="16159" max="16159" width="11.140625" style="87" customWidth="1"/>
    <col min="16160" max="16160" width="11.42578125" style="87"/>
    <col min="16161" max="16161" width="17.42578125" style="87" customWidth="1"/>
    <col min="16162" max="16384" width="11.42578125" style="87"/>
  </cols>
  <sheetData>
    <row r="1" spans="1:74" ht="12.75" customHeight="1" x14ac:dyDescent="0.2">
      <c r="A1" s="563" t="s">
        <v>20</v>
      </c>
      <c r="B1" s="563"/>
      <c r="C1" s="563"/>
      <c r="D1" s="563"/>
      <c r="E1" s="563"/>
      <c r="F1" s="563"/>
      <c r="G1" s="563"/>
      <c r="H1" s="563"/>
      <c r="I1" s="563"/>
      <c r="J1" s="563"/>
      <c r="K1" s="563"/>
      <c r="L1" s="563"/>
      <c r="M1" s="190"/>
      <c r="N1" s="188"/>
      <c r="O1" s="188"/>
      <c r="P1" s="188"/>
      <c r="Q1" s="188"/>
      <c r="R1" s="188"/>
      <c r="S1" s="188"/>
      <c r="T1" s="188"/>
      <c r="U1" s="188"/>
      <c r="V1" s="188"/>
      <c r="W1" s="188"/>
      <c r="X1" s="188"/>
      <c r="Y1" s="188"/>
      <c r="Z1" s="188"/>
      <c r="AA1" s="188"/>
      <c r="AB1" s="188"/>
      <c r="AC1" s="188"/>
      <c r="AD1" s="188"/>
      <c r="AE1" s="188"/>
      <c r="AF1" s="188"/>
      <c r="AG1" s="188"/>
      <c r="AH1" s="188"/>
      <c r="AI1" s="188"/>
      <c r="AJ1" s="188"/>
      <c r="AK1" s="188"/>
      <c r="AL1" s="188"/>
      <c r="AM1" s="188"/>
      <c r="AN1" s="188"/>
      <c r="AO1" s="188"/>
      <c r="AP1" s="188"/>
      <c r="AQ1" s="188"/>
      <c r="AR1" s="188"/>
      <c r="AS1" s="188"/>
      <c r="AT1" s="188"/>
      <c r="AU1" s="188"/>
      <c r="AV1" s="188"/>
      <c r="AW1" s="188"/>
      <c r="AX1" s="188"/>
      <c r="AY1" s="188"/>
      <c r="AZ1" s="188"/>
      <c r="BA1" s="188"/>
      <c r="BB1" s="188"/>
      <c r="BC1" s="188"/>
      <c r="BD1" s="188"/>
      <c r="BE1" s="188"/>
      <c r="BF1" s="188"/>
      <c r="BG1" s="188"/>
      <c r="BH1" s="188"/>
      <c r="BI1" s="188"/>
      <c r="BL1" s="88"/>
      <c r="BM1" s="95" t="s">
        <v>178</v>
      </c>
    </row>
    <row r="2" spans="1:74" ht="12.75" customHeight="1" x14ac:dyDescent="0.2">
      <c r="A2" s="563"/>
      <c r="B2" s="563"/>
      <c r="C2" s="563"/>
      <c r="D2" s="563"/>
      <c r="E2" s="563"/>
      <c r="F2" s="563"/>
      <c r="G2" s="563"/>
      <c r="H2" s="563"/>
      <c r="I2" s="563"/>
      <c r="J2" s="563"/>
      <c r="K2" s="563"/>
      <c r="L2" s="563"/>
      <c r="M2" s="190"/>
      <c r="N2" s="188"/>
      <c r="O2" s="188"/>
      <c r="P2" s="188"/>
      <c r="Q2" s="188"/>
      <c r="R2" s="188"/>
      <c r="S2" s="188"/>
      <c r="T2" s="188"/>
      <c r="U2" s="188"/>
      <c r="V2" s="188"/>
      <c r="W2" s="188"/>
      <c r="X2" s="188"/>
      <c r="Y2" s="188"/>
      <c r="Z2" s="188"/>
      <c r="AA2" s="188"/>
      <c r="AB2" s="188"/>
      <c r="AC2" s="188"/>
      <c r="AD2" s="188"/>
      <c r="AE2" s="188"/>
      <c r="AF2" s="188"/>
      <c r="AG2" s="188"/>
      <c r="AH2" s="188"/>
      <c r="AI2" s="188"/>
      <c r="AJ2" s="188"/>
      <c r="AK2" s="188"/>
      <c r="AL2" s="188"/>
      <c r="AM2" s="188"/>
      <c r="AN2" s="188"/>
      <c r="AO2" s="188"/>
      <c r="AP2" s="188"/>
      <c r="AQ2" s="188"/>
      <c r="AR2" s="188"/>
      <c r="AS2" s="188"/>
      <c r="AT2" s="188"/>
      <c r="AU2" s="188"/>
      <c r="AV2" s="188"/>
      <c r="AW2" s="188"/>
      <c r="AX2" s="188"/>
      <c r="AY2" s="188"/>
      <c r="AZ2" s="188"/>
      <c r="BA2" s="188"/>
      <c r="BB2" s="188"/>
      <c r="BC2" s="188"/>
      <c r="BD2" s="188"/>
      <c r="BE2" s="188"/>
      <c r="BF2" s="188"/>
      <c r="BG2" s="188"/>
      <c r="BH2" s="188"/>
      <c r="BI2" s="188"/>
      <c r="BL2" s="88"/>
    </row>
    <row r="3" spans="1:74" ht="12.75" customHeight="1" x14ac:dyDescent="0.2">
      <c r="A3" s="563"/>
      <c r="B3" s="564"/>
      <c r="C3" s="564"/>
      <c r="D3" s="564"/>
      <c r="E3" s="564"/>
      <c r="F3" s="564"/>
      <c r="G3" s="564"/>
      <c r="H3" s="564"/>
      <c r="I3" s="564"/>
      <c r="J3" s="564"/>
      <c r="K3" s="564"/>
      <c r="L3" s="564"/>
      <c r="M3" s="336"/>
      <c r="N3" s="188"/>
      <c r="O3" s="188"/>
      <c r="P3" s="188"/>
      <c r="Q3" s="188"/>
      <c r="R3" s="188"/>
      <c r="S3" s="188"/>
      <c r="T3" s="188"/>
      <c r="U3" s="188"/>
      <c r="V3" s="188"/>
      <c r="W3" s="188"/>
      <c r="X3" s="188"/>
      <c r="Y3" s="188"/>
      <c r="Z3" s="188"/>
      <c r="AA3" s="188"/>
      <c r="AB3" s="188"/>
      <c r="AC3" s="188"/>
      <c r="AD3" s="188"/>
      <c r="AE3" s="188"/>
      <c r="AF3" s="188"/>
      <c r="AG3" s="188"/>
      <c r="AH3" s="188"/>
      <c r="AI3" s="188"/>
      <c r="AJ3" s="188"/>
      <c r="AK3" s="188"/>
      <c r="AL3" s="188"/>
      <c r="AM3" s="188"/>
      <c r="AN3" s="188"/>
      <c r="AO3" s="188"/>
      <c r="AP3" s="188"/>
      <c r="AQ3" s="188"/>
      <c r="AR3" s="188"/>
      <c r="AS3" s="188"/>
      <c r="AT3" s="188"/>
      <c r="AU3" s="188"/>
      <c r="AV3" s="188"/>
      <c r="AW3" s="188"/>
      <c r="AX3" s="188"/>
      <c r="AY3" s="188"/>
      <c r="AZ3" s="188"/>
      <c r="BA3" s="188"/>
      <c r="BB3" s="188"/>
      <c r="BC3" s="188"/>
      <c r="BD3" s="188"/>
      <c r="BE3" s="188"/>
      <c r="BF3" s="188"/>
      <c r="BG3" s="188"/>
      <c r="BH3" s="188"/>
      <c r="BI3" s="188"/>
      <c r="BL3" s="88"/>
    </row>
    <row r="4" spans="1:74" ht="12.75" customHeight="1" x14ac:dyDescent="0.2">
      <c r="A4" s="89"/>
      <c r="B4" s="89"/>
      <c r="C4" s="89"/>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
      <c r="BL4" s="88"/>
    </row>
    <row r="5" spans="1:74" ht="12.75" customHeight="1" x14ac:dyDescent="0.2">
      <c r="A5" s="90" t="s">
        <v>181</v>
      </c>
      <c r="B5" s="90"/>
      <c r="C5" s="90"/>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8"/>
      <c r="BL5" s="88"/>
    </row>
    <row r="6" spans="1:74" ht="20.100000000000001" customHeight="1" x14ac:dyDescent="0.2">
      <c r="A6" s="204" t="s">
        <v>172</v>
      </c>
      <c r="B6" s="90"/>
      <c r="C6" s="90"/>
      <c r="D6" s="90"/>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c r="BA6" s="90"/>
      <c r="BB6" s="90"/>
      <c r="BC6" s="74"/>
      <c r="BD6" s="189"/>
      <c r="BE6" s="189"/>
      <c r="BF6" s="189"/>
      <c r="BG6" s="189"/>
      <c r="BH6" s="189"/>
      <c r="BI6" s="189"/>
      <c r="BJ6" s="189"/>
      <c r="BK6" s="189"/>
      <c r="BL6" s="189"/>
      <c r="BM6" s="189"/>
      <c r="BN6" s="189"/>
      <c r="BO6" s="189"/>
      <c r="BP6" s="189"/>
      <c r="BQ6" s="189"/>
      <c r="BR6" s="189"/>
      <c r="BS6" s="189"/>
      <c r="BT6" s="189"/>
      <c r="BU6" s="189"/>
      <c r="BV6" s="189"/>
    </row>
    <row r="7" spans="1:74" ht="27" customHeight="1" x14ac:dyDescent="0.2">
      <c r="A7" s="127" t="s">
        <v>222</v>
      </c>
      <c r="B7" s="127"/>
      <c r="C7" s="127"/>
      <c r="D7" s="127"/>
      <c r="E7" s="127"/>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74"/>
      <c r="BD7" s="189"/>
      <c r="BE7" s="189"/>
      <c r="BF7" s="189"/>
      <c r="BG7" s="189"/>
      <c r="BH7" s="189"/>
      <c r="BI7" s="189"/>
      <c r="BJ7" s="189"/>
      <c r="BK7" s="189"/>
      <c r="BL7" s="189"/>
      <c r="BM7" s="189"/>
      <c r="BN7" s="189"/>
      <c r="BO7" s="189"/>
      <c r="BP7" s="189"/>
      <c r="BQ7" s="189"/>
      <c r="BR7" s="189"/>
      <c r="BS7" s="189"/>
      <c r="BT7" s="189"/>
      <c r="BU7" s="189"/>
      <c r="BV7" s="189"/>
    </row>
    <row r="8" spans="1:74" ht="20.100000000000001" customHeight="1" x14ac:dyDescent="0.2">
      <c r="A8" s="127" t="s">
        <v>223</v>
      </c>
      <c r="B8" s="127"/>
      <c r="C8" s="127"/>
      <c r="D8" s="127"/>
      <c r="E8" s="127"/>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74"/>
      <c r="BL8" s="88"/>
    </row>
    <row r="9" spans="1:74" ht="20.100000000000001" customHeight="1" x14ac:dyDescent="0.2">
      <c r="A9" s="176" t="s">
        <v>173</v>
      </c>
      <c r="B9" s="176"/>
      <c r="C9" s="176"/>
      <c r="D9" s="176"/>
      <c r="E9" s="176"/>
      <c r="F9" s="176"/>
      <c r="G9" s="176"/>
      <c r="H9" s="176"/>
      <c r="I9" s="176"/>
      <c r="J9" s="176"/>
      <c r="K9" s="176"/>
      <c r="L9" s="176"/>
      <c r="M9" s="176"/>
      <c r="N9" s="176"/>
      <c r="O9" s="176"/>
      <c r="P9" s="176"/>
      <c r="Q9" s="176"/>
      <c r="R9" s="176"/>
      <c r="S9" s="176"/>
      <c r="T9" s="176"/>
      <c r="U9" s="176"/>
      <c r="V9" s="176"/>
      <c r="W9" s="176"/>
      <c r="X9" s="176"/>
      <c r="Y9" s="176"/>
      <c r="Z9" s="176"/>
      <c r="AA9" s="176"/>
      <c r="AB9" s="176"/>
      <c r="AC9" s="176"/>
      <c r="AD9" s="176"/>
      <c r="AE9" s="176"/>
      <c r="AF9" s="176"/>
      <c r="AG9" s="176"/>
      <c r="AH9" s="176"/>
      <c r="AI9" s="176"/>
      <c r="AJ9" s="176"/>
      <c r="AK9" s="176"/>
      <c r="AL9" s="176"/>
      <c r="AM9" s="176"/>
      <c r="AN9" s="176"/>
      <c r="AO9" s="176"/>
      <c r="AP9" s="176"/>
      <c r="AQ9" s="176"/>
      <c r="AR9" s="176"/>
      <c r="AS9" s="176"/>
      <c r="AT9" s="176"/>
      <c r="AU9" s="176"/>
      <c r="AV9" s="176"/>
      <c r="AW9" s="176"/>
      <c r="AX9" s="176"/>
      <c r="AY9" s="176"/>
      <c r="AZ9" s="176"/>
      <c r="BA9" s="176"/>
      <c r="BB9" s="176"/>
      <c r="BC9" s="74"/>
      <c r="BL9" s="88"/>
    </row>
    <row r="10" spans="1:74" ht="20.100000000000001" customHeight="1" x14ac:dyDescent="0.2">
      <c r="A10" s="127" t="s">
        <v>174</v>
      </c>
      <c r="B10" s="127"/>
      <c r="C10" s="127"/>
      <c r="D10" s="127"/>
      <c r="E10" s="127"/>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74"/>
      <c r="BL10" s="88"/>
    </row>
    <row r="11" spans="1:74" ht="20.100000000000001" customHeight="1" x14ac:dyDescent="0.2">
      <c r="A11" s="127" t="s">
        <v>224</v>
      </c>
      <c r="B11" s="127"/>
      <c r="C11" s="127"/>
      <c r="D11" s="127"/>
      <c r="E11" s="127"/>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74"/>
      <c r="BL11" s="88"/>
    </row>
    <row r="12" spans="1:74" ht="20.100000000000001" customHeight="1" x14ac:dyDescent="0.2">
      <c r="A12" s="127" t="s">
        <v>225</v>
      </c>
      <c r="B12" s="127"/>
      <c r="C12" s="127"/>
      <c r="D12" s="127"/>
      <c r="E12" s="127"/>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74"/>
      <c r="BL12" s="88"/>
    </row>
    <row r="13" spans="1:74" ht="20.100000000000001" customHeight="1" x14ac:dyDescent="0.2">
      <c r="A13" s="176" t="s">
        <v>226</v>
      </c>
      <c r="B13" s="176"/>
      <c r="C13" s="176"/>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76"/>
      <c r="AB13" s="176"/>
      <c r="AC13" s="176"/>
      <c r="AD13" s="176"/>
      <c r="AE13" s="176"/>
      <c r="AF13" s="176"/>
      <c r="AG13" s="176"/>
      <c r="AH13" s="176"/>
      <c r="AI13" s="176"/>
      <c r="AJ13" s="176"/>
      <c r="AK13" s="176"/>
      <c r="AL13" s="176"/>
      <c r="AM13" s="176"/>
      <c r="AN13" s="176"/>
      <c r="AO13" s="176"/>
      <c r="AP13" s="176"/>
      <c r="AQ13" s="176"/>
      <c r="AR13" s="176"/>
      <c r="AS13" s="176"/>
      <c r="AT13" s="176"/>
      <c r="AU13" s="176"/>
      <c r="AV13" s="176"/>
      <c r="AW13" s="176"/>
      <c r="AX13" s="176"/>
      <c r="AY13" s="176"/>
      <c r="AZ13" s="176"/>
      <c r="BA13" s="176"/>
      <c r="BB13" s="176"/>
      <c r="BC13" s="74"/>
      <c r="BD13" s="87" t="str">
        <f ca="1">IFERROR(_xll.BDP($BW13,"CUR_MKT_CAP")/1000000000,"-")</f>
        <v>-</v>
      </c>
      <c r="BG13" s="87" t="s">
        <v>188</v>
      </c>
      <c r="BJ13" s="87" t="str">
        <f ca="1">IFERROR(_xll.BDP($BW13,"PX_TO_BOOK_RATIO")*1,"-")</f>
        <v>-</v>
      </c>
      <c r="BL13" s="88"/>
      <c r="BM13" s="87" t="str">
        <f ca="1">IFERROR(_xll.BDP($BW13,"PE_RATIO")*1,"-")</f>
        <v>-</v>
      </c>
      <c r="BP13" s="87" t="str">
        <f ca="1">IFERROR(_xll.BDP($BW13,"PX_TO_SALES_RATIO")*1,"-")</f>
        <v>-</v>
      </c>
      <c r="BS13" s="87" t="str">
        <f ca="1">IFERROR(_xll.BDP($BW13,"PX_TO_FREE_CASH_FLOW")*1,"-")</f>
        <v>-</v>
      </c>
    </row>
    <row r="14" spans="1:74" ht="20.100000000000001" customHeight="1" x14ac:dyDescent="0.2">
      <c r="A14" s="556" t="s">
        <v>227</v>
      </c>
      <c r="B14" s="556"/>
      <c r="C14" s="556"/>
      <c r="D14" s="556"/>
      <c r="E14" s="556"/>
      <c r="F14" s="556"/>
      <c r="G14" s="556"/>
      <c r="H14" s="556"/>
      <c r="I14" s="556"/>
      <c r="J14" s="556"/>
      <c r="K14" s="556"/>
      <c r="L14" s="556"/>
      <c r="M14" s="556"/>
      <c r="N14" s="556"/>
      <c r="O14" s="556"/>
      <c r="P14" s="556"/>
      <c r="Q14" s="556"/>
      <c r="R14" s="556"/>
      <c r="S14" s="556"/>
      <c r="T14" s="556"/>
      <c r="U14" s="556"/>
      <c r="V14" s="556"/>
      <c r="W14" s="556"/>
      <c r="X14" s="556"/>
      <c r="Y14" s="556"/>
      <c r="Z14" s="556"/>
      <c r="AA14" s="556"/>
      <c r="AB14" s="556"/>
      <c r="AC14" s="556"/>
      <c r="AD14" s="556"/>
      <c r="AE14" s="556"/>
      <c r="AF14" s="556"/>
      <c r="AG14" s="556"/>
      <c r="AH14" s="556"/>
      <c r="AI14" s="556"/>
      <c r="AJ14" s="556"/>
      <c r="AK14" s="556"/>
      <c r="AL14" s="556"/>
      <c r="AM14" s="556"/>
      <c r="AN14" s="556"/>
      <c r="AO14" s="556"/>
      <c r="AP14" s="556"/>
      <c r="AQ14" s="556"/>
      <c r="AR14" s="556"/>
      <c r="AS14" s="556"/>
      <c r="AT14" s="556"/>
      <c r="AU14" s="556"/>
      <c r="AV14" s="556"/>
      <c r="AW14" s="556"/>
      <c r="AX14" s="556"/>
      <c r="AY14" s="556"/>
      <c r="AZ14" s="556"/>
      <c r="BA14" s="556"/>
      <c r="BB14" s="556"/>
      <c r="BC14" s="74"/>
    </row>
    <row r="15" spans="1:74" ht="20.100000000000001" customHeight="1" x14ac:dyDescent="0.2">
      <c r="A15" s="554" t="s">
        <v>228</v>
      </c>
      <c r="B15" s="554"/>
      <c r="C15" s="554"/>
      <c r="D15" s="554"/>
      <c r="E15" s="554"/>
      <c r="F15" s="554"/>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554"/>
      <c r="AH15" s="554"/>
      <c r="AI15" s="554"/>
      <c r="AJ15" s="554"/>
      <c r="AK15" s="554"/>
      <c r="AL15" s="554"/>
      <c r="AM15" s="554"/>
      <c r="AN15" s="554"/>
      <c r="AO15" s="554"/>
      <c r="AP15" s="554"/>
      <c r="AQ15" s="554"/>
      <c r="AR15" s="554"/>
      <c r="AS15" s="554"/>
      <c r="AT15" s="554"/>
      <c r="AU15" s="554"/>
      <c r="AV15" s="554"/>
      <c r="AW15" s="554"/>
      <c r="AX15" s="554"/>
      <c r="AY15" s="554"/>
      <c r="AZ15" s="554"/>
      <c r="BA15" s="554"/>
      <c r="BB15" s="554"/>
      <c r="BC15" s="74"/>
      <c r="BD15" s="9"/>
      <c r="BE15" s="9"/>
      <c r="BF15" s="9"/>
      <c r="BG15" s="9"/>
      <c r="BH15" s="9"/>
      <c r="BI15" s="9"/>
      <c r="BJ15" s="9"/>
      <c r="BK15" s="9"/>
      <c r="BL15" s="9"/>
      <c r="BM15" s="9"/>
      <c r="BN15" s="9"/>
      <c r="BO15" s="9"/>
      <c r="BP15" s="9"/>
      <c r="BQ15" s="9"/>
      <c r="BR15" s="9"/>
      <c r="BS15" s="9"/>
      <c r="BT15" s="9"/>
      <c r="BU15" s="9"/>
      <c r="BV15" s="9"/>
    </row>
    <row r="16" spans="1:74" ht="20.100000000000001" customHeight="1" x14ac:dyDescent="0.2">
      <c r="A16" s="176" t="s">
        <v>229</v>
      </c>
      <c r="B16" s="176"/>
      <c r="C16" s="176"/>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c r="BA16" s="176"/>
      <c r="BB16" s="176"/>
      <c r="BC16" s="74"/>
      <c r="BD16" s="9"/>
      <c r="BE16" s="9"/>
      <c r="BF16" s="9"/>
      <c r="BG16" s="9"/>
      <c r="BH16" s="9"/>
      <c r="BI16" s="9"/>
      <c r="BJ16" s="9"/>
      <c r="BK16" s="9"/>
      <c r="BL16" s="9"/>
      <c r="BM16" s="9"/>
      <c r="BN16" s="9"/>
      <c r="BO16" s="9"/>
      <c r="BP16" s="9"/>
      <c r="BQ16" s="9" t="str">
        <f>IF(OR(IFERROR(VLOOKUP(CA16,#REF!,MATCH("Price To Earnings",#REF!,0),FALSE),"-")&lt;0,IFERROR(VLOOKUP(CA16,#REF!,MATCH("Price To Earnings",#REF!,0),FALSE),"-")&gt;500),"-",IFERROR(VLOOKUP(CA16,#REF!,MATCH("Price To Earnings",#REF!,0),FALSE),"-"))</f>
        <v>-</v>
      </c>
      <c r="BR16" s="9"/>
      <c r="BS16" s="9"/>
      <c r="BT16" s="9"/>
      <c r="BU16" s="9"/>
      <c r="BV16" s="9"/>
    </row>
    <row r="17" spans="1:82" ht="20.100000000000001" customHeight="1" x14ac:dyDescent="0.2">
      <c r="A17" s="127" t="s">
        <v>230</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74"/>
      <c r="BD17" s="9"/>
      <c r="BE17" s="9"/>
      <c r="BF17" s="9"/>
      <c r="BG17" s="9"/>
      <c r="BH17" s="9"/>
      <c r="BI17" s="9"/>
      <c r="BJ17" s="9"/>
      <c r="BK17" s="9"/>
      <c r="BL17" s="9"/>
      <c r="BM17" s="9"/>
      <c r="BN17" s="9"/>
      <c r="BO17" s="9"/>
      <c r="BP17" s="9"/>
      <c r="BQ17" s="9" t="str">
        <f>IF(OR(IFERROR(VLOOKUP(CA17,#REF!,MATCH("Price To Earnings",#REF!,0),FALSE),"-")&lt;0,IFERROR(VLOOKUP(CA17,#REF!,MATCH("Price To Earnings",#REF!,0),FALSE),"-")&gt;500),"-",IFERROR(VLOOKUP(CA17,#REF!,MATCH("Price To Earnings",#REF!,0),FALSE),"-"))</f>
        <v>-</v>
      </c>
      <c r="BR17" s="9"/>
      <c r="BS17" s="9"/>
      <c r="BT17" s="9"/>
      <c r="BU17" s="9"/>
      <c r="BV17" s="9"/>
    </row>
    <row r="18" spans="1:82" ht="20.100000000000001" customHeight="1" x14ac:dyDescent="0.2">
      <c r="A18" s="127" t="s">
        <v>231</v>
      </c>
      <c r="B18" s="127"/>
      <c r="C18" s="127"/>
      <c r="D18" s="127"/>
      <c r="E18" s="127"/>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74"/>
      <c r="BD18" s="9"/>
      <c r="BE18" s="9"/>
      <c r="BF18" s="9"/>
      <c r="BG18" s="9"/>
      <c r="BH18" s="9"/>
      <c r="BI18" s="9"/>
      <c r="BJ18" s="9"/>
      <c r="BK18" s="9"/>
      <c r="BL18" s="9"/>
      <c r="BM18" s="9"/>
      <c r="BN18" s="9"/>
      <c r="BO18" s="9"/>
      <c r="BP18" s="9"/>
      <c r="BQ18" s="9" t="str">
        <f>IF(OR(IFERROR(VLOOKUP(CA18,#REF!,MATCH("Price To Earnings",#REF!,0),FALSE),"-")&lt;0,IFERROR(VLOOKUP(CA18,#REF!,MATCH("Price To Earnings",#REF!,0),FALSE),"-")&gt;500),"-",IFERROR(VLOOKUP(CA18,#REF!,MATCH("Price To Earnings",#REF!,0),FALSE),"-"))</f>
        <v>-</v>
      </c>
      <c r="BR18" s="9"/>
      <c r="BS18" s="9"/>
      <c r="BT18" s="9"/>
      <c r="BU18" s="9"/>
      <c r="BV18" s="9"/>
    </row>
    <row r="19" spans="1:82" ht="20.100000000000001" customHeight="1" x14ac:dyDescent="0.2">
      <c r="A19" s="127" t="s">
        <v>232</v>
      </c>
      <c r="B19" s="127"/>
      <c r="C19" s="127"/>
      <c r="D19" s="127"/>
      <c r="E19" s="127"/>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74"/>
      <c r="BD19" s="9"/>
      <c r="BE19" s="9"/>
      <c r="BF19" s="9"/>
      <c r="BG19" s="9"/>
      <c r="BH19" s="9"/>
      <c r="BI19" s="9"/>
      <c r="BJ19" s="9"/>
      <c r="BK19" s="9"/>
      <c r="BL19" s="9"/>
      <c r="BM19" s="9"/>
      <c r="BN19" s="9"/>
      <c r="BO19" s="9"/>
      <c r="BP19" s="9"/>
      <c r="BQ19" s="9" t="str">
        <f>IF(OR(IFERROR(VLOOKUP(CA19,#REF!,MATCH("Price To Earnings",#REF!,0),FALSE),"-")&lt;0,IFERROR(VLOOKUP(CA19,#REF!,MATCH("Price To Earnings",#REF!,0),FALSE),"-")&gt;500),"-",IFERROR(VLOOKUP(CA19,#REF!,MATCH("Price To Earnings",#REF!,0),FALSE),"-"))</f>
        <v>-</v>
      </c>
      <c r="BR19" s="9"/>
      <c r="BS19" s="9"/>
      <c r="BT19" s="9"/>
      <c r="BU19" s="9"/>
      <c r="BV19" s="9"/>
    </row>
    <row r="20" spans="1:82" ht="20.100000000000001" customHeight="1" x14ac:dyDescent="0.2">
      <c r="A20" s="127" t="s">
        <v>233</v>
      </c>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74"/>
      <c r="BD20" s="9"/>
      <c r="BE20" s="9"/>
      <c r="BF20" s="9"/>
      <c r="BG20" s="9"/>
      <c r="BH20" s="9"/>
      <c r="BI20" s="9"/>
      <c r="BJ20" s="9"/>
      <c r="BK20" s="9"/>
      <c r="BL20" s="9"/>
      <c r="BM20" s="9"/>
      <c r="BN20" s="9"/>
      <c r="BO20" s="9"/>
      <c r="BP20" s="9"/>
      <c r="BQ20" s="9" t="str">
        <f>IF(OR(IFERROR(VLOOKUP(CA20,#REF!,MATCH("Price To Earnings",#REF!,0),FALSE),"-")&lt;0,IFERROR(VLOOKUP(CA20,#REF!,MATCH("Price To Earnings",#REF!,0),FALSE),"-")&gt;500),"-",IFERROR(VLOOKUP(CA20,#REF!,MATCH("Price To Earnings",#REF!,0),FALSE),"-"))</f>
        <v>-</v>
      </c>
      <c r="BR20" s="9"/>
      <c r="BS20" s="9"/>
      <c r="BT20" s="9"/>
      <c r="BU20" s="9"/>
      <c r="BV20" s="9"/>
    </row>
    <row r="21" spans="1:82" ht="36" customHeight="1" x14ac:dyDescent="0.2">
      <c r="A21" s="556" t="s">
        <v>234</v>
      </c>
      <c r="B21" s="556"/>
      <c r="C21" s="556"/>
      <c r="D21" s="556"/>
      <c r="E21" s="556"/>
      <c r="F21" s="556"/>
      <c r="G21" s="556"/>
      <c r="H21" s="556"/>
      <c r="I21" s="556"/>
      <c r="J21" s="556"/>
      <c r="K21" s="556"/>
      <c r="L21" s="556"/>
      <c r="M21" s="556"/>
      <c r="N21" s="556"/>
      <c r="O21" s="556"/>
      <c r="P21" s="556"/>
      <c r="Q21" s="556"/>
      <c r="R21" s="556"/>
      <c r="S21" s="556"/>
      <c r="T21" s="556"/>
      <c r="U21" s="556"/>
      <c r="V21" s="556"/>
      <c r="W21" s="556"/>
      <c r="X21" s="556"/>
      <c r="Y21" s="556"/>
      <c r="Z21" s="556"/>
      <c r="AA21" s="556"/>
      <c r="AB21" s="556"/>
      <c r="AC21" s="556"/>
      <c r="AD21" s="556"/>
      <c r="AE21" s="556"/>
      <c r="AF21" s="556"/>
      <c r="AG21" s="556"/>
      <c r="AH21" s="556"/>
      <c r="AI21" s="556"/>
      <c r="AJ21" s="556"/>
      <c r="AK21" s="556"/>
      <c r="AL21" s="556"/>
      <c r="AM21" s="556"/>
      <c r="AN21" s="556"/>
      <c r="AO21" s="556"/>
      <c r="AP21" s="556"/>
      <c r="AQ21" s="556"/>
      <c r="AR21" s="556"/>
      <c r="AS21" s="556"/>
      <c r="AT21" s="556"/>
      <c r="AU21" s="556"/>
      <c r="AV21" s="556"/>
      <c r="AW21" s="556"/>
      <c r="AX21" s="556"/>
      <c r="AY21" s="556"/>
      <c r="AZ21" s="556"/>
      <c r="BA21" s="556"/>
      <c r="BB21" s="556"/>
      <c r="BC21" s="74"/>
      <c r="BD21" s="9"/>
      <c r="BE21" s="9"/>
      <c r="BF21" s="9"/>
      <c r="BG21" s="9"/>
      <c r="BH21" s="9"/>
      <c r="BI21" s="9"/>
      <c r="BJ21" s="9"/>
      <c r="BK21" s="9"/>
      <c r="BL21" s="10"/>
      <c r="BM21" s="9"/>
      <c r="BN21" s="9"/>
      <c r="BO21" s="9"/>
      <c r="BP21" s="9"/>
      <c r="BQ21" s="9" t="str">
        <f>IF(OR(IFERROR(VLOOKUP(CA21,#REF!,MATCH("Price To Earnings",#REF!,0),FALSE),"-")&lt;0,IFERROR(VLOOKUP(CA21,#REF!,MATCH("Price To Earnings",#REF!,0),FALSE),"-")&gt;500),"-",IFERROR(VLOOKUP(CA21,#REF!,MATCH("Price To Earnings",#REF!,0),FALSE),"-"))</f>
        <v>-</v>
      </c>
      <c r="BR21" s="9"/>
      <c r="BS21" s="9"/>
      <c r="BT21" s="9"/>
      <c r="BU21" s="9"/>
      <c r="BV21" s="9"/>
    </row>
    <row r="22" spans="1:82" ht="20.100000000000001" customHeight="1" x14ac:dyDescent="0.2">
      <c r="A22" s="556" t="s">
        <v>235</v>
      </c>
      <c r="B22" s="556"/>
      <c r="C22" s="556"/>
      <c r="D22" s="556"/>
      <c r="E22" s="556"/>
      <c r="F22" s="556"/>
      <c r="G22" s="556"/>
      <c r="H22" s="556"/>
      <c r="I22" s="556"/>
      <c r="J22" s="556"/>
      <c r="K22" s="556"/>
      <c r="L22" s="556"/>
      <c r="M22" s="558"/>
      <c r="N22" s="556"/>
      <c r="O22" s="556"/>
      <c r="P22" s="556"/>
      <c r="Q22" s="556"/>
      <c r="R22" s="556"/>
      <c r="S22" s="556"/>
      <c r="T22" s="556"/>
      <c r="U22" s="556"/>
      <c r="V22" s="556"/>
      <c r="W22" s="556"/>
      <c r="X22" s="556"/>
      <c r="Y22" s="556"/>
      <c r="Z22" s="556"/>
      <c r="AA22" s="556"/>
      <c r="AB22" s="556"/>
      <c r="AC22" s="556"/>
      <c r="AD22" s="556"/>
      <c r="AE22" s="556"/>
      <c r="AF22" s="556"/>
      <c r="AG22" s="556"/>
      <c r="AH22" s="556"/>
      <c r="AI22" s="556"/>
      <c r="AJ22" s="556"/>
      <c r="AK22" s="556"/>
      <c r="AL22" s="556"/>
      <c r="AM22" s="556"/>
      <c r="AN22" s="556"/>
      <c r="AO22" s="556"/>
      <c r="AP22" s="556"/>
      <c r="AQ22" s="556"/>
      <c r="AR22" s="556"/>
      <c r="AS22" s="556"/>
      <c r="AT22" s="556"/>
      <c r="AU22" s="556"/>
      <c r="AV22" s="556"/>
      <c r="AW22" s="556"/>
      <c r="AX22" s="556"/>
      <c r="AY22" s="556"/>
      <c r="AZ22" s="556"/>
      <c r="BA22" s="556"/>
      <c r="BB22" s="556"/>
      <c r="BC22" s="74"/>
      <c r="BD22" s="9"/>
      <c r="BE22" s="9"/>
      <c r="BF22" s="9"/>
      <c r="BG22" s="9"/>
      <c r="BH22" s="9"/>
      <c r="BI22" s="9"/>
      <c r="BJ22" s="9"/>
      <c r="BK22" s="9"/>
      <c r="BL22" s="10"/>
      <c r="BM22" s="9"/>
      <c r="BN22" s="9"/>
      <c r="BO22" s="9"/>
      <c r="BP22" s="9"/>
      <c r="BQ22" s="9" t="str">
        <f>IF(OR(IFERROR(VLOOKUP(CA22,#REF!,MATCH("Price To Earnings",#REF!,0),FALSE),"-")&lt;0,IFERROR(VLOOKUP(CA22,#REF!,MATCH("Price To Earnings",#REF!,0),FALSE),"-")&gt;500),"-",IFERROR(VLOOKUP(CA22,#REF!,MATCH("Price To Earnings",#REF!,0),FALSE),"-"))</f>
        <v>-</v>
      </c>
      <c r="BR22" s="9"/>
      <c r="BS22" s="9"/>
      <c r="BT22" s="9"/>
      <c r="BU22" s="9"/>
      <c r="BV22" s="9"/>
    </row>
    <row r="23" spans="1:82" s="91" customFormat="1" ht="20.100000000000001" customHeight="1" x14ac:dyDescent="0.2">
      <c r="A23" s="556" t="s">
        <v>236</v>
      </c>
      <c r="B23" s="556"/>
      <c r="C23" s="556"/>
      <c r="D23" s="556"/>
      <c r="E23" s="556"/>
      <c r="F23" s="556"/>
      <c r="G23" s="556"/>
      <c r="H23" s="556"/>
      <c r="I23" s="556"/>
      <c r="J23" s="556"/>
      <c r="K23" s="556"/>
      <c r="L23" s="556"/>
      <c r="M23" s="556"/>
      <c r="N23" s="556"/>
      <c r="O23" s="556"/>
      <c r="P23" s="556"/>
      <c r="Q23" s="556"/>
      <c r="R23" s="556"/>
      <c r="S23" s="556"/>
      <c r="T23" s="556"/>
      <c r="U23" s="556"/>
      <c r="V23" s="556"/>
      <c r="W23" s="556"/>
      <c r="X23" s="556"/>
      <c r="Y23" s="556"/>
      <c r="Z23" s="556"/>
      <c r="AA23" s="556"/>
      <c r="AB23" s="556"/>
      <c r="AC23" s="556"/>
      <c r="AD23" s="556"/>
      <c r="AE23" s="556"/>
      <c r="AF23" s="556"/>
      <c r="AG23" s="556"/>
      <c r="AH23" s="556"/>
      <c r="AI23" s="556"/>
      <c r="AJ23" s="556"/>
      <c r="AK23" s="556"/>
      <c r="AL23" s="556"/>
      <c r="AM23" s="556"/>
      <c r="AN23" s="556"/>
      <c r="AO23" s="556"/>
      <c r="AP23" s="556"/>
      <c r="AQ23" s="556"/>
      <c r="AR23" s="556"/>
      <c r="AS23" s="556"/>
      <c r="AT23" s="556"/>
      <c r="AU23" s="556"/>
      <c r="AV23" s="556"/>
      <c r="AW23" s="556"/>
      <c r="AX23" s="556"/>
      <c r="AY23" s="556"/>
      <c r="AZ23" s="556"/>
      <c r="BA23" s="556"/>
      <c r="BB23" s="556"/>
      <c r="BC23" s="74"/>
      <c r="BD23" s="11"/>
      <c r="BE23" s="11"/>
      <c r="BF23" s="11"/>
      <c r="BG23" s="11"/>
      <c r="BH23" s="11"/>
      <c r="BI23" s="11"/>
      <c r="BJ23" s="11"/>
      <c r="BK23" s="11"/>
      <c r="BL23" s="12"/>
      <c r="BM23" s="11"/>
      <c r="BN23" s="11"/>
      <c r="BO23" s="11"/>
      <c r="BP23" s="11"/>
      <c r="BQ23" s="11" t="str">
        <f>IF(OR(IFERROR(VLOOKUP(CA23,#REF!,MATCH("Price To Earnings",#REF!,0),FALSE),"-")&lt;0,IFERROR(VLOOKUP(CA23,#REF!,MATCH("Price To Earnings",#REF!,0),FALSE),"-")&gt;500),"-",IFERROR(VLOOKUP(CA23,#REF!,MATCH("Price To Earnings",#REF!,0),FALSE),"-"))</f>
        <v>-</v>
      </c>
      <c r="BR23" s="11"/>
      <c r="BS23" s="11"/>
      <c r="BT23" s="11"/>
      <c r="BU23" s="11"/>
      <c r="BV23" s="11"/>
      <c r="CD23" s="92"/>
    </row>
    <row r="24" spans="1:82" ht="20.100000000000001" customHeight="1" x14ac:dyDescent="0.2">
      <c r="A24" s="554" t="s">
        <v>237</v>
      </c>
      <c r="B24" s="554"/>
      <c r="C24" s="554"/>
      <c r="D24" s="554"/>
      <c r="E24" s="554"/>
      <c r="F24" s="554"/>
      <c r="G24" s="554"/>
      <c r="H24" s="554"/>
      <c r="I24" s="554"/>
      <c r="J24" s="554"/>
      <c r="K24" s="554"/>
      <c r="L24" s="554"/>
      <c r="M24" s="560"/>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74"/>
      <c r="BD24" s="9"/>
      <c r="BE24" s="9"/>
      <c r="BF24" s="9"/>
      <c r="BG24" s="9"/>
      <c r="BH24" s="9"/>
      <c r="BI24" s="9"/>
      <c r="BJ24" s="9"/>
      <c r="BK24" s="9"/>
      <c r="BL24" s="10"/>
      <c r="BM24" s="9"/>
      <c r="BN24" s="9"/>
      <c r="BO24" s="9"/>
      <c r="BP24" s="9"/>
      <c r="BQ24" s="9" t="str">
        <f>IF(OR(IFERROR(VLOOKUP(CA24,#REF!,MATCH("Price To Earnings",#REF!,0),FALSE),"-")&lt;0,IFERROR(VLOOKUP(CA24,#REF!,MATCH("Price To Earnings",#REF!,0),FALSE),"-")&gt;500),"-",IFERROR(VLOOKUP(CA24,#REF!,MATCH("Price To Earnings",#REF!,0),FALSE),"-"))</f>
        <v>-</v>
      </c>
      <c r="BR24" s="9"/>
      <c r="BS24" s="9"/>
      <c r="BT24" s="9"/>
      <c r="BU24" s="9"/>
      <c r="BV24" s="9"/>
      <c r="CD24" s="92"/>
    </row>
    <row r="25" spans="1:82" ht="20.100000000000001" customHeight="1" x14ac:dyDescent="0.2">
      <c r="A25" s="554" t="s">
        <v>238</v>
      </c>
      <c r="B25" s="554"/>
      <c r="C25" s="554"/>
      <c r="D25" s="554"/>
      <c r="E25" s="554"/>
      <c r="F25" s="554"/>
      <c r="G25" s="554"/>
      <c r="H25" s="554"/>
      <c r="I25" s="554"/>
      <c r="J25" s="554"/>
      <c r="K25" s="554"/>
      <c r="L25" s="554"/>
      <c r="M25" s="554"/>
      <c r="N25" s="554"/>
      <c r="O25" s="554"/>
      <c r="P25" s="554"/>
      <c r="Q25" s="554"/>
      <c r="R25" s="554"/>
      <c r="S25" s="554"/>
      <c r="T25" s="554"/>
      <c r="U25" s="554"/>
      <c r="V25" s="554"/>
      <c r="W25" s="554"/>
      <c r="X25" s="554"/>
      <c r="Y25" s="554"/>
      <c r="Z25" s="554"/>
      <c r="AA25" s="554"/>
      <c r="AB25" s="554"/>
      <c r="AC25" s="554"/>
      <c r="AD25" s="554"/>
      <c r="AE25" s="554"/>
      <c r="AF25" s="554"/>
      <c r="AG25" s="554"/>
      <c r="AH25" s="554"/>
      <c r="AI25" s="554"/>
      <c r="AJ25" s="554"/>
      <c r="AK25" s="554"/>
      <c r="AL25" s="554"/>
      <c r="AM25" s="554"/>
      <c r="AN25" s="554"/>
      <c r="AO25" s="554"/>
      <c r="AP25" s="554"/>
      <c r="AQ25" s="554"/>
      <c r="AR25" s="554"/>
      <c r="AS25" s="554"/>
      <c r="AT25" s="554"/>
      <c r="AU25" s="554"/>
      <c r="AV25" s="554"/>
      <c r="AW25" s="554"/>
      <c r="AX25" s="554"/>
      <c r="AY25" s="554"/>
      <c r="AZ25" s="554"/>
      <c r="BA25" s="554"/>
      <c r="BB25" s="554"/>
      <c r="BC25" s="74"/>
      <c r="BD25" s="11"/>
      <c r="BE25" s="11"/>
      <c r="BF25" s="11"/>
      <c r="BG25" s="11"/>
      <c r="BH25" s="11"/>
      <c r="BI25" s="11"/>
      <c r="BJ25" s="11"/>
      <c r="BK25" s="11"/>
      <c r="BL25" s="12"/>
      <c r="BM25" s="11"/>
      <c r="BN25" s="11"/>
      <c r="BO25" s="11"/>
      <c r="BP25" s="11"/>
      <c r="BQ25" s="11" t="str">
        <f>IF(OR(IFERROR(VLOOKUP(CA25,#REF!,MATCH("Price To Earnings",#REF!,0),FALSE),"-")&lt;0,IFERROR(VLOOKUP(CA25,#REF!,MATCH("Price To Earnings",#REF!,0),FALSE),"-")&gt;500),"-",IFERROR(VLOOKUP(CA25,#REF!,MATCH("Price To Earnings",#REF!,0),FALSE),"-"))</f>
        <v>-</v>
      </c>
      <c r="BR25" s="11"/>
      <c r="BS25" s="11"/>
      <c r="BT25" s="11"/>
      <c r="BU25" s="11"/>
      <c r="BV25" s="11"/>
      <c r="BX25" s="87" t="s">
        <v>194</v>
      </c>
      <c r="CD25" s="92"/>
    </row>
    <row r="26" spans="1:82" ht="20.100000000000001" customHeight="1" x14ac:dyDescent="0.2">
      <c r="A26" s="559" t="s">
        <v>239</v>
      </c>
      <c r="B26" s="559"/>
      <c r="C26" s="559"/>
      <c r="D26" s="559"/>
      <c r="E26" s="559"/>
      <c r="F26" s="559"/>
      <c r="G26" s="559"/>
      <c r="H26" s="559"/>
      <c r="I26" s="559"/>
      <c r="J26" s="559"/>
      <c r="K26" s="559"/>
      <c r="L26" s="559"/>
      <c r="M26" s="561"/>
      <c r="N26" s="559"/>
      <c r="O26" s="559"/>
      <c r="P26" s="559"/>
      <c r="Q26" s="559"/>
      <c r="R26" s="559"/>
      <c r="S26" s="559"/>
      <c r="T26" s="559"/>
      <c r="U26" s="559"/>
      <c r="V26" s="559"/>
      <c r="W26" s="559"/>
      <c r="X26" s="559"/>
      <c r="Y26" s="559"/>
      <c r="Z26" s="559"/>
      <c r="AA26" s="559"/>
      <c r="AB26" s="559"/>
      <c r="AC26" s="559"/>
      <c r="AD26" s="559"/>
      <c r="AE26" s="559"/>
      <c r="AF26" s="559"/>
      <c r="AG26" s="559"/>
      <c r="AH26" s="559"/>
      <c r="AI26" s="559"/>
      <c r="AJ26" s="559"/>
      <c r="AK26" s="559"/>
      <c r="AL26" s="559"/>
      <c r="AM26" s="559"/>
      <c r="AN26" s="559"/>
      <c r="AO26" s="559"/>
      <c r="AP26" s="559"/>
      <c r="AQ26" s="559"/>
      <c r="AR26" s="559"/>
      <c r="AS26" s="559"/>
      <c r="AT26" s="559"/>
      <c r="AU26" s="559"/>
      <c r="AV26" s="559"/>
      <c r="AW26" s="559"/>
      <c r="AX26" s="559"/>
      <c r="AY26" s="559"/>
      <c r="AZ26" s="559"/>
      <c r="BA26" s="559"/>
      <c r="BB26" s="559"/>
      <c r="BC26" s="74"/>
      <c r="BD26" s="9"/>
      <c r="BE26" s="9"/>
      <c r="BF26" s="9"/>
      <c r="BG26" s="9"/>
      <c r="BH26" s="9"/>
      <c r="BI26" s="9"/>
      <c r="BJ26" s="9"/>
      <c r="BK26" s="9"/>
      <c r="BL26" s="10"/>
      <c r="BM26" s="9"/>
      <c r="BN26" s="9"/>
      <c r="BO26" s="9"/>
      <c r="BP26" s="9"/>
      <c r="BQ26" s="9" t="str">
        <f>IF(OR(IFERROR(VLOOKUP(CA26,#REF!,MATCH("Price To Earnings",#REF!,0),FALSE),"-")&lt;0,IFERROR(VLOOKUP(CA26,#REF!,MATCH("Price To Earnings",#REF!,0),FALSE),"-")&gt;500),"-",IFERROR(VLOOKUP(CA26,#REF!,MATCH("Price To Earnings",#REF!,0),FALSE),"-"))</f>
        <v>-</v>
      </c>
      <c r="BR26" s="9"/>
      <c r="BS26" s="9"/>
      <c r="BT26" s="9"/>
      <c r="BU26" s="9"/>
      <c r="BV26" s="9"/>
      <c r="BX26" s="87" t="s">
        <v>195</v>
      </c>
      <c r="CD26" s="92"/>
    </row>
    <row r="27" spans="1:82" s="93" customFormat="1" ht="20.100000000000001" customHeight="1" x14ac:dyDescent="0.2">
      <c r="A27" s="556" t="s">
        <v>252</v>
      </c>
      <c r="B27" s="556"/>
      <c r="C27" s="556"/>
      <c r="D27" s="556"/>
      <c r="E27" s="556"/>
      <c r="F27" s="556"/>
      <c r="G27" s="556"/>
      <c r="H27" s="556"/>
      <c r="I27" s="556"/>
      <c r="J27" s="556"/>
      <c r="K27" s="556"/>
      <c r="L27" s="556"/>
      <c r="M27" s="556"/>
      <c r="N27" s="556"/>
      <c r="O27" s="556"/>
      <c r="P27" s="556"/>
      <c r="Q27" s="556"/>
      <c r="R27" s="556"/>
      <c r="S27" s="556"/>
      <c r="T27" s="556"/>
      <c r="U27" s="556"/>
      <c r="V27" s="556"/>
      <c r="W27" s="556"/>
      <c r="X27" s="556"/>
      <c r="Y27" s="556"/>
      <c r="Z27" s="556"/>
      <c r="AA27" s="556"/>
      <c r="AB27" s="556"/>
      <c r="AC27" s="556"/>
      <c r="AD27" s="556"/>
      <c r="AE27" s="556"/>
      <c r="AF27" s="556"/>
      <c r="AG27" s="556"/>
      <c r="AH27" s="556"/>
      <c r="AI27" s="556"/>
      <c r="AJ27" s="556"/>
      <c r="AK27" s="556"/>
      <c r="AL27" s="556"/>
      <c r="AM27" s="556"/>
      <c r="AN27" s="556"/>
      <c r="AO27" s="556"/>
      <c r="AP27" s="556"/>
      <c r="AQ27" s="556"/>
      <c r="AR27" s="556"/>
      <c r="AS27" s="556"/>
      <c r="AT27" s="556"/>
      <c r="AU27" s="556"/>
      <c r="AV27" s="556"/>
      <c r="AW27" s="556"/>
      <c r="AX27" s="556"/>
      <c r="AY27" s="556"/>
      <c r="AZ27" s="556"/>
      <c r="BA27" s="556"/>
      <c r="BB27" s="556"/>
      <c r="BC27" s="74"/>
      <c r="BD27" s="13"/>
      <c r="BE27" s="13"/>
      <c r="BF27" s="13"/>
      <c r="BG27" s="13"/>
      <c r="BH27" s="13"/>
      <c r="BI27" s="13"/>
      <c r="BJ27" s="13"/>
      <c r="BK27" s="13"/>
      <c r="BL27" s="14"/>
      <c r="BM27" s="13"/>
      <c r="BN27" s="13"/>
      <c r="BO27" s="13"/>
      <c r="BP27" s="13"/>
      <c r="BQ27" s="13" t="str">
        <f>IF(OR(IFERROR(VLOOKUP(CA27,#REF!,MATCH("Price To Earnings",#REF!,0),FALSE),"-")&lt;0,IFERROR(VLOOKUP(CA27,#REF!,MATCH("Price To Earnings",#REF!,0),FALSE),"-")&gt;500),"-",IFERROR(VLOOKUP(CA27,#REF!,MATCH("Price To Earnings",#REF!,0),FALSE),"-"))</f>
        <v>-</v>
      </c>
      <c r="BR27" s="13"/>
      <c r="BS27" s="13"/>
      <c r="BT27" s="13"/>
      <c r="BU27" s="13"/>
      <c r="BV27" s="13"/>
      <c r="BW27" s="13"/>
      <c r="CD27" s="92"/>
    </row>
    <row r="28" spans="1:82" ht="20.100000000000001" customHeight="1" x14ac:dyDescent="0.2">
      <c r="A28" s="554" t="s">
        <v>240</v>
      </c>
      <c r="B28" s="554"/>
      <c r="C28" s="554"/>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G28" s="554"/>
      <c r="AH28" s="554"/>
      <c r="AI28" s="554"/>
      <c r="AJ28" s="554"/>
      <c r="AK28" s="554"/>
      <c r="AL28" s="554"/>
      <c r="AM28" s="554"/>
      <c r="AN28" s="554"/>
      <c r="AO28" s="554"/>
      <c r="AP28" s="554"/>
      <c r="AQ28" s="554"/>
      <c r="AR28" s="554"/>
      <c r="AS28" s="554"/>
      <c r="AT28" s="554"/>
      <c r="AU28" s="554"/>
      <c r="AV28" s="554"/>
      <c r="AW28" s="554"/>
      <c r="AX28" s="554"/>
      <c r="AY28" s="554"/>
      <c r="AZ28" s="554"/>
      <c r="BA28" s="554"/>
      <c r="BB28" s="554"/>
      <c r="BC28" s="74"/>
      <c r="BD28" s="9"/>
      <c r="BE28" s="9"/>
      <c r="BF28" s="9"/>
      <c r="BG28" s="9"/>
      <c r="BH28" s="9"/>
      <c r="BI28" s="9"/>
      <c r="BJ28" s="9"/>
      <c r="BK28" s="9"/>
      <c r="BL28" s="10"/>
      <c r="BM28" s="9"/>
      <c r="BN28" s="9"/>
      <c r="BO28" s="9"/>
      <c r="BP28" s="9"/>
      <c r="BQ28" s="9"/>
      <c r="BR28" s="9"/>
      <c r="BS28" s="9"/>
      <c r="BT28" s="9"/>
      <c r="BU28" s="9"/>
      <c r="BV28" s="9"/>
      <c r="CD28" s="92"/>
    </row>
    <row r="29" spans="1:82" ht="20.100000000000001" customHeight="1" x14ac:dyDescent="0.2">
      <c r="A29" s="272" t="s">
        <v>261</v>
      </c>
      <c r="B29" s="272"/>
      <c r="C29" s="272"/>
      <c r="D29" s="272"/>
      <c r="E29" s="272"/>
      <c r="F29" s="272"/>
      <c r="G29" s="272"/>
      <c r="H29" s="272"/>
      <c r="I29" s="272"/>
      <c r="J29" s="272"/>
      <c r="K29" s="272"/>
      <c r="L29" s="272"/>
      <c r="M29" s="272"/>
      <c r="N29" s="272"/>
      <c r="O29" s="272"/>
      <c r="P29" s="272"/>
      <c r="Q29" s="272"/>
      <c r="R29" s="272"/>
      <c r="S29" s="272"/>
      <c r="T29" s="272"/>
      <c r="U29" s="272"/>
      <c r="V29" s="272"/>
      <c r="W29" s="272"/>
      <c r="X29" s="272"/>
      <c r="Y29" s="272"/>
      <c r="Z29" s="272"/>
      <c r="AA29" s="272"/>
      <c r="AB29" s="272"/>
      <c r="AC29" s="272"/>
      <c r="AD29" s="272"/>
      <c r="AE29" s="272"/>
      <c r="AF29" s="272"/>
      <c r="AG29" s="272"/>
      <c r="AH29" s="272"/>
      <c r="AI29" s="272"/>
      <c r="AJ29" s="272"/>
      <c r="AK29" s="272"/>
      <c r="AL29" s="272"/>
      <c r="AM29" s="272"/>
      <c r="AN29" s="272"/>
      <c r="AO29" s="272"/>
      <c r="AP29" s="272"/>
      <c r="AQ29" s="272"/>
      <c r="AR29" s="272"/>
      <c r="AS29" s="272"/>
      <c r="AT29" s="272"/>
      <c r="AU29" s="272"/>
      <c r="AV29" s="272"/>
      <c r="AW29" s="272"/>
      <c r="AX29" s="272"/>
      <c r="AY29" s="272"/>
      <c r="AZ29" s="272"/>
      <c r="BA29" s="272"/>
      <c r="BB29" s="272"/>
      <c r="BC29" s="74"/>
      <c r="BD29" s="9"/>
      <c r="BE29" s="9"/>
      <c r="BF29" s="9"/>
      <c r="BG29" s="9"/>
      <c r="BH29" s="9"/>
      <c r="BI29" s="9"/>
      <c r="BJ29" s="9"/>
      <c r="BK29" s="9"/>
      <c r="BL29" s="10"/>
      <c r="BM29" s="9"/>
      <c r="BN29" s="9"/>
      <c r="BO29" s="9"/>
      <c r="BP29" s="9"/>
      <c r="BQ29" s="9"/>
      <c r="BR29" s="9"/>
      <c r="BS29" s="9"/>
      <c r="BT29" s="9"/>
      <c r="BU29" s="9"/>
      <c r="BV29" s="9"/>
      <c r="CD29" s="92"/>
    </row>
    <row r="30" spans="1:82" ht="20.100000000000001" customHeight="1" x14ac:dyDescent="0.2">
      <c r="A30" s="554" t="s">
        <v>241</v>
      </c>
      <c r="B30" s="554"/>
      <c r="C30" s="554"/>
      <c r="D30" s="554"/>
      <c r="E30" s="554"/>
      <c r="F30" s="554"/>
      <c r="G30" s="554"/>
      <c r="H30" s="554"/>
      <c r="I30" s="554"/>
      <c r="J30" s="554"/>
      <c r="K30" s="554"/>
      <c r="L30" s="554"/>
      <c r="M30" s="554"/>
      <c r="N30" s="554"/>
      <c r="O30" s="554"/>
      <c r="P30" s="554"/>
      <c r="Q30" s="554"/>
      <c r="R30" s="554"/>
      <c r="S30" s="554"/>
      <c r="T30" s="554"/>
      <c r="U30" s="554"/>
      <c r="V30" s="554"/>
      <c r="W30" s="554"/>
      <c r="X30" s="554"/>
      <c r="Y30" s="554"/>
      <c r="Z30" s="554"/>
      <c r="AA30" s="554"/>
      <c r="AB30" s="554"/>
      <c r="AC30" s="554"/>
      <c r="AD30" s="554"/>
      <c r="AE30" s="554"/>
      <c r="AF30" s="554"/>
      <c r="AG30" s="554"/>
      <c r="AH30" s="554"/>
      <c r="AI30" s="554"/>
      <c r="AJ30" s="554"/>
      <c r="AK30" s="554"/>
      <c r="AL30" s="554"/>
      <c r="AM30" s="554"/>
      <c r="AN30" s="554"/>
      <c r="AO30" s="554"/>
      <c r="AP30" s="554"/>
      <c r="AQ30" s="554"/>
      <c r="AR30" s="554"/>
      <c r="AS30" s="554"/>
      <c r="AT30" s="554"/>
      <c r="AU30" s="554"/>
      <c r="AV30" s="554"/>
      <c r="AW30" s="554"/>
      <c r="AX30" s="554"/>
      <c r="AY30" s="554"/>
      <c r="AZ30" s="554"/>
      <c r="BA30" s="554"/>
      <c r="BB30" s="554"/>
      <c r="BC30" s="74"/>
      <c r="BD30" s="9"/>
      <c r="BE30" s="9"/>
      <c r="BF30" s="9"/>
      <c r="BG30" s="9"/>
      <c r="BH30" s="9"/>
      <c r="BI30" s="9"/>
      <c r="BJ30" s="9"/>
      <c r="BK30" s="9"/>
      <c r="BL30" s="10"/>
      <c r="BM30" s="9"/>
      <c r="BN30" s="9"/>
      <c r="BO30" s="9"/>
      <c r="BP30" s="9"/>
      <c r="BQ30" s="9" t="str">
        <f>IF(OR(IFERROR(VLOOKUP(CA30,#REF!,MATCH("Price To Earnings",#REF!,0),FALSE),"-")&lt;0,IFERROR(VLOOKUP(CA30,#REF!,MATCH("Price To Earnings",#REF!,0),FALSE),"-")&gt;500),"-",IFERROR(VLOOKUP(CA30,#REF!,MATCH("Price To Earnings",#REF!,0),FALSE),"-"))</f>
        <v>-</v>
      </c>
      <c r="BR30" s="9"/>
      <c r="BS30" s="9"/>
      <c r="BT30" s="9"/>
      <c r="BU30" s="9"/>
      <c r="BV30" s="9"/>
      <c r="CD30" s="92"/>
    </row>
    <row r="31" spans="1:82" ht="20.100000000000001" customHeight="1" x14ac:dyDescent="0.2">
      <c r="A31" s="559" t="s">
        <v>242</v>
      </c>
      <c r="B31" s="559"/>
      <c r="C31" s="559"/>
      <c r="D31" s="559"/>
      <c r="E31" s="559"/>
      <c r="F31" s="559"/>
      <c r="G31" s="559"/>
      <c r="H31" s="559"/>
      <c r="I31" s="559"/>
      <c r="J31" s="559"/>
      <c r="K31" s="559"/>
      <c r="L31" s="559"/>
      <c r="M31" s="559"/>
      <c r="N31" s="559"/>
      <c r="O31" s="559"/>
      <c r="P31" s="559"/>
      <c r="Q31" s="559"/>
      <c r="R31" s="559"/>
      <c r="S31" s="559"/>
      <c r="T31" s="559"/>
      <c r="U31" s="559"/>
      <c r="V31" s="559"/>
      <c r="W31" s="559"/>
      <c r="X31" s="559"/>
      <c r="Y31" s="559"/>
      <c r="Z31" s="559"/>
      <c r="AA31" s="559"/>
      <c r="AB31" s="559"/>
      <c r="AC31" s="559"/>
      <c r="AD31" s="559"/>
      <c r="AE31" s="559"/>
      <c r="AF31" s="559"/>
      <c r="AG31" s="559"/>
      <c r="AH31" s="559"/>
      <c r="AI31" s="559"/>
      <c r="AJ31" s="559"/>
      <c r="AK31" s="559"/>
      <c r="AL31" s="559"/>
      <c r="AM31" s="559"/>
      <c r="AN31" s="559"/>
      <c r="AO31" s="559"/>
      <c r="AP31" s="559"/>
      <c r="AQ31" s="559"/>
      <c r="AR31" s="559"/>
      <c r="AS31" s="559"/>
      <c r="AT31" s="559"/>
      <c r="AU31" s="559"/>
      <c r="AV31" s="559"/>
      <c r="AW31" s="559"/>
      <c r="AX31" s="559"/>
      <c r="AY31" s="559"/>
      <c r="AZ31" s="559"/>
      <c r="BA31" s="559"/>
      <c r="BB31" s="559"/>
      <c r="BC31" s="74"/>
      <c r="BD31" s="9"/>
      <c r="BE31" s="9"/>
      <c r="BF31" s="9"/>
      <c r="BG31" s="9"/>
      <c r="BH31" s="9"/>
      <c r="BI31" s="9"/>
      <c r="BJ31" s="9"/>
      <c r="BK31" s="9"/>
      <c r="BL31" s="10"/>
      <c r="BM31" s="9"/>
      <c r="BN31" s="9"/>
      <c r="BO31" s="9"/>
      <c r="BP31" s="9"/>
      <c r="BQ31" s="9" t="str">
        <f>IF(OR(IFERROR(VLOOKUP(CA31,#REF!,MATCH("Price To Earnings",#REF!,0),FALSE),"-")&lt;0,IFERROR(VLOOKUP(CA31,#REF!,MATCH("Price To Earnings",#REF!,0),FALSE),"-")&gt;500),"-",IFERROR(VLOOKUP(CA31,#REF!,MATCH("Price To Earnings",#REF!,0),FALSE),"-"))</f>
        <v>-</v>
      </c>
      <c r="BR31" s="9"/>
      <c r="BS31" s="9"/>
      <c r="BT31" s="9"/>
      <c r="BU31" s="9"/>
      <c r="BV31" s="9"/>
      <c r="CD31" s="92"/>
    </row>
    <row r="32" spans="1:82" ht="20.100000000000001" customHeight="1" x14ac:dyDescent="0.2">
      <c r="A32" s="556" t="s">
        <v>243</v>
      </c>
      <c r="B32" s="556"/>
      <c r="C32" s="556"/>
      <c r="D32" s="556"/>
      <c r="E32" s="556"/>
      <c r="F32" s="556"/>
      <c r="G32" s="556"/>
      <c r="H32" s="556"/>
      <c r="I32" s="556"/>
      <c r="J32" s="556"/>
      <c r="K32" s="556"/>
      <c r="L32" s="556"/>
      <c r="M32" s="556"/>
      <c r="N32" s="556"/>
      <c r="O32" s="556"/>
      <c r="P32" s="556"/>
      <c r="Q32" s="556"/>
      <c r="R32" s="556"/>
      <c r="S32" s="556"/>
      <c r="T32" s="556"/>
      <c r="U32" s="556"/>
      <c r="V32" s="556"/>
      <c r="W32" s="556"/>
      <c r="X32" s="556"/>
      <c r="Y32" s="556"/>
      <c r="Z32" s="556"/>
      <c r="AA32" s="556"/>
      <c r="AB32" s="556"/>
      <c r="AC32" s="556"/>
      <c r="AD32" s="556"/>
      <c r="AE32" s="556"/>
      <c r="AF32" s="556"/>
      <c r="AG32" s="556"/>
      <c r="AH32" s="556"/>
      <c r="AI32" s="556"/>
      <c r="AJ32" s="556"/>
      <c r="AK32" s="556"/>
      <c r="AL32" s="556"/>
      <c r="AM32" s="556"/>
      <c r="AN32" s="556"/>
      <c r="AO32" s="556"/>
      <c r="AP32" s="556"/>
      <c r="AQ32" s="556"/>
      <c r="AR32" s="556"/>
      <c r="AS32" s="556"/>
      <c r="AT32" s="556"/>
      <c r="AU32" s="556"/>
      <c r="AV32" s="556"/>
      <c r="AW32" s="556"/>
      <c r="AX32" s="556"/>
      <c r="AY32" s="556"/>
      <c r="AZ32" s="556"/>
      <c r="BA32" s="556"/>
      <c r="BB32" s="556"/>
      <c r="BC32" s="205"/>
      <c r="BD32" s="9"/>
      <c r="BE32" s="9"/>
      <c r="BF32" s="9"/>
      <c r="BG32" s="9"/>
      <c r="BH32" s="9"/>
      <c r="BI32" s="9"/>
      <c r="BJ32" s="9"/>
      <c r="BK32" s="9"/>
      <c r="BL32" s="10"/>
      <c r="BM32" s="9"/>
      <c r="BN32" s="9"/>
      <c r="BO32" s="9"/>
      <c r="BP32" s="9"/>
      <c r="BQ32" s="9" t="str">
        <f>IF(OR(IFERROR(VLOOKUP(CA32,#REF!,MATCH("Price To Earnings",#REF!,0),FALSE),"-")&lt;0,IFERROR(VLOOKUP(CA32,#REF!,MATCH("Price To Earnings",#REF!,0),FALSE),"-")&gt;500),"-",IFERROR(VLOOKUP(CA32,#REF!,MATCH("Price To Earnings",#REF!,0),FALSE),"-"))</f>
        <v>-</v>
      </c>
      <c r="BR32" s="9"/>
      <c r="BS32" s="9"/>
      <c r="BT32" s="9"/>
      <c r="BU32" s="9"/>
      <c r="BV32" s="9"/>
    </row>
    <row r="33" spans="1:75" ht="20.100000000000001" customHeight="1" x14ac:dyDescent="0.2">
      <c r="A33" s="556"/>
      <c r="B33" s="556"/>
      <c r="C33" s="556"/>
      <c r="D33" s="556"/>
      <c r="E33" s="556"/>
      <c r="F33" s="556"/>
      <c r="G33" s="556"/>
      <c r="H33" s="556"/>
      <c r="I33" s="556"/>
      <c r="J33" s="556"/>
      <c r="K33" s="556"/>
      <c r="L33" s="556"/>
      <c r="M33" s="557"/>
      <c r="N33" s="556"/>
      <c r="O33" s="556"/>
      <c r="P33" s="556"/>
      <c r="Q33" s="556"/>
      <c r="R33" s="556"/>
      <c r="S33" s="556"/>
      <c r="T33" s="556"/>
      <c r="U33" s="556"/>
      <c r="V33" s="556"/>
      <c r="W33" s="556"/>
      <c r="X33" s="556"/>
      <c r="Y33" s="556"/>
      <c r="Z33" s="556"/>
      <c r="AA33" s="556"/>
      <c r="AB33" s="556"/>
      <c r="AC33" s="556"/>
      <c r="AD33" s="556"/>
      <c r="AE33" s="556"/>
      <c r="AF33" s="556"/>
      <c r="AG33" s="556"/>
      <c r="AH33" s="556"/>
      <c r="AI33" s="556"/>
      <c r="AJ33" s="556"/>
      <c r="AK33" s="556"/>
      <c r="AL33" s="556"/>
      <c r="AM33" s="556"/>
      <c r="AN33" s="556"/>
      <c r="AO33" s="556"/>
      <c r="AP33" s="556"/>
      <c r="AQ33" s="556"/>
      <c r="AR33" s="556"/>
      <c r="AS33" s="556"/>
      <c r="AT33" s="556"/>
      <c r="AU33" s="556"/>
      <c r="AV33" s="556"/>
      <c r="AW33" s="556"/>
      <c r="AX33" s="556"/>
      <c r="AY33" s="556"/>
      <c r="AZ33" s="556"/>
      <c r="BA33" s="556"/>
      <c r="BB33" s="556"/>
      <c r="BC33" s="205"/>
      <c r="BD33" s="9"/>
      <c r="BE33" s="9"/>
      <c r="BF33" s="9"/>
      <c r="BG33" s="9"/>
      <c r="BH33" s="9"/>
      <c r="BI33" s="9"/>
      <c r="BJ33" s="9"/>
      <c r="BK33" s="9"/>
      <c r="BL33" s="10"/>
      <c r="BM33" s="9"/>
      <c r="BN33" s="9"/>
      <c r="BO33" s="9"/>
      <c r="BP33" s="9"/>
      <c r="BQ33" s="9" t="str">
        <f>IF(OR(IFERROR(VLOOKUP(CA33,#REF!,MATCH("Price To Earnings",#REF!,0),FALSE),"-")&lt;0,IFERROR(VLOOKUP(CA33,#REF!,MATCH("Price To Earnings",#REF!,0),FALSE),"-")&gt;500),"-",IFERROR(VLOOKUP(CA33,#REF!,MATCH("Price To Earnings",#REF!,0),FALSE),"-"))</f>
        <v>-</v>
      </c>
      <c r="BR33" s="9"/>
      <c r="BS33" s="9"/>
      <c r="BT33" s="9"/>
      <c r="BU33" s="9"/>
      <c r="BV33" s="9"/>
    </row>
    <row r="34" spans="1:75" ht="10.5" customHeight="1" x14ac:dyDescent="0.2">
      <c r="A34" s="556" t="s">
        <v>244</v>
      </c>
      <c r="B34" s="556"/>
      <c r="C34" s="556"/>
      <c r="D34" s="556"/>
      <c r="E34" s="556"/>
      <c r="F34" s="556"/>
      <c r="G34" s="556"/>
      <c r="H34" s="556"/>
      <c r="I34" s="556"/>
      <c r="J34" s="556"/>
      <c r="K34" s="556"/>
      <c r="L34" s="556"/>
      <c r="M34" s="556"/>
      <c r="N34" s="556"/>
      <c r="O34" s="556"/>
      <c r="P34" s="556"/>
      <c r="Q34" s="556"/>
      <c r="R34" s="556"/>
      <c r="S34" s="556"/>
      <c r="T34" s="556"/>
      <c r="U34" s="556"/>
      <c r="V34" s="556"/>
      <c r="W34" s="556"/>
      <c r="X34" s="556"/>
      <c r="Y34" s="556"/>
      <c r="Z34" s="556"/>
      <c r="AA34" s="556"/>
      <c r="AB34" s="556"/>
      <c r="AC34" s="556"/>
      <c r="AD34" s="556"/>
      <c r="AE34" s="556"/>
      <c r="AF34" s="556"/>
      <c r="AG34" s="556"/>
      <c r="AH34" s="556"/>
      <c r="AI34" s="556"/>
      <c r="AJ34" s="556"/>
      <c r="AK34" s="556"/>
      <c r="AL34" s="556"/>
      <c r="AM34" s="556"/>
      <c r="AN34" s="556"/>
      <c r="AO34" s="556"/>
      <c r="AP34" s="556"/>
      <c r="AQ34" s="556"/>
      <c r="AR34" s="556"/>
      <c r="AS34" s="556"/>
      <c r="AT34" s="556"/>
      <c r="AU34" s="556"/>
      <c r="AV34" s="556"/>
      <c r="AW34" s="556"/>
      <c r="AX34" s="556"/>
      <c r="AY34" s="556"/>
      <c r="AZ34" s="556"/>
      <c r="BA34" s="556"/>
      <c r="BB34" s="556"/>
      <c r="BC34" s="205"/>
      <c r="BD34" s="9"/>
      <c r="BE34" s="9"/>
      <c r="BF34" s="9"/>
      <c r="BG34" s="9"/>
      <c r="BH34" s="9"/>
      <c r="BI34" s="9"/>
      <c r="BJ34" s="9"/>
      <c r="BK34" s="9"/>
      <c r="BL34" s="10"/>
      <c r="BM34" s="9"/>
      <c r="BN34" s="9"/>
      <c r="BO34" s="9"/>
      <c r="BP34" s="9"/>
      <c r="BQ34" s="9" t="str">
        <f>IF(OR(IFERROR(VLOOKUP(CA34,#REF!,MATCH("Price To Earnings",#REF!,0),FALSE),"-")&lt;0,IFERROR(VLOOKUP(CA34,#REF!,MATCH("Price To Earnings",#REF!,0),FALSE),"-")&gt;500),"-",IFERROR(VLOOKUP(CA34,#REF!,MATCH("Price To Earnings",#REF!,0),FALSE),"-"))</f>
        <v>-</v>
      </c>
      <c r="BR34" s="9"/>
      <c r="BS34" s="9"/>
      <c r="BT34" s="9"/>
      <c r="BU34" s="9"/>
      <c r="BV34" s="9"/>
    </row>
    <row r="35" spans="1:75" ht="20.100000000000001" customHeight="1" x14ac:dyDescent="0.2">
      <c r="A35" s="556"/>
      <c r="B35" s="556"/>
      <c r="C35" s="556"/>
      <c r="D35" s="556"/>
      <c r="E35" s="556"/>
      <c r="F35" s="556"/>
      <c r="G35" s="556"/>
      <c r="H35" s="556"/>
      <c r="I35" s="556"/>
      <c r="J35" s="556"/>
      <c r="K35" s="556"/>
      <c r="L35" s="556"/>
      <c r="M35" s="556"/>
      <c r="N35" s="556"/>
      <c r="O35" s="556"/>
      <c r="P35" s="556"/>
      <c r="Q35" s="556"/>
      <c r="R35" s="556"/>
      <c r="S35" s="556"/>
      <c r="T35" s="556"/>
      <c r="U35" s="556"/>
      <c r="V35" s="556"/>
      <c r="W35" s="556"/>
      <c r="X35" s="556"/>
      <c r="Y35" s="556"/>
      <c r="Z35" s="556"/>
      <c r="AA35" s="556"/>
      <c r="AB35" s="556"/>
      <c r="AC35" s="556"/>
      <c r="AD35" s="556"/>
      <c r="AE35" s="556"/>
      <c r="AF35" s="556"/>
      <c r="AG35" s="556"/>
      <c r="AH35" s="556"/>
      <c r="AI35" s="556"/>
      <c r="AJ35" s="556"/>
      <c r="AK35" s="556"/>
      <c r="AL35" s="556"/>
      <c r="AM35" s="556"/>
      <c r="AN35" s="556"/>
      <c r="AO35" s="556"/>
      <c r="AP35" s="556"/>
      <c r="AQ35" s="556"/>
      <c r="AR35" s="556"/>
      <c r="AS35" s="556"/>
      <c r="AT35" s="556"/>
      <c r="AU35" s="556"/>
      <c r="AV35" s="556"/>
      <c r="AW35" s="556"/>
      <c r="AX35" s="556"/>
      <c r="AY35" s="556"/>
      <c r="AZ35" s="556"/>
      <c r="BA35" s="556"/>
      <c r="BB35" s="556"/>
      <c r="BC35" s="205"/>
      <c r="BD35" s="9"/>
      <c r="BE35" s="9"/>
      <c r="BF35" s="9"/>
      <c r="BG35" s="9"/>
      <c r="BH35" s="9"/>
      <c r="BI35" s="9"/>
      <c r="BJ35" s="9"/>
      <c r="BK35" s="9"/>
      <c r="BL35" s="10"/>
      <c r="BM35" s="9"/>
      <c r="BN35" s="9"/>
      <c r="BO35" s="9"/>
      <c r="BP35" s="9"/>
      <c r="BQ35" s="9"/>
      <c r="BR35" s="9"/>
      <c r="BS35" s="9"/>
      <c r="BT35" s="9"/>
      <c r="BU35" s="9"/>
      <c r="BV35" s="9"/>
    </row>
    <row r="36" spans="1:75" ht="12" customHeight="1" x14ac:dyDescent="0.2">
      <c r="A36" s="554" t="s">
        <v>245</v>
      </c>
      <c r="B36" s="554"/>
      <c r="C36" s="554"/>
      <c r="D36" s="554"/>
      <c r="E36" s="554"/>
      <c r="F36" s="554"/>
      <c r="G36" s="554"/>
      <c r="H36" s="554"/>
      <c r="I36" s="554"/>
      <c r="J36" s="554"/>
      <c r="K36" s="554"/>
      <c r="L36" s="554"/>
      <c r="M36" s="554"/>
      <c r="N36" s="554"/>
      <c r="O36" s="554"/>
      <c r="P36" s="554"/>
      <c r="Q36" s="554"/>
      <c r="R36" s="554"/>
      <c r="S36" s="554"/>
      <c r="T36" s="554"/>
      <c r="U36" s="554"/>
      <c r="V36" s="554"/>
      <c r="W36" s="554"/>
      <c r="X36" s="554"/>
      <c r="Y36" s="554"/>
      <c r="Z36" s="554"/>
      <c r="AA36" s="554"/>
      <c r="AB36" s="554"/>
      <c r="AC36" s="554"/>
      <c r="AD36" s="554"/>
      <c r="AE36" s="554"/>
      <c r="AF36" s="554"/>
      <c r="AG36" s="554"/>
      <c r="AH36" s="554"/>
      <c r="AI36" s="554"/>
      <c r="AJ36" s="554"/>
      <c r="AK36" s="554"/>
      <c r="AL36" s="554"/>
      <c r="AM36" s="554"/>
      <c r="AN36" s="554"/>
      <c r="AO36" s="554"/>
      <c r="AP36" s="554"/>
      <c r="AQ36" s="554"/>
      <c r="AR36" s="554"/>
      <c r="AS36" s="554"/>
      <c r="AT36" s="554"/>
      <c r="AU36" s="554"/>
      <c r="AV36" s="554"/>
      <c r="AW36" s="554"/>
      <c r="AX36" s="554"/>
      <c r="AY36" s="554"/>
      <c r="AZ36" s="554"/>
      <c r="BA36" s="554"/>
      <c r="BB36" s="554"/>
      <c r="BC36" s="205"/>
      <c r="BD36" s="9"/>
      <c r="BE36" s="9"/>
      <c r="BF36" s="9"/>
      <c r="BG36" s="9"/>
      <c r="BH36" s="9"/>
      <c r="BI36" s="9"/>
      <c r="BJ36" s="9"/>
      <c r="BK36" s="9"/>
      <c r="BL36" s="10"/>
      <c r="BM36" s="9"/>
      <c r="BN36" s="9"/>
      <c r="BO36" s="9"/>
      <c r="BP36" s="9"/>
      <c r="BQ36" s="9" t="str">
        <f>IF(OR(IFERROR(VLOOKUP(CA36,#REF!,MATCH("Price To Earnings",#REF!,0),FALSE),"-")&lt;0,IFERROR(VLOOKUP(CA36,#REF!,MATCH("Price To Earnings",#REF!,0),FALSE),"-")&gt;500),"-",IFERROR(VLOOKUP(CA36,#REF!,MATCH("Price To Earnings",#REF!,0),FALSE),"-"))</f>
        <v>-</v>
      </c>
      <c r="BR36" s="9"/>
      <c r="BS36" s="9"/>
      <c r="BT36" s="9"/>
      <c r="BU36" s="9"/>
      <c r="BV36" s="9"/>
    </row>
    <row r="37" spans="1:75" ht="15" customHeight="1" x14ac:dyDescent="0.2">
      <c r="A37" s="556" t="s">
        <v>246</v>
      </c>
      <c r="B37" s="556"/>
      <c r="C37" s="556"/>
      <c r="D37" s="556"/>
      <c r="E37" s="556"/>
      <c r="F37" s="556"/>
      <c r="G37" s="556"/>
      <c r="H37" s="556"/>
      <c r="I37" s="556"/>
      <c r="J37" s="556"/>
      <c r="K37" s="556"/>
      <c r="L37" s="556"/>
      <c r="M37" s="556"/>
      <c r="N37" s="556"/>
      <c r="O37" s="556"/>
      <c r="P37" s="556"/>
      <c r="Q37" s="556"/>
      <c r="R37" s="556"/>
      <c r="S37" s="556"/>
      <c r="T37" s="556"/>
      <c r="U37" s="556"/>
      <c r="V37" s="556"/>
      <c r="W37" s="556"/>
      <c r="X37" s="556"/>
      <c r="Y37" s="556"/>
      <c r="Z37" s="556"/>
      <c r="AA37" s="556"/>
      <c r="AB37" s="556"/>
      <c r="AC37" s="556"/>
      <c r="AD37" s="556"/>
      <c r="AE37" s="556"/>
      <c r="AF37" s="556"/>
      <c r="AG37" s="556"/>
      <c r="AH37" s="556"/>
      <c r="AI37" s="556"/>
      <c r="AJ37" s="556"/>
      <c r="AK37" s="556"/>
      <c r="AL37" s="556"/>
      <c r="AM37" s="556"/>
      <c r="AN37" s="556"/>
      <c r="AO37" s="556"/>
      <c r="AP37" s="556"/>
      <c r="AQ37" s="556"/>
      <c r="AR37" s="556"/>
      <c r="AS37" s="556"/>
      <c r="AT37" s="556"/>
      <c r="AU37" s="556"/>
      <c r="AV37" s="556"/>
      <c r="AW37" s="556"/>
      <c r="AX37" s="556"/>
      <c r="AY37" s="556"/>
      <c r="AZ37" s="556"/>
      <c r="BA37" s="556"/>
      <c r="BB37" s="556"/>
      <c r="BC37" s="205"/>
      <c r="BD37" s="9"/>
      <c r="BE37" s="9"/>
      <c r="BF37" s="9"/>
      <c r="BG37" s="9"/>
      <c r="BH37" s="9"/>
      <c r="BI37" s="9"/>
      <c r="BJ37" s="9"/>
      <c r="BK37" s="9"/>
      <c r="BL37" s="10"/>
      <c r="BM37" s="9"/>
      <c r="BN37" s="9"/>
      <c r="BO37" s="9"/>
      <c r="BP37" s="9"/>
      <c r="BQ37" s="9"/>
      <c r="BR37" s="9"/>
      <c r="BS37" s="9"/>
      <c r="BT37" s="9"/>
      <c r="BU37" s="9"/>
      <c r="BV37" s="9"/>
    </row>
    <row r="38" spans="1:75" ht="15.75" customHeight="1" x14ac:dyDescent="0.2">
      <c r="A38" s="554" t="s">
        <v>252</v>
      </c>
      <c r="B38" s="554"/>
      <c r="C38" s="554"/>
      <c r="D38" s="554"/>
      <c r="E38" s="554"/>
      <c r="F38" s="554"/>
      <c r="G38" s="554"/>
      <c r="H38" s="554"/>
      <c r="I38" s="554"/>
      <c r="J38" s="554"/>
      <c r="K38" s="554"/>
      <c r="L38" s="554"/>
      <c r="M38" s="554"/>
      <c r="N38" s="554"/>
      <c r="O38" s="554"/>
      <c r="P38" s="554"/>
      <c r="Q38" s="554"/>
      <c r="R38" s="554"/>
      <c r="S38" s="554"/>
      <c r="T38" s="554"/>
      <c r="U38" s="554"/>
      <c r="V38" s="554"/>
      <c r="W38" s="554"/>
      <c r="X38" s="554"/>
      <c r="Y38" s="554"/>
      <c r="Z38" s="554"/>
      <c r="AA38" s="554"/>
      <c r="AB38" s="554"/>
      <c r="AC38" s="554"/>
      <c r="AD38" s="554"/>
      <c r="AE38" s="554"/>
      <c r="AF38" s="554"/>
      <c r="AG38" s="554"/>
      <c r="AH38" s="554"/>
      <c r="AI38" s="554"/>
      <c r="AJ38" s="554"/>
      <c r="AK38" s="554"/>
      <c r="AL38" s="554"/>
      <c r="AM38" s="554"/>
      <c r="AN38" s="554"/>
      <c r="AO38" s="554"/>
      <c r="AP38" s="554"/>
      <c r="AQ38" s="554"/>
      <c r="AR38" s="554"/>
      <c r="AS38" s="554"/>
      <c r="AT38" s="554"/>
      <c r="AU38" s="554"/>
      <c r="AV38" s="554"/>
      <c r="AW38" s="554"/>
      <c r="AX38" s="554"/>
      <c r="AY38" s="554"/>
      <c r="AZ38" s="554"/>
      <c r="BA38" s="554"/>
      <c r="BB38" s="554"/>
      <c r="BC38" s="205"/>
      <c r="BD38" s="9"/>
      <c r="BE38" s="9"/>
      <c r="BF38" s="9"/>
      <c r="BG38" s="9"/>
      <c r="BH38" s="9"/>
      <c r="BI38" s="9"/>
      <c r="BJ38" s="9"/>
      <c r="BK38" s="9"/>
      <c r="BL38" s="10"/>
      <c r="BM38" s="9"/>
      <c r="BN38" s="9"/>
      <c r="BO38" s="9"/>
      <c r="BP38" s="9"/>
      <c r="BQ38" s="9" t="str">
        <f>IF(OR(IFERROR(VLOOKUP(CA38,#REF!,MATCH("Price To Earnings",#REF!,0),FALSE),"-")&lt;0,IFERROR(VLOOKUP(CA38,#REF!,MATCH("Price To Earnings",#REF!,0),FALSE),"-")&gt;500),"-",IFERROR(VLOOKUP(CA38,#REF!,MATCH("Price To Earnings",#REF!,0),FALSE),"-"))</f>
        <v>-</v>
      </c>
      <c r="BR38" s="9"/>
      <c r="BS38" s="9"/>
      <c r="BT38" s="9"/>
      <c r="BU38" s="9"/>
      <c r="BV38" s="9"/>
      <c r="BW38" s="9"/>
    </row>
    <row r="39" spans="1:75" ht="15.75" customHeight="1" x14ac:dyDescent="0.2">
      <c r="A39" s="554" t="s">
        <v>247</v>
      </c>
      <c r="B39" s="554"/>
      <c r="C39" s="554"/>
      <c r="D39" s="554"/>
      <c r="E39" s="554"/>
      <c r="F39" s="554"/>
      <c r="G39" s="554"/>
      <c r="H39" s="554"/>
      <c r="I39" s="554"/>
      <c r="J39" s="554"/>
      <c r="K39" s="554"/>
      <c r="L39" s="554"/>
      <c r="M39" s="554"/>
      <c r="N39" s="554"/>
      <c r="O39" s="554"/>
      <c r="P39" s="554"/>
      <c r="Q39" s="554"/>
      <c r="R39" s="554"/>
      <c r="S39" s="554"/>
      <c r="T39" s="554"/>
      <c r="U39" s="554"/>
      <c r="V39" s="554"/>
      <c r="W39" s="554"/>
      <c r="X39" s="554"/>
      <c r="Y39" s="554"/>
      <c r="Z39" s="554"/>
      <c r="AA39" s="554"/>
      <c r="AB39" s="554"/>
      <c r="AC39" s="554"/>
      <c r="AD39" s="554"/>
      <c r="AE39" s="554"/>
      <c r="AF39" s="554"/>
      <c r="AG39" s="554"/>
      <c r="AH39" s="554"/>
      <c r="AI39" s="554"/>
      <c r="AJ39" s="554"/>
      <c r="AK39" s="554"/>
      <c r="AL39" s="554"/>
      <c r="AM39" s="554"/>
      <c r="AN39" s="554"/>
      <c r="AO39" s="554"/>
      <c r="AP39" s="554"/>
      <c r="AQ39" s="554"/>
      <c r="AR39" s="554"/>
      <c r="AS39" s="554"/>
      <c r="AT39" s="554"/>
      <c r="AU39" s="554"/>
      <c r="AV39" s="554"/>
      <c r="AW39" s="554"/>
      <c r="AX39" s="554"/>
      <c r="AY39" s="554"/>
      <c r="AZ39" s="554"/>
      <c r="BA39" s="554"/>
      <c r="BB39" s="554"/>
      <c r="BC39" s="205"/>
      <c r="BD39" s="9"/>
      <c r="BE39" s="9"/>
      <c r="BF39" s="9"/>
      <c r="BG39" s="9"/>
      <c r="BH39" s="9"/>
      <c r="BI39" s="9"/>
      <c r="BJ39" s="9"/>
      <c r="BK39" s="9"/>
      <c r="BL39" s="10"/>
      <c r="BM39" s="9"/>
      <c r="BN39" s="9"/>
      <c r="BO39" s="9"/>
      <c r="BP39" s="9"/>
      <c r="BQ39" s="9" t="str">
        <f>IF(OR(IFERROR(VLOOKUP(CA39,#REF!,MATCH("Price To Earnings",#REF!,0),FALSE),"-")&lt;0,IFERROR(VLOOKUP(CA39,#REF!,MATCH("Price To Earnings",#REF!,0),FALSE),"-")&gt;500),"-",IFERROR(VLOOKUP(CA39,#REF!,MATCH("Price To Earnings",#REF!,0),FALSE),"-"))</f>
        <v>-</v>
      </c>
      <c r="BR39" s="9"/>
      <c r="BS39" s="9"/>
      <c r="BT39" s="9"/>
      <c r="BU39" s="9"/>
      <c r="BV39" s="9"/>
    </row>
    <row r="40" spans="1:75" ht="18" customHeight="1" x14ac:dyDescent="0.2">
      <c r="A40" s="555" t="s">
        <v>248</v>
      </c>
      <c r="B40" s="555"/>
      <c r="C40" s="555"/>
      <c r="D40" s="555"/>
      <c r="E40" s="555"/>
      <c r="F40" s="555"/>
      <c r="G40" s="555"/>
      <c r="H40" s="555"/>
      <c r="I40" s="555"/>
      <c r="J40" s="555"/>
      <c r="K40" s="555"/>
      <c r="L40" s="555"/>
      <c r="M40" s="555"/>
      <c r="N40" s="555"/>
      <c r="O40" s="555"/>
      <c r="P40" s="555"/>
      <c r="Q40" s="555"/>
      <c r="R40" s="555"/>
      <c r="S40" s="555"/>
      <c r="T40" s="555"/>
      <c r="U40" s="555"/>
      <c r="V40" s="555"/>
      <c r="W40" s="555"/>
      <c r="X40" s="555"/>
      <c r="Y40" s="555"/>
      <c r="Z40" s="555"/>
      <c r="AA40" s="555"/>
      <c r="AB40" s="555"/>
      <c r="AC40" s="555"/>
      <c r="AD40" s="555"/>
      <c r="AE40" s="555"/>
      <c r="AF40" s="555"/>
      <c r="AG40" s="555"/>
      <c r="AH40" s="555"/>
      <c r="AI40" s="555"/>
      <c r="AJ40" s="555"/>
      <c r="AK40" s="555"/>
      <c r="AL40" s="555"/>
      <c r="AM40" s="555"/>
      <c r="AN40" s="555"/>
      <c r="AO40" s="555"/>
      <c r="AP40" s="555"/>
      <c r="AQ40" s="555"/>
      <c r="AR40" s="555"/>
      <c r="AS40" s="555"/>
      <c r="AT40" s="555"/>
      <c r="AU40" s="555"/>
      <c r="AV40" s="555"/>
      <c r="AW40" s="555"/>
      <c r="AX40" s="555"/>
      <c r="AY40" s="555"/>
      <c r="AZ40" s="555"/>
      <c r="BA40" s="555"/>
      <c r="BB40" s="555"/>
      <c r="BC40" s="555"/>
      <c r="BD40" s="9"/>
      <c r="BE40" s="9"/>
      <c r="BF40" s="9"/>
      <c r="BG40" s="9"/>
      <c r="BH40" s="9"/>
      <c r="BI40" s="9"/>
      <c r="BJ40" s="9"/>
      <c r="BK40" s="9"/>
      <c r="BL40" s="10"/>
      <c r="BM40" s="9"/>
      <c r="BN40" s="9"/>
      <c r="BO40" s="9"/>
      <c r="BP40" s="9"/>
      <c r="BQ40" s="9"/>
      <c r="BR40" s="9"/>
      <c r="BS40" s="9"/>
      <c r="BT40" s="9"/>
      <c r="BU40" s="9"/>
      <c r="BV40" s="9"/>
    </row>
    <row r="41" spans="1:75" ht="18" customHeight="1" x14ac:dyDescent="0.2">
      <c r="A41" s="555"/>
      <c r="B41" s="555"/>
      <c r="C41" s="555"/>
      <c r="D41" s="555"/>
      <c r="E41" s="555"/>
      <c r="F41" s="555"/>
      <c r="G41" s="555"/>
      <c r="H41" s="555"/>
      <c r="I41" s="555"/>
      <c r="J41" s="555"/>
      <c r="K41" s="555"/>
      <c r="L41" s="555"/>
      <c r="M41" s="555"/>
      <c r="N41" s="555"/>
      <c r="O41" s="555"/>
      <c r="P41" s="555"/>
      <c r="Q41" s="555"/>
      <c r="R41" s="555"/>
      <c r="S41" s="555"/>
      <c r="T41" s="555"/>
      <c r="U41" s="555"/>
      <c r="V41" s="555"/>
      <c r="W41" s="555"/>
      <c r="X41" s="555"/>
      <c r="Y41" s="555"/>
      <c r="Z41" s="555"/>
      <c r="AA41" s="555"/>
      <c r="AB41" s="555"/>
      <c r="AC41" s="555"/>
      <c r="AD41" s="555"/>
      <c r="AE41" s="555"/>
      <c r="AF41" s="555"/>
      <c r="AG41" s="555"/>
      <c r="AH41" s="555"/>
      <c r="AI41" s="555"/>
      <c r="AJ41" s="555"/>
      <c r="AK41" s="555"/>
      <c r="AL41" s="555"/>
      <c r="AM41" s="555"/>
      <c r="AN41" s="555"/>
      <c r="AO41" s="555"/>
      <c r="AP41" s="555"/>
      <c r="AQ41" s="555"/>
      <c r="AR41" s="555"/>
      <c r="AS41" s="555"/>
      <c r="AT41" s="555"/>
      <c r="AU41" s="555"/>
      <c r="AV41" s="555"/>
      <c r="AW41" s="555"/>
      <c r="AX41" s="555"/>
      <c r="AY41" s="555"/>
      <c r="AZ41" s="555"/>
      <c r="BA41" s="555"/>
      <c r="BB41" s="555"/>
      <c r="BC41" s="555"/>
      <c r="BD41" s="9"/>
      <c r="BE41" s="9"/>
      <c r="BF41" s="9"/>
      <c r="BG41" s="9"/>
      <c r="BH41" s="9"/>
      <c r="BI41" s="9"/>
      <c r="BJ41" s="9"/>
      <c r="BK41" s="9"/>
      <c r="BL41" s="10"/>
      <c r="BM41" s="9"/>
      <c r="BN41" s="9"/>
      <c r="BO41" s="9"/>
      <c r="BP41" s="9"/>
      <c r="BQ41" s="9" t="str">
        <f>IF(OR(IFERROR(VLOOKUP(CA41,#REF!,MATCH("Price To Earnings",#REF!,0),FALSE),"-")&lt;0,IFERROR(VLOOKUP(CA41,#REF!,MATCH("Price To Earnings",#REF!,0),FALSE),"-")&gt;500),"-",IFERROR(VLOOKUP(CA41,#REF!,MATCH("Price To Earnings",#REF!,0),FALSE),"-"))</f>
        <v>-</v>
      </c>
      <c r="BR41" s="9"/>
      <c r="BS41" s="9"/>
      <c r="BT41" s="9"/>
      <c r="BU41" s="9"/>
      <c r="BV41" s="9"/>
    </row>
    <row r="42" spans="1:75" ht="19.5" customHeight="1" x14ac:dyDescent="0.25">
      <c r="A42" s="206" t="s">
        <v>249</v>
      </c>
      <c r="B42" s="206"/>
      <c r="C42" s="206"/>
      <c r="D42" s="206"/>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206"/>
      <c r="AE42" s="206"/>
      <c r="AF42" s="206"/>
      <c r="AG42" s="206"/>
      <c r="AH42" s="206"/>
      <c r="AI42" s="206"/>
      <c r="AJ42" s="206"/>
      <c r="AK42" s="178"/>
      <c r="AL42" s="206"/>
      <c r="AM42" s="206"/>
      <c r="AN42" s="206"/>
      <c r="AO42" s="206"/>
      <c r="AP42" s="206"/>
      <c r="AQ42" s="206"/>
      <c r="AR42" s="206"/>
      <c r="AS42" s="206"/>
      <c r="AT42" s="206"/>
      <c r="AU42" s="206"/>
      <c r="AV42" s="206"/>
      <c r="AW42" s="206"/>
      <c r="AX42" s="206"/>
      <c r="AY42" s="206"/>
      <c r="AZ42" s="206"/>
      <c r="BA42" s="206"/>
      <c r="BB42" s="206"/>
      <c r="BC42" s="205"/>
      <c r="BD42" s="9"/>
      <c r="BE42" s="9"/>
      <c r="BF42" s="9"/>
      <c r="BG42" s="9"/>
      <c r="BH42" s="9"/>
      <c r="BI42" s="9"/>
      <c r="BJ42" s="9"/>
      <c r="BK42" s="9"/>
      <c r="BL42" s="10"/>
      <c r="BM42" s="9"/>
      <c r="BN42" s="9"/>
      <c r="BO42" s="9"/>
      <c r="BP42" s="9"/>
      <c r="BQ42" s="9"/>
      <c r="BR42" s="9"/>
      <c r="BS42" s="9"/>
      <c r="BT42" s="9"/>
      <c r="BU42" s="9"/>
      <c r="BV42" s="9"/>
    </row>
    <row r="43" spans="1:75" ht="23.25" customHeight="1" x14ac:dyDescent="0.2">
      <c r="A43" s="90"/>
      <c r="B43" s="90"/>
      <c r="C43" s="90"/>
      <c r="D43" s="90"/>
      <c r="E43" s="90"/>
      <c r="F43" s="90"/>
      <c r="G43" s="90"/>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0"/>
      <c r="AQ43" s="90"/>
      <c r="AR43" s="90"/>
      <c r="AS43" s="90"/>
      <c r="AT43" s="90"/>
      <c r="AU43" s="90"/>
      <c r="AV43" s="90"/>
      <c r="AW43" s="90"/>
      <c r="AX43" s="90"/>
      <c r="AY43" s="90"/>
      <c r="AZ43" s="90"/>
      <c r="BA43" s="90"/>
      <c r="BB43" s="90"/>
      <c r="BC43" s="74"/>
      <c r="BD43" s="9"/>
      <c r="BE43" s="9"/>
      <c r="BF43" s="9"/>
      <c r="BG43" s="9"/>
      <c r="BH43" s="9"/>
      <c r="BI43" s="9"/>
      <c r="BJ43" s="9"/>
      <c r="BK43" s="9"/>
      <c r="BL43" s="10"/>
      <c r="BM43" s="9"/>
      <c r="BN43" s="9"/>
      <c r="BO43" s="9"/>
      <c r="BP43" s="9"/>
      <c r="BQ43" s="9"/>
      <c r="BR43" s="9"/>
      <c r="BS43" s="9"/>
      <c r="BT43" s="9"/>
      <c r="BU43" s="9"/>
      <c r="BV43" s="9"/>
    </row>
    <row r="44" spans="1:75" ht="14.25" customHeight="1" x14ac:dyDescent="0.2">
      <c r="A44" s="90" t="s">
        <v>250</v>
      </c>
      <c r="B44" s="90"/>
      <c r="C44" s="90"/>
      <c r="D44" s="90"/>
      <c r="E44" s="90"/>
      <c r="F44" s="90"/>
      <c r="G44" s="90"/>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0"/>
      <c r="AQ44" s="90"/>
      <c r="AR44" s="90"/>
      <c r="AS44" s="90"/>
      <c r="AT44" s="90"/>
      <c r="AU44" s="90"/>
      <c r="AV44" s="90"/>
      <c r="AW44" s="90"/>
      <c r="AX44" s="90"/>
      <c r="AY44" s="90"/>
      <c r="AZ44" s="90"/>
      <c r="BA44" s="90"/>
      <c r="BB44" s="90"/>
      <c r="BC44" s="74"/>
      <c r="BD44" s="9"/>
      <c r="BE44" s="9"/>
      <c r="BF44" s="9"/>
      <c r="BG44" s="9"/>
      <c r="BH44" s="9"/>
      <c r="BI44" s="9"/>
      <c r="BJ44" s="9"/>
      <c r="BK44" s="9"/>
      <c r="BL44" s="10"/>
      <c r="BM44" s="9"/>
      <c r="BN44" s="9"/>
      <c r="BO44" s="9"/>
      <c r="BP44" s="9"/>
      <c r="BQ44" s="9" t="str">
        <f>IF(OR(IFERROR(VLOOKUP(CA44,#REF!,MATCH("Price To Earnings",#REF!,0),FALSE),"-")&lt;0,IFERROR(VLOOKUP(CA44,#REF!,MATCH("Price To Earnings",#REF!,0),FALSE),"-")&gt;500),"-",IFERROR(VLOOKUP(CA44,#REF!,MATCH("Price To Earnings",#REF!,0),FALSE),"-"))</f>
        <v>-</v>
      </c>
      <c r="BR44" s="9"/>
      <c r="BS44" s="9"/>
      <c r="BT44" s="9"/>
      <c r="BU44" s="9"/>
      <c r="BV44" s="9"/>
    </row>
    <row r="45" spans="1:75" ht="20.100000000000001" customHeight="1" x14ac:dyDescent="0.2">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164"/>
      <c r="AV45" s="164"/>
      <c r="AW45" s="164"/>
      <c r="AX45" s="9"/>
      <c r="AY45" s="9"/>
      <c r="AZ45" s="9"/>
      <c r="BA45" s="9"/>
      <c r="BB45" s="9"/>
      <c r="BC45" s="10"/>
      <c r="BD45" s="9"/>
      <c r="BE45" s="9"/>
      <c r="BF45" s="9"/>
      <c r="BG45" s="9"/>
      <c r="BH45" s="9"/>
      <c r="BI45" s="9"/>
      <c r="BJ45" s="9"/>
      <c r="BK45" s="9"/>
      <c r="BL45" s="10"/>
      <c r="BM45" s="9"/>
      <c r="BN45" s="9"/>
      <c r="BO45" s="9"/>
      <c r="BP45" s="9"/>
      <c r="BQ45" s="9" t="str">
        <f>IF(OR(IFERROR(VLOOKUP(CA45,#REF!,MATCH("Price To Earnings",#REF!,0),FALSE),"-")&lt;0,IFERROR(VLOOKUP(CA45,#REF!,MATCH("Price To Earnings",#REF!,0),FALSE),"-")&gt;500),"-",IFERROR(VLOOKUP(CA45,#REF!,MATCH("Price To Earnings",#REF!,0),FALSE),"-"))</f>
        <v>-</v>
      </c>
      <c r="BR45" s="9"/>
      <c r="BS45" s="9"/>
      <c r="BT45" s="9"/>
      <c r="BU45" s="9"/>
      <c r="BV45" s="9"/>
    </row>
    <row r="46" spans="1:75" ht="20.100000000000001" customHeight="1" x14ac:dyDescent="0.2">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164"/>
      <c r="AV46" s="164"/>
      <c r="AW46" s="164"/>
      <c r="AX46" s="9"/>
      <c r="AY46" s="9"/>
      <c r="AZ46" s="9"/>
      <c r="BA46" s="9"/>
      <c r="BB46" s="9"/>
      <c r="BC46" s="10"/>
      <c r="BD46" s="9"/>
      <c r="BE46" s="9"/>
      <c r="BF46" s="9"/>
      <c r="BG46" s="9"/>
      <c r="BH46" s="9"/>
      <c r="BI46" s="9"/>
      <c r="BJ46" s="9"/>
      <c r="BK46" s="9"/>
      <c r="BL46" s="10"/>
      <c r="BM46" s="9"/>
      <c r="BN46" s="9"/>
      <c r="BO46" s="9"/>
      <c r="BP46" s="9"/>
      <c r="BQ46" s="9"/>
      <c r="BR46" s="9"/>
      <c r="BS46" s="9"/>
      <c r="BT46" s="9"/>
      <c r="BU46" s="9"/>
      <c r="BV46" s="9"/>
    </row>
    <row r="47" spans="1:75" ht="20.100000000000001" customHeight="1" x14ac:dyDescent="0.2">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c r="AN47" s="84"/>
      <c r="AO47" s="84"/>
      <c r="AP47" s="84"/>
      <c r="AQ47" s="84"/>
      <c r="AR47" s="84"/>
      <c r="AS47" s="84"/>
      <c r="AT47" s="84"/>
      <c r="AU47" s="164"/>
      <c r="AV47" s="164"/>
      <c r="AW47" s="164"/>
      <c r="AX47" s="9"/>
      <c r="AY47" s="9"/>
      <c r="AZ47" s="9"/>
      <c r="BA47" s="9"/>
      <c r="BB47" s="9"/>
      <c r="BC47" s="10"/>
      <c r="BD47" s="9"/>
      <c r="BE47" s="9"/>
      <c r="BF47" s="9"/>
      <c r="BG47" s="9"/>
      <c r="BH47" s="9"/>
      <c r="BI47" s="9"/>
      <c r="BJ47" s="9"/>
      <c r="BK47" s="9"/>
      <c r="BL47" s="10"/>
      <c r="BM47" s="9"/>
      <c r="BN47" s="9"/>
      <c r="BO47" s="9"/>
      <c r="BP47" s="9"/>
      <c r="BQ47" s="9"/>
      <c r="BR47" s="9"/>
      <c r="BS47" s="9"/>
      <c r="BT47" s="9"/>
      <c r="BU47" s="9"/>
      <c r="BV47" s="9"/>
    </row>
    <row r="48" spans="1:75" ht="20.100000000000001" customHeight="1" x14ac:dyDescent="0.25">
      <c r="G48" s="249"/>
      <c r="H48" s="550" t="s">
        <v>90</v>
      </c>
      <c r="I48" s="551"/>
      <c r="J48" s="549" t="s">
        <v>251</v>
      </c>
      <c r="K48" s="550"/>
      <c r="L48" s="550"/>
      <c r="M48" s="550"/>
      <c r="N48" s="550"/>
      <c r="O48" s="550"/>
      <c r="P48" s="550"/>
      <c r="Q48" s="550"/>
      <c r="R48" s="550"/>
      <c r="S48" s="550"/>
      <c r="T48" s="550"/>
      <c r="U48" s="550"/>
      <c r="V48" s="550"/>
      <c r="W48" s="550"/>
      <c r="X48" s="550"/>
      <c r="Y48" s="550"/>
      <c r="Z48" s="550"/>
      <c r="AA48" s="550"/>
      <c r="AB48" s="250"/>
      <c r="AC48" s="250"/>
      <c r="AD48" s="250"/>
      <c r="AE48" s="250"/>
      <c r="AF48" s="550" t="s">
        <v>90</v>
      </c>
      <c r="AG48" s="551"/>
      <c r="AH48" s="549" t="s">
        <v>251</v>
      </c>
      <c r="AI48" s="550"/>
      <c r="AJ48" s="550"/>
      <c r="AK48" s="550"/>
      <c r="AL48" s="550"/>
      <c r="AM48" s="550"/>
      <c r="AN48" s="550"/>
      <c r="AO48" s="550"/>
      <c r="AP48" s="550"/>
      <c r="AQ48" s="550"/>
      <c r="AR48" s="550"/>
      <c r="AS48" s="550"/>
      <c r="AT48" s="550"/>
      <c r="AU48" s="550"/>
      <c r="AV48" s="550"/>
      <c r="AW48" s="550"/>
      <c r="AX48" s="550"/>
      <c r="AY48" s="247"/>
      <c r="AZ48" s="9"/>
      <c r="BA48" s="9"/>
      <c r="BB48" s="9"/>
      <c r="BC48" s="10"/>
      <c r="BD48" s="9"/>
      <c r="BE48" s="9"/>
      <c r="BF48" s="9"/>
      <c r="BG48" s="9"/>
      <c r="BH48" s="9"/>
      <c r="BI48" s="9"/>
      <c r="BJ48" s="9"/>
      <c r="BK48" s="9"/>
      <c r="BL48" s="10"/>
      <c r="BM48" s="9"/>
      <c r="BN48" s="9"/>
      <c r="BO48" s="9"/>
      <c r="BP48" s="9"/>
      <c r="BQ48" s="9"/>
      <c r="BR48" s="9"/>
      <c r="BS48" s="9"/>
      <c r="BT48" s="9"/>
      <c r="BU48" s="9"/>
      <c r="BV48" s="9"/>
    </row>
    <row r="49" spans="7:75" ht="15.95" customHeight="1" x14ac:dyDescent="0.25">
      <c r="G49" s="247"/>
      <c r="H49" s="243" t="s">
        <v>205</v>
      </c>
      <c r="I49" s="244"/>
      <c r="J49" s="238" t="s">
        <v>206</v>
      </c>
      <c r="K49" s="226"/>
      <c r="L49" s="226"/>
      <c r="M49" s="226"/>
      <c r="N49" s="226"/>
      <c r="O49" s="226"/>
      <c r="P49" s="226"/>
      <c r="Q49" s="226"/>
      <c r="R49" s="226"/>
      <c r="S49" s="226"/>
      <c r="T49" s="226"/>
      <c r="U49" s="226"/>
      <c r="V49" s="226"/>
      <c r="W49" s="226"/>
      <c r="X49" s="226"/>
      <c r="Y49" s="226"/>
      <c r="Z49" s="226"/>
      <c r="AA49" s="226"/>
      <c r="AB49" s="226"/>
      <c r="AC49" s="226"/>
      <c r="AD49" s="226"/>
      <c r="AE49" s="226"/>
      <c r="AF49" s="552" t="s">
        <v>214</v>
      </c>
      <c r="AG49" s="553"/>
      <c r="AH49" s="238" t="s">
        <v>215</v>
      </c>
      <c r="AI49" s="226"/>
      <c r="AJ49" s="226"/>
      <c r="AK49" s="226"/>
      <c r="AL49" s="226"/>
      <c r="AM49" s="226"/>
      <c r="AN49" s="226"/>
      <c r="AO49" s="226"/>
      <c r="AP49" s="226"/>
      <c r="AQ49" s="226"/>
      <c r="AR49" s="226"/>
      <c r="AS49" s="226"/>
      <c r="AT49" s="226"/>
      <c r="AU49" s="248"/>
      <c r="AV49" s="248"/>
      <c r="AW49" s="248"/>
      <c r="AX49" s="247"/>
      <c r="AY49" s="247"/>
      <c r="AZ49" s="9"/>
      <c r="BA49" s="9"/>
      <c r="BB49" s="9"/>
      <c r="BC49" s="10"/>
      <c r="BD49" s="9"/>
      <c r="BE49" s="9"/>
      <c r="BF49" s="9"/>
      <c r="BG49" s="9"/>
      <c r="BH49" s="9"/>
      <c r="BI49" s="9"/>
      <c r="BJ49" s="9"/>
      <c r="BK49" s="9"/>
      <c r="BL49" s="10"/>
      <c r="BM49" s="9"/>
      <c r="BN49" s="9"/>
      <c r="BO49" s="9"/>
      <c r="BP49" s="9"/>
      <c r="BQ49" s="9"/>
      <c r="BR49" s="9"/>
      <c r="BS49" s="9"/>
      <c r="BT49" s="9"/>
      <c r="BU49" s="9"/>
      <c r="BV49" s="9"/>
    </row>
    <row r="50" spans="7:75" ht="15.95" customHeight="1" x14ac:dyDescent="0.25">
      <c r="G50" s="247"/>
      <c r="H50" s="245" t="s">
        <v>23</v>
      </c>
      <c r="I50" s="246"/>
      <c r="J50" s="238" t="s">
        <v>91</v>
      </c>
      <c r="K50" s="226"/>
      <c r="L50" s="226"/>
      <c r="M50" s="226"/>
      <c r="N50" s="226"/>
      <c r="O50" s="226"/>
      <c r="P50" s="226"/>
      <c r="Q50" s="226"/>
      <c r="R50" s="226"/>
      <c r="S50" s="226"/>
      <c r="T50" s="226"/>
      <c r="U50" s="226"/>
      <c r="V50" s="226"/>
      <c r="W50" s="226"/>
      <c r="X50" s="226"/>
      <c r="Y50" s="226"/>
      <c r="Z50" s="226"/>
      <c r="AA50" s="226"/>
      <c r="AB50" s="226"/>
      <c r="AC50" s="226"/>
      <c r="AD50" s="226"/>
      <c r="AE50" s="226"/>
      <c r="AF50" s="552" t="s">
        <v>176</v>
      </c>
      <c r="AG50" s="553"/>
      <c r="AH50" s="238" t="s">
        <v>175</v>
      </c>
      <c r="AI50" s="226"/>
      <c r="AJ50" s="226"/>
      <c r="AK50" s="226"/>
      <c r="AL50" s="226"/>
      <c r="AM50" s="226"/>
      <c r="AN50" s="226"/>
      <c r="AO50" s="226"/>
      <c r="AP50" s="226"/>
      <c r="AQ50" s="226"/>
      <c r="AR50" s="226"/>
      <c r="AS50" s="226"/>
      <c r="AT50" s="226"/>
      <c r="AU50" s="248"/>
      <c r="AV50" s="248"/>
      <c r="AW50" s="248"/>
      <c r="AX50" s="247"/>
      <c r="AY50" s="247"/>
      <c r="AZ50" s="9"/>
      <c r="BA50" s="9"/>
      <c r="BB50" s="9"/>
      <c r="BC50" s="10"/>
      <c r="BD50" s="9"/>
      <c r="BE50" s="9"/>
      <c r="BF50" s="9"/>
      <c r="BG50" s="9"/>
      <c r="BH50" s="9"/>
      <c r="BI50" s="9"/>
      <c r="BJ50" s="9"/>
      <c r="BK50" s="9"/>
      <c r="BL50" s="10"/>
      <c r="BM50" s="9"/>
      <c r="BN50" s="9"/>
      <c r="BO50" s="9"/>
      <c r="BP50" s="9"/>
      <c r="BQ50" s="9"/>
      <c r="BR50" s="9"/>
      <c r="BS50" s="9"/>
      <c r="BT50" s="9"/>
      <c r="BU50" s="9"/>
      <c r="BV50" s="9"/>
    </row>
    <row r="51" spans="7:75" ht="15.95" customHeight="1" x14ac:dyDescent="0.25">
      <c r="G51" s="247"/>
      <c r="H51" s="245" t="s">
        <v>24</v>
      </c>
      <c r="I51" s="246"/>
      <c r="J51" s="239" t="s">
        <v>92</v>
      </c>
      <c r="K51" s="226"/>
      <c r="L51" s="226"/>
      <c r="M51" s="226"/>
      <c r="N51" s="226"/>
      <c r="O51" s="226"/>
      <c r="P51" s="226"/>
      <c r="Q51" s="226"/>
      <c r="R51" s="226"/>
      <c r="S51" s="226"/>
      <c r="T51" s="226"/>
      <c r="U51" s="226"/>
      <c r="V51" s="226"/>
      <c r="W51" s="226"/>
      <c r="X51" s="226"/>
      <c r="Y51" s="226"/>
      <c r="Z51" s="226"/>
      <c r="AA51" s="226"/>
      <c r="AB51" s="226"/>
      <c r="AC51" s="226"/>
      <c r="AD51" s="226"/>
      <c r="AE51" s="226"/>
      <c r="AF51" s="552" t="s">
        <v>57</v>
      </c>
      <c r="AG51" s="553"/>
      <c r="AH51" s="238" t="s">
        <v>125</v>
      </c>
      <c r="AI51" s="226"/>
      <c r="AJ51" s="226"/>
      <c r="AK51" s="226"/>
      <c r="AL51" s="226"/>
      <c r="AM51" s="226"/>
      <c r="AN51" s="226"/>
      <c r="AO51" s="226"/>
      <c r="AP51" s="226"/>
      <c r="AQ51" s="226"/>
      <c r="AR51" s="226"/>
      <c r="AS51" s="226"/>
      <c r="AT51" s="226"/>
      <c r="AU51" s="248"/>
      <c r="AV51" s="248"/>
      <c r="AW51" s="248"/>
      <c r="AX51" s="247"/>
      <c r="AY51" s="247"/>
      <c r="AZ51" s="9"/>
      <c r="BA51" s="9"/>
      <c r="BB51" s="9"/>
      <c r="BC51" s="10"/>
      <c r="BD51" s="9"/>
      <c r="BE51" s="9"/>
      <c r="BF51" s="9"/>
      <c r="BG51" s="9"/>
      <c r="BH51" s="9"/>
      <c r="BI51" s="9"/>
      <c r="BJ51" s="9"/>
      <c r="BK51" s="9"/>
      <c r="BL51" s="10"/>
      <c r="BM51" s="9"/>
      <c r="BN51" s="9"/>
      <c r="BO51" s="9"/>
      <c r="BP51" s="9"/>
      <c r="BQ51" s="9"/>
      <c r="BR51" s="9"/>
      <c r="BS51" s="9"/>
      <c r="BT51" s="9"/>
      <c r="BU51" s="9"/>
      <c r="BV51" s="9"/>
      <c r="BW51" s="9"/>
    </row>
    <row r="52" spans="7:75" ht="15.95" customHeight="1" x14ac:dyDescent="0.25">
      <c r="G52" s="247"/>
      <c r="H52" s="245" t="s">
        <v>25</v>
      </c>
      <c r="I52" s="246"/>
      <c r="J52" s="239" t="s">
        <v>93</v>
      </c>
      <c r="K52" s="226"/>
      <c r="L52" s="226"/>
      <c r="M52" s="226"/>
      <c r="N52" s="226"/>
      <c r="O52" s="226"/>
      <c r="P52" s="226"/>
      <c r="Q52" s="226"/>
      <c r="R52" s="226"/>
      <c r="S52" s="226"/>
      <c r="T52" s="226"/>
      <c r="U52" s="226"/>
      <c r="V52" s="226"/>
      <c r="W52" s="226"/>
      <c r="X52" s="226"/>
      <c r="Y52" s="226"/>
      <c r="Z52" s="226"/>
      <c r="AA52" s="226"/>
      <c r="AB52" s="226"/>
      <c r="AC52" s="226"/>
      <c r="AD52" s="226"/>
      <c r="AE52" s="226"/>
      <c r="AF52" s="552" t="s">
        <v>58</v>
      </c>
      <c r="AG52" s="553"/>
      <c r="AH52" s="238" t="s">
        <v>126</v>
      </c>
      <c r="AI52" s="226"/>
      <c r="AJ52" s="226"/>
      <c r="AK52" s="226"/>
      <c r="AL52" s="226"/>
      <c r="AM52" s="226"/>
      <c r="AN52" s="226"/>
      <c r="AO52" s="226"/>
      <c r="AP52" s="226"/>
      <c r="AQ52" s="226"/>
      <c r="AR52" s="226"/>
      <c r="AS52" s="226"/>
      <c r="AT52" s="226"/>
      <c r="AU52" s="248"/>
      <c r="AV52" s="248"/>
      <c r="AW52" s="248"/>
      <c r="AX52" s="247"/>
      <c r="AY52" s="247"/>
      <c r="AZ52" s="9"/>
      <c r="BA52" s="9"/>
      <c r="BB52" s="9"/>
      <c r="BC52" s="10"/>
      <c r="BD52" s="9"/>
      <c r="BE52" s="9"/>
      <c r="BF52" s="9"/>
      <c r="BG52" s="9"/>
      <c r="BH52" s="9"/>
      <c r="BI52" s="9"/>
      <c r="BJ52" s="9"/>
      <c r="BK52" s="9"/>
      <c r="BL52" s="10"/>
      <c r="BM52" s="9"/>
      <c r="BN52" s="9"/>
      <c r="BO52" s="9"/>
      <c r="BP52" s="9"/>
      <c r="BQ52" s="9"/>
      <c r="BR52" s="9"/>
      <c r="BS52" s="9"/>
      <c r="BT52" s="9"/>
      <c r="BU52" s="9"/>
      <c r="BV52" s="9"/>
    </row>
    <row r="53" spans="7:75" ht="15.95" customHeight="1" x14ac:dyDescent="0.25">
      <c r="G53" s="247"/>
      <c r="H53" s="245" t="s">
        <v>252</v>
      </c>
      <c r="I53" s="246"/>
      <c r="J53" s="239" t="s">
        <v>94</v>
      </c>
      <c r="K53" s="226"/>
      <c r="L53" s="226"/>
      <c r="M53" s="226"/>
      <c r="N53" s="226"/>
      <c r="O53" s="226"/>
      <c r="P53" s="226"/>
      <c r="Q53" s="226"/>
      <c r="R53" s="226"/>
      <c r="S53" s="226"/>
      <c r="T53" s="226"/>
      <c r="U53" s="226"/>
      <c r="V53" s="226"/>
      <c r="W53" s="226"/>
      <c r="X53" s="226"/>
      <c r="Y53" s="226"/>
      <c r="Z53" s="226"/>
      <c r="AA53" s="226"/>
      <c r="AB53" s="226"/>
      <c r="AC53" s="226"/>
      <c r="AD53" s="226"/>
      <c r="AE53" s="226"/>
      <c r="AF53" s="552" t="s">
        <v>179</v>
      </c>
      <c r="AG53" s="553"/>
      <c r="AH53" s="239" t="s">
        <v>146</v>
      </c>
      <c r="AI53" s="226"/>
      <c r="AJ53" s="226"/>
      <c r="AK53" s="226"/>
      <c r="AL53" s="226"/>
      <c r="AM53" s="226"/>
      <c r="AN53" s="226"/>
      <c r="AO53" s="226"/>
      <c r="AP53" s="226"/>
      <c r="AQ53" s="226"/>
      <c r="AR53" s="226"/>
      <c r="AS53" s="226"/>
      <c r="AT53" s="226"/>
      <c r="AU53" s="248"/>
      <c r="AV53" s="248"/>
      <c r="AW53" s="248"/>
      <c r="AX53" s="247"/>
      <c r="AY53" s="247"/>
      <c r="AZ53" s="9"/>
      <c r="BA53" s="9"/>
      <c r="BB53" s="9"/>
      <c r="BC53" s="10"/>
      <c r="BD53" s="9"/>
      <c r="BE53" s="9"/>
      <c r="BF53" s="9"/>
      <c r="BG53" s="9"/>
      <c r="BH53" s="9"/>
      <c r="BI53" s="9"/>
      <c r="BJ53" s="9"/>
      <c r="BK53" s="9"/>
      <c r="BL53" s="10"/>
      <c r="BM53" s="9"/>
      <c r="BN53" s="9"/>
      <c r="BO53" s="9"/>
      <c r="BP53" s="9"/>
      <c r="BQ53" s="9"/>
      <c r="BR53" s="9"/>
      <c r="BS53" s="9"/>
      <c r="BT53" s="9"/>
      <c r="BU53" s="9"/>
      <c r="BV53" s="9"/>
    </row>
    <row r="54" spans="7:75" ht="15.95" customHeight="1" x14ac:dyDescent="0.25">
      <c r="G54" s="247"/>
      <c r="H54" s="245" t="s">
        <v>27</v>
      </c>
      <c r="I54" s="246"/>
      <c r="J54" s="239" t="s">
        <v>95</v>
      </c>
      <c r="K54" s="226"/>
      <c r="L54" s="226"/>
      <c r="M54" s="226"/>
      <c r="N54" s="226"/>
      <c r="O54" s="226"/>
      <c r="P54" s="226"/>
      <c r="Q54" s="226"/>
      <c r="R54" s="226"/>
      <c r="S54" s="226"/>
      <c r="T54" s="226"/>
      <c r="U54" s="226"/>
      <c r="V54" s="226"/>
      <c r="W54" s="226"/>
      <c r="X54" s="226"/>
      <c r="Y54" s="226"/>
      <c r="Z54" s="226"/>
      <c r="AA54" s="226"/>
      <c r="AB54" s="226"/>
      <c r="AC54" s="226"/>
      <c r="AD54" s="226"/>
      <c r="AE54" s="226"/>
      <c r="AF54" s="552" t="s">
        <v>59</v>
      </c>
      <c r="AG54" s="553"/>
      <c r="AH54" s="238" t="s">
        <v>127</v>
      </c>
      <c r="AI54" s="226"/>
      <c r="AJ54" s="226"/>
      <c r="AK54" s="226"/>
      <c r="AL54" s="226"/>
      <c r="AM54" s="226"/>
      <c r="AN54" s="226"/>
      <c r="AO54" s="226"/>
      <c r="AP54" s="226"/>
      <c r="AQ54" s="226"/>
      <c r="AR54" s="226"/>
      <c r="AS54" s="226"/>
      <c r="AT54" s="226"/>
      <c r="AU54" s="248"/>
      <c r="AV54" s="248"/>
      <c r="AW54" s="248"/>
      <c r="AX54" s="247"/>
      <c r="AY54" s="247"/>
      <c r="AZ54" s="9"/>
      <c r="BA54" s="9"/>
      <c r="BB54" s="9"/>
      <c r="BC54" s="10"/>
      <c r="BD54" s="9"/>
      <c r="BE54" s="9"/>
      <c r="BF54" s="9"/>
      <c r="BG54" s="9"/>
      <c r="BH54" s="9"/>
      <c r="BI54" s="9"/>
      <c r="BJ54" s="9"/>
      <c r="BK54" s="9"/>
      <c r="BL54" s="10"/>
      <c r="BM54" s="9"/>
      <c r="BN54" s="9"/>
      <c r="BO54" s="9"/>
      <c r="BP54" s="9"/>
      <c r="BQ54" s="9"/>
      <c r="BR54" s="9"/>
      <c r="BS54" s="9"/>
      <c r="BT54" s="9"/>
      <c r="BU54" s="9"/>
      <c r="BV54" s="9"/>
    </row>
    <row r="55" spans="7:75" ht="15.95" customHeight="1" x14ac:dyDescent="0.25">
      <c r="G55" s="247"/>
      <c r="H55" s="245" t="s">
        <v>28</v>
      </c>
      <c r="I55" s="246"/>
      <c r="J55" s="239" t="s">
        <v>96</v>
      </c>
      <c r="K55" s="226"/>
      <c r="L55" s="226"/>
      <c r="M55" s="226"/>
      <c r="N55" s="226"/>
      <c r="O55" s="226"/>
      <c r="P55" s="226"/>
      <c r="Q55" s="226"/>
      <c r="R55" s="226"/>
      <c r="S55" s="226"/>
      <c r="T55" s="226"/>
      <c r="U55" s="226"/>
      <c r="V55" s="226"/>
      <c r="W55" s="226"/>
      <c r="X55" s="226"/>
      <c r="Y55" s="226"/>
      <c r="Z55" s="226"/>
      <c r="AA55" s="226"/>
      <c r="AB55" s="226"/>
      <c r="AC55" s="226"/>
      <c r="AD55" s="226"/>
      <c r="AE55" s="226"/>
      <c r="AF55" s="552" t="s">
        <v>60</v>
      </c>
      <c r="AG55" s="553"/>
      <c r="AH55" s="238" t="s">
        <v>128</v>
      </c>
      <c r="AI55" s="226"/>
      <c r="AJ55" s="226"/>
      <c r="AK55" s="226"/>
      <c r="AL55" s="226"/>
      <c r="AM55" s="226"/>
      <c r="AN55" s="226"/>
      <c r="AO55" s="226"/>
      <c r="AP55" s="226"/>
      <c r="AQ55" s="226"/>
      <c r="AR55" s="226"/>
      <c r="AS55" s="226"/>
      <c r="AT55" s="226"/>
      <c r="AU55" s="248"/>
      <c r="AV55" s="248"/>
      <c r="AW55" s="248"/>
      <c r="AX55" s="247"/>
      <c r="AY55" s="247"/>
      <c r="AZ55" s="9"/>
      <c r="BA55" s="9"/>
      <c r="BB55" s="9"/>
      <c r="BC55" s="10"/>
      <c r="BD55" s="9"/>
      <c r="BE55" s="9"/>
      <c r="BF55" s="9"/>
      <c r="BG55" s="9"/>
      <c r="BH55" s="9"/>
      <c r="BI55" s="9"/>
      <c r="BJ55" s="9"/>
      <c r="BK55" s="9"/>
      <c r="BL55" s="10"/>
      <c r="BM55" s="9"/>
      <c r="BN55" s="9"/>
      <c r="BO55" s="9"/>
      <c r="BP55" s="9"/>
      <c r="BQ55" s="9"/>
      <c r="BR55" s="9"/>
      <c r="BS55" s="9"/>
      <c r="BT55" s="9"/>
      <c r="BU55" s="9"/>
      <c r="BV55" s="9"/>
    </row>
    <row r="56" spans="7:75" ht="15.95" customHeight="1" x14ac:dyDescent="0.25">
      <c r="G56" s="247"/>
      <c r="H56" s="245" t="s">
        <v>29</v>
      </c>
      <c r="I56" s="246"/>
      <c r="J56" s="239" t="s">
        <v>97</v>
      </c>
      <c r="K56" s="226"/>
      <c r="L56" s="226"/>
      <c r="M56" s="226"/>
      <c r="N56" s="226"/>
      <c r="O56" s="226"/>
      <c r="P56" s="226"/>
      <c r="Q56" s="226"/>
      <c r="R56" s="226"/>
      <c r="S56" s="226"/>
      <c r="T56" s="226"/>
      <c r="U56" s="226"/>
      <c r="V56" s="226"/>
      <c r="W56" s="226"/>
      <c r="X56" s="226"/>
      <c r="Y56" s="226"/>
      <c r="Z56" s="226"/>
      <c r="AA56" s="226"/>
      <c r="AB56" s="226"/>
      <c r="AC56" s="226"/>
      <c r="AD56" s="226"/>
      <c r="AE56" s="226"/>
      <c r="AF56" s="552" t="s">
        <v>61</v>
      </c>
      <c r="AG56" s="553"/>
      <c r="AH56" s="238" t="s">
        <v>129</v>
      </c>
      <c r="AI56" s="226"/>
      <c r="AJ56" s="226"/>
      <c r="AK56" s="226"/>
      <c r="AL56" s="226"/>
      <c r="AM56" s="226"/>
      <c r="AN56" s="226"/>
      <c r="AO56" s="226"/>
      <c r="AP56" s="226"/>
      <c r="AQ56" s="226"/>
      <c r="AR56" s="226"/>
      <c r="AS56" s="226"/>
      <c r="AT56" s="226"/>
      <c r="AU56" s="248"/>
      <c r="AV56" s="248"/>
      <c r="AW56" s="248"/>
      <c r="AX56" s="247"/>
      <c r="AY56" s="247"/>
      <c r="AZ56" s="9"/>
      <c r="BA56" s="9"/>
      <c r="BB56" s="9"/>
      <c r="BC56" s="10"/>
      <c r="BD56" s="9"/>
      <c r="BE56" s="9"/>
      <c r="BF56" s="9"/>
      <c r="BG56" s="9"/>
      <c r="BH56" s="9"/>
      <c r="BI56" s="9"/>
      <c r="BJ56" s="9"/>
      <c r="BK56" s="9"/>
      <c r="BL56" s="10"/>
      <c r="BM56" s="9"/>
      <c r="BN56" s="9"/>
      <c r="BO56" s="9"/>
      <c r="BP56" s="9"/>
      <c r="BQ56" s="9"/>
      <c r="BR56" s="9"/>
      <c r="BS56" s="9"/>
      <c r="BT56" s="9"/>
      <c r="BU56" s="9"/>
      <c r="BV56" s="9"/>
    </row>
    <row r="57" spans="7:75" ht="15.95" customHeight="1" x14ac:dyDescent="0.25">
      <c r="G57" s="247"/>
      <c r="H57" s="245" t="s">
        <v>30</v>
      </c>
      <c r="I57" s="246"/>
      <c r="J57" s="239" t="s">
        <v>98</v>
      </c>
      <c r="K57" s="226"/>
      <c r="L57" s="226"/>
      <c r="M57" s="226"/>
      <c r="N57" s="226"/>
      <c r="O57" s="226"/>
      <c r="P57" s="226"/>
      <c r="Q57" s="226"/>
      <c r="R57" s="226"/>
      <c r="S57" s="226"/>
      <c r="T57" s="226"/>
      <c r="U57" s="226"/>
      <c r="V57" s="226"/>
      <c r="W57" s="226"/>
      <c r="X57" s="226"/>
      <c r="Y57" s="226"/>
      <c r="Z57" s="226"/>
      <c r="AA57" s="226"/>
      <c r="AB57" s="226"/>
      <c r="AC57" s="226"/>
      <c r="AD57" s="226"/>
      <c r="AE57" s="226"/>
      <c r="AF57" s="552" t="s">
        <v>62</v>
      </c>
      <c r="AG57" s="553"/>
      <c r="AH57" s="238" t="s">
        <v>130</v>
      </c>
      <c r="AI57" s="226"/>
      <c r="AJ57" s="226"/>
      <c r="AK57" s="226"/>
      <c r="AL57" s="226"/>
      <c r="AM57" s="226"/>
      <c r="AN57" s="226"/>
      <c r="AO57" s="226"/>
      <c r="AP57" s="226"/>
      <c r="AQ57" s="226"/>
      <c r="AR57" s="226"/>
      <c r="AS57" s="226"/>
      <c r="AT57" s="226"/>
      <c r="AU57" s="248"/>
      <c r="AV57" s="248"/>
      <c r="AW57" s="248"/>
      <c r="AX57" s="247"/>
      <c r="AY57" s="247"/>
      <c r="AZ57" s="9"/>
      <c r="BA57" s="9"/>
      <c r="BB57" s="9"/>
      <c r="BC57" s="10"/>
      <c r="BD57" s="9"/>
      <c r="BE57" s="9"/>
      <c r="BF57" s="9"/>
      <c r="BG57" s="9"/>
      <c r="BH57" s="9"/>
      <c r="BI57" s="9"/>
      <c r="BJ57" s="9"/>
      <c r="BK57" s="9"/>
      <c r="BL57" s="10"/>
      <c r="BM57" s="9"/>
      <c r="BN57" s="9"/>
      <c r="BO57" s="9"/>
      <c r="BP57" s="9"/>
      <c r="BQ57" s="9"/>
      <c r="BR57" s="9"/>
      <c r="BS57" s="9"/>
      <c r="BT57" s="9"/>
      <c r="BU57" s="9"/>
      <c r="BV57" s="9"/>
    </row>
    <row r="58" spans="7:75" ht="15.95" customHeight="1" x14ac:dyDescent="0.25">
      <c r="G58" s="247"/>
      <c r="H58" s="245" t="s">
        <v>31</v>
      </c>
      <c r="I58" s="246"/>
      <c r="J58" s="239" t="s">
        <v>99</v>
      </c>
      <c r="K58" s="226"/>
      <c r="L58" s="226"/>
      <c r="M58" s="226"/>
      <c r="N58" s="226"/>
      <c r="O58" s="226"/>
      <c r="P58" s="226"/>
      <c r="Q58" s="226"/>
      <c r="R58" s="226"/>
      <c r="S58" s="226"/>
      <c r="T58" s="226"/>
      <c r="U58" s="226"/>
      <c r="V58" s="226"/>
      <c r="W58" s="226"/>
      <c r="X58" s="226"/>
      <c r="Y58" s="226"/>
      <c r="Z58" s="226"/>
      <c r="AA58" s="226"/>
      <c r="AB58" s="226"/>
      <c r="AC58" s="226"/>
      <c r="AD58" s="226"/>
      <c r="AE58" s="226"/>
      <c r="AF58" s="552" t="s">
        <v>63</v>
      </c>
      <c r="AG58" s="553"/>
      <c r="AH58" s="238" t="s">
        <v>131</v>
      </c>
      <c r="AI58" s="226"/>
      <c r="AJ58" s="226"/>
      <c r="AK58" s="226"/>
      <c r="AL58" s="226"/>
      <c r="AM58" s="226"/>
      <c r="AN58" s="226"/>
      <c r="AO58" s="226"/>
      <c r="AP58" s="226"/>
      <c r="AQ58" s="226"/>
      <c r="AR58" s="226"/>
      <c r="AS58" s="226"/>
      <c r="AT58" s="226"/>
      <c r="AU58" s="248"/>
      <c r="AV58" s="248"/>
      <c r="AW58" s="248"/>
      <c r="AX58" s="247"/>
      <c r="AY58" s="247"/>
      <c r="AZ58" s="9"/>
      <c r="BA58" s="9"/>
      <c r="BB58" s="9"/>
      <c r="BC58" s="10"/>
      <c r="BD58" s="9"/>
      <c r="BE58" s="9"/>
      <c r="BF58" s="9"/>
      <c r="BG58" s="9"/>
      <c r="BH58" s="9"/>
      <c r="BI58" s="9"/>
      <c r="BJ58" s="9"/>
      <c r="BK58" s="9"/>
      <c r="BL58" s="10"/>
      <c r="BM58" s="9"/>
      <c r="BN58" s="9"/>
      <c r="BO58" s="9"/>
      <c r="BP58" s="9"/>
      <c r="BQ58" s="9"/>
      <c r="BR58" s="9"/>
      <c r="BS58" s="9"/>
      <c r="BT58" s="9"/>
      <c r="BU58" s="9"/>
      <c r="BV58" s="9"/>
    </row>
    <row r="59" spans="7:75" ht="15.95" customHeight="1" x14ac:dyDescent="0.25">
      <c r="G59" s="247"/>
      <c r="H59" s="245" t="s">
        <v>208</v>
      </c>
      <c r="I59" s="246"/>
      <c r="J59" s="238" t="s">
        <v>210</v>
      </c>
      <c r="K59" s="226"/>
      <c r="L59" s="226"/>
      <c r="M59" s="226"/>
      <c r="N59" s="226"/>
      <c r="O59" s="226"/>
      <c r="P59" s="226"/>
      <c r="Q59" s="226"/>
      <c r="R59" s="226"/>
      <c r="S59" s="226"/>
      <c r="T59" s="226"/>
      <c r="U59" s="226"/>
      <c r="V59" s="226"/>
      <c r="W59" s="226"/>
      <c r="X59" s="226"/>
      <c r="Y59" s="226"/>
      <c r="Z59" s="226"/>
      <c r="AA59" s="226"/>
      <c r="AB59" s="226"/>
      <c r="AC59" s="226"/>
      <c r="AD59" s="226"/>
      <c r="AE59" s="226"/>
      <c r="AF59" s="552" t="s">
        <v>64</v>
      </c>
      <c r="AG59" s="553"/>
      <c r="AH59" s="238" t="s">
        <v>191</v>
      </c>
      <c r="AI59" s="226"/>
      <c r="AJ59" s="226"/>
      <c r="AK59" s="226"/>
      <c r="AL59" s="226"/>
      <c r="AM59" s="226"/>
      <c r="AN59" s="226"/>
      <c r="AO59" s="226"/>
      <c r="AP59" s="226"/>
      <c r="AQ59" s="226"/>
      <c r="AR59" s="226"/>
      <c r="AS59" s="226"/>
      <c r="AT59" s="226"/>
      <c r="AU59" s="248"/>
      <c r="AV59" s="248"/>
      <c r="AW59" s="248"/>
      <c r="AX59" s="247"/>
      <c r="AY59" s="247"/>
      <c r="AZ59" s="9"/>
      <c r="BA59" s="9"/>
      <c r="BB59" s="9"/>
      <c r="BC59" s="10"/>
      <c r="BD59" s="9"/>
      <c r="BE59" s="9"/>
      <c r="BF59" s="9"/>
      <c r="BG59" s="9"/>
      <c r="BH59" s="9"/>
      <c r="BI59" s="9"/>
      <c r="BJ59" s="9"/>
      <c r="BK59" s="9"/>
      <c r="BL59" s="10"/>
      <c r="BM59" s="9"/>
      <c r="BN59" s="9"/>
      <c r="BO59" s="9"/>
      <c r="BP59" s="9"/>
      <c r="BQ59" s="9"/>
      <c r="BR59" s="9"/>
      <c r="BS59" s="9"/>
      <c r="BT59" s="9"/>
      <c r="BU59" s="9"/>
      <c r="BV59" s="9"/>
    </row>
    <row r="60" spans="7:75" ht="15.95" customHeight="1" x14ac:dyDescent="0.25">
      <c r="G60" s="247"/>
      <c r="H60" s="245" t="s">
        <v>32</v>
      </c>
      <c r="I60" s="246"/>
      <c r="J60" s="239" t="s">
        <v>100</v>
      </c>
      <c r="K60" s="226"/>
      <c r="L60" s="226"/>
      <c r="M60" s="226"/>
      <c r="N60" s="226"/>
      <c r="O60" s="226"/>
      <c r="P60" s="226"/>
      <c r="Q60" s="226"/>
      <c r="R60" s="226"/>
      <c r="S60" s="226"/>
      <c r="T60" s="226"/>
      <c r="U60" s="226"/>
      <c r="V60" s="226"/>
      <c r="W60" s="226"/>
      <c r="X60" s="226"/>
      <c r="Y60" s="226"/>
      <c r="Z60" s="226"/>
      <c r="AA60" s="226"/>
      <c r="AB60" s="226"/>
      <c r="AC60" s="226"/>
      <c r="AD60" s="226"/>
      <c r="AE60" s="226"/>
      <c r="AF60" s="552" t="s">
        <v>195</v>
      </c>
      <c r="AG60" s="553"/>
      <c r="AH60" s="238" t="s">
        <v>199</v>
      </c>
      <c r="AI60" s="226"/>
      <c r="AJ60" s="226"/>
      <c r="AK60" s="226"/>
      <c r="AL60" s="226"/>
      <c r="AM60" s="226"/>
      <c r="AN60" s="226"/>
      <c r="AO60" s="226"/>
      <c r="AP60" s="226"/>
      <c r="AQ60" s="226"/>
      <c r="AR60" s="226"/>
      <c r="AS60" s="226"/>
      <c r="AT60" s="226"/>
      <c r="AU60" s="248"/>
      <c r="AV60" s="248"/>
      <c r="AW60" s="248"/>
      <c r="AX60" s="247"/>
      <c r="AY60" s="247"/>
      <c r="AZ60" s="9"/>
      <c r="BA60" s="9"/>
      <c r="BB60" s="9"/>
      <c r="BC60" s="10"/>
      <c r="BD60" s="9"/>
      <c r="BE60" s="9"/>
      <c r="BF60" s="9"/>
      <c r="BG60" s="9"/>
      <c r="BH60" s="9"/>
      <c r="BI60" s="9"/>
      <c r="BJ60" s="9"/>
      <c r="BK60" s="9"/>
      <c r="BL60" s="10"/>
      <c r="BM60" s="9"/>
      <c r="BN60" s="9"/>
      <c r="BO60" s="9"/>
      <c r="BP60" s="9"/>
      <c r="BQ60" s="9"/>
      <c r="BR60" s="9"/>
      <c r="BS60" s="9"/>
      <c r="BT60" s="9"/>
      <c r="BU60" s="9"/>
      <c r="BV60" s="9"/>
    </row>
    <row r="61" spans="7:75" ht="15.95" customHeight="1" x14ac:dyDescent="0.25">
      <c r="G61" s="247"/>
      <c r="H61" s="245" t="s">
        <v>33</v>
      </c>
      <c r="I61" s="246"/>
      <c r="J61" s="239" t="s">
        <v>101</v>
      </c>
      <c r="K61" s="226"/>
      <c r="L61" s="226"/>
      <c r="M61" s="226"/>
      <c r="N61" s="226"/>
      <c r="O61" s="226"/>
      <c r="P61" s="226"/>
      <c r="Q61" s="226"/>
      <c r="R61" s="226"/>
      <c r="S61" s="226"/>
      <c r="T61" s="226"/>
      <c r="U61" s="226"/>
      <c r="V61" s="226"/>
      <c r="W61" s="226"/>
      <c r="X61" s="226"/>
      <c r="Y61" s="226"/>
      <c r="Z61" s="226"/>
      <c r="AA61" s="226"/>
      <c r="AB61" s="226"/>
      <c r="AC61" s="226"/>
      <c r="AD61" s="226"/>
      <c r="AE61" s="226"/>
      <c r="AF61" s="552" t="s">
        <v>65</v>
      </c>
      <c r="AG61" s="553"/>
      <c r="AH61" s="238" t="s">
        <v>132</v>
      </c>
      <c r="AI61" s="226"/>
      <c r="AJ61" s="226"/>
      <c r="AK61" s="226"/>
      <c r="AL61" s="226"/>
      <c r="AM61" s="226"/>
      <c r="AN61" s="226"/>
      <c r="AO61" s="226"/>
      <c r="AP61" s="226"/>
      <c r="AQ61" s="226"/>
      <c r="AR61" s="226"/>
      <c r="AS61" s="226"/>
      <c r="AT61" s="226"/>
      <c r="AU61" s="248"/>
      <c r="AV61" s="248"/>
      <c r="AW61" s="248"/>
      <c r="AX61" s="247"/>
      <c r="AY61" s="247"/>
      <c r="AZ61" s="9"/>
      <c r="BA61" s="9"/>
      <c r="BB61" s="9"/>
      <c r="BC61" s="10"/>
      <c r="BD61" s="9"/>
      <c r="BE61" s="9"/>
      <c r="BF61" s="9"/>
      <c r="BG61" s="9"/>
      <c r="BH61" s="9"/>
      <c r="BI61" s="9"/>
      <c r="BJ61" s="9"/>
      <c r="BK61" s="9"/>
      <c r="BL61" s="10"/>
      <c r="BM61" s="9"/>
      <c r="BN61" s="9"/>
      <c r="BO61" s="9"/>
      <c r="BP61" s="9"/>
      <c r="BQ61" s="9"/>
      <c r="BR61" s="9"/>
      <c r="BS61" s="9"/>
      <c r="BT61" s="9"/>
      <c r="BU61" s="9"/>
      <c r="BV61" s="9"/>
    </row>
    <row r="62" spans="7:75" ht="15.95" customHeight="1" x14ac:dyDescent="0.25">
      <c r="G62" s="247"/>
      <c r="H62" s="245" t="s">
        <v>34</v>
      </c>
      <c r="I62" s="246"/>
      <c r="J62" s="239" t="s">
        <v>102</v>
      </c>
      <c r="K62" s="226"/>
      <c r="L62" s="226"/>
      <c r="M62" s="226"/>
      <c r="N62" s="226"/>
      <c r="O62" s="226"/>
      <c r="P62" s="226"/>
      <c r="Q62" s="226"/>
      <c r="R62" s="226"/>
      <c r="S62" s="226"/>
      <c r="T62" s="226"/>
      <c r="U62" s="226"/>
      <c r="V62" s="226"/>
      <c r="W62" s="226"/>
      <c r="X62" s="226"/>
      <c r="Y62" s="226"/>
      <c r="Z62" s="226"/>
      <c r="AA62" s="226"/>
      <c r="AB62" s="226"/>
      <c r="AC62" s="226"/>
      <c r="AD62" s="226"/>
      <c r="AE62" s="226"/>
      <c r="AF62" s="552" t="s">
        <v>66</v>
      </c>
      <c r="AG62" s="553"/>
      <c r="AH62" s="238" t="s">
        <v>133</v>
      </c>
      <c r="AI62" s="226"/>
      <c r="AJ62" s="226"/>
      <c r="AK62" s="226"/>
      <c r="AL62" s="226"/>
      <c r="AM62" s="226"/>
      <c r="AN62" s="226"/>
      <c r="AO62" s="226"/>
      <c r="AP62" s="226"/>
      <c r="AQ62" s="226"/>
      <c r="AR62" s="226"/>
      <c r="AS62" s="226"/>
      <c r="AT62" s="226"/>
      <c r="AU62" s="248"/>
      <c r="AV62" s="248"/>
      <c r="AW62" s="248"/>
      <c r="AX62" s="247"/>
      <c r="AY62" s="247"/>
      <c r="AZ62" s="9"/>
      <c r="BA62" s="9"/>
      <c r="BB62" s="9"/>
      <c r="BC62" s="10"/>
      <c r="BD62" s="9"/>
      <c r="BE62" s="9"/>
      <c r="BF62" s="9"/>
      <c r="BG62" s="9"/>
      <c r="BH62" s="9"/>
      <c r="BI62" s="9"/>
      <c r="BJ62" s="9"/>
      <c r="BK62" s="9"/>
      <c r="BL62" s="10"/>
      <c r="BM62" s="9"/>
      <c r="BN62" s="9"/>
      <c r="BO62" s="9"/>
      <c r="BP62" s="9"/>
      <c r="BQ62" s="9"/>
      <c r="BR62" s="9"/>
      <c r="BS62" s="9"/>
      <c r="BT62" s="9"/>
      <c r="BU62" s="9"/>
      <c r="BV62" s="9"/>
      <c r="BW62" s="9"/>
    </row>
    <row r="63" spans="7:75" ht="15.95" customHeight="1" x14ac:dyDescent="0.25">
      <c r="G63" s="247"/>
      <c r="H63" s="245" t="s">
        <v>252</v>
      </c>
      <c r="I63" s="246"/>
      <c r="J63" s="239" t="s">
        <v>103</v>
      </c>
      <c r="K63" s="226"/>
      <c r="L63" s="226"/>
      <c r="M63" s="226"/>
      <c r="N63" s="226"/>
      <c r="O63" s="226"/>
      <c r="P63" s="226"/>
      <c r="Q63" s="226"/>
      <c r="R63" s="226"/>
      <c r="S63" s="226"/>
      <c r="T63" s="226"/>
      <c r="U63" s="226"/>
      <c r="V63" s="226"/>
      <c r="W63" s="226"/>
      <c r="X63" s="226"/>
      <c r="Y63" s="226"/>
      <c r="Z63" s="226"/>
      <c r="AA63" s="226"/>
      <c r="AB63" s="226"/>
      <c r="AC63" s="226"/>
      <c r="AD63" s="226"/>
      <c r="AE63" s="226"/>
      <c r="AF63" s="552" t="s">
        <v>67</v>
      </c>
      <c r="AG63" s="553"/>
      <c r="AH63" s="238" t="s">
        <v>134</v>
      </c>
      <c r="AI63" s="226"/>
      <c r="AJ63" s="226"/>
      <c r="AK63" s="226"/>
      <c r="AL63" s="226"/>
      <c r="AM63" s="226"/>
      <c r="AN63" s="226"/>
      <c r="AO63" s="226"/>
      <c r="AP63" s="226"/>
      <c r="AQ63" s="226"/>
      <c r="AR63" s="226"/>
      <c r="AS63" s="226"/>
      <c r="AT63" s="226"/>
      <c r="AU63" s="248"/>
      <c r="AV63" s="248"/>
      <c r="AW63" s="248"/>
      <c r="AX63" s="247"/>
      <c r="AY63" s="247"/>
      <c r="AZ63" s="9"/>
      <c r="BA63" s="9"/>
      <c r="BB63" s="9"/>
      <c r="BC63" s="10"/>
      <c r="BD63" s="9"/>
      <c r="BE63" s="9"/>
      <c r="BF63" s="9"/>
      <c r="BG63" s="9"/>
      <c r="BH63" s="9"/>
      <c r="BI63" s="9"/>
      <c r="BJ63" s="9"/>
      <c r="BK63" s="9"/>
      <c r="BL63" s="10"/>
      <c r="BM63" s="9"/>
      <c r="BN63" s="9"/>
      <c r="BO63" s="9"/>
      <c r="BP63" s="9"/>
      <c r="BQ63" s="9"/>
      <c r="BR63" s="9"/>
      <c r="BS63" s="9"/>
      <c r="BT63" s="9"/>
      <c r="BU63" s="9"/>
      <c r="BV63" s="9"/>
    </row>
    <row r="64" spans="7:75" ht="15.95" customHeight="1" x14ac:dyDescent="0.25">
      <c r="G64" s="247"/>
      <c r="H64" s="245" t="s">
        <v>36</v>
      </c>
      <c r="I64" s="246"/>
      <c r="J64" s="239" t="s">
        <v>104</v>
      </c>
      <c r="K64" s="226"/>
      <c r="L64" s="226"/>
      <c r="M64" s="226"/>
      <c r="N64" s="226"/>
      <c r="O64" s="226"/>
      <c r="P64" s="226"/>
      <c r="Q64" s="226"/>
      <c r="R64" s="226"/>
      <c r="S64" s="226"/>
      <c r="T64" s="226"/>
      <c r="U64" s="226"/>
      <c r="V64" s="226"/>
      <c r="W64" s="226"/>
      <c r="X64" s="226"/>
      <c r="Y64" s="226"/>
      <c r="Z64" s="226"/>
      <c r="AA64" s="226"/>
      <c r="AB64" s="226"/>
      <c r="AC64" s="226"/>
      <c r="AD64" s="226"/>
      <c r="AE64" s="226"/>
      <c r="AF64" s="552" t="s">
        <v>194</v>
      </c>
      <c r="AG64" s="553"/>
      <c r="AH64" s="238" t="s">
        <v>196</v>
      </c>
      <c r="AI64" s="226"/>
      <c r="AJ64" s="226"/>
      <c r="AK64" s="226"/>
      <c r="AL64" s="226"/>
      <c r="AM64" s="226"/>
      <c r="AN64" s="226"/>
      <c r="AO64" s="226"/>
      <c r="AP64" s="226"/>
      <c r="AQ64" s="226"/>
      <c r="AR64" s="226"/>
      <c r="AS64" s="226"/>
      <c r="AT64" s="226"/>
      <c r="AU64" s="248"/>
      <c r="AV64" s="248"/>
      <c r="AW64" s="248"/>
      <c r="AX64" s="247"/>
      <c r="AY64" s="247"/>
      <c r="AZ64" s="9"/>
      <c r="BA64" s="9"/>
      <c r="BB64" s="9"/>
      <c r="BC64" s="10"/>
      <c r="BD64" s="9"/>
      <c r="BE64" s="9"/>
      <c r="BF64" s="9"/>
      <c r="BG64" s="9"/>
      <c r="BH64" s="9"/>
      <c r="BI64" s="9"/>
      <c r="BJ64" s="9"/>
      <c r="BK64" s="9"/>
      <c r="BL64" s="10"/>
      <c r="BM64" s="9"/>
      <c r="BN64" s="9"/>
      <c r="BO64" s="9"/>
      <c r="BP64" s="9"/>
      <c r="BQ64" s="9"/>
      <c r="BR64" s="9"/>
      <c r="BS64" s="9"/>
      <c r="BT64" s="9"/>
      <c r="BU64" s="9"/>
      <c r="BV64" s="9"/>
    </row>
    <row r="65" spans="7:75" ht="15.95" customHeight="1" x14ac:dyDescent="0.25">
      <c r="G65" s="247"/>
      <c r="H65" s="245" t="s">
        <v>37</v>
      </c>
      <c r="I65" s="246"/>
      <c r="J65" s="239" t="s">
        <v>105</v>
      </c>
      <c r="K65" s="226"/>
      <c r="L65" s="226"/>
      <c r="M65" s="226"/>
      <c r="N65" s="226"/>
      <c r="O65" s="226"/>
      <c r="P65" s="226"/>
      <c r="Q65" s="226"/>
      <c r="R65" s="226"/>
      <c r="S65" s="226"/>
      <c r="T65" s="226"/>
      <c r="U65" s="226"/>
      <c r="V65" s="226"/>
      <c r="W65" s="226"/>
      <c r="X65" s="226"/>
      <c r="Y65" s="226"/>
      <c r="Z65" s="226"/>
      <c r="AA65" s="226"/>
      <c r="AB65" s="226"/>
      <c r="AC65" s="226"/>
      <c r="AD65" s="226"/>
      <c r="AE65" s="226"/>
      <c r="AF65" s="552" t="s">
        <v>68</v>
      </c>
      <c r="AG65" s="553"/>
      <c r="AH65" s="238" t="s">
        <v>135</v>
      </c>
      <c r="AI65" s="226"/>
      <c r="AJ65" s="226"/>
      <c r="AK65" s="226"/>
      <c r="AL65" s="226"/>
      <c r="AM65" s="226"/>
      <c r="AN65" s="226"/>
      <c r="AO65" s="226"/>
      <c r="AP65" s="226"/>
      <c r="AQ65" s="226"/>
      <c r="AR65" s="226"/>
      <c r="AS65" s="226"/>
      <c r="AT65" s="226"/>
      <c r="AU65" s="248"/>
      <c r="AV65" s="248"/>
      <c r="AW65" s="248"/>
      <c r="AX65" s="247"/>
      <c r="AY65" s="247"/>
      <c r="AZ65" s="9"/>
      <c r="BA65" s="9"/>
      <c r="BB65" s="9"/>
      <c r="BC65" s="10"/>
      <c r="BD65" s="9"/>
      <c r="BE65" s="9"/>
      <c r="BF65" s="9"/>
      <c r="BG65" s="9"/>
      <c r="BH65" s="9"/>
      <c r="BI65" s="9"/>
      <c r="BJ65" s="9"/>
      <c r="BK65" s="9"/>
      <c r="BL65" s="10"/>
      <c r="BM65" s="9"/>
      <c r="BN65" s="9"/>
      <c r="BO65" s="9"/>
      <c r="BP65" s="9"/>
      <c r="BQ65" s="9"/>
      <c r="BR65" s="9"/>
      <c r="BS65" s="9"/>
      <c r="BT65" s="9"/>
      <c r="BU65" s="9"/>
      <c r="BV65" s="9"/>
    </row>
    <row r="66" spans="7:75" ht="15.95" customHeight="1" x14ac:dyDescent="0.25">
      <c r="G66" s="247"/>
      <c r="H66" s="245" t="s">
        <v>218</v>
      </c>
      <c r="I66" s="246"/>
      <c r="J66" s="239" t="s">
        <v>106</v>
      </c>
      <c r="K66" s="226"/>
      <c r="L66" s="226"/>
      <c r="M66" s="226"/>
      <c r="N66" s="226"/>
      <c r="O66" s="226"/>
      <c r="P66" s="226"/>
      <c r="Q66" s="226"/>
      <c r="R66" s="226"/>
      <c r="S66" s="226"/>
      <c r="T66" s="226"/>
      <c r="U66" s="226"/>
      <c r="V66" s="226"/>
      <c r="W66" s="226"/>
      <c r="X66" s="226"/>
      <c r="Y66" s="226"/>
      <c r="Z66" s="226"/>
      <c r="AA66" s="226"/>
      <c r="AB66" s="226"/>
      <c r="AC66" s="226"/>
      <c r="AD66" s="226"/>
      <c r="AE66" s="226"/>
      <c r="AF66" s="552" t="s">
        <v>69</v>
      </c>
      <c r="AG66" s="553"/>
      <c r="AH66" s="238" t="s">
        <v>136</v>
      </c>
      <c r="AI66" s="226"/>
      <c r="AJ66" s="226"/>
      <c r="AK66" s="226"/>
      <c r="AL66" s="226"/>
      <c r="AM66" s="226"/>
      <c r="AN66" s="226"/>
      <c r="AO66" s="226"/>
      <c r="AP66" s="226"/>
      <c r="AQ66" s="226"/>
      <c r="AR66" s="226"/>
      <c r="AS66" s="226"/>
      <c r="AT66" s="226"/>
      <c r="AU66" s="248"/>
      <c r="AV66" s="248"/>
      <c r="AW66" s="248"/>
      <c r="AX66" s="247"/>
      <c r="AY66" s="247"/>
      <c r="AZ66" s="9"/>
      <c r="BA66" s="9"/>
      <c r="BB66" s="9"/>
      <c r="BC66" s="10"/>
      <c r="BD66" s="9"/>
      <c r="BE66" s="9"/>
      <c r="BF66" s="9"/>
      <c r="BG66" s="9"/>
      <c r="BH66" s="9"/>
      <c r="BI66" s="9"/>
      <c r="BJ66" s="9"/>
      <c r="BK66" s="9"/>
      <c r="BL66" s="10"/>
      <c r="BM66" s="9"/>
      <c r="BN66" s="9"/>
      <c r="BO66" s="9"/>
      <c r="BP66" s="9"/>
      <c r="BQ66" s="9"/>
      <c r="BR66" s="9"/>
      <c r="BS66" s="9"/>
      <c r="BT66" s="9"/>
      <c r="BU66" s="9"/>
      <c r="BV66" s="9"/>
    </row>
    <row r="67" spans="7:75" ht="15.95" customHeight="1" x14ac:dyDescent="0.25">
      <c r="G67" s="247"/>
      <c r="H67" s="245" t="s">
        <v>38</v>
      </c>
      <c r="I67" s="246"/>
      <c r="J67" s="239" t="s">
        <v>107</v>
      </c>
      <c r="K67" s="226"/>
      <c r="L67" s="226"/>
      <c r="M67" s="226"/>
      <c r="N67" s="226"/>
      <c r="O67" s="226"/>
      <c r="P67" s="226"/>
      <c r="Q67" s="226"/>
      <c r="R67" s="226"/>
      <c r="S67" s="226"/>
      <c r="T67" s="226"/>
      <c r="U67" s="226"/>
      <c r="V67" s="226"/>
      <c r="W67" s="226"/>
      <c r="X67" s="226"/>
      <c r="Y67" s="226"/>
      <c r="Z67" s="226"/>
      <c r="AA67" s="226"/>
      <c r="AB67" s="226"/>
      <c r="AC67" s="226"/>
      <c r="AD67" s="226"/>
      <c r="AE67" s="226"/>
      <c r="AF67" s="552" t="s">
        <v>70</v>
      </c>
      <c r="AG67" s="553"/>
      <c r="AH67" s="238" t="s">
        <v>137</v>
      </c>
      <c r="AI67" s="226"/>
      <c r="AJ67" s="226"/>
      <c r="AK67" s="226"/>
      <c r="AL67" s="226"/>
      <c r="AM67" s="226"/>
      <c r="AN67" s="226"/>
      <c r="AO67" s="226"/>
      <c r="AP67" s="226"/>
      <c r="AQ67" s="226"/>
      <c r="AR67" s="226"/>
      <c r="AS67" s="226"/>
      <c r="AT67" s="226"/>
      <c r="AU67" s="248"/>
      <c r="AV67" s="248"/>
      <c r="AW67" s="248"/>
      <c r="AX67" s="247"/>
      <c r="AY67" s="247"/>
      <c r="AZ67" s="9"/>
      <c r="BA67" s="9"/>
      <c r="BB67" s="9"/>
      <c r="BC67" s="10"/>
      <c r="BD67" s="9"/>
      <c r="BE67" s="9"/>
      <c r="BF67" s="9"/>
      <c r="BG67" s="9"/>
      <c r="BH67" s="9"/>
      <c r="BI67" s="9"/>
      <c r="BJ67" s="9"/>
      <c r="BK67" s="9"/>
      <c r="BL67" s="10"/>
      <c r="BM67" s="9"/>
      <c r="BN67" s="9"/>
      <c r="BO67" s="9"/>
      <c r="BP67" s="9"/>
      <c r="BQ67" s="9"/>
      <c r="BR67" s="9"/>
      <c r="BS67" s="9"/>
      <c r="BT67" s="9"/>
      <c r="BU67" s="9"/>
      <c r="BV67" s="9"/>
    </row>
    <row r="68" spans="7:75" ht="15.95" customHeight="1" x14ac:dyDescent="0.25">
      <c r="G68" s="247"/>
      <c r="H68" s="245" t="s">
        <v>39</v>
      </c>
      <c r="I68" s="246"/>
      <c r="J68" s="239" t="s">
        <v>217</v>
      </c>
      <c r="K68" s="226"/>
      <c r="L68" s="226"/>
      <c r="M68" s="226"/>
      <c r="N68" s="226"/>
      <c r="O68" s="226"/>
      <c r="P68" s="226"/>
      <c r="Q68" s="226"/>
      <c r="R68" s="226"/>
      <c r="S68" s="226"/>
      <c r="T68" s="226"/>
      <c r="U68" s="226"/>
      <c r="V68" s="226"/>
      <c r="W68" s="226"/>
      <c r="X68" s="226"/>
      <c r="Y68" s="226"/>
      <c r="Z68" s="226"/>
      <c r="AA68" s="226"/>
      <c r="AB68" s="226"/>
      <c r="AC68" s="226"/>
      <c r="AD68" s="226"/>
      <c r="AE68" s="226"/>
      <c r="AF68" s="552" t="s">
        <v>71</v>
      </c>
      <c r="AG68" s="553"/>
      <c r="AH68" s="238" t="s">
        <v>138</v>
      </c>
      <c r="AI68" s="226"/>
      <c r="AJ68" s="226"/>
      <c r="AK68" s="226"/>
      <c r="AL68" s="226"/>
      <c r="AM68" s="226"/>
      <c r="AN68" s="226"/>
      <c r="AO68" s="226"/>
      <c r="AP68" s="226"/>
      <c r="AQ68" s="226"/>
      <c r="AR68" s="226"/>
      <c r="AS68" s="226"/>
      <c r="AT68" s="226"/>
      <c r="AU68" s="248"/>
      <c r="AV68" s="248"/>
      <c r="AW68" s="248"/>
      <c r="AX68" s="247"/>
      <c r="AY68" s="247"/>
      <c r="AZ68" s="9"/>
      <c r="BA68" s="9"/>
      <c r="BB68" s="9"/>
      <c r="BC68" s="10"/>
      <c r="BD68" s="9"/>
      <c r="BE68" s="9"/>
      <c r="BF68" s="9"/>
      <c r="BG68" s="9"/>
      <c r="BH68" s="9"/>
      <c r="BI68" s="9"/>
      <c r="BJ68" s="9"/>
      <c r="BK68" s="9"/>
      <c r="BL68" s="10"/>
      <c r="BM68" s="9"/>
      <c r="BN68" s="9"/>
      <c r="BO68" s="9"/>
      <c r="BP68" s="9"/>
      <c r="BQ68" s="9"/>
      <c r="BR68" s="9"/>
      <c r="BS68" s="9"/>
      <c r="BT68" s="9"/>
      <c r="BU68" s="9"/>
      <c r="BV68" s="9"/>
    </row>
    <row r="69" spans="7:75" ht="15.95" customHeight="1" x14ac:dyDescent="0.25">
      <c r="G69" s="247"/>
      <c r="H69" s="245" t="s">
        <v>40</v>
      </c>
      <c r="I69" s="246"/>
      <c r="J69" s="238" t="s">
        <v>108</v>
      </c>
      <c r="K69" s="226"/>
      <c r="L69" s="226"/>
      <c r="M69" s="226"/>
      <c r="N69" s="226"/>
      <c r="O69" s="226"/>
      <c r="P69" s="226"/>
      <c r="Q69" s="226"/>
      <c r="R69" s="226"/>
      <c r="S69" s="226"/>
      <c r="T69" s="226"/>
      <c r="U69" s="226"/>
      <c r="V69" s="226"/>
      <c r="W69" s="226"/>
      <c r="X69" s="226"/>
      <c r="Y69" s="226"/>
      <c r="Z69" s="226"/>
      <c r="AA69" s="226"/>
      <c r="AB69" s="226"/>
      <c r="AC69" s="226"/>
      <c r="AD69" s="226"/>
      <c r="AE69" s="226"/>
      <c r="AF69" s="552" t="s">
        <v>72</v>
      </c>
      <c r="AG69" s="553"/>
      <c r="AH69" s="238" t="s">
        <v>139</v>
      </c>
      <c r="AI69" s="226"/>
      <c r="AJ69" s="226"/>
      <c r="AK69" s="226"/>
      <c r="AL69" s="226"/>
      <c r="AM69" s="226"/>
      <c r="AN69" s="226"/>
      <c r="AO69" s="226"/>
      <c r="AP69" s="226"/>
      <c r="AQ69" s="226"/>
      <c r="AR69" s="226"/>
      <c r="AS69" s="226"/>
      <c r="AT69" s="226"/>
      <c r="AU69" s="248"/>
      <c r="AV69" s="248"/>
      <c r="AW69" s="248"/>
      <c r="AX69" s="247"/>
      <c r="AY69" s="247"/>
      <c r="AZ69" s="9"/>
      <c r="BA69" s="9"/>
      <c r="BB69" s="9"/>
      <c r="BC69" s="10"/>
      <c r="BD69" s="9"/>
      <c r="BE69" s="9"/>
      <c r="BF69" s="9"/>
      <c r="BG69" s="9"/>
      <c r="BH69" s="9"/>
      <c r="BI69" s="9"/>
      <c r="BJ69" s="9"/>
      <c r="BK69" s="9"/>
      <c r="BL69" s="10"/>
      <c r="BM69" s="9"/>
      <c r="BN69" s="9"/>
      <c r="BO69" s="9"/>
      <c r="BP69" s="9"/>
      <c r="BQ69" s="9"/>
      <c r="BR69" s="9"/>
      <c r="BS69" s="9"/>
      <c r="BT69" s="9"/>
      <c r="BU69" s="9"/>
      <c r="BV69" s="9"/>
    </row>
    <row r="70" spans="7:75" ht="15.95" customHeight="1" x14ac:dyDescent="0.25">
      <c r="G70" s="247"/>
      <c r="H70" s="245" t="s">
        <v>41</v>
      </c>
      <c r="I70" s="246"/>
      <c r="J70" s="240" t="s">
        <v>109</v>
      </c>
      <c r="K70" s="226"/>
      <c r="L70" s="226"/>
      <c r="M70" s="226"/>
      <c r="N70" s="226"/>
      <c r="O70" s="226"/>
      <c r="P70" s="226"/>
      <c r="Q70" s="226"/>
      <c r="R70" s="226"/>
      <c r="S70" s="226"/>
      <c r="T70" s="226"/>
      <c r="U70" s="226"/>
      <c r="V70" s="226"/>
      <c r="W70" s="226"/>
      <c r="X70" s="226"/>
      <c r="Y70" s="226"/>
      <c r="Z70" s="226"/>
      <c r="AA70" s="226"/>
      <c r="AB70" s="226"/>
      <c r="AC70" s="226"/>
      <c r="AD70" s="226"/>
      <c r="AE70" s="226"/>
      <c r="AF70" s="552" t="s">
        <v>73</v>
      </c>
      <c r="AG70" s="553"/>
      <c r="AH70" s="238" t="s">
        <v>140</v>
      </c>
      <c r="AI70" s="226"/>
      <c r="AJ70" s="226"/>
      <c r="AK70" s="226"/>
      <c r="AL70" s="226"/>
      <c r="AM70" s="226"/>
      <c r="AN70" s="226"/>
      <c r="AO70" s="226"/>
      <c r="AP70" s="226"/>
      <c r="AQ70" s="226"/>
      <c r="AR70" s="226"/>
      <c r="AS70" s="226"/>
      <c r="AT70" s="226"/>
      <c r="AU70" s="248"/>
      <c r="AV70" s="248"/>
      <c r="AW70" s="248"/>
      <c r="AX70" s="247"/>
      <c r="AY70" s="247"/>
      <c r="AZ70" s="9"/>
      <c r="BA70" s="9"/>
      <c r="BB70" s="9"/>
      <c r="BC70" s="10"/>
      <c r="BD70" s="9"/>
      <c r="BE70" s="9"/>
      <c r="BF70" s="9"/>
      <c r="BG70" s="9"/>
      <c r="BH70" s="9"/>
      <c r="BI70" s="9"/>
      <c r="BJ70" s="9"/>
      <c r="BK70" s="9"/>
      <c r="BL70" s="10"/>
      <c r="BM70" s="9"/>
      <c r="BN70" s="9"/>
      <c r="BO70" s="9"/>
      <c r="BP70" s="9"/>
      <c r="BQ70" s="9"/>
      <c r="BR70" s="9"/>
      <c r="BS70" s="9"/>
      <c r="BT70" s="9"/>
      <c r="BU70" s="9"/>
      <c r="BV70" s="9"/>
    </row>
    <row r="71" spans="7:75" ht="15.95" customHeight="1" x14ac:dyDescent="0.25">
      <c r="G71" s="247"/>
      <c r="H71" s="245" t="s">
        <v>42</v>
      </c>
      <c r="I71" s="246"/>
      <c r="J71" s="238" t="s">
        <v>110</v>
      </c>
      <c r="K71" s="226"/>
      <c r="L71" s="226"/>
      <c r="M71" s="226"/>
      <c r="N71" s="226"/>
      <c r="O71" s="226"/>
      <c r="P71" s="226"/>
      <c r="Q71" s="226"/>
      <c r="R71" s="226"/>
      <c r="S71" s="226"/>
      <c r="T71" s="226"/>
      <c r="U71" s="226"/>
      <c r="V71" s="226"/>
      <c r="W71" s="226"/>
      <c r="X71" s="226"/>
      <c r="Y71" s="226"/>
      <c r="Z71" s="226"/>
      <c r="AA71" s="226"/>
      <c r="AB71" s="226"/>
      <c r="AC71" s="226"/>
      <c r="AD71" s="226"/>
      <c r="AE71" s="226"/>
      <c r="AF71" s="552" t="s">
        <v>74</v>
      </c>
      <c r="AG71" s="553"/>
      <c r="AH71" s="238" t="s">
        <v>141</v>
      </c>
      <c r="AI71" s="226"/>
      <c r="AJ71" s="226"/>
      <c r="AK71" s="226"/>
      <c r="AL71" s="226"/>
      <c r="AM71" s="226"/>
      <c r="AN71" s="226"/>
      <c r="AO71" s="226"/>
      <c r="AP71" s="226"/>
      <c r="AQ71" s="226"/>
      <c r="AR71" s="226"/>
      <c r="AS71" s="226"/>
      <c r="AT71" s="226"/>
      <c r="AU71" s="248"/>
      <c r="AV71" s="248"/>
      <c r="AW71" s="248"/>
      <c r="AX71" s="247"/>
      <c r="AY71" s="247"/>
      <c r="AZ71" s="9"/>
      <c r="BA71" s="9"/>
      <c r="BB71" s="9"/>
      <c r="BC71" s="10"/>
      <c r="BD71" s="9"/>
      <c r="BE71" s="9"/>
      <c r="BF71" s="9"/>
      <c r="BG71" s="9"/>
      <c r="BH71" s="9"/>
      <c r="BI71" s="9"/>
      <c r="BJ71" s="9"/>
      <c r="BK71" s="9"/>
      <c r="BL71" s="10"/>
      <c r="BM71" s="9"/>
      <c r="BN71" s="9"/>
      <c r="BO71" s="9"/>
      <c r="BP71" s="9"/>
      <c r="BQ71" s="9"/>
      <c r="BR71" s="9"/>
      <c r="BS71" s="9"/>
      <c r="BT71" s="9"/>
      <c r="BU71" s="9"/>
      <c r="BV71" s="9"/>
    </row>
    <row r="72" spans="7:75" ht="15.95" customHeight="1" x14ac:dyDescent="0.25">
      <c r="G72" s="247"/>
      <c r="H72" s="245" t="s">
        <v>43</v>
      </c>
      <c r="I72" s="246"/>
      <c r="J72" s="238" t="s">
        <v>111</v>
      </c>
      <c r="K72" s="226"/>
      <c r="L72" s="226"/>
      <c r="M72" s="226"/>
      <c r="N72" s="226"/>
      <c r="O72" s="226"/>
      <c r="P72" s="226"/>
      <c r="Q72" s="226"/>
      <c r="R72" s="226"/>
      <c r="S72" s="226"/>
      <c r="T72" s="226"/>
      <c r="U72" s="226"/>
      <c r="V72" s="226"/>
      <c r="W72" s="226"/>
      <c r="X72" s="226"/>
      <c r="Y72" s="226"/>
      <c r="Z72" s="226"/>
      <c r="AA72" s="226"/>
      <c r="AB72" s="226"/>
      <c r="AC72" s="226"/>
      <c r="AD72" s="226"/>
      <c r="AE72" s="226"/>
      <c r="AF72" s="552" t="s">
        <v>75</v>
      </c>
      <c r="AG72" s="553"/>
      <c r="AH72" s="238" t="s">
        <v>142</v>
      </c>
      <c r="AI72" s="226"/>
      <c r="AJ72" s="226"/>
      <c r="AK72" s="226"/>
      <c r="AL72" s="226"/>
      <c r="AM72" s="226"/>
      <c r="AN72" s="226"/>
      <c r="AO72" s="226"/>
      <c r="AP72" s="226"/>
      <c r="AQ72" s="226"/>
      <c r="AR72" s="226"/>
      <c r="AS72" s="226"/>
      <c r="AT72" s="226"/>
      <c r="AU72" s="248"/>
      <c r="AV72" s="248"/>
      <c r="AW72" s="248"/>
      <c r="AX72" s="247"/>
      <c r="AY72" s="247"/>
      <c r="AZ72" s="9"/>
      <c r="BA72" s="9"/>
      <c r="BB72" s="9"/>
      <c r="BC72" s="10"/>
      <c r="BD72" s="9"/>
      <c r="BE72" s="9"/>
      <c r="BF72" s="9"/>
      <c r="BG72" s="9"/>
      <c r="BH72" s="9"/>
      <c r="BI72" s="9"/>
      <c r="BJ72" s="9"/>
      <c r="BK72" s="9"/>
      <c r="BL72" s="10"/>
      <c r="BM72" s="9"/>
      <c r="BN72" s="9"/>
      <c r="BO72" s="9"/>
      <c r="BP72" s="9"/>
      <c r="BQ72" s="9"/>
      <c r="BR72" s="9"/>
      <c r="BS72" s="9"/>
      <c r="BT72" s="9"/>
      <c r="BU72" s="9"/>
      <c r="BV72" s="9"/>
    </row>
    <row r="73" spans="7:75" ht="15.95" customHeight="1" x14ac:dyDescent="0.25">
      <c r="G73" s="247"/>
      <c r="H73" s="245" t="s">
        <v>200</v>
      </c>
      <c r="I73" s="246"/>
      <c r="J73" s="238" t="s">
        <v>201</v>
      </c>
      <c r="K73" s="226"/>
      <c r="L73" s="226"/>
      <c r="M73" s="226"/>
      <c r="N73" s="226"/>
      <c r="O73" s="226"/>
      <c r="P73" s="226"/>
      <c r="Q73" s="226"/>
      <c r="R73" s="226"/>
      <c r="S73" s="226"/>
      <c r="T73" s="226"/>
      <c r="U73" s="226"/>
      <c r="V73" s="226"/>
      <c r="W73" s="226"/>
      <c r="X73" s="226"/>
      <c r="Y73" s="226"/>
      <c r="Z73" s="226"/>
      <c r="AA73" s="226"/>
      <c r="AB73" s="226"/>
      <c r="AC73" s="226"/>
      <c r="AD73" s="226"/>
      <c r="AE73" s="226"/>
      <c r="AF73" s="552" t="s">
        <v>76</v>
      </c>
      <c r="AG73" s="553"/>
      <c r="AH73" s="238" t="s">
        <v>143</v>
      </c>
      <c r="AI73" s="226"/>
      <c r="AJ73" s="226"/>
      <c r="AK73" s="226"/>
      <c r="AL73" s="226"/>
      <c r="AM73" s="226"/>
      <c r="AN73" s="226"/>
      <c r="AO73" s="226"/>
      <c r="AP73" s="226"/>
      <c r="AQ73" s="226"/>
      <c r="AR73" s="226"/>
      <c r="AS73" s="226"/>
      <c r="AT73" s="226"/>
      <c r="AU73" s="248"/>
      <c r="AV73" s="248"/>
      <c r="AW73" s="248"/>
      <c r="AX73" s="247"/>
      <c r="AY73" s="247"/>
      <c r="AZ73" s="9"/>
      <c r="BA73" s="9"/>
      <c r="BB73" s="9"/>
      <c r="BC73" s="10"/>
      <c r="BD73" s="9"/>
      <c r="BE73" s="9"/>
      <c r="BF73" s="9"/>
      <c r="BG73" s="9"/>
      <c r="BH73" s="9"/>
      <c r="BI73" s="9"/>
      <c r="BJ73" s="9"/>
      <c r="BK73" s="9"/>
      <c r="BL73" s="10"/>
      <c r="BM73" s="9"/>
      <c r="BN73" s="9"/>
      <c r="BO73" s="9"/>
      <c r="BP73" s="9"/>
      <c r="BQ73" s="9"/>
      <c r="BR73" s="9"/>
      <c r="BS73" s="9"/>
      <c r="BT73" s="9"/>
      <c r="BU73" s="9"/>
      <c r="BV73" s="9"/>
    </row>
    <row r="74" spans="7:75" ht="15.95" customHeight="1" x14ac:dyDescent="0.25">
      <c r="G74" s="247"/>
      <c r="H74" s="245" t="s">
        <v>44</v>
      </c>
      <c r="I74" s="246"/>
      <c r="J74" s="238" t="s">
        <v>112</v>
      </c>
      <c r="K74" s="226"/>
      <c r="L74" s="226"/>
      <c r="M74" s="226"/>
      <c r="N74" s="226"/>
      <c r="O74" s="226"/>
      <c r="P74" s="226"/>
      <c r="Q74" s="226"/>
      <c r="R74" s="226"/>
      <c r="S74" s="226"/>
      <c r="T74" s="226"/>
      <c r="U74" s="226"/>
      <c r="V74" s="226"/>
      <c r="W74" s="226"/>
      <c r="X74" s="226"/>
      <c r="Y74" s="226"/>
      <c r="Z74" s="226"/>
      <c r="AA74" s="226"/>
      <c r="AB74" s="226"/>
      <c r="AC74" s="226"/>
      <c r="AD74" s="226"/>
      <c r="AE74" s="226"/>
      <c r="AF74" s="552" t="s">
        <v>77</v>
      </c>
      <c r="AG74" s="553"/>
      <c r="AH74" s="238" t="s">
        <v>144</v>
      </c>
      <c r="AI74" s="226"/>
      <c r="AJ74" s="226"/>
      <c r="AK74" s="226"/>
      <c r="AL74" s="226"/>
      <c r="AM74" s="226"/>
      <c r="AN74" s="226"/>
      <c r="AO74" s="226"/>
      <c r="AP74" s="226"/>
      <c r="AQ74" s="226"/>
      <c r="AR74" s="226"/>
      <c r="AS74" s="226"/>
      <c r="AT74" s="226"/>
      <c r="AU74" s="248"/>
      <c r="AV74" s="248"/>
      <c r="AW74" s="248"/>
      <c r="AX74" s="247"/>
      <c r="AY74" s="247"/>
      <c r="AZ74" s="9"/>
      <c r="BA74" s="9"/>
      <c r="BB74" s="9"/>
      <c r="BC74" s="10"/>
      <c r="BD74" s="9"/>
      <c r="BE74" s="9"/>
      <c r="BF74" s="9"/>
      <c r="BG74" s="9"/>
      <c r="BH74" s="9"/>
      <c r="BI74" s="9"/>
      <c r="BJ74" s="9"/>
      <c r="BK74" s="9"/>
      <c r="BL74" s="10"/>
      <c r="BM74" s="9"/>
      <c r="BN74" s="9"/>
      <c r="BO74" s="9"/>
      <c r="BP74" s="9"/>
      <c r="BQ74" s="9"/>
      <c r="BR74" s="9"/>
      <c r="BS74" s="9"/>
      <c r="BT74" s="9"/>
      <c r="BU74" s="9"/>
      <c r="BV74" s="9"/>
      <c r="BW74" s="9"/>
    </row>
    <row r="75" spans="7:75" ht="15.95" customHeight="1" x14ac:dyDescent="0.25">
      <c r="G75" s="247"/>
      <c r="H75" s="245" t="s">
        <v>45</v>
      </c>
      <c r="I75" s="246"/>
      <c r="J75" s="238" t="s">
        <v>113</v>
      </c>
      <c r="K75" s="226"/>
      <c r="L75" s="226"/>
      <c r="M75" s="226"/>
      <c r="N75" s="226"/>
      <c r="O75" s="226"/>
      <c r="P75" s="226"/>
      <c r="Q75" s="226"/>
      <c r="R75" s="226"/>
      <c r="S75" s="226"/>
      <c r="T75" s="226"/>
      <c r="U75" s="226"/>
      <c r="V75" s="226"/>
      <c r="W75" s="226"/>
      <c r="X75" s="226"/>
      <c r="Y75" s="226"/>
      <c r="Z75" s="226"/>
      <c r="AA75" s="226"/>
      <c r="AB75" s="226"/>
      <c r="AC75" s="226"/>
      <c r="AD75" s="226"/>
      <c r="AE75" s="226"/>
      <c r="AF75" s="552" t="s">
        <v>78</v>
      </c>
      <c r="AG75" s="553"/>
      <c r="AH75" s="238" t="s">
        <v>145</v>
      </c>
      <c r="AI75" s="226"/>
      <c r="AJ75" s="226"/>
      <c r="AK75" s="226"/>
      <c r="AL75" s="226"/>
      <c r="AM75" s="226"/>
      <c r="AN75" s="226"/>
      <c r="AO75" s="226"/>
      <c r="AP75" s="226"/>
      <c r="AQ75" s="226"/>
      <c r="AR75" s="226"/>
      <c r="AS75" s="226"/>
      <c r="AT75" s="226"/>
      <c r="AU75" s="248"/>
      <c r="AV75" s="248"/>
      <c r="AW75" s="248"/>
      <c r="AX75" s="247"/>
      <c r="AY75" s="247"/>
      <c r="AZ75" s="9"/>
      <c r="BA75" s="9"/>
      <c r="BB75" s="9"/>
      <c r="BC75" s="10"/>
      <c r="BD75" s="9"/>
      <c r="BE75" s="9"/>
      <c r="BF75" s="9"/>
      <c r="BG75" s="9"/>
      <c r="BH75" s="9"/>
      <c r="BI75" s="9"/>
      <c r="BJ75" s="9"/>
      <c r="BK75" s="9"/>
      <c r="BL75" s="10"/>
      <c r="BM75" s="9"/>
      <c r="BN75" s="9"/>
      <c r="BO75" s="9"/>
      <c r="BP75" s="9"/>
      <c r="BQ75" s="9"/>
      <c r="BR75" s="9"/>
      <c r="BS75" s="9"/>
      <c r="BT75" s="9"/>
      <c r="BU75" s="9"/>
      <c r="BV75" s="9"/>
    </row>
    <row r="76" spans="7:75" ht="15.95" customHeight="1" x14ac:dyDescent="0.25">
      <c r="G76" s="247"/>
      <c r="H76" s="245" t="s">
        <v>46</v>
      </c>
      <c r="I76" s="246"/>
      <c r="J76" s="238" t="s">
        <v>114</v>
      </c>
      <c r="K76" s="226"/>
      <c r="L76" s="226"/>
      <c r="M76" s="226"/>
      <c r="N76" s="226"/>
      <c r="O76" s="226"/>
      <c r="P76" s="226"/>
      <c r="Q76" s="226"/>
      <c r="R76" s="226"/>
      <c r="S76" s="226"/>
      <c r="T76" s="226"/>
      <c r="U76" s="226"/>
      <c r="V76" s="226"/>
      <c r="W76" s="226"/>
      <c r="X76" s="226"/>
      <c r="Y76" s="226"/>
      <c r="Z76" s="226"/>
      <c r="AA76" s="226"/>
      <c r="AB76" s="226"/>
      <c r="AC76" s="226"/>
      <c r="AD76" s="226"/>
      <c r="AE76" s="226"/>
      <c r="AF76" s="552" t="s">
        <v>79</v>
      </c>
      <c r="AG76" s="553"/>
      <c r="AH76" s="238" t="s">
        <v>157</v>
      </c>
      <c r="AI76" s="226"/>
      <c r="AJ76" s="226"/>
      <c r="AK76" s="226"/>
      <c r="AL76" s="226"/>
      <c r="AM76" s="226"/>
      <c r="AN76" s="226"/>
      <c r="AO76" s="226"/>
      <c r="AP76" s="226"/>
      <c r="AQ76" s="226"/>
      <c r="AR76" s="226"/>
      <c r="AS76" s="226"/>
      <c r="AT76" s="226"/>
      <c r="AU76" s="248"/>
      <c r="AV76" s="248"/>
      <c r="AW76" s="248"/>
      <c r="AX76" s="247"/>
      <c r="AY76" s="247"/>
      <c r="AZ76" s="9"/>
      <c r="BA76" s="9"/>
      <c r="BB76" s="9"/>
      <c r="BC76" s="10"/>
      <c r="BD76" s="9"/>
      <c r="BE76" s="9"/>
      <c r="BF76" s="9"/>
      <c r="BG76" s="9"/>
      <c r="BH76" s="9"/>
      <c r="BI76" s="9"/>
      <c r="BJ76" s="9"/>
      <c r="BK76" s="9"/>
      <c r="BL76" s="10"/>
      <c r="BM76" s="9"/>
      <c r="BN76" s="9"/>
      <c r="BO76" s="9"/>
      <c r="BP76" s="9"/>
      <c r="BQ76" s="9"/>
      <c r="BR76" s="9"/>
      <c r="BS76" s="9"/>
      <c r="BT76" s="9"/>
      <c r="BU76" s="9"/>
      <c r="BV76" s="9"/>
    </row>
    <row r="77" spans="7:75" ht="15.95" customHeight="1" x14ac:dyDescent="0.25">
      <c r="G77" s="247"/>
      <c r="H77" s="245" t="s">
        <v>47</v>
      </c>
      <c r="I77" s="246"/>
      <c r="J77" s="238" t="s">
        <v>115</v>
      </c>
      <c r="K77" s="226"/>
      <c r="L77" s="226"/>
      <c r="M77" s="226"/>
      <c r="N77" s="226"/>
      <c r="O77" s="226"/>
      <c r="P77" s="226"/>
      <c r="Q77" s="226"/>
      <c r="R77" s="226"/>
      <c r="S77" s="226"/>
      <c r="T77" s="226"/>
      <c r="U77" s="226"/>
      <c r="V77" s="226"/>
      <c r="W77" s="226"/>
      <c r="X77" s="226"/>
      <c r="Y77" s="226"/>
      <c r="Z77" s="226"/>
      <c r="AA77" s="226"/>
      <c r="AB77" s="226"/>
      <c r="AC77" s="226"/>
      <c r="AD77" s="226"/>
      <c r="AE77" s="226"/>
      <c r="AF77" s="552" t="s">
        <v>80</v>
      </c>
      <c r="AG77" s="553"/>
      <c r="AH77" s="238" t="s">
        <v>147</v>
      </c>
      <c r="AI77" s="226"/>
      <c r="AJ77" s="226"/>
      <c r="AK77" s="226"/>
      <c r="AL77" s="226"/>
      <c r="AM77" s="226"/>
      <c r="AN77" s="226"/>
      <c r="AO77" s="226"/>
      <c r="AP77" s="226"/>
      <c r="AQ77" s="226"/>
      <c r="AR77" s="226"/>
      <c r="AS77" s="226"/>
      <c r="AT77" s="226"/>
      <c r="AU77" s="248"/>
      <c r="AV77" s="248"/>
      <c r="AW77" s="248"/>
      <c r="AX77" s="247"/>
      <c r="AY77" s="247"/>
      <c r="AZ77" s="9"/>
      <c r="BA77" s="9"/>
      <c r="BB77" s="9"/>
      <c r="BC77" s="10"/>
      <c r="BD77" s="9"/>
      <c r="BE77" s="9"/>
      <c r="BF77" s="9"/>
      <c r="BG77" s="9"/>
      <c r="BH77" s="9"/>
      <c r="BI77" s="9"/>
      <c r="BJ77" s="9"/>
      <c r="BK77" s="9"/>
      <c r="BL77" s="10"/>
      <c r="BM77" s="9"/>
      <c r="BN77" s="9"/>
      <c r="BO77" s="9"/>
      <c r="BP77" s="9"/>
      <c r="BQ77" s="9"/>
      <c r="BR77" s="9"/>
      <c r="BS77" s="9"/>
      <c r="BT77" s="9"/>
      <c r="BU77" s="9"/>
      <c r="BV77" s="9"/>
    </row>
    <row r="78" spans="7:75" ht="15.95" customHeight="1" x14ac:dyDescent="0.25">
      <c r="G78" s="247"/>
      <c r="H78" s="245" t="s">
        <v>48</v>
      </c>
      <c r="I78" s="246"/>
      <c r="J78" s="238" t="s">
        <v>116</v>
      </c>
      <c r="K78" s="226"/>
      <c r="L78" s="226"/>
      <c r="M78" s="226"/>
      <c r="N78" s="226"/>
      <c r="O78" s="226"/>
      <c r="P78" s="226"/>
      <c r="Q78" s="226"/>
      <c r="R78" s="226"/>
      <c r="S78" s="226"/>
      <c r="T78" s="226"/>
      <c r="U78" s="226"/>
      <c r="V78" s="226"/>
      <c r="W78" s="226"/>
      <c r="X78" s="226"/>
      <c r="Y78" s="226"/>
      <c r="Z78" s="226"/>
      <c r="AA78" s="226"/>
      <c r="AB78" s="226"/>
      <c r="AC78" s="226"/>
      <c r="AD78" s="226"/>
      <c r="AE78" s="226"/>
      <c r="AF78" s="552" t="s">
        <v>81</v>
      </c>
      <c r="AG78" s="553"/>
      <c r="AH78" s="238" t="s">
        <v>148</v>
      </c>
      <c r="AI78" s="226"/>
      <c r="AJ78" s="226"/>
      <c r="AK78" s="226"/>
      <c r="AL78" s="226"/>
      <c r="AM78" s="226"/>
      <c r="AN78" s="226"/>
      <c r="AO78" s="226"/>
      <c r="AP78" s="226"/>
      <c r="AQ78" s="226"/>
      <c r="AR78" s="226"/>
      <c r="AS78" s="226"/>
      <c r="AT78" s="226"/>
      <c r="AU78" s="248"/>
      <c r="AV78" s="248"/>
      <c r="AW78" s="248"/>
      <c r="AX78" s="247"/>
      <c r="AY78" s="247"/>
      <c r="AZ78" s="9"/>
      <c r="BA78" s="9"/>
      <c r="BB78" s="9"/>
      <c r="BC78" s="10"/>
      <c r="BD78" s="9"/>
      <c r="BE78" s="9"/>
      <c r="BF78" s="9"/>
      <c r="BG78" s="9"/>
      <c r="BH78" s="9"/>
      <c r="BI78" s="9"/>
      <c r="BJ78" s="9"/>
      <c r="BK78" s="9"/>
      <c r="BL78" s="10"/>
      <c r="BM78" s="9"/>
      <c r="BN78" s="9"/>
      <c r="BO78" s="9"/>
      <c r="BP78" s="9"/>
      <c r="BQ78" s="9"/>
      <c r="BR78" s="9"/>
      <c r="BS78" s="9"/>
      <c r="BT78" s="9"/>
      <c r="BU78" s="9"/>
      <c r="BV78" s="9"/>
    </row>
    <row r="79" spans="7:75" ht="15.95" customHeight="1" x14ac:dyDescent="0.25">
      <c r="G79" s="247"/>
      <c r="H79" s="245" t="s">
        <v>49</v>
      </c>
      <c r="I79" s="246"/>
      <c r="J79" s="238" t="s">
        <v>117</v>
      </c>
      <c r="K79" s="226"/>
      <c r="L79" s="226"/>
      <c r="M79" s="226"/>
      <c r="N79" s="226"/>
      <c r="O79" s="226"/>
      <c r="P79" s="226"/>
      <c r="Q79" s="226"/>
      <c r="R79" s="226"/>
      <c r="S79" s="226"/>
      <c r="T79" s="226"/>
      <c r="U79" s="226"/>
      <c r="V79" s="226"/>
      <c r="W79" s="226"/>
      <c r="X79" s="226"/>
      <c r="Y79" s="226"/>
      <c r="Z79" s="226"/>
      <c r="AA79" s="226"/>
      <c r="AB79" s="226"/>
      <c r="AC79" s="226"/>
      <c r="AD79" s="226"/>
      <c r="AE79" s="226"/>
      <c r="AF79" s="552" t="s">
        <v>209</v>
      </c>
      <c r="AG79" s="553"/>
      <c r="AH79" s="238" t="s">
        <v>211</v>
      </c>
      <c r="AI79" s="226"/>
      <c r="AJ79" s="226"/>
      <c r="AK79" s="226"/>
      <c r="AL79" s="226"/>
      <c r="AM79" s="226"/>
      <c r="AN79" s="226"/>
      <c r="AO79" s="226"/>
      <c r="AP79" s="226"/>
      <c r="AQ79" s="226"/>
      <c r="AR79" s="226"/>
      <c r="AS79" s="226"/>
      <c r="AT79" s="226"/>
      <c r="AU79" s="248"/>
      <c r="AV79" s="248"/>
      <c r="AW79" s="248"/>
      <c r="AX79" s="247"/>
      <c r="AY79" s="247"/>
      <c r="AZ79" s="9"/>
      <c r="BA79" s="9"/>
      <c r="BB79" s="9"/>
      <c r="BC79" s="10"/>
      <c r="BD79" s="9"/>
      <c r="BE79" s="9"/>
      <c r="BF79" s="9"/>
      <c r="BG79" s="9"/>
      <c r="BH79" s="9"/>
      <c r="BI79" s="9"/>
      <c r="BJ79" s="9"/>
      <c r="BK79" s="9"/>
      <c r="BL79" s="10"/>
      <c r="BM79" s="9"/>
      <c r="BN79" s="9"/>
      <c r="BO79" s="9"/>
      <c r="BP79" s="9"/>
      <c r="BQ79" s="9"/>
      <c r="BR79" s="9"/>
      <c r="BS79" s="9"/>
      <c r="BT79" s="9"/>
      <c r="BU79" s="9"/>
      <c r="BV79" s="9"/>
    </row>
    <row r="80" spans="7:75" ht="15.95" customHeight="1" x14ac:dyDescent="0.25">
      <c r="G80" s="247"/>
      <c r="H80" s="245" t="s">
        <v>50</v>
      </c>
      <c r="I80" s="246"/>
      <c r="J80" s="238" t="s">
        <v>118</v>
      </c>
      <c r="K80" s="226"/>
      <c r="L80" s="226"/>
      <c r="M80" s="226"/>
      <c r="N80" s="226"/>
      <c r="O80" s="226"/>
      <c r="P80" s="226"/>
      <c r="Q80" s="226"/>
      <c r="R80" s="226"/>
      <c r="S80" s="226"/>
      <c r="T80" s="226"/>
      <c r="U80" s="226"/>
      <c r="V80" s="226"/>
      <c r="W80" s="226"/>
      <c r="X80" s="226"/>
      <c r="Y80" s="226"/>
      <c r="Z80" s="226"/>
      <c r="AA80" s="226"/>
      <c r="AB80" s="226"/>
      <c r="AC80" s="226"/>
      <c r="AD80" s="226"/>
      <c r="AE80" s="226"/>
      <c r="AF80" s="552" t="s">
        <v>82</v>
      </c>
      <c r="AG80" s="553"/>
      <c r="AH80" s="238" t="s">
        <v>149</v>
      </c>
      <c r="AI80" s="226"/>
      <c r="AJ80" s="226"/>
      <c r="AK80" s="226"/>
      <c r="AL80" s="226"/>
      <c r="AM80" s="226"/>
      <c r="AN80" s="226"/>
      <c r="AO80" s="226"/>
      <c r="AP80" s="226"/>
      <c r="AQ80" s="226"/>
      <c r="AR80" s="226"/>
      <c r="AS80" s="226"/>
      <c r="AT80" s="226"/>
      <c r="AU80" s="248"/>
      <c r="AV80" s="248"/>
      <c r="AW80" s="248"/>
      <c r="AX80" s="247"/>
      <c r="AY80" s="247"/>
      <c r="AZ80" s="9"/>
      <c r="BA80" s="9"/>
      <c r="BB80" s="9"/>
      <c r="BC80" s="10"/>
      <c r="BD80" s="9"/>
      <c r="BE80" s="9"/>
      <c r="BF80" s="9"/>
      <c r="BG80" s="9"/>
      <c r="BH80" s="9"/>
      <c r="BI80" s="9"/>
      <c r="BJ80" s="9"/>
      <c r="BK80" s="9"/>
      <c r="BL80" s="10"/>
      <c r="BM80" s="9"/>
      <c r="BN80" s="9"/>
      <c r="BO80" s="9"/>
      <c r="BP80" s="9"/>
      <c r="BQ80" s="9"/>
      <c r="BR80" s="9"/>
      <c r="BS80" s="9"/>
      <c r="BT80" s="9"/>
      <c r="BU80" s="9"/>
      <c r="BV80" s="9"/>
    </row>
    <row r="81" spans="1:75" ht="15.95" customHeight="1" x14ac:dyDescent="0.25">
      <c r="G81" s="247"/>
      <c r="H81" s="245" t="s">
        <v>51</v>
      </c>
      <c r="I81" s="246"/>
      <c r="J81" s="238" t="s">
        <v>119</v>
      </c>
      <c r="K81" s="226"/>
      <c r="L81" s="226"/>
      <c r="M81" s="226"/>
      <c r="N81" s="226"/>
      <c r="O81" s="226"/>
      <c r="P81" s="226"/>
      <c r="Q81" s="226"/>
      <c r="R81" s="226"/>
      <c r="S81" s="226"/>
      <c r="T81" s="226"/>
      <c r="U81" s="226"/>
      <c r="V81" s="226"/>
      <c r="W81" s="226"/>
      <c r="X81" s="226"/>
      <c r="Y81" s="226"/>
      <c r="Z81" s="226"/>
      <c r="AA81" s="226"/>
      <c r="AB81" s="226"/>
      <c r="AC81" s="226"/>
      <c r="AD81" s="226"/>
      <c r="AE81" s="226"/>
      <c r="AF81" s="552" t="s">
        <v>83</v>
      </c>
      <c r="AG81" s="553"/>
      <c r="AH81" s="239" t="s">
        <v>150</v>
      </c>
      <c r="AI81" s="226"/>
      <c r="AJ81" s="226"/>
      <c r="AK81" s="226"/>
      <c r="AL81" s="226"/>
      <c r="AM81" s="226"/>
      <c r="AN81" s="226"/>
      <c r="AO81" s="226"/>
      <c r="AP81" s="226"/>
      <c r="AQ81" s="226"/>
      <c r="AR81" s="226"/>
      <c r="AS81" s="226"/>
      <c r="AT81" s="226"/>
      <c r="AU81" s="248"/>
      <c r="AV81" s="248"/>
      <c r="AW81" s="248"/>
      <c r="AX81" s="247"/>
      <c r="AY81" s="247"/>
      <c r="AZ81" s="9"/>
      <c r="BA81" s="9"/>
      <c r="BB81" s="9"/>
      <c r="BC81" s="10"/>
      <c r="BD81" s="9"/>
      <c r="BE81" s="9"/>
      <c r="BF81" s="9"/>
      <c r="BG81" s="9"/>
      <c r="BH81" s="9"/>
      <c r="BI81" s="9"/>
      <c r="BJ81" s="9"/>
      <c r="BK81" s="9"/>
      <c r="BL81" s="10"/>
      <c r="BM81" s="9"/>
      <c r="BN81" s="9"/>
      <c r="BO81" s="9"/>
      <c r="BP81" s="9"/>
      <c r="BQ81" s="9"/>
      <c r="BR81" s="9"/>
      <c r="BS81" s="9"/>
      <c r="BT81" s="9"/>
      <c r="BU81" s="9"/>
      <c r="BV81" s="9"/>
    </row>
    <row r="82" spans="1:75" ht="15.95" customHeight="1" x14ac:dyDescent="0.25">
      <c r="G82" s="247"/>
      <c r="H82" s="245" t="s">
        <v>52</v>
      </c>
      <c r="I82" s="246"/>
      <c r="J82" s="238" t="s">
        <v>120</v>
      </c>
      <c r="K82" s="226"/>
      <c r="L82" s="226"/>
      <c r="M82" s="226"/>
      <c r="N82" s="226"/>
      <c r="O82" s="226"/>
      <c r="P82" s="226"/>
      <c r="Q82" s="226"/>
      <c r="R82" s="226"/>
      <c r="S82" s="226"/>
      <c r="T82" s="226"/>
      <c r="U82" s="226"/>
      <c r="V82" s="226"/>
      <c r="W82" s="226"/>
      <c r="X82" s="226"/>
      <c r="Y82" s="226"/>
      <c r="Z82" s="226"/>
      <c r="AA82" s="226"/>
      <c r="AB82" s="226"/>
      <c r="AC82" s="226"/>
      <c r="AD82" s="226"/>
      <c r="AE82" s="226"/>
      <c r="AF82" s="552" t="s">
        <v>84</v>
      </c>
      <c r="AG82" s="553"/>
      <c r="AH82" s="239" t="s">
        <v>151</v>
      </c>
      <c r="AI82" s="226"/>
      <c r="AJ82" s="226"/>
      <c r="AK82" s="226"/>
      <c r="AL82" s="226"/>
      <c r="AM82" s="226"/>
      <c r="AN82" s="226"/>
      <c r="AO82" s="226"/>
      <c r="AP82" s="226"/>
      <c r="AQ82" s="226"/>
      <c r="AR82" s="226"/>
      <c r="AS82" s="226"/>
      <c r="AT82" s="226"/>
      <c r="AU82" s="248"/>
      <c r="AV82" s="248"/>
      <c r="AW82" s="248"/>
      <c r="AX82" s="247"/>
      <c r="AY82" s="247"/>
      <c r="AZ82" s="9"/>
      <c r="BA82" s="9"/>
      <c r="BB82" s="9"/>
      <c r="BC82" s="10"/>
      <c r="BD82" s="9"/>
      <c r="BE82" s="9"/>
      <c r="BF82" s="9"/>
      <c r="BG82" s="9"/>
      <c r="BH82" s="9"/>
      <c r="BI82" s="9"/>
      <c r="BJ82" s="9"/>
      <c r="BK82" s="9"/>
      <c r="BL82" s="10"/>
      <c r="BM82" s="9"/>
      <c r="BN82" s="9"/>
      <c r="BO82" s="9"/>
      <c r="BP82" s="9"/>
      <c r="BQ82" s="9"/>
      <c r="BR82" s="9"/>
      <c r="BS82" s="9"/>
      <c r="BT82" s="9"/>
      <c r="BU82" s="9"/>
      <c r="BV82" s="9"/>
    </row>
    <row r="83" spans="1:75" ht="15.95" customHeight="1" x14ac:dyDescent="0.25">
      <c r="G83" s="247"/>
      <c r="H83" s="245" t="s">
        <v>53</v>
      </c>
      <c r="I83" s="246"/>
      <c r="J83" s="238" t="s">
        <v>121</v>
      </c>
      <c r="K83" s="226"/>
      <c r="L83" s="226"/>
      <c r="M83" s="226"/>
      <c r="N83" s="226"/>
      <c r="O83" s="226"/>
      <c r="P83" s="226"/>
      <c r="Q83" s="226"/>
      <c r="R83" s="226"/>
      <c r="S83" s="226"/>
      <c r="T83" s="226"/>
      <c r="U83" s="226"/>
      <c r="V83" s="226"/>
      <c r="W83" s="226"/>
      <c r="X83" s="226"/>
      <c r="Y83" s="226"/>
      <c r="Z83" s="226"/>
      <c r="AA83" s="226"/>
      <c r="AB83" s="226"/>
      <c r="AC83" s="226"/>
      <c r="AD83" s="226"/>
      <c r="AE83" s="226"/>
      <c r="AF83" s="552" t="s">
        <v>85</v>
      </c>
      <c r="AG83" s="553"/>
      <c r="AH83" s="238" t="s">
        <v>152</v>
      </c>
      <c r="AI83" s="226"/>
      <c r="AJ83" s="226"/>
      <c r="AK83" s="226"/>
      <c r="AL83" s="226"/>
      <c r="AM83" s="226"/>
      <c r="AN83" s="226"/>
      <c r="AO83" s="226"/>
      <c r="AP83" s="226"/>
      <c r="AQ83" s="226"/>
      <c r="AR83" s="226"/>
      <c r="AS83" s="226"/>
      <c r="AT83" s="226"/>
      <c r="AU83" s="248"/>
      <c r="AV83" s="248"/>
      <c r="AW83" s="248"/>
      <c r="AX83" s="247"/>
      <c r="AY83" s="247"/>
      <c r="AZ83" s="9"/>
      <c r="BA83" s="9"/>
      <c r="BB83" s="9"/>
      <c r="BC83" s="10"/>
      <c r="BD83" s="9"/>
      <c r="BE83" s="9"/>
      <c r="BF83" s="9"/>
      <c r="BG83" s="9"/>
      <c r="BH83" s="9"/>
      <c r="BI83" s="9"/>
      <c r="BJ83" s="9"/>
      <c r="BK83" s="9"/>
      <c r="BL83" s="10"/>
      <c r="BM83" s="9"/>
      <c r="BN83" s="9"/>
      <c r="BO83" s="9"/>
      <c r="BP83" s="9"/>
      <c r="BQ83" s="9"/>
      <c r="BR83" s="9"/>
      <c r="BS83" s="9"/>
      <c r="BT83" s="9"/>
      <c r="BU83" s="9"/>
      <c r="BV83" s="9"/>
    </row>
    <row r="84" spans="1:75" ht="15.95" customHeight="1" x14ac:dyDescent="0.25">
      <c r="G84" s="247"/>
      <c r="H84" s="245" t="s">
        <v>54</v>
      </c>
      <c r="I84" s="246"/>
      <c r="J84" s="238" t="s">
        <v>122</v>
      </c>
      <c r="K84" s="226"/>
      <c r="L84" s="226"/>
      <c r="M84" s="226"/>
      <c r="N84" s="226"/>
      <c r="O84" s="226"/>
      <c r="P84" s="226"/>
      <c r="Q84" s="226"/>
      <c r="R84" s="226"/>
      <c r="S84" s="226"/>
      <c r="T84" s="226"/>
      <c r="U84" s="226"/>
      <c r="V84" s="226"/>
      <c r="W84" s="226"/>
      <c r="X84" s="226"/>
      <c r="Y84" s="226"/>
      <c r="Z84" s="226"/>
      <c r="AA84" s="226"/>
      <c r="AB84" s="226"/>
      <c r="AC84" s="226"/>
      <c r="AD84" s="226"/>
      <c r="AE84" s="226"/>
      <c r="AF84" s="552" t="s">
        <v>86</v>
      </c>
      <c r="AG84" s="553"/>
      <c r="AH84" s="238" t="s">
        <v>153</v>
      </c>
      <c r="AI84" s="226"/>
      <c r="AJ84" s="226"/>
      <c r="AK84" s="226"/>
      <c r="AL84" s="226"/>
      <c r="AM84" s="226"/>
      <c r="AN84" s="226"/>
      <c r="AO84" s="226"/>
      <c r="AP84" s="226"/>
      <c r="AQ84" s="226"/>
      <c r="AR84" s="226"/>
      <c r="AS84" s="226"/>
      <c r="AT84" s="226"/>
      <c r="AU84" s="248"/>
      <c r="AV84" s="248"/>
      <c r="AW84" s="248"/>
      <c r="AX84" s="247"/>
      <c r="AY84" s="247"/>
      <c r="AZ84" s="9"/>
      <c r="BA84" s="9"/>
      <c r="BB84" s="9"/>
      <c r="BC84" s="10"/>
      <c r="BD84" s="9"/>
      <c r="BE84" s="9"/>
      <c r="BF84" s="9"/>
      <c r="BG84" s="9"/>
      <c r="BH84" s="9"/>
      <c r="BI84" s="9"/>
      <c r="BJ84" s="9"/>
      <c r="BK84" s="9"/>
      <c r="BL84" s="10"/>
      <c r="BM84" s="9"/>
      <c r="BN84" s="9"/>
      <c r="BO84" s="9"/>
      <c r="BP84" s="9"/>
      <c r="BQ84" s="9"/>
      <c r="BR84" s="9"/>
      <c r="BS84" s="9"/>
      <c r="BT84" s="9"/>
      <c r="BU84" s="9"/>
      <c r="BV84" s="9"/>
      <c r="BW84" s="9"/>
    </row>
    <row r="85" spans="1:75" ht="15.95" customHeight="1" x14ac:dyDescent="0.25">
      <c r="G85" s="247"/>
      <c r="H85" s="245" t="s">
        <v>55</v>
      </c>
      <c r="I85" s="246"/>
      <c r="J85" s="238" t="s">
        <v>123</v>
      </c>
      <c r="K85" s="226"/>
      <c r="L85" s="226"/>
      <c r="M85" s="226"/>
      <c r="N85" s="226"/>
      <c r="O85" s="226"/>
      <c r="P85" s="226"/>
      <c r="Q85" s="226"/>
      <c r="R85" s="226"/>
      <c r="S85" s="226"/>
      <c r="T85" s="226"/>
      <c r="U85" s="226"/>
      <c r="V85" s="226"/>
      <c r="W85" s="226"/>
      <c r="X85" s="226"/>
      <c r="Y85" s="226"/>
      <c r="Z85" s="226"/>
      <c r="AA85" s="226"/>
      <c r="AB85" s="226"/>
      <c r="AC85" s="226"/>
      <c r="AD85" s="226"/>
      <c r="AE85" s="226"/>
      <c r="AF85" s="552" t="s">
        <v>87</v>
      </c>
      <c r="AG85" s="553"/>
      <c r="AH85" s="238" t="s">
        <v>154</v>
      </c>
      <c r="AI85" s="226"/>
      <c r="AJ85" s="226"/>
      <c r="AK85" s="226"/>
      <c r="AL85" s="226"/>
      <c r="AM85" s="226"/>
      <c r="AN85" s="226"/>
      <c r="AO85" s="226"/>
      <c r="AP85" s="226"/>
      <c r="AQ85" s="226"/>
      <c r="AR85" s="226"/>
      <c r="AS85" s="226"/>
      <c r="AT85" s="226"/>
      <c r="AU85" s="248"/>
      <c r="AV85" s="248"/>
      <c r="AW85" s="248"/>
      <c r="AX85" s="247"/>
      <c r="AY85" s="247"/>
      <c r="AZ85" s="9"/>
      <c r="BA85" s="9"/>
      <c r="BB85" s="9"/>
      <c r="BC85" s="10"/>
      <c r="BD85" s="9"/>
      <c r="BE85" s="9"/>
      <c r="BF85" s="9"/>
      <c r="BG85" s="9"/>
      <c r="BH85" s="9"/>
      <c r="BI85" s="9"/>
      <c r="BJ85" s="9"/>
      <c r="BK85" s="9"/>
      <c r="BL85" s="10"/>
      <c r="BM85" s="9"/>
      <c r="BN85" s="9"/>
      <c r="BO85" s="9"/>
      <c r="BP85" s="9"/>
      <c r="BQ85" s="9"/>
      <c r="BR85" s="9"/>
      <c r="BS85" s="9"/>
      <c r="BT85" s="9"/>
      <c r="BU85" s="9"/>
      <c r="BV85" s="9"/>
    </row>
    <row r="86" spans="1:75" ht="15.95" customHeight="1" x14ac:dyDescent="0.25">
      <c r="G86" s="247"/>
      <c r="H86" s="245" t="s">
        <v>56</v>
      </c>
      <c r="I86" s="246"/>
      <c r="J86" s="238" t="s">
        <v>124</v>
      </c>
      <c r="K86" s="226"/>
      <c r="L86" s="226"/>
      <c r="M86" s="226"/>
      <c r="N86" s="226"/>
      <c r="O86" s="226"/>
      <c r="P86" s="226"/>
      <c r="Q86" s="226"/>
      <c r="R86" s="226"/>
      <c r="S86" s="226"/>
      <c r="T86" s="226"/>
      <c r="U86" s="226"/>
      <c r="V86" s="226"/>
      <c r="W86" s="226"/>
      <c r="X86" s="226"/>
      <c r="Y86" s="226"/>
      <c r="Z86" s="226"/>
      <c r="AA86" s="226"/>
      <c r="AB86" s="226"/>
      <c r="AC86" s="226"/>
      <c r="AD86" s="226"/>
      <c r="AE86" s="226"/>
      <c r="AF86" s="552" t="s">
        <v>88</v>
      </c>
      <c r="AG86" s="553"/>
      <c r="AH86" s="239" t="s">
        <v>155</v>
      </c>
      <c r="AI86" s="226"/>
      <c r="AJ86" s="226"/>
      <c r="AK86" s="226"/>
      <c r="AL86" s="226"/>
      <c r="AM86" s="226"/>
      <c r="AN86" s="226"/>
      <c r="AO86" s="226"/>
      <c r="AP86" s="226"/>
      <c r="AQ86" s="226"/>
      <c r="AR86" s="226"/>
      <c r="AS86" s="226"/>
      <c r="AT86" s="226"/>
      <c r="AU86" s="248"/>
      <c r="AV86" s="248"/>
      <c r="AW86" s="248"/>
      <c r="AX86" s="247"/>
      <c r="AY86" s="247"/>
      <c r="AZ86" s="9"/>
      <c r="BA86" s="9"/>
      <c r="BB86" s="9"/>
      <c r="BC86" s="10"/>
      <c r="BD86" s="9"/>
      <c r="BE86" s="9"/>
      <c r="BF86" s="9"/>
      <c r="BG86" s="9"/>
      <c r="BH86" s="9"/>
      <c r="BI86" s="9"/>
      <c r="BJ86" s="9"/>
      <c r="BK86" s="9"/>
      <c r="BL86" s="10"/>
      <c r="BM86" s="9"/>
      <c r="BN86" s="9"/>
      <c r="BO86" s="9"/>
      <c r="BP86" s="9"/>
      <c r="BQ86" s="9"/>
      <c r="BR86" s="9"/>
      <c r="BS86" s="9"/>
      <c r="BT86" s="9"/>
      <c r="BU86" s="9"/>
      <c r="BV86" s="9"/>
    </row>
    <row r="87" spans="1:75" ht="15.95" customHeight="1" x14ac:dyDescent="0.25">
      <c r="G87" s="247"/>
      <c r="H87" s="245" t="s">
        <v>197</v>
      </c>
      <c r="I87" s="246"/>
      <c r="J87" s="238" t="s">
        <v>198</v>
      </c>
      <c r="K87" s="226"/>
      <c r="L87" s="226"/>
      <c r="M87" s="226"/>
      <c r="N87" s="226"/>
      <c r="O87" s="226"/>
      <c r="P87" s="226"/>
      <c r="Q87" s="226"/>
      <c r="R87" s="226"/>
      <c r="S87" s="226"/>
      <c r="T87" s="226"/>
      <c r="U87" s="226"/>
      <c r="V87" s="226"/>
      <c r="W87" s="226"/>
      <c r="X87" s="226"/>
      <c r="Y87" s="226"/>
      <c r="Z87" s="226"/>
      <c r="AA87" s="226"/>
      <c r="AB87" s="226"/>
      <c r="AC87" s="226"/>
      <c r="AD87" s="226"/>
      <c r="AE87" s="226"/>
      <c r="AF87" s="552" t="s">
        <v>89</v>
      </c>
      <c r="AG87" s="553"/>
      <c r="AH87" s="238" t="s">
        <v>156</v>
      </c>
      <c r="AI87" s="226"/>
      <c r="AJ87" s="226"/>
      <c r="AK87" s="226"/>
      <c r="AL87" s="226"/>
      <c r="AM87" s="226"/>
      <c r="AN87" s="226"/>
      <c r="AO87" s="226"/>
      <c r="AP87" s="226"/>
      <c r="AQ87" s="226"/>
      <c r="AR87" s="226"/>
      <c r="AS87" s="226"/>
      <c r="AT87" s="226"/>
      <c r="AU87" s="248"/>
      <c r="AV87" s="248"/>
      <c r="AW87" s="248"/>
      <c r="AX87" s="247"/>
      <c r="AY87" s="247"/>
      <c r="AZ87" s="9"/>
      <c r="BA87" s="9"/>
      <c r="BB87" s="9"/>
      <c r="BC87" s="10"/>
      <c r="BD87" s="9"/>
      <c r="BE87" s="9"/>
      <c r="BF87" s="9"/>
      <c r="BG87" s="9"/>
      <c r="BH87" s="9"/>
      <c r="BI87" s="9"/>
      <c r="BJ87" s="9"/>
      <c r="BK87" s="9"/>
      <c r="BL87" s="10"/>
      <c r="BM87" s="9"/>
      <c r="BN87" s="9"/>
      <c r="BO87" s="9"/>
      <c r="BP87" s="9"/>
      <c r="BQ87" s="9"/>
      <c r="BR87" s="9"/>
      <c r="BS87" s="9"/>
      <c r="BT87" s="9"/>
      <c r="BU87" s="9"/>
      <c r="BV87" s="9"/>
    </row>
    <row r="88" spans="1:75" ht="15.95" customHeight="1" x14ac:dyDescent="0.25">
      <c r="A88" s="562"/>
      <c r="B88" s="562"/>
      <c r="C88" s="238"/>
      <c r="D88" s="226"/>
      <c r="E88" s="226"/>
      <c r="F88" s="84"/>
      <c r="G88" s="84"/>
      <c r="H88" s="84"/>
      <c r="I88" s="84"/>
      <c r="J88" s="84"/>
      <c r="K88" s="84"/>
      <c r="L88" s="84"/>
      <c r="M88" s="84"/>
      <c r="N88" s="84"/>
      <c r="O88" s="84"/>
      <c r="P88" s="84"/>
      <c r="Q88" s="84"/>
      <c r="R88" s="84"/>
      <c r="S88" s="84"/>
      <c r="T88" s="84"/>
      <c r="U88" s="84"/>
      <c r="V88" s="84"/>
      <c r="W88" s="84"/>
      <c r="X88" s="84"/>
      <c r="Y88" s="84"/>
      <c r="Z88" s="84"/>
      <c r="AA88" s="84"/>
      <c r="AB88" s="84"/>
      <c r="AC88" s="84"/>
      <c r="AD88" s="84"/>
      <c r="AE88" s="84"/>
      <c r="AF88" s="84"/>
      <c r="AG88" s="84"/>
      <c r="AH88" s="84"/>
      <c r="AI88" s="84"/>
      <c r="AJ88" s="84"/>
      <c r="AK88" s="84"/>
      <c r="AL88" s="84"/>
      <c r="AM88" s="84"/>
      <c r="AN88" s="84"/>
      <c r="AO88" s="84"/>
      <c r="AP88" s="84"/>
      <c r="AQ88" s="84"/>
      <c r="AR88" s="84"/>
      <c r="AS88" s="84"/>
      <c r="AT88" s="84"/>
      <c r="AU88" s="164"/>
      <c r="AV88" s="164"/>
      <c r="AW88" s="164"/>
      <c r="AX88" s="9"/>
      <c r="AY88" s="9"/>
      <c r="AZ88" s="9"/>
      <c r="BA88" s="9"/>
      <c r="BB88" s="9"/>
      <c r="BC88" s="10"/>
      <c r="BD88" s="9"/>
      <c r="BE88" s="9"/>
      <c r="BF88" s="9"/>
      <c r="BG88" s="9"/>
      <c r="BH88" s="9"/>
      <c r="BI88" s="9"/>
      <c r="BJ88" s="9"/>
      <c r="BK88" s="9"/>
      <c r="BL88" s="10"/>
      <c r="BM88" s="9"/>
      <c r="BN88" s="9"/>
      <c r="BO88" s="9"/>
      <c r="BP88" s="9"/>
      <c r="BQ88" s="9"/>
      <c r="BR88" s="9"/>
      <c r="BS88" s="9"/>
      <c r="BT88" s="9"/>
      <c r="BU88" s="9"/>
      <c r="BV88" s="9"/>
    </row>
    <row r="89" spans="1:75" ht="15.95" customHeight="1" x14ac:dyDescent="0.25">
      <c r="A89" s="562"/>
      <c r="B89" s="562"/>
      <c r="C89" s="238"/>
      <c r="D89" s="226"/>
      <c r="E89" s="226"/>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c r="AK89" s="84"/>
      <c r="AL89" s="84"/>
      <c r="AM89" s="84"/>
      <c r="AN89" s="84"/>
      <c r="AO89" s="84"/>
      <c r="AP89" s="84"/>
      <c r="AQ89" s="84"/>
      <c r="AR89" s="84"/>
      <c r="AS89" s="84"/>
      <c r="AT89" s="84"/>
      <c r="AU89" s="164"/>
      <c r="AV89" s="164"/>
      <c r="AW89" s="164"/>
      <c r="AX89" s="9"/>
      <c r="AY89" s="9"/>
      <c r="AZ89" s="9"/>
      <c r="BA89" s="9"/>
      <c r="BB89" s="9"/>
      <c r="BC89" s="10"/>
      <c r="BD89" s="9"/>
      <c r="BE89" s="9"/>
      <c r="BF89" s="9"/>
      <c r="BG89" s="9"/>
      <c r="BH89" s="9"/>
      <c r="BI89" s="9"/>
      <c r="BJ89" s="9"/>
      <c r="BK89" s="9"/>
      <c r="BL89" s="10"/>
      <c r="BM89" s="9"/>
      <c r="BN89" s="9"/>
      <c r="BO89" s="9"/>
      <c r="BP89" s="9"/>
      <c r="BQ89" s="9"/>
      <c r="BR89" s="9"/>
      <c r="BS89" s="9"/>
      <c r="BT89" s="9"/>
      <c r="BU89" s="9"/>
      <c r="BV89" s="9"/>
    </row>
    <row r="90" spans="1:75" ht="15.95" customHeight="1" x14ac:dyDescent="0.25">
      <c r="A90" s="562"/>
      <c r="B90" s="562"/>
      <c r="C90" s="238"/>
      <c r="D90" s="226"/>
      <c r="E90" s="226"/>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c r="AM90" s="84"/>
      <c r="AN90" s="84"/>
      <c r="AO90" s="84"/>
      <c r="AP90" s="84"/>
      <c r="AQ90" s="84"/>
      <c r="AR90" s="84"/>
      <c r="AS90" s="84"/>
      <c r="AT90" s="84"/>
      <c r="AU90" s="164"/>
      <c r="AV90" s="164"/>
      <c r="AW90" s="164"/>
      <c r="AX90" s="9"/>
      <c r="AY90" s="9"/>
      <c r="AZ90" s="9"/>
      <c r="BA90" s="9"/>
      <c r="BB90" s="9"/>
      <c r="BC90" s="10"/>
      <c r="BD90" s="9"/>
      <c r="BE90" s="9"/>
      <c r="BF90" s="9"/>
      <c r="BG90" s="9"/>
      <c r="BH90" s="9"/>
      <c r="BI90" s="9"/>
      <c r="BJ90" s="9"/>
      <c r="BK90" s="9"/>
      <c r="BL90" s="10"/>
      <c r="BM90" s="9"/>
      <c r="BN90" s="9"/>
      <c r="BO90" s="9"/>
      <c r="BP90" s="9"/>
      <c r="BQ90" s="9"/>
      <c r="BR90" s="9"/>
      <c r="BS90" s="9"/>
      <c r="BT90" s="9"/>
      <c r="BU90" s="9"/>
      <c r="BV90" s="9"/>
    </row>
    <row r="91" spans="1:75" ht="15.95" customHeight="1" x14ac:dyDescent="0.25">
      <c r="A91" s="562"/>
      <c r="B91" s="562"/>
      <c r="C91" s="238"/>
      <c r="D91" s="226"/>
      <c r="E91" s="226"/>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c r="AM91" s="84"/>
      <c r="AN91" s="84"/>
      <c r="AO91" s="84"/>
      <c r="AP91" s="84"/>
      <c r="AQ91" s="84"/>
      <c r="AR91" s="84"/>
      <c r="AS91" s="84"/>
      <c r="AT91" s="84"/>
      <c r="AU91" s="164"/>
      <c r="AV91" s="164"/>
      <c r="AW91" s="164"/>
      <c r="AX91" s="9"/>
      <c r="AY91" s="9"/>
      <c r="AZ91" s="9"/>
      <c r="BA91" s="9"/>
      <c r="BB91" s="9"/>
      <c r="BC91" s="10"/>
      <c r="BD91" s="9"/>
      <c r="BE91" s="9"/>
      <c r="BF91" s="9"/>
      <c r="BG91" s="9"/>
      <c r="BH91" s="9"/>
      <c r="BI91" s="9"/>
      <c r="BJ91" s="9"/>
      <c r="BK91" s="9"/>
      <c r="BL91" s="10"/>
      <c r="BM91" s="9"/>
      <c r="BN91" s="9"/>
      <c r="BO91" s="9"/>
      <c r="BP91" s="9"/>
      <c r="BQ91" s="9"/>
      <c r="BR91" s="9"/>
      <c r="BS91" s="9"/>
      <c r="BT91" s="9"/>
      <c r="BU91" s="9"/>
      <c r="BV91" s="9"/>
    </row>
    <row r="92" spans="1:75" ht="15.95" customHeight="1" x14ac:dyDescent="0.25">
      <c r="A92" s="562"/>
      <c r="B92" s="562"/>
      <c r="C92" s="239"/>
      <c r="D92" s="226"/>
      <c r="E92" s="226"/>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c r="AR92" s="84"/>
      <c r="AS92" s="84"/>
      <c r="AT92" s="84"/>
      <c r="AU92" s="164"/>
      <c r="AV92" s="164"/>
      <c r="AW92" s="164"/>
      <c r="AX92" s="9"/>
      <c r="AY92" s="9"/>
      <c r="AZ92" s="9"/>
      <c r="BA92" s="9"/>
      <c r="BB92" s="9"/>
      <c r="BC92" s="10"/>
      <c r="BD92" s="9"/>
      <c r="BE92" s="9"/>
      <c r="BF92" s="9"/>
      <c r="BG92" s="9"/>
      <c r="BH92" s="9"/>
      <c r="BI92" s="9"/>
      <c r="BJ92" s="9"/>
      <c r="BK92" s="9"/>
      <c r="BL92" s="10"/>
      <c r="BM92" s="9"/>
      <c r="BN92" s="9"/>
      <c r="BO92" s="9"/>
      <c r="BP92" s="9"/>
      <c r="BQ92" s="9"/>
      <c r="BR92" s="9"/>
      <c r="BS92" s="9"/>
      <c r="BT92" s="9"/>
      <c r="BU92" s="9"/>
      <c r="BV92" s="9"/>
    </row>
    <row r="93" spans="1:75" ht="15.95" customHeight="1" x14ac:dyDescent="0.25">
      <c r="A93" s="562"/>
      <c r="B93" s="562"/>
      <c r="C93" s="238"/>
      <c r="D93" s="226"/>
      <c r="E93" s="226"/>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c r="AS93" s="84"/>
      <c r="AT93" s="84"/>
      <c r="AU93" s="164"/>
      <c r="AV93" s="164"/>
      <c r="AW93" s="164"/>
      <c r="AX93" s="9"/>
      <c r="AY93" s="9"/>
      <c r="AZ93" s="9"/>
      <c r="BA93" s="9"/>
      <c r="BB93" s="9"/>
      <c r="BC93" s="10"/>
      <c r="BD93" s="9"/>
      <c r="BE93" s="9"/>
      <c r="BF93" s="9"/>
      <c r="BG93" s="9"/>
      <c r="BH93" s="9"/>
      <c r="BI93" s="9"/>
      <c r="BJ93" s="9"/>
      <c r="BK93" s="9"/>
      <c r="BL93" s="10"/>
      <c r="BM93" s="9"/>
      <c r="BN93" s="9"/>
      <c r="BO93" s="9"/>
      <c r="BP93" s="9"/>
      <c r="BQ93" s="9"/>
      <c r="BR93" s="9"/>
      <c r="BS93" s="9"/>
      <c r="BT93" s="9"/>
      <c r="BU93" s="9"/>
      <c r="BV93" s="9"/>
    </row>
    <row r="94" spans="1:75" ht="15.95" customHeight="1" x14ac:dyDescent="0.25">
      <c r="A94" s="562"/>
      <c r="B94" s="562"/>
      <c r="C94" s="238"/>
      <c r="D94" s="226"/>
      <c r="E94" s="226"/>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c r="AM94" s="84"/>
      <c r="AN94" s="84"/>
      <c r="AO94" s="84"/>
      <c r="AP94" s="84"/>
      <c r="AQ94" s="84"/>
      <c r="AR94" s="84"/>
      <c r="AS94" s="84"/>
      <c r="AT94" s="84"/>
      <c r="AU94" s="164"/>
      <c r="AV94" s="164"/>
      <c r="AW94" s="164"/>
      <c r="AX94" s="9"/>
      <c r="AY94" s="9"/>
      <c r="AZ94" s="9"/>
      <c r="BA94" s="9"/>
      <c r="BB94" s="9"/>
      <c r="BC94" s="10"/>
      <c r="BD94" s="9"/>
      <c r="BE94" s="9"/>
      <c r="BF94" s="9"/>
      <c r="BG94" s="9"/>
      <c r="BH94" s="9"/>
      <c r="BI94" s="9"/>
      <c r="BJ94" s="9"/>
      <c r="BK94" s="9"/>
      <c r="BL94" s="10"/>
      <c r="BM94" s="9"/>
      <c r="BN94" s="9"/>
      <c r="BO94" s="9"/>
      <c r="BP94" s="9"/>
      <c r="BQ94" s="9"/>
      <c r="BR94" s="9"/>
      <c r="BS94" s="9"/>
      <c r="BT94" s="9"/>
      <c r="BU94" s="9"/>
      <c r="BV94" s="9"/>
    </row>
    <row r="95" spans="1:75" ht="15.95" customHeight="1" x14ac:dyDescent="0.25">
      <c r="A95" s="562"/>
      <c r="B95" s="562"/>
      <c r="C95" s="238"/>
      <c r="D95" s="226"/>
      <c r="E95" s="226"/>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c r="AK95" s="84"/>
      <c r="AL95" s="84"/>
      <c r="AM95" s="84"/>
      <c r="AN95" s="84"/>
      <c r="AO95" s="84"/>
      <c r="AP95" s="84"/>
      <c r="AQ95" s="84"/>
      <c r="AR95" s="84"/>
      <c r="AS95" s="84"/>
      <c r="AT95" s="84"/>
      <c r="AU95" s="164"/>
      <c r="AV95" s="164"/>
      <c r="AW95" s="164"/>
      <c r="AX95" s="9"/>
      <c r="AY95" s="9"/>
      <c r="AZ95" s="9"/>
      <c r="BA95" s="9"/>
      <c r="BB95" s="9"/>
      <c r="BC95" s="10"/>
      <c r="BD95" s="9"/>
      <c r="BE95" s="9"/>
      <c r="BF95" s="9"/>
      <c r="BG95" s="9"/>
      <c r="BH95" s="9"/>
      <c r="BI95" s="9"/>
      <c r="BJ95" s="9"/>
      <c r="BK95" s="9"/>
      <c r="BL95" s="10"/>
      <c r="BM95" s="9"/>
      <c r="BN95" s="9"/>
      <c r="BO95" s="9"/>
      <c r="BP95" s="9"/>
      <c r="BQ95" s="9"/>
      <c r="BR95" s="9"/>
      <c r="BS95" s="9"/>
      <c r="BT95" s="9"/>
      <c r="BU95" s="9"/>
      <c r="BV95" s="9"/>
    </row>
    <row r="96" spans="1:75" ht="15.95" customHeight="1" x14ac:dyDescent="0.25">
      <c r="A96" s="562"/>
      <c r="B96" s="562"/>
      <c r="C96" s="238"/>
      <c r="D96" s="226"/>
      <c r="E96" s="226"/>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c r="AK96" s="84"/>
      <c r="AL96" s="84"/>
      <c r="AM96" s="84"/>
      <c r="AN96" s="84"/>
      <c r="AO96" s="84"/>
      <c r="AP96" s="84"/>
      <c r="AQ96" s="84"/>
      <c r="AR96" s="84"/>
      <c r="AS96" s="84"/>
      <c r="AT96" s="84"/>
      <c r="AU96" s="164"/>
      <c r="AV96" s="164"/>
      <c r="AW96" s="164"/>
      <c r="AX96" s="9"/>
      <c r="AY96" s="9"/>
      <c r="AZ96" s="9"/>
      <c r="BA96" s="9"/>
      <c r="BB96" s="9"/>
      <c r="BC96" s="10"/>
      <c r="BD96" s="9"/>
      <c r="BE96" s="9"/>
      <c r="BF96" s="9"/>
      <c r="BG96" s="9"/>
      <c r="BH96" s="9"/>
      <c r="BI96" s="9"/>
      <c r="BJ96" s="9"/>
      <c r="BK96" s="9"/>
      <c r="BL96" s="10"/>
      <c r="BM96" s="9"/>
      <c r="BN96" s="9"/>
      <c r="BO96" s="9"/>
      <c r="BP96" s="9"/>
      <c r="BQ96" s="9"/>
      <c r="BR96" s="9"/>
      <c r="BS96" s="9"/>
      <c r="BT96" s="9"/>
      <c r="BU96" s="9"/>
      <c r="BV96" s="9"/>
      <c r="BW96" s="9"/>
    </row>
    <row r="97" spans="1:75" ht="15.95" customHeight="1" x14ac:dyDescent="0.25">
      <c r="A97" s="562"/>
      <c r="B97" s="562"/>
      <c r="C97" s="238"/>
      <c r="D97" s="226"/>
      <c r="E97" s="226"/>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4"/>
      <c r="AM97" s="84"/>
      <c r="AN97" s="84"/>
      <c r="AO97" s="84"/>
      <c r="AP97" s="84"/>
      <c r="AQ97" s="84"/>
      <c r="AR97" s="84"/>
      <c r="AS97" s="84"/>
      <c r="AT97" s="84"/>
      <c r="AU97" s="164"/>
      <c r="AV97" s="164"/>
      <c r="AW97" s="164"/>
      <c r="AX97" s="9"/>
      <c r="AY97" s="9"/>
      <c r="AZ97" s="9"/>
      <c r="BA97" s="9"/>
      <c r="BB97" s="9"/>
      <c r="BC97" s="10"/>
      <c r="BD97" s="9"/>
      <c r="BE97" s="9"/>
      <c r="BF97" s="9"/>
      <c r="BG97" s="9"/>
      <c r="BH97" s="9"/>
      <c r="BI97" s="9"/>
      <c r="BJ97" s="9"/>
      <c r="BK97" s="9"/>
      <c r="BL97" s="10"/>
      <c r="BM97" s="9"/>
      <c r="BN97" s="9"/>
      <c r="BO97" s="9"/>
      <c r="BP97" s="9"/>
      <c r="BQ97" s="9"/>
      <c r="BR97" s="9"/>
      <c r="BS97" s="9"/>
      <c r="BT97" s="9"/>
      <c r="BU97" s="9"/>
      <c r="BV97" s="9"/>
    </row>
    <row r="98" spans="1:75" ht="15.95" customHeight="1" x14ac:dyDescent="0.25">
      <c r="A98" s="562"/>
      <c r="B98" s="562"/>
      <c r="C98" s="238"/>
      <c r="D98" s="226"/>
      <c r="E98" s="226"/>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c r="AM98" s="84"/>
      <c r="AN98" s="84"/>
      <c r="AO98" s="84"/>
      <c r="AP98" s="84"/>
      <c r="AQ98" s="84"/>
      <c r="AR98" s="84"/>
      <c r="AS98" s="84"/>
      <c r="AT98" s="84"/>
      <c r="AU98" s="164"/>
      <c r="AV98" s="164"/>
      <c r="AW98" s="164"/>
      <c r="AX98" s="9"/>
      <c r="AY98" s="9"/>
      <c r="AZ98" s="9"/>
      <c r="BA98" s="9"/>
      <c r="BB98" s="9"/>
      <c r="BC98" s="10"/>
      <c r="BD98" s="9"/>
      <c r="BE98" s="9"/>
      <c r="BF98" s="9"/>
      <c r="BG98" s="9"/>
      <c r="BH98" s="9"/>
      <c r="BI98" s="9"/>
      <c r="BJ98" s="9"/>
      <c r="BK98" s="9"/>
      <c r="BL98" s="10"/>
      <c r="BM98" s="9"/>
      <c r="BN98" s="9"/>
      <c r="BO98" s="9"/>
      <c r="BP98" s="9"/>
      <c r="BQ98" s="9"/>
      <c r="BR98" s="9"/>
      <c r="BS98" s="9"/>
      <c r="BT98" s="9"/>
      <c r="BU98" s="9"/>
      <c r="BV98" s="9"/>
    </row>
    <row r="99" spans="1:75" ht="15.95" customHeight="1" x14ac:dyDescent="0.25">
      <c r="A99" s="562"/>
      <c r="B99" s="562"/>
      <c r="C99" s="238"/>
      <c r="D99" s="226"/>
      <c r="E99" s="226"/>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164"/>
      <c r="AV99" s="164"/>
      <c r="AW99" s="164"/>
      <c r="AX99" s="9"/>
      <c r="AY99" s="9"/>
      <c r="AZ99" s="9"/>
      <c r="BA99" s="9"/>
      <c r="BB99" s="9"/>
      <c r="BC99" s="10"/>
      <c r="BD99" s="9"/>
      <c r="BE99" s="9"/>
      <c r="BF99" s="9"/>
      <c r="BG99" s="9"/>
      <c r="BH99" s="9"/>
      <c r="BI99" s="9"/>
      <c r="BJ99" s="9"/>
      <c r="BK99" s="9"/>
      <c r="BL99" s="10"/>
      <c r="BM99" s="9"/>
      <c r="BN99" s="9"/>
      <c r="BO99" s="9"/>
      <c r="BP99" s="9"/>
      <c r="BQ99" s="9"/>
      <c r="BR99" s="9"/>
      <c r="BS99" s="9"/>
      <c r="BT99" s="9"/>
      <c r="BU99" s="9"/>
      <c r="BV99" s="9"/>
    </row>
    <row r="100" spans="1:75" ht="15.95" customHeight="1" x14ac:dyDescent="0.25">
      <c r="A100" s="562"/>
      <c r="B100" s="562"/>
      <c r="C100" s="238"/>
      <c r="D100" s="226"/>
      <c r="E100" s="226"/>
      <c r="F100" s="84"/>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84"/>
      <c r="AF100" s="84"/>
      <c r="AG100" s="84"/>
      <c r="AH100" s="84"/>
      <c r="AI100" s="84"/>
      <c r="AJ100" s="84"/>
      <c r="AK100" s="84"/>
      <c r="AL100" s="84"/>
      <c r="AM100" s="84"/>
      <c r="AN100" s="84"/>
      <c r="AO100" s="84"/>
      <c r="AP100" s="84"/>
      <c r="AQ100" s="84"/>
      <c r="AR100" s="84"/>
      <c r="AS100" s="84"/>
      <c r="AT100" s="84"/>
      <c r="AU100" s="164"/>
      <c r="AV100" s="164"/>
      <c r="AW100" s="164"/>
      <c r="AX100" s="9"/>
      <c r="AY100" s="9"/>
      <c r="AZ100" s="9"/>
      <c r="BA100" s="9"/>
      <c r="BB100" s="9"/>
      <c r="BC100" s="10"/>
      <c r="BD100" s="9"/>
      <c r="BE100" s="9"/>
      <c r="BF100" s="9"/>
      <c r="BG100" s="9"/>
      <c r="BH100" s="9"/>
      <c r="BI100" s="9"/>
      <c r="BJ100" s="9"/>
      <c r="BK100" s="9"/>
      <c r="BL100" s="10"/>
      <c r="BM100" s="9"/>
      <c r="BN100" s="9"/>
      <c r="BO100" s="9"/>
      <c r="BP100" s="9"/>
      <c r="BQ100" s="9"/>
      <c r="BR100" s="9"/>
      <c r="BS100" s="9"/>
      <c r="BT100" s="9"/>
      <c r="BU100" s="9"/>
      <c r="BV100" s="9"/>
      <c r="BW100" s="9"/>
    </row>
    <row r="101" spans="1:75" ht="15.95" customHeight="1" x14ac:dyDescent="0.25">
      <c r="A101" s="562"/>
      <c r="B101" s="562"/>
      <c r="C101" s="238"/>
      <c r="D101" s="226"/>
      <c r="E101" s="226"/>
      <c r="F101" s="84"/>
      <c r="G101" s="84"/>
      <c r="H101" s="84"/>
      <c r="I101" s="84"/>
      <c r="J101" s="84"/>
      <c r="K101" s="84"/>
      <c r="L101" s="84"/>
      <c r="M101" s="84"/>
      <c r="N101" s="84"/>
      <c r="O101" s="84"/>
      <c r="P101" s="84"/>
      <c r="Q101" s="84"/>
      <c r="R101" s="84"/>
      <c r="S101" s="84"/>
      <c r="T101" s="84"/>
      <c r="U101" s="84"/>
      <c r="V101" s="84"/>
      <c r="W101" s="84"/>
      <c r="X101" s="84"/>
      <c r="Y101" s="84"/>
      <c r="Z101" s="84"/>
      <c r="AA101" s="84"/>
      <c r="AB101" s="84"/>
      <c r="AC101" s="84"/>
      <c r="AD101" s="84"/>
      <c r="AE101" s="84"/>
      <c r="AF101" s="84"/>
      <c r="AG101" s="84"/>
      <c r="AH101" s="84"/>
      <c r="AI101" s="84"/>
      <c r="AJ101" s="84"/>
      <c r="AK101" s="84"/>
      <c r="AL101" s="84"/>
      <c r="AM101" s="84"/>
      <c r="AN101" s="84"/>
      <c r="AO101" s="84"/>
      <c r="AP101" s="84"/>
      <c r="AQ101" s="84"/>
      <c r="AR101" s="84"/>
      <c r="AS101" s="84"/>
      <c r="AT101" s="84"/>
      <c r="AU101" s="164"/>
      <c r="AV101" s="164"/>
      <c r="AW101" s="164"/>
      <c r="AX101" s="9"/>
      <c r="AY101" s="9"/>
      <c r="AZ101" s="9"/>
      <c r="BA101" s="9"/>
      <c r="BB101" s="9"/>
      <c r="BC101" s="10"/>
      <c r="BD101" s="9"/>
      <c r="BE101" s="9"/>
      <c r="BF101" s="9"/>
      <c r="BG101" s="9"/>
      <c r="BH101" s="9"/>
      <c r="BI101" s="9"/>
      <c r="BJ101" s="9"/>
      <c r="BK101" s="9"/>
      <c r="BL101" s="10"/>
      <c r="BM101" s="9"/>
      <c r="BN101" s="9"/>
      <c r="BO101" s="9"/>
      <c r="BP101" s="9"/>
      <c r="BQ101" s="9"/>
      <c r="BR101" s="9"/>
      <c r="BS101" s="9"/>
      <c r="BT101" s="9"/>
      <c r="BU101" s="9"/>
      <c r="BV101" s="9"/>
    </row>
    <row r="102" spans="1:75" ht="15.95" customHeight="1" x14ac:dyDescent="0.25">
      <c r="A102" s="562"/>
      <c r="B102" s="562"/>
      <c r="C102" s="238"/>
      <c r="D102" s="226"/>
      <c r="E102" s="226"/>
      <c r="F102" s="84"/>
      <c r="G102" s="84"/>
      <c r="H102" s="84"/>
      <c r="I102" s="84"/>
      <c r="J102" s="84"/>
      <c r="K102" s="84"/>
      <c r="L102" s="84"/>
      <c r="M102" s="84"/>
      <c r="N102" s="84"/>
      <c r="O102" s="84"/>
      <c r="P102" s="84"/>
      <c r="Q102" s="84"/>
      <c r="R102" s="84"/>
      <c r="S102" s="84"/>
      <c r="T102" s="84"/>
      <c r="U102" s="84"/>
      <c r="V102" s="84"/>
      <c r="W102" s="84"/>
      <c r="X102" s="84"/>
      <c r="Y102" s="84"/>
      <c r="Z102" s="84"/>
      <c r="AA102" s="84"/>
      <c r="AB102" s="84"/>
      <c r="AC102" s="84"/>
      <c r="AD102" s="84"/>
      <c r="AE102" s="84"/>
      <c r="AF102" s="84"/>
      <c r="AG102" s="84"/>
      <c r="AH102" s="84"/>
      <c r="AI102" s="84"/>
      <c r="AJ102" s="84"/>
      <c r="AK102" s="84"/>
      <c r="AL102" s="84"/>
      <c r="AM102" s="84"/>
      <c r="AN102" s="84"/>
      <c r="AO102" s="84"/>
      <c r="AP102" s="84"/>
      <c r="AQ102" s="84"/>
      <c r="AR102" s="84"/>
      <c r="AS102" s="84"/>
      <c r="AT102" s="84"/>
      <c r="AU102" s="164"/>
      <c r="AV102" s="164"/>
      <c r="AW102" s="164"/>
      <c r="AX102" s="9"/>
      <c r="AY102" s="9"/>
      <c r="AZ102" s="9"/>
      <c r="BA102" s="9"/>
      <c r="BB102" s="9"/>
      <c r="BC102" s="10"/>
      <c r="BD102" s="9"/>
      <c r="BE102" s="9"/>
      <c r="BF102" s="9"/>
      <c r="BG102" s="9"/>
      <c r="BH102" s="9"/>
      <c r="BI102" s="9"/>
      <c r="BJ102" s="9"/>
      <c r="BK102" s="9"/>
      <c r="BL102" s="10"/>
      <c r="BM102" s="9"/>
      <c r="BN102" s="9"/>
      <c r="BO102" s="9"/>
      <c r="BP102" s="9"/>
      <c r="BQ102" s="9"/>
      <c r="BR102" s="9"/>
      <c r="BS102" s="9"/>
      <c r="BT102" s="9"/>
      <c r="BU102" s="9"/>
      <c r="BV102" s="9"/>
    </row>
    <row r="103" spans="1:75" ht="15.95" customHeight="1" x14ac:dyDescent="0.25">
      <c r="A103" s="562"/>
      <c r="B103" s="562"/>
      <c r="C103" s="238"/>
      <c r="D103" s="226"/>
      <c r="E103" s="226"/>
      <c r="F103" s="84"/>
      <c r="G103" s="84"/>
      <c r="H103" s="84"/>
      <c r="I103" s="84"/>
      <c r="J103" s="84"/>
      <c r="K103" s="84"/>
      <c r="L103" s="84"/>
      <c r="M103" s="84"/>
      <c r="N103" s="84"/>
      <c r="O103" s="84"/>
      <c r="P103" s="84"/>
      <c r="Q103" s="84"/>
      <c r="R103" s="84"/>
      <c r="S103" s="84"/>
      <c r="T103" s="84"/>
      <c r="U103" s="84"/>
      <c r="V103" s="84"/>
      <c r="W103" s="84"/>
      <c r="X103" s="84"/>
      <c r="Y103" s="84"/>
      <c r="Z103" s="84"/>
      <c r="AA103" s="84"/>
      <c r="AB103" s="84"/>
      <c r="AC103" s="84"/>
      <c r="AD103" s="84"/>
      <c r="AE103" s="84"/>
      <c r="AF103" s="84"/>
      <c r="AG103" s="84"/>
      <c r="AH103" s="84"/>
      <c r="AI103" s="84"/>
      <c r="AJ103" s="84"/>
      <c r="AK103" s="84"/>
      <c r="AL103" s="84"/>
      <c r="AM103" s="84"/>
      <c r="AN103" s="84"/>
      <c r="AO103" s="84"/>
      <c r="AP103" s="84"/>
      <c r="AQ103" s="84"/>
      <c r="AR103" s="84"/>
      <c r="AS103" s="84"/>
      <c r="AT103" s="84"/>
      <c r="AU103" s="164"/>
      <c r="AV103" s="164"/>
      <c r="AW103" s="164"/>
      <c r="AX103" s="9"/>
      <c r="AY103" s="9"/>
      <c r="AZ103" s="9"/>
      <c r="BA103" s="9"/>
      <c r="BB103" s="9"/>
      <c r="BC103" s="10"/>
      <c r="BD103" s="9"/>
      <c r="BE103" s="9"/>
      <c r="BF103" s="9"/>
      <c r="BG103" s="9"/>
      <c r="BH103" s="9"/>
      <c r="BI103" s="9"/>
      <c r="BJ103" s="9"/>
      <c r="BK103" s="9"/>
      <c r="BL103" s="10"/>
      <c r="BM103" s="9"/>
      <c r="BN103" s="9"/>
      <c r="BO103" s="9"/>
      <c r="BP103" s="9"/>
      <c r="BQ103" s="9"/>
      <c r="BR103" s="9"/>
      <c r="BS103" s="9"/>
      <c r="BT103" s="9"/>
      <c r="BU103" s="9"/>
      <c r="BV103" s="9"/>
    </row>
    <row r="104" spans="1:75" ht="15.95" customHeight="1" x14ac:dyDescent="0.25">
      <c r="A104" s="562"/>
      <c r="B104" s="562"/>
      <c r="C104" s="238"/>
      <c r="D104" s="226"/>
      <c r="E104" s="226"/>
      <c r="F104" s="84"/>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84"/>
      <c r="AF104" s="84"/>
      <c r="AG104" s="84"/>
      <c r="AH104" s="84"/>
      <c r="AI104" s="84"/>
      <c r="AJ104" s="84"/>
      <c r="AK104" s="84"/>
      <c r="AL104" s="84"/>
      <c r="AM104" s="84"/>
      <c r="AN104" s="84"/>
      <c r="AO104" s="84"/>
      <c r="AP104" s="84"/>
      <c r="AQ104" s="84"/>
      <c r="AR104" s="84"/>
      <c r="AS104" s="84"/>
      <c r="AT104" s="84"/>
      <c r="AU104" s="164"/>
      <c r="AV104" s="164"/>
      <c r="AW104" s="164"/>
      <c r="AX104" s="9"/>
      <c r="AY104" s="9"/>
      <c r="AZ104" s="9"/>
      <c r="BA104" s="9"/>
      <c r="BB104" s="9"/>
      <c r="BC104" s="10"/>
      <c r="BD104" s="9"/>
      <c r="BE104" s="9"/>
      <c r="BF104" s="9"/>
      <c r="BG104" s="9"/>
      <c r="BH104" s="9"/>
      <c r="BI104" s="9"/>
      <c r="BJ104" s="9"/>
      <c r="BK104" s="9"/>
      <c r="BL104" s="10"/>
      <c r="BM104" s="9"/>
      <c r="BN104" s="9"/>
      <c r="BO104" s="9"/>
      <c r="BP104" s="9"/>
      <c r="BQ104" s="9"/>
      <c r="BR104" s="9"/>
      <c r="BS104" s="9"/>
      <c r="BT104" s="9"/>
      <c r="BU104" s="9"/>
      <c r="BV104" s="9"/>
    </row>
    <row r="105" spans="1:75" ht="15.95" customHeight="1" x14ac:dyDescent="0.25">
      <c r="A105" s="562"/>
      <c r="B105" s="562"/>
      <c r="C105" s="238"/>
      <c r="D105" s="226"/>
      <c r="E105" s="226"/>
      <c r="F105" s="84"/>
      <c r="G105" s="84"/>
      <c r="H105" s="84"/>
      <c r="I105" s="84"/>
      <c r="J105" s="84"/>
      <c r="K105" s="84"/>
      <c r="L105" s="84"/>
      <c r="M105" s="84"/>
      <c r="N105" s="84"/>
      <c r="O105" s="84"/>
      <c r="P105" s="84"/>
      <c r="Q105" s="84"/>
      <c r="R105" s="84"/>
      <c r="S105" s="84"/>
      <c r="T105" s="84"/>
      <c r="U105" s="84"/>
      <c r="V105" s="84"/>
      <c r="W105" s="84"/>
      <c r="X105" s="84"/>
      <c r="Y105" s="84"/>
      <c r="Z105" s="84"/>
      <c r="AA105" s="84"/>
      <c r="AB105" s="84"/>
      <c r="AC105" s="84"/>
      <c r="AD105" s="84"/>
      <c r="AE105" s="84"/>
      <c r="AF105" s="84"/>
      <c r="AG105" s="84"/>
      <c r="AH105" s="84"/>
      <c r="AI105" s="84"/>
      <c r="AJ105" s="84"/>
      <c r="AK105" s="84"/>
      <c r="AL105" s="84"/>
      <c r="AM105" s="84"/>
      <c r="AN105" s="84"/>
      <c r="AO105" s="84"/>
      <c r="AP105" s="84"/>
      <c r="AQ105" s="84"/>
      <c r="AR105" s="84"/>
      <c r="AS105" s="84"/>
      <c r="AT105" s="84"/>
      <c r="AU105" s="164"/>
      <c r="AV105" s="164"/>
      <c r="AW105" s="164"/>
      <c r="AX105" s="9"/>
      <c r="AY105" s="9"/>
      <c r="AZ105" s="9"/>
      <c r="BA105" s="9"/>
      <c r="BB105" s="9"/>
      <c r="BC105" s="10"/>
      <c r="BD105" s="9"/>
      <c r="BE105" s="9"/>
      <c r="BF105" s="9"/>
      <c r="BG105" s="9"/>
      <c r="BH105" s="9"/>
      <c r="BI105" s="9"/>
      <c r="BJ105" s="9"/>
      <c r="BK105" s="9"/>
      <c r="BL105" s="10"/>
      <c r="BM105" s="9"/>
      <c r="BN105" s="9"/>
      <c r="BO105" s="9"/>
      <c r="BP105" s="9"/>
      <c r="BQ105" s="9"/>
      <c r="BR105" s="9"/>
      <c r="BS105" s="9"/>
      <c r="BT105" s="9"/>
      <c r="BU105" s="9"/>
      <c r="BV105" s="9"/>
    </row>
    <row r="106" spans="1:75" ht="15.95" customHeight="1" x14ac:dyDescent="0.25">
      <c r="A106" s="562"/>
      <c r="B106" s="562"/>
      <c r="C106" s="238"/>
      <c r="D106" s="226"/>
      <c r="E106" s="226"/>
      <c r="F106" s="84"/>
      <c r="G106" s="84"/>
      <c r="H106" s="84"/>
      <c r="I106" s="84"/>
      <c r="J106" s="84"/>
      <c r="K106" s="84"/>
      <c r="L106" s="84"/>
      <c r="M106" s="84"/>
      <c r="N106" s="84"/>
      <c r="O106" s="84"/>
      <c r="P106" s="84"/>
      <c r="Q106" s="84"/>
      <c r="R106" s="84"/>
      <c r="S106" s="84"/>
      <c r="T106" s="84"/>
      <c r="U106" s="84"/>
      <c r="V106" s="84"/>
      <c r="W106" s="84"/>
      <c r="X106" s="84"/>
      <c r="Y106" s="84"/>
      <c r="Z106" s="84"/>
      <c r="AA106" s="84"/>
      <c r="AB106" s="84"/>
      <c r="AC106" s="84"/>
      <c r="AD106" s="84"/>
      <c r="AE106" s="84"/>
      <c r="AF106" s="84"/>
      <c r="AG106" s="84"/>
      <c r="AH106" s="84"/>
      <c r="AI106" s="84"/>
      <c r="AJ106" s="84"/>
      <c r="AK106" s="84"/>
      <c r="AL106" s="84"/>
      <c r="AM106" s="84"/>
      <c r="AN106" s="84"/>
      <c r="AO106" s="84"/>
      <c r="AP106" s="84"/>
      <c r="AQ106" s="84"/>
      <c r="AR106" s="84"/>
      <c r="AS106" s="84"/>
      <c r="AT106" s="84"/>
      <c r="AU106" s="164"/>
      <c r="AV106" s="164"/>
      <c r="AW106" s="164"/>
      <c r="AX106" s="9"/>
      <c r="AY106" s="9"/>
      <c r="AZ106" s="9"/>
      <c r="BA106" s="9"/>
      <c r="BB106" s="9"/>
      <c r="BC106" s="10"/>
      <c r="BD106" s="9"/>
      <c r="BE106" s="9"/>
      <c r="BF106" s="9"/>
      <c r="BG106" s="9"/>
      <c r="BH106" s="9"/>
      <c r="BI106" s="9"/>
      <c r="BJ106" s="9"/>
      <c r="BK106" s="9"/>
      <c r="BL106" s="10"/>
      <c r="BM106" s="9"/>
      <c r="BN106" s="9"/>
      <c r="BO106" s="9"/>
      <c r="BP106" s="9"/>
      <c r="BQ106" s="9"/>
      <c r="BR106" s="9"/>
      <c r="BS106" s="9"/>
      <c r="BT106" s="9"/>
      <c r="BU106" s="9"/>
      <c r="BV106" s="9"/>
      <c r="BW106" s="9"/>
    </row>
    <row r="107" spans="1:75" ht="15.95" customHeight="1" x14ac:dyDescent="0.25">
      <c r="A107" s="562"/>
      <c r="B107" s="562"/>
      <c r="C107" s="238"/>
      <c r="D107" s="226"/>
      <c r="E107" s="226"/>
      <c r="F107" s="84"/>
      <c r="G107" s="84"/>
      <c r="H107" s="84"/>
      <c r="I107" s="84"/>
      <c r="J107" s="84"/>
      <c r="K107" s="84"/>
      <c r="L107" s="84"/>
      <c r="M107" s="84"/>
      <c r="N107" s="84"/>
      <c r="O107" s="84"/>
      <c r="P107" s="84"/>
      <c r="Q107" s="84"/>
      <c r="R107" s="84"/>
      <c r="S107" s="84"/>
      <c r="T107" s="84"/>
      <c r="U107" s="84"/>
      <c r="V107" s="84"/>
      <c r="W107" s="84"/>
      <c r="X107" s="84"/>
      <c r="Y107" s="84"/>
      <c r="Z107" s="84"/>
      <c r="AA107" s="84"/>
      <c r="AB107" s="84"/>
      <c r="AC107" s="84"/>
      <c r="AD107" s="84"/>
      <c r="AE107" s="84"/>
      <c r="AF107" s="84"/>
      <c r="AG107" s="84"/>
      <c r="AH107" s="84"/>
      <c r="AI107" s="84"/>
      <c r="AJ107" s="84"/>
      <c r="AK107" s="84"/>
      <c r="AL107" s="84"/>
      <c r="AM107" s="84"/>
      <c r="AN107" s="84"/>
      <c r="AO107" s="84"/>
      <c r="AP107" s="84"/>
      <c r="AQ107" s="84"/>
      <c r="AR107" s="84"/>
      <c r="AS107" s="84"/>
      <c r="AT107" s="84"/>
      <c r="AU107" s="164"/>
      <c r="AV107" s="164"/>
      <c r="AW107" s="164"/>
      <c r="AX107" s="9"/>
      <c r="AY107" s="9"/>
      <c r="AZ107" s="9"/>
      <c r="BA107" s="9"/>
      <c r="BB107" s="9"/>
      <c r="BC107" s="10"/>
      <c r="BD107" s="9"/>
      <c r="BE107" s="9"/>
      <c r="BF107" s="9"/>
      <c r="BG107" s="9"/>
      <c r="BH107" s="9"/>
      <c r="BI107" s="9"/>
      <c r="BJ107" s="9"/>
      <c r="BK107" s="9"/>
      <c r="BL107" s="10"/>
      <c r="BM107" s="9"/>
      <c r="BN107" s="9"/>
      <c r="BO107" s="9"/>
      <c r="BP107" s="9"/>
      <c r="BQ107" s="9"/>
      <c r="BR107" s="9"/>
      <c r="BS107" s="9"/>
      <c r="BT107" s="9"/>
      <c r="BU107" s="9"/>
      <c r="BV107" s="9"/>
    </row>
    <row r="108" spans="1:75" ht="15.95" customHeight="1" x14ac:dyDescent="0.25">
      <c r="A108" s="562"/>
      <c r="B108" s="562"/>
      <c r="C108" s="238"/>
      <c r="D108" s="226"/>
      <c r="E108" s="226"/>
      <c r="F108" s="84"/>
      <c r="G108" s="84"/>
      <c r="H108" s="84"/>
      <c r="I108" s="84"/>
      <c r="J108" s="84"/>
      <c r="K108" s="84"/>
      <c r="L108" s="84"/>
      <c r="M108" s="84"/>
      <c r="N108" s="84"/>
      <c r="O108" s="84"/>
      <c r="P108" s="84"/>
      <c r="Q108" s="84"/>
      <c r="R108" s="84"/>
      <c r="S108" s="84"/>
      <c r="T108" s="84"/>
      <c r="U108" s="84"/>
      <c r="V108" s="84"/>
      <c r="W108" s="84"/>
      <c r="X108" s="84"/>
      <c r="Y108" s="84"/>
      <c r="Z108" s="84"/>
      <c r="AA108" s="84"/>
      <c r="AB108" s="84"/>
      <c r="AC108" s="84"/>
      <c r="AD108" s="84"/>
      <c r="AE108" s="84"/>
      <c r="AF108" s="84"/>
      <c r="AG108" s="84"/>
      <c r="AH108" s="84"/>
      <c r="AI108" s="84"/>
      <c r="AJ108" s="84"/>
      <c r="AK108" s="84"/>
      <c r="AL108" s="84"/>
      <c r="AM108" s="84"/>
      <c r="AN108" s="84"/>
      <c r="AO108" s="84"/>
      <c r="AP108" s="84"/>
      <c r="AQ108" s="84"/>
      <c r="AR108" s="84"/>
      <c r="AS108" s="84"/>
      <c r="AT108" s="84"/>
      <c r="AU108" s="164"/>
      <c r="AV108" s="164"/>
      <c r="AW108" s="164"/>
      <c r="AX108" s="9"/>
      <c r="AY108" s="9"/>
      <c r="AZ108" s="9"/>
      <c r="BA108" s="9"/>
      <c r="BB108" s="9"/>
      <c r="BC108" s="10"/>
      <c r="BD108" s="9"/>
      <c r="BE108" s="9"/>
      <c r="BF108" s="9"/>
      <c r="BG108" s="9"/>
      <c r="BH108" s="9"/>
      <c r="BI108" s="9"/>
      <c r="BJ108" s="9"/>
      <c r="BK108" s="9"/>
      <c r="BL108" s="10"/>
      <c r="BM108" s="9"/>
      <c r="BN108" s="9"/>
      <c r="BO108" s="9"/>
      <c r="BP108" s="9"/>
      <c r="BQ108" s="9"/>
      <c r="BR108" s="9"/>
      <c r="BS108" s="9"/>
      <c r="BT108" s="9"/>
      <c r="BU108" s="9"/>
      <c r="BV108" s="9"/>
    </row>
    <row r="109" spans="1:75" ht="15.95" customHeight="1" x14ac:dyDescent="0.25">
      <c r="A109" s="562"/>
      <c r="B109" s="562"/>
      <c r="C109" s="239"/>
      <c r="D109" s="226"/>
      <c r="E109" s="226"/>
      <c r="F109" s="84"/>
      <c r="G109" s="84"/>
      <c r="H109" s="84"/>
      <c r="I109" s="84"/>
      <c r="J109" s="84"/>
      <c r="K109" s="84"/>
      <c r="L109" s="84"/>
      <c r="M109" s="84"/>
      <c r="N109" s="84"/>
      <c r="O109" s="84"/>
      <c r="P109" s="84"/>
      <c r="Q109" s="84"/>
      <c r="R109" s="84"/>
      <c r="S109" s="84"/>
      <c r="T109" s="84"/>
      <c r="U109" s="84"/>
      <c r="V109" s="84"/>
      <c r="W109" s="84"/>
      <c r="X109" s="84"/>
      <c r="Y109" s="84"/>
      <c r="Z109" s="84"/>
      <c r="AA109" s="84"/>
      <c r="AB109" s="84"/>
      <c r="AC109" s="84"/>
      <c r="AD109" s="84"/>
      <c r="AE109" s="84"/>
      <c r="AF109" s="84"/>
      <c r="AG109" s="84"/>
      <c r="AH109" s="84"/>
      <c r="AI109" s="84"/>
      <c r="AJ109" s="84"/>
      <c r="AK109" s="84"/>
      <c r="AL109" s="84"/>
      <c r="AM109" s="84"/>
      <c r="AN109" s="84"/>
      <c r="AO109" s="84"/>
      <c r="AP109" s="84"/>
      <c r="AQ109" s="84"/>
      <c r="AR109" s="84"/>
      <c r="AS109" s="84"/>
      <c r="AT109" s="84"/>
      <c r="AU109" s="164"/>
      <c r="AV109" s="164"/>
      <c r="AW109" s="164"/>
      <c r="AX109" s="9"/>
      <c r="AY109" s="9"/>
      <c r="AZ109" s="9"/>
      <c r="BA109" s="9"/>
      <c r="BB109" s="9"/>
      <c r="BC109" s="10"/>
      <c r="BD109" s="9"/>
      <c r="BE109" s="9"/>
      <c r="BF109" s="9"/>
      <c r="BG109" s="9"/>
      <c r="BH109" s="9"/>
      <c r="BI109" s="9"/>
      <c r="BJ109" s="9"/>
      <c r="BK109" s="9"/>
      <c r="BL109" s="10"/>
      <c r="BM109" s="9"/>
      <c r="BN109" s="9"/>
      <c r="BO109" s="9"/>
      <c r="BP109" s="9"/>
      <c r="BQ109" s="9"/>
      <c r="BR109" s="9"/>
      <c r="BS109" s="9"/>
      <c r="BT109" s="9"/>
      <c r="BU109" s="9"/>
      <c r="BV109" s="9"/>
    </row>
    <row r="110" spans="1:75" ht="15.95" customHeight="1" x14ac:dyDescent="0.25">
      <c r="A110" s="562"/>
      <c r="B110" s="562"/>
      <c r="C110" s="239"/>
      <c r="D110" s="226"/>
      <c r="E110" s="226"/>
      <c r="F110" s="84"/>
      <c r="G110" s="84"/>
      <c r="H110" s="84"/>
      <c r="I110" s="84"/>
      <c r="J110" s="84"/>
      <c r="K110" s="84"/>
      <c r="L110" s="84"/>
      <c r="M110" s="84"/>
      <c r="N110" s="84"/>
      <c r="O110" s="84"/>
      <c r="P110" s="84"/>
      <c r="Q110" s="84"/>
      <c r="R110" s="84"/>
      <c r="S110" s="84"/>
      <c r="T110" s="84"/>
      <c r="U110" s="84"/>
      <c r="V110" s="84"/>
      <c r="W110" s="84"/>
      <c r="X110" s="84"/>
      <c r="Y110" s="84"/>
      <c r="Z110" s="84"/>
      <c r="AA110" s="84"/>
      <c r="AB110" s="84"/>
      <c r="AC110" s="84"/>
      <c r="AD110" s="84"/>
      <c r="AE110" s="84"/>
      <c r="AF110" s="84"/>
      <c r="AG110" s="84"/>
      <c r="AH110" s="84"/>
      <c r="AI110" s="84"/>
      <c r="AJ110" s="84"/>
      <c r="AK110" s="84"/>
      <c r="AL110" s="84"/>
      <c r="AM110" s="84"/>
      <c r="AN110" s="84"/>
      <c r="AO110" s="84"/>
      <c r="AP110" s="84"/>
      <c r="AQ110" s="84"/>
      <c r="AR110" s="84"/>
      <c r="AS110" s="84"/>
      <c r="AT110" s="84"/>
      <c r="AU110" s="164"/>
      <c r="AV110" s="164"/>
      <c r="AW110" s="164"/>
      <c r="AX110" s="9"/>
      <c r="AY110" s="9"/>
      <c r="AZ110" s="9"/>
      <c r="BA110" s="9"/>
      <c r="BB110" s="9"/>
      <c r="BC110" s="10"/>
      <c r="BD110" s="9"/>
      <c r="BE110" s="9"/>
      <c r="BF110" s="9"/>
      <c r="BG110" s="9"/>
      <c r="BH110" s="9"/>
      <c r="BI110" s="9"/>
      <c r="BJ110" s="9"/>
      <c r="BK110" s="9"/>
      <c r="BL110" s="10"/>
      <c r="BM110" s="9"/>
      <c r="BN110" s="9"/>
      <c r="BO110" s="9"/>
      <c r="BP110" s="9"/>
      <c r="BQ110" s="9"/>
      <c r="BR110" s="9"/>
      <c r="BS110" s="9"/>
      <c r="BT110" s="9"/>
      <c r="BU110" s="9"/>
      <c r="BV110" s="9"/>
    </row>
    <row r="111" spans="1:75" ht="15.95" customHeight="1" x14ac:dyDescent="0.25">
      <c r="A111" s="562"/>
      <c r="B111" s="562"/>
      <c r="C111" s="238"/>
      <c r="D111" s="226"/>
      <c r="E111" s="226"/>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84"/>
      <c r="AG111" s="84"/>
      <c r="AH111" s="84"/>
      <c r="AI111" s="84"/>
      <c r="AJ111" s="84"/>
      <c r="AK111" s="84"/>
      <c r="AL111" s="84"/>
      <c r="AM111" s="84"/>
      <c r="AN111" s="84"/>
      <c r="AO111" s="84"/>
      <c r="AP111" s="84"/>
      <c r="AQ111" s="84"/>
      <c r="AR111" s="84"/>
      <c r="AS111" s="84"/>
      <c r="AT111" s="84"/>
      <c r="AU111" s="164"/>
      <c r="AV111" s="164"/>
      <c r="AW111" s="164"/>
      <c r="AX111" s="9"/>
      <c r="AY111" s="9"/>
      <c r="AZ111" s="9"/>
      <c r="BA111" s="9"/>
      <c r="BB111" s="9"/>
      <c r="BC111" s="10"/>
      <c r="BD111" s="9"/>
      <c r="BE111" s="9"/>
      <c r="BF111" s="9"/>
      <c r="BG111" s="9"/>
      <c r="BH111" s="9"/>
      <c r="BI111" s="9"/>
      <c r="BJ111" s="9"/>
      <c r="BK111" s="9"/>
      <c r="BL111" s="10"/>
      <c r="BM111" s="9"/>
      <c r="BN111" s="9"/>
      <c r="BO111" s="9"/>
      <c r="BP111" s="9"/>
      <c r="BQ111" s="9"/>
      <c r="BR111" s="9"/>
      <c r="BS111" s="9"/>
      <c r="BT111" s="9"/>
      <c r="BU111" s="9"/>
      <c r="BV111" s="9"/>
    </row>
    <row r="112" spans="1:75" ht="22.5" customHeight="1" x14ac:dyDescent="0.25">
      <c r="A112" s="562"/>
      <c r="B112" s="562"/>
      <c r="C112" s="238"/>
      <c r="D112" s="226"/>
      <c r="E112" s="226"/>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84"/>
      <c r="AG112" s="84"/>
      <c r="AH112" s="84"/>
      <c r="AI112" s="84"/>
      <c r="AJ112" s="84"/>
      <c r="AK112" s="84"/>
      <c r="AL112" s="84"/>
      <c r="AM112" s="84"/>
      <c r="AN112" s="84"/>
      <c r="AO112" s="84"/>
      <c r="AP112" s="84"/>
      <c r="AQ112" s="84"/>
      <c r="AR112" s="84"/>
      <c r="AS112" s="84"/>
      <c r="AT112" s="84"/>
      <c r="AU112" s="164"/>
      <c r="AV112" s="164"/>
      <c r="AW112" s="164"/>
      <c r="AX112" s="9"/>
      <c r="AY112" s="9"/>
      <c r="AZ112" s="9"/>
      <c r="BA112" s="9"/>
      <c r="BB112" s="9"/>
      <c r="BC112" s="10"/>
      <c r="BD112" s="9"/>
      <c r="BE112" s="9"/>
      <c r="BF112" s="9"/>
      <c r="BG112" s="9"/>
      <c r="BH112" s="9"/>
      <c r="BI112" s="9"/>
      <c r="BJ112" s="9"/>
      <c r="BK112" s="9"/>
      <c r="BL112" s="10"/>
      <c r="BM112" s="9"/>
      <c r="BN112" s="9"/>
      <c r="BO112" s="9"/>
      <c r="BP112" s="9"/>
      <c r="BQ112" s="9"/>
      <c r="BR112" s="9"/>
      <c r="BS112" s="9"/>
      <c r="BT112" s="9"/>
      <c r="BU112" s="9"/>
      <c r="BV112" s="9"/>
    </row>
    <row r="113" spans="1:74" ht="15.95" customHeight="1" x14ac:dyDescent="0.25">
      <c r="A113" s="562"/>
      <c r="B113" s="562"/>
      <c r="C113" s="238"/>
      <c r="D113" s="226"/>
      <c r="E113" s="226"/>
      <c r="F113" s="84"/>
      <c r="G113" s="84"/>
      <c r="H113" s="84"/>
      <c r="I113" s="84"/>
      <c r="J113" s="84"/>
      <c r="K113" s="84"/>
      <c r="L113" s="84"/>
      <c r="M113" s="84"/>
      <c r="N113" s="84"/>
      <c r="O113" s="84"/>
      <c r="P113" s="84"/>
      <c r="Q113" s="84"/>
      <c r="R113" s="84"/>
      <c r="S113" s="84"/>
      <c r="T113" s="84"/>
      <c r="U113" s="84"/>
      <c r="V113" s="84"/>
      <c r="W113" s="84"/>
      <c r="X113" s="84"/>
      <c r="Y113" s="84"/>
      <c r="Z113" s="84"/>
      <c r="AA113" s="84"/>
      <c r="AB113" s="84"/>
      <c r="AC113" s="84"/>
      <c r="AD113" s="84"/>
      <c r="AE113" s="84"/>
      <c r="AF113" s="84"/>
      <c r="AG113" s="84"/>
      <c r="AH113" s="84"/>
      <c r="AI113" s="84"/>
      <c r="AJ113" s="84"/>
      <c r="AK113" s="84"/>
      <c r="AL113" s="84"/>
      <c r="AM113" s="84"/>
      <c r="AN113" s="84"/>
      <c r="AO113" s="84"/>
      <c r="AP113" s="84"/>
      <c r="AQ113" s="84"/>
      <c r="AR113" s="84"/>
      <c r="AS113" s="84"/>
      <c r="AT113" s="84"/>
      <c r="AU113" s="164"/>
      <c r="AV113" s="164"/>
      <c r="AW113" s="164"/>
      <c r="AX113" s="9"/>
      <c r="AY113" s="9"/>
      <c r="AZ113" s="9"/>
      <c r="BA113" s="9"/>
      <c r="BB113" s="9"/>
      <c r="BC113" s="10"/>
      <c r="BD113" s="9"/>
      <c r="BE113" s="9"/>
      <c r="BF113" s="9"/>
      <c r="BG113" s="9"/>
      <c r="BH113" s="9"/>
      <c r="BI113" s="9"/>
      <c r="BJ113" s="9"/>
      <c r="BK113" s="9"/>
      <c r="BL113" s="10"/>
      <c r="BM113" s="9"/>
      <c r="BN113" s="9"/>
      <c r="BO113" s="9"/>
      <c r="BP113" s="9"/>
      <c r="BQ113" s="9"/>
      <c r="BR113" s="9"/>
      <c r="BS113" s="9"/>
      <c r="BT113" s="9"/>
      <c r="BU113" s="9"/>
      <c r="BV113" s="9"/>
    </row>
    <row r="114" spans="1:74" ht="15.95" customHeight="1" x14ac:dyDescent="0.25">
      <c r="A114" s="562"/>
      <c r="B114" s="562"/>
      <c r="C114" s="239"/>
      <c r="D114" s="226"/>
      <c r="E114" s="226"/>
      <c r="F114" s="84"/>
      <c r="G114" s="84"/>
      <c r="H114" s="84"/>
      <c r="I114" s="84"/>
      <c r="J114" s="84"/>
      <c r="K114" s="84"/>
      <c r="L114" s="84"/>
      <c r="M114" s="84"/>
      <c r="N114" s="84"/>
      <c r="O114" s="84"/>
      <c r="P114" s="84"/>
      <c r="Q114" s="84"/>
      <c r="R114" s="84"/>
      <c r="S114" s="84"/>
      <c r="T114" s="84"/>
      <c r="U114" s="84"/>
      <c r="V114" s="84"/>
      <c r="W114" s="84"/>
      <c r="X114" s="84"/>
      <c r="Y114" s="84"/>
      <c r="Z114" s="84"/>
      <c r="AA114" s="84"/>
      <c r="AB114" s="84"/>
      <c r="AC114" s="84"/>
      <c r="AD114" s="84"/>
      <c r="AE114" s="84"/>
      <c r="AF114" s="84"/>
      <c r="AG114" s="84"/>
      <c r="AH114" s="84"/>
      <c r="AI114" s="84"/>
      <c r="AJ114" s="84"/>
      <c r="AK114" s="84"/>
      <c r="AL114" s="84"/>
      <c r="AM114" s="84"/>
      <c r="AN114" s="84"/>
      <c r="AO114" s="84"/>
      <c r="AP114" s="84"/>
      <c r="AQ114" s="84"/>
      <c r="AR114" s="84"/>
      <c r="AS114" s="84"/>
      <c r="AT114" s="84"/>
      <c r="AU114" s="164"/>
      <c r="AV114" s="164"/>
      <c r="AW114" s="164"/>
      <c r="AX114" s="9"/>
      <c r="AY114" s="9"/>
      <c r="AZ114" s="9"/>
      <c r="BA114" s="9"/>
      <c r="BB114" s="9"/>
      <c r="BC114" s="10"/>
      <c r="BD114" s="9"/>
      <c r="BE114" s="9"/>
      <c r="BF114" s="9"/>
      <c r="BG114" s="9"/>
      <c r="BH114" s="9"/>
      <c r="BI114" s="9"/>
      <c r="BJ114" s="9"/>
      <c r="BK114" s="9"/>
      <c r="BL114" s="10"/>
      <c r="BM114" s="9"/>
      <c r="BN114" s="9"/>
      <c r="BO114" s="9"/>
      <c r="BP114" s="9"/>
      <c r="BQ114" s="9"/>
      <c r="BR114" s="9"/>
      <c r="BS114" s="9"/>
      <c r="BT114" s="9"/>
      <c r="BU114" s="9"/>
      <c r="BV114" s="9"/>
    </row>
    <row r="115" spans="1:74" ht="15.95" customHeight="1" x14ac:dyDescent="0.25">
      <c r="A115" s="562"/>
      <c r="B115" s="562"/>
      <c r="C115" s="238"/>
      <c r="D115" s="226"/>
      <c r="E115" s="226"/>
      <c r="F115" s="84"/>
      <c r="G115" s="84"/>
      <c r="H115" s="84"/>
      <c r="I115" s="84"/>
      <c r="J115" s="84"/>
      <c r="K115" s="84"/>
      <c r="L115" s="84"/>
      <c r="M115" s="84"/>
      <c r="N115" s="84"/>
      <c r="O115" s="84"/>
      <c r="P115" s="84"/>
      <c r="Q115" s="84"/>
      <c r="R115" s="84"/>
      <c r="S115" s="84"/>
      <c r="T115" s="84"/>
      <c r="U115" s="84"/>
      <c r="V115" s="84"/>
      <c r="W115" s="84"/>
      <c r="X115" s="84"/>
      <c r="Y115" s="84"/>
      <c r="Z115" s="84"/>
      <c r="AA115" s="84"/>
      <c r="AB115" s="84"/>
      <c r="AC115" s="84"/>
      <c r="AD115" s="84"/>
      <c r="AE115" s="84"/>
      <c r="AF115" s="84"/>
      <c r="AG115" s="84"/>
      <c r="AH115" s="84"/>
      <c r="AI115" s="84"/>
      <c r="AJ115" s="84"/>
      <c r="AK115" s="84"/>
      <c r="AL115" s="84"/>
      <c r="AM115" s="84"/>
      <c r="AN115" s="84"/>
      <c r="AO115" s="84"/>
      <c r="AP115" s="84"/>
      <c r="AQ115" s="84"/>
      <c r="AR115" s="84"/>
      <c r="AS115" s="84"/>
      <c r="AT115" s="84"/>
      <c r="AU115" s="164"/>
      <c r="AV115" s="164"/>
      <c r="AW115" s="164"/>
      <c r="AX115" s="9"/>
      <c r="AY115" s="9"/>
      <c r="AZ115" s="9"/>
      <c r="BA115" s="9"/>
      <c r="BB115" s="9"/>
      <c r="BC115" s="10"/>
      <c r="BD115" s="9"/>
      <c r="BE115" s="9"/>
      <c r="BF115" s="9"/>
      <c r="BG115" s="9"/>
      <c r="BH115" s="9"/>
      <c r="BI115" s="9"/>
      <c r="BJ115" s="9"/>
      <c r="BK115" s="9"/>
      <c r="BL115" s="10"/>
      <c r="BM115" s="9"/>
      <c r="BN115" s="9"/>
      <c r="BO115" s="9"/>
      <c r="BP115" s="9"/>
      <c r="BQ115" s="9"/>
      <c r="BR115" s="9"/>
      <c r="BS115" s="9"/>
      <c r="BT115" s="9"/>
      <c r="BU115" s="9"/>
      <c r="BV115" s="9"/>
    </row>
    <row r="116" spans="1:74" ht="20.100000000000001" customHeight="1" x14ac:dyDescent="0.2">
      <c r="A116" s="73"/>
      <c r="B116" s="225"/>
      <c r="C116" s="225"/>
      <c r="D116" s="84"/>
      <c r="E116" s="84"/>
      <c r="F116" s="84"/>
      <c r="G116" s="84"/>
      <c r="H116" s="84"/>
      <c r="I116" s="84"/>
      <c r="J116" s="84"/>
      <c r="K116" s="84"/>
      <c r="L116" s="84"/>
      <c r="M116" s="84"/>
      <c r="N116" s="84"/>
      <c r="O116" s="84"/>
      <c r="P116" s="84"/>
      <c r="Q116" s="84"/>
      <c r="R116" s="84"/>
      <c r="S116" s="84"/>
      <c r="T116" s="84"/>
      <c r="U116" s="84"/>
      <c r="V116" s="84"/>
      <c r="W116" s="84"/>
      <c r="X116" s="84"/>
      <c r="Y116" s="84"/>
      <c r="Z116" s="84"/>
      <c r="AA116" s="84"/>
      <c r="AB116" s="84"/>
      <c r="AC116" s="84"/>
      <c r="AD116" s="84"/>
      <c r="AE116" s="84"/>
      <c r="AF116" s="84"/>
      <c r="AG116" s="84"/>
      <c r="AH116" s="84"/>
      <c r="AI116" s="84"/>
      <c r="AJ116" s="84"/>
      <c r="AK116" s="84"/>
      <c r="AL116" s="84"/>
      <c r="AM116" s="84"/>
      <c r="AN116" s="84"/>
      <c r="AO116" s="84"/>
      <c r="AP116" s="84"/>
      <c r="AQ116" s="84"/>
      <c r="AR116" s="84"/>
      <c r="AS116" s="84"/>
      <c r="AT116" s="84"/>
      <c r="AU116" s="164"/>
      <c r="AV116" s="164"/>
      <c r="AW116" s="164"/>
      <c r="AX116" s="9"/>
      <c r="AY116" s="9"/>
      <c r="AZ116" s="9"/>
      <c r="BA116" s="9"/>
      <c r="BB116" s="9"/>
      <c r="BC116" s="10"/>
      <c r="BD116" s="9"/>
      <c r="BE116" s="9"/>
      <c r="BF116" s="9"/>
      <c r="BG116" s="9"/>
      <c r="BH116" s="9"/>
      <c r="BI116" s="9"/>
      <c r="BJ116" s="9"/>
      <c r="BK116" s="9"/>
      <c r="BL116" s="10"/>
      <c r="BM116" s="9"/>
      <c r="BN116" s="9"/>
      <c r="BO116" s="9"/>
      <c r="BP116" s="9"/>
      <c r="BQ116" s="9"/>
      <c r="BR116" s="9"/>
      <c r="BS116" s="9"/>
      <c r="BT116" s="9"/>
      <c r="BU116" s="9"/>
      <c r="BV116" s="9"/>
    </row>
    <row r="117" spans="1:74" ht="12.75" customHeight="1" x14ac:dyDescent="0.2">
      <c r="B117" s="164"/>
      <c r="C117" s="164"/>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64"/>
      <c r="AB117" s="164"/>
      <c r="AC117" s="164"/>
      <c r="AD117" s="164"/>
      <c r="AE117" s="164"/>
      <c r="AF117" s="164"/>
      <c r="AG117" s="164"/>
      <c r="AH117" s="164"/>
      <c r="AI117" s="164"/>
      <c r="AJ117" s="164"/>
      <c r="AK117" s="164"/>
      <c r="AL117" s="164"/>
      <c r="AM117" s="164"/>
      <c r="AN117" s="164"/>
      <c r="AO117" s="164"/>
      <c r="AP117" s="164"/>
      <c r="AQ117" s="164"/>
      <c r="AR117" s="164"/>
      <c r="AS117" s="164"/>
      <c r="AT117" s="164"/>
      <c r="AU117" s="164"/>
      <c r="AV117" s="177"/>
      <c r="AW117" s="177"/>
      <c r="AX117" s="9"/>
      <c r="AY117" s="9"/>
      <c r="AZ117" s="9"/>
      <c r="BA117" s="9"/>
      <c r="BB117" s="9"/>
      <c r="BC117" s="10"/>
      <c r="BD117" s="9"/>
      <c r="BE117" s="9"/>
      <c r="BF117" s="9"/>
      <c r="BG117" s="9"/>
      <c r="BH117" s="9"/>
      <c r="BI117" s="9"/>
      <c r="BJ117" s="9"/>
      <c r="BK117" s="9"/>
      <c r="BL117" s="10"/>
      <c r="BM117" s="9"/>
      <c r="BN117" s="9"/>
      <c r="BO117" s="9"/>
      <c r="BP117" s="9"/>
      <c r="BQ117" s="9" t="str">
        <f>IF(OR(IFERROR(VLOOKUP(CA117,#REF!,MATCH("Price To Earnings",#REF!,0),FALSE),"-")&lt;0,IFERROR(VLOOKUP(CA117,#REF!,MATCH("Price To Earnings",#REF!,0),FALSE),"-")&gt;500),"-",IFERROR(VLOOKUP(CA117,#REF!,MATCH("Price To Earnings",#REF!,0),FALSE),"-"))</f>
        <v>-</v>
      </c>
      <c r="BR117" s="9"/>
      <c r="BS117" s="9"/>
      <c r="BT117" s="9"/>
      <c r="BU117" s="9"/>
      <c r="BV117" s="9"/>
    </row>
    <row r="118" spans="1:74" ht="12.75" customHeight="1" x14ac:dyDescent="0.2">
      <c r="B118" s="164"/>
      <c r="C118" s="164"/>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164"/>
      <c r="AB118" s="164"/>
      <c r="AC118" s="164"/>
      <c r="AD118" s="164"/>
      <c r="AE118" s="164"/>
      <c r="AF118" s="164"/>
      <c r="AG118" s="164"/>
      <c r="AH118" s="164"/>
      <c r="AI118" s="164"/>
      <c r="AJ118" s="164"/>
      <c r="AK118" s="164"/>
      <c r="AL118" s="164"/>
      <c r="AM118" s="164"/>
      <c r="AN118" s="164"/>
      <c r="AO118" s="164"/>
      <c r="AP118" s="164"/>
      <c r="AQ118" s="164"/>
      <c r="AR118" s="164"/>
      <c r="AS118" s="164"/>
      <c r="AT118" s="164"/>
      <c r="AU118" s="164"/>
      <c r="AV118" s="164"/>
      <c r="AW118" s="164"/>
      <c r="AX118" s="9"/>
      <c r="AY118" s="9"/>
      <c r="AZ118" s="9"/>
      <c r="BA118" s="9"/>
      <c r="BB118" s="9"/>
      <c r="BC118" s="10"/>
      <c r="BD118" s="9"/>
      <c r="BE118" s="9"/>
      <c r="BF118" s="9"/>
      <c r="BG118" s="9"/>
      <c r="BH118" s="9"/>
      <c r="BI118" s="9"/>
      <c r="BJ118" s="9"/>
      <c r="BK118" s="9"/>
      <c r="BL118" s="10"/>
      <c r="BM118" s="9"/>
      <c r="BN118" s="9"/>
      <c r="BO118" s="9"/>
      <c r="BP118" s="9"/>
      <c r="BQ118" s="9" t="str">
        <f>IF(OR(IFERROR(VLOOKUP(CA118,#REF!,MATCH("Price To Earnings",#REF!,0),FALSE),"-")&lt;0,IFERROR(VLOOKUP(CA118,#REF!,MATCH("Price To Earnings",#REF!,0),FALSE),"-")&gt;500),"-",IFERROR(VLOOKUP(CA118,#REF!,MATCH("Price To Earnings",#REF!,0),FALSE),"-"))</f>
        <v>-</v>
      </c>
      <c r="BR118" s="9"/>
      <c r="BS118" s="9"/>
      <c r="BT118" s="9"/>
      <c r="BU118" s="9"/>
      <c r="BV118" s="9"/>
    </row>
    <row r="119" spans="1:74" ht="12.75" customHeight="1" x14ac:dyDescent="0.2">
      <c r="A119" s="164"/>
      <c r="B119" s="164"/>
      <c r="C119" s="164"/>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164"/>
      <c r="AB119" s="164"/>
      <c r="AC119" s="164"/>
      <c r="AD119" s="164"/>
      <c r="AE119" s="164"/>
      <c r="AF119" s="164"/>
      <c r="AG119" s="164"/>
      <c r="AH119" s="164"/>
      <c r="AI119" s="164"/>
      <c r="AJ119" s="164"/>
      <c r="AK119" s="164"/>
      <c r="AL119" s="164"/>
      <c r="AM119" s="164"/>
      <c r="AN119" s="164"/>
      <c r="AO119" s="164"/>
      <c r="AP119" s="164"/>
      <c r="AQ119" s="164"/>
      <c r="AR119" s="164"/>
      <c r="AS119" s="164"/>
      <c r="AT119" s="164"/>
      <c r="AU119" s="164"/>
      <c r="AV119" s="164"/>
      <c r="AW119" s="164"/>
      <c r="AX119" s="9"/>
      <c r="AY119" s="9"/>
      <c r="AZ119" s="9"/>
      <c r="BA119" s="9"/>
      <c r="BB119" s="9"/>
      <c r="BC119" s="10"/>
      <c r="BD119" s="9"/>
      <c r="BE119" s="9"/>
      <c r="BF119" s="9"/>
      <c r="BG119" s="9"/>
      <c r="BH119" s="9"/>
      <c r="BI119" s="9"/>
      <c r="BJ119" s="9"/>
      <c r="BK119" s="9"/>
      <c r="BL119" s="10"/>
      <c r="BM119" s="9"/>
      <c r="BN119" s="9"/>
      <c r="BO119" s="9"/>
      <c r="BP119" s="9"/>
      <c r="BQ119" s="9" t="str">
        <f>IF(OR(IFERROR(VLOOKUP(CA119,#REF!,MATCH("Price To Earnings",#REF!,0),FALSE),"-")&lt;0,IFERROR(VLOOKUP(CA119,#REF!,MATCH("Price To Earnings",#REF!,0),FALSE),"-")&gt;500),"-",IFERROR(VLOOKUP(CA119,#REF!,MATCH("Price To Earnings",#REF!,0),FALSE),"-"))</f>
        <v>-</v>
      </c>
      <c r="BR119" s="9"/>
      <c r="BS119" s="9"/>
      <c r="BT119" s="9"/>
      <c r="BU119" s="9"/>
      <c r="BV119" s="9"/>
    </row>
    <row r="120" spans="1:74" ht="12.75" customHeight="1" x14ac:dyDescent="0.2">
      <c r="A120" s="164"/>
      <c r="B120" s="164"/>
      <c r="C120" s="164"/>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164"/>
      <c r="AB120" s="164"/>
      <c r="AC120" s="164"/>
      <c r="AD120" s="164"/>
      <c r="AE120" s="164"/>
      <c r="AF120" s="164"/>
      <c r="AG120" s="164"/>
      <c r="AH120" s="165"/>
      <c r="AI120" s="164"/>
      <c r="AJ120" s="164"/>
      <c r="AK120" s="164"/>
      <c r="AL120" s="164"/>
      <c r="AM120" s="164"/>
      <c r="AN120" s="164"/>
      <c r="AO120" s="164"/>
      <c r="AP120" s="164"/>
      <c r="AQ120" s="164"/>
      <c r="AR120" s="164"/>
      <c r="AS120" s="164"/>
      <c r="AT120" s="164"/>
      <c r="AU120" s="164"/>
      <c r="AV120" s="164"/>
      <c r="AW120" s="164"/>
      <c r="AX120" s="9"/>
      <c r="AY120" s="9"/>
      <c r="AZ120" s="9"/>
      <c r="BA120" s="9"/>
      <c r="BB120" s="9"/>
      <c r="BC120" s="10"/>
      <c r="BD120" s="9"/>
      <c r="BE120" s="9"/>
      <c r="BF120" s="9"/>
      <c r="BG120" s="9"/>
      <c r="BH120" s="9"/>
      <c r="BI120" s="9"/>
      <c r="BJ120" s="9"/>
      <c r="BK120" s="9"/>
      <c r="BL120" s="10"/>
      <c r="BM120" s="9"/>
      <c r="BN120" s="9"/>
      <c r="BO120" s="9"/>
      <c r="BP120" s="9"/>
      <c r="BQ120" s="9" t="str">
        <f>IF(OR(IFERROR(VLOOKUP(CA120,#REF!,MATCH("Price To Earnings",#REF!,0),FALSE),"-")&lt;0,IFERROR(VLOOKUP(CA120,#REF!,MATCH("Price To Earnings",#REF!,0),FALSE),"-")&gt;500),"-",IFERROR(VLOOKUP(CA120,#REF!,MATCH("Price To Earnings",#REF!,0),FALSE),"-"))</f>
        <v>-</v>
      </c>
      <c r="BR120" s="9"/>
      <c r="BS120" s="9"/>
      <c r="BT120" s="9"/>
      <c r="BU120" s="9"/>
      <c r="BV120" s="9"/>
    </row>
    <row r="121" spans="1:74" ht="12.75" customHeight="1" x14ac:dyDescent="0.2">
      <c r="A121" s="166"/>
      <c r="B121" s="166"/>
      <c r="C121" s="166"/>
      <c r="D121" s="166"/>
      <c r="E121" s="167"/>
      <c r="F121" s="166"/>
      <c r="G121" s="56"/>
      <c r="H121" s="168"/>
      <c r="I121" s="56"/>
      <c r="J121" s="169"/>
      <c r="K121" s="169"/>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9"/>
      <c r="AY121" s="9"/>
      <c r="AZ121" s="9"/>
      <c r="BA121" s="9"/>
      <c r="BB121" s="9"/>
      <c r="BC121" s="10"/>
      <c r="BD121" s="9"/>
      <c r="BE121" s="9"/>
      <c r="BF121" s="9"/>
      <c r="BG121" s="9"/>
      <c r="BH121" s="9"/>
      <c r="BI121" s="9"/>
      <c r="BJ121" s="9"/>
      <c r="BK121" s="9"/>
      <c r="BL121" s="10"/>
      <c r="BM121" s="9"/>
      <c r="BN121" s="9"/>
      <c r="BO121" s="9"/>
      <c r="BP121" s="9"/>
      <c r="BQ121" s="9" t="str">
        <f>IF(OR(IFERROR(VLOOKUP(CA121,#REF!,MATCH("Price To Earnings",#REF!,0),FALSE),"-")&lt;0,IFERROR(VLOOKUP(CA121,#REF!,MATCH("Price To Earnings",#REF!,0),FALSE),"-")&gt;500),"-",IFERROR(VLOOKUP(CA121,#REF!,MATCH("Price To Earnings",#REF!,0),FALSE),"-"))</f>
        <v>-</v>
      </c>
      <c r="BR121" s="9"/>
      <c r="BS121" s="9"/>
      <c r="BT121" s="9"/>
      <c r="BU121" s="9"/>
      <c r="BV121" s="9"/>
    </row>
    <row r="122" spans="1:74" ht="12.75" customHeight="1" x14ac:dyDescent="0.2">
      <c r="A122" s="166"/>
      <c r="B122" s="166"/>
      <c r="C122" s="166"/>
      <c r="D122" s="166"/>
      <c r="E122" s="166"/>
      <c r="F122" s="166"/>
      <c r="G122" s="56"/>
      <c r="H122" s="168"/>
      <c r="I122" s="56"/>
      <c r="J122" s="169"/>
      <c r="K122" s="169"/>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9"/>
      <c r="AY122" s="9"/>
      <c r="AZ122" s="9"/>
      <c r="BA122" s="9"/>
      <c r="BB122" s="9"/>
      <c r="BC122" s="10"/>
      <c r="BD122" s="9"/>
      <c r="BE122" s="9"/>
      <c r="BF122" s="9"/>
      <c r="BG122" s="9"/>
      <c r="BH122" s="9"/>
      <c r="BI122" s="9"/>
      <c r="BJ122" s="9"/>
      <c r="BK122" s="9"/>
      <c r="BL122" s="10"/>
      <c r="BM122" s="9"/>
      <c r="BN122" s="9"/>
      <c r="BO122" s="9"/>
      <c r="BP122" s="9"/>
      <c r="BQ122" s="9" t="str">
        <f>IF(OR(IFERROR(VLOOKUP(CA122,#REF!,MATCH("Price To Earnings",#REF!,0),FALSE),"-")&lt;0,IFERROR(VLOOKUP(CA122,#REF!,MATCH("Price To Earnings",#REF!,0),FALSE),"-")&gt;500),"-",IFERROR(VLOOKUP(CA122,#REF!,MATCH("Price To Earnings",#REF!,0),FALSE),"-"))</f>
        <v>-</v>
      </c>
      <c r="BR122" s="9"/>
      <c r="BS122" s="9"/>
      <c r="BT122" s="9"/>
      <c r="BU122" s="9"/>
      <c r="BV122" s="9"/>
    </row>
    <row r="123" spans="1:74" ht="12.75" customHeight="1" x14ac:dyDescent="0.2">
      <c r="A123" s="166"/>
      <c r="B123" s="166"/>
      <c r="C123" s="166"/>
      <c r="D123" s="166"/>
      <c r="E123" s="166"/>
      <c r="F123" s="166"/>
      <c r="G123" s="56"/>
      <c r="H123" s="168"/>
      <c r="I123" s="56"/>
      <c r="J123" s="169"/>
      <c r="K123" s="169"/>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9"/>
      <c r="AY123" s="9"/>
      <c r="AZ123" s="9"/>
      <c r="BA123" s="9"/>
      <c r="BB123" s="9"/>
      <c r="BC123" s="10"/>
      <c r="BD123" s="9"/>
      <c r="BE123" s="9"/>
      <c r="BF123" s="9"/>
      <c r="BG123" s="9"/>
      <c r="BH123" s="9"/>
      <c r="BI123" s="9"/>
      <c r="BJ123" s="9"/>
      <c r="BK123" s="9"/>
      <c r="BL123" s="10"/>
      <c r="BM123" s="9"/>
      <c r="BN123" s="9"/>
      <c r="BO123" s="9"/>
      <c r="BP123" s="9"/>
      <c r="BQ123" s="9" t="str">
        <f>IF(OR(IFERROR(VLOOKUP(CA123,#REF!,MATCH("Price To Earnings",#REF!,0),FALSE),"-")&lt;0,IFERROR(VLOOKUP(CA123,#REF!,MATCH("Price To Earnings",#REF!,0),FALSE),"-")&gt;500),"-",IFERROR(VLOOKUP(CA123,#REF!,MATCH("Price To Earnings",#REF!,0),FALSE),"-"))</f>
        <v>-</v>
      </c>
      <c r="BR123" s="9"/>
      <c r="BS123" s="9"/>
      <c r="BT123" s="9"/>
      <c r="BU123" s="9"/>
      <c r="BV123" s="9"/>
    </row>
    <row r="124" spans="1:74" ht="12.75" customHeight="1" x14ac:dyDescent="0.2">
      <c r="A124" s="166"/>
      <c r="B124" s="166"/>
      <c r="C124" s="166"/>
      <c r="D124" s="166"/>
      <c r="E124" s="166"/>
      <c r="F124" s="166"/>
      <c r="G124" s="56"/>
      <c r="H124" s="168"/>
      <c r="I124" s="56"/>
      <c r="J124" s="169"/>
      <c r="K124" s="169"/>
      <c r="L124" s="4"/>
      <c r="M124" s="170"/>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9"/>
      <c r="AY124" s="9"/>
      <c r="AZ124" s="9"/>
      <c r="BA124" s="9"/>
      <c r="BB124" s="9"/>
      <c r="BC124" s="10"/>
      <c r="BD124" s="9"/>
      <c r="BE124" s="9"/>
      <c r="BF124" s="9"/>
      <c r="BG124" s="9"/>
      <c r="BH124" s="9"/>
      <c r="BI124" s="9"/>
      <c r="BJ124" s="9"/>
      <c r="BK124" s="9"/>
      <c r="BL124" s="10"/>
      <c r="BM124" s="9"/>
      <c r="BN124" s="9"/>
      <c r="BO124" s="9"/>
      <c r="BP124" s="9"/>
      <c r="BQ124" s="9"/>
      <c r="BR124" s="9"/>
      <c r="BS124" s="9"/>
      <c r="BT124" s="9"/>
      <c r="BU124" s="9"/>
      <c r="BV124" s="9"/>
    </row>
    <row r="125" spans="1:74" ht="12.75" customHeight="1" x14ac:dyDescent="0.2">
      <c r="A125" s="159"/>
      <c r="B125" s="159"/>
      <c r="C125" s="159"/>
      <c r="D125" s="159"/>
      <c r="E125" s="159"/>
      <c r="F125" s="159"/>
      <c r="G125" s="159"/>
      <c r="H125" s="159"/>
      <c r="I125" s="171"/>
      <c r="J125" s="159"/>
      <c r="K125" s="159"/>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9"/>
      <c r="AY125" s="9"/>
      <c r="AZ125" s="9"/>
      <c r="BA125" s="9"/>
      <c r="BB125" s="9"/>
      <c r="BC125" s="10"/>
      <c r="BD125" s="9"/>
      <c r="BE125" s="9"/>
      <c r="BF125" s="9"/>
      <c r="BG125" s="9"/>
      <c r="BH125" s="9"/>
      <c r="BI125" s="9"/>
      <c r="BJ125" s="9"/>
      <c r="BK125" s="9"/>
      <c r="BL125" s="10"/>
      <c r="BM125" s="9"/>
      <c r="BN125" s="9"/>
      <c r="BO125" s="9"/>
      <c r="BP125" s="9"/>
      <c r="BQ125" s="9" t="str">
        <f>IF(OR(IFERROR(VLOOKUP(CA125,#REF!,MATCH("Price To Earnings",#REF!,0),FALSE),"-")&lt;0,IFERROR(VLOOKUP(CA125,#REF!,MATCH("Price To Earnings",#REF!,0),FALSE),"-")&gt;500),"-",IFERROR(VLOOKUP(CA125,#REF!,MATCH("Price To Earnings",#REF!,0),FALSE),"-"))</f>
        <v>-</v>
      </c>
      <c r="BR125" s="9"/>
      <c r="BS125" s="9"/>
      <c r="BT125" s="9"/>
      <c r="BU125" s="9"/>
      <c r="BV125" s="9"/>
    </row>
    <row r="126" spans="1:74" ht="12.75" customHeight="1" x14ac:dyDescent="0.2">
      <c r="A126" s="159"/>
      <c r="B126" s="159"/>
      <c r="C126" s="159"/>
      <c r="D126" s="159"/>
      <c r="E126" s="159"/>
      <c r="F126" s="159"/>
      <c r="G126" s="159"/>
      <c r="H126" s="159"/>
      <c r="I126" s="171"/>
      <c r="J126" s="159"/>
      <c r="K126" s="159"/>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9"/>
      <c r="AY126" s="9"/>
      <c r="AZ126" s="9"/>
      <c r="BA126" s="9"/>
      <c r="BB126" s="9"/>
      <c r="BC126" s="10"/>
      <c r="BD126" s="9"/>
      <c r="BE126" s="9"/>
      <c r="BF126" s="9"/>
      <c r="BG126" s="9"/>
      <c r="BH126" s="9"/>
      <c r="BI126" s="9"/>
      <c r="BJ126" s="9"/>
      <c r="BK126" s="9"/>
      <c r="BL126" s="10"/>
      <c r="BM126" s="9"/>
      <c r="BN126" s="9"/>
      <c r="BO126" s="9"/>
      <c r="BP126" s="9"/>
      <c r="BQ126" s="9" t="str">
        <f>IF(OR(IFERROR(VLOOKUP(CA126,#REF!,MATCH("Price To Earnings",#REF!,0),FALSE),"-")&lt;0,IFERROR(VLOOKUP(CA126,#REF!,MATCH("Price To Earnings",#REF!,0),FALSE),"-")&gt;500),"-",IFERROR(VLOOKUP(CA126,#REF!,MATCH("Price To Earnings",#REF!,0),FALSE),"-"))</f>
        <v>-</v>
      </c>
      <c r="BR126" s="9"/>
      <c r="BS126" s="9"/>
      <c r="BT126" s="9"/>
      <c r="BU126" s="9"/>
      <c r="BV126" s="9"/>
    </row>
    <row r="127" spans="1:74" ht="12.75" customHeight="1" x14ac:dyDescent="0.2">
      <c r="A127" s="159"/>
      <c r="B127" s="159"/>
      <c r="C127" s="159"/>
      <c r="D127" s="159"/>
      <c r="E127" s="172"/>
      <c r="F127" s="159"/>
      <c r="G127" s="159"/>
      <c r="H127" s="159"/>
      <c r="I127" s="171"/>
      <c r="J127" s="159"/>
      <c r="K127" s="159"/>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9"/>
      <c r="AY127" s="9"/>
      <c r="AZ127" s="9"/>
      <c r="BA127" s="9"/>
      <c r="BB127" s="9"/>
      <c r="BC127" s="10"/>
      <c r="BD127" s="9"/>
      <c r="BE127" s="9"/>
      <c r="BF127" s="9"/>
      <c r="BG127" s="9"/>
      <c r="BH127" s="9"/>
      <c r="BI127" s="9"/>
      <c r="BJ127" s="9"/>
      <c r="BK127" s="9"/>
      <c r="BL127" s="10"/>
      <c r="BM127" s="9"/>
      <c r="BN127" s="9"/>
      <c r="BO127" s="9"/>
      <c r="BP127" s="9"/>
      <c r="BQ127" s="9" t="str">
        <f>IF(OR(IFERROR(VLOOKUP(CA127,#REF!,MATCH("Price To Earnings",#REF!,0),FALSE),"-")&lt;0,IFERROR(VLOOKUP(CA127,#REF!,MATCH("Price To Earnings",#REF!,0),FALSE),"-")&gt;500),"-",IFERROR(VLOOKUP(CA127,#REF!,MATCH("Price To Earnings",#REF!,0),FALSE),"-"))</f>
        <v>-</v>
      </c>
      <c r="BR127" s="9"/>
      <c r="BS127" s="9"/>
      <c r="BT127" s="9"/>
      <c r="BU127" s="9"/>
      <c r="BV127" s="9"/>
    </row>
    <row r="128" spans="1:74" ht="12.75" customHeight="1" x14ac:dyDescent="0.2">
      <c r="A128" s="4"/>
      <c r="B128" s="4"/>
      <c r="C128" s="4"/>
      <c r="D128" s="4"/>
      <c r="E128" s="4"/>
      <c r="F128" s="4"/>
      <c r="G128" s="4"/>
      <c r="H128" s="4"/>
      <c r="I128" s="57"/>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9"/>
      <c r="AY128" s="9"/>
      <c r="AZ128" s="9"/>
      <c r="BA128" s="9"/>
      <c r="BB128" s="9"/>
      <c r="BC128" s="10"/>
      <c r="BD128" s="9"/>
      <c r="BE128" s="9"/>
      <c r="BF128" s="9"/>
      <c r="BG128" s="9"/>
      <c r="BH128" s="9"/>
      <c r="BI128" s="9"/>
      <c r="BJ128" s="9"/>
      <c r="BK128" s="9"/>
      <c r="BL128" s="10"/>
      <c r="BM128" s="9"/>
      <c r="BN128" s="9"/>
      <c r="BO128" s="9"/>
      <c r="BP128" s="9"/>
      <c r="BQ128" s="9" t="str">
        <f>IF(OR(IFERROR(VLOOKUP(CA128,#REF!,MATCH("Price To Earnings",#REF!,0),FALSE),"-")&lt;0,IFERROR(VLOOKUP(CA128,#REF!,MATCH("Price To Earnings",#REF!,0),FALSE),"-")&gt;500),"-",IFERROR(VLOOKUP(CA128,#REF!,MATCH("Price To Earnings",#REF!,0),FALSE),"-"))</f>
        <v>-</v>
      </c>
      <c r="BR128" s="9"/>
      <c r="BS128" s="9"/>
      <c r="BT128" s="9"/>
      <c r="BU128" s="9"/>
      <c r="BV128" s="9"/>
    </row>
    <row r="129" spans="1:74" ht="12.75" customHeight="1" x14ac:dyDescent="0.2">
      <c r="A129" s="4"/>
      <c r="B129" s="4"/>
      <c r="C129" s="4"/>
      <c r="D129" s="4"/>
      <c r="E129" s="4"/>
      <c r="F129" s="4"/>
      <c r="G129" s="4"/>
      <c r="H129" s="4"/>
      <c r="I129" s="57"/>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9"/>
      <c r="AY129" s="9"/>
      <c r="AZ129" s="9"/>
      <c r="BA129" s="9"/>
      <c r="BB129" s="9"/>
      <c r="BC129" s="10"/>
      <c r="BD129" s="9"/>
      <c r="BE129" s="9"/>
      <c r="BF129" s="9"/>
      <c r="BG129" s="9"/>
      <c r="BH129" s="9"/>
      <c r="BI129" s="9"/>
      <c r="BJ129" s="9"/>
      <c r="BK129" s="9"/>
      <c r="BL129" s="10"/>
      <c r="BM129" s="9"/>
      <c r="BN129" s="9"/>
      <c r="BO129" s="9"/>
      <c r="BP129" s="9"/>
      <c r="BQ129" s="9" t="str">
        <f>IF(OR(IFERROR(VLOOKUP(CA129,#REF!,MATCH("Price To Earnings",#REF!,0),FALSE),"-")&lt;0,IFERROR(VLOOKUP(CA129,#REF!,MATCH("Price To Earnings",#REF!,0),FALSE),"-")&gt;500),"-",IFERROR(VLOOKUP(CA129,#REF!,MATCH("Price To Earnings",#REF!,0),FALSE),"-"))</f>
        <v>-</v>
      </c>
      <c r="BR129" s="9"/>
      <c r="BS129" s="9"/>
      <c r="BT129" s="9"/>
      <c r="BU129" s="9"/>
      <c r="BV129" s="9"/>
    </row>
    <row r="130" spans="1:74" ht="12.75" customHeight="1" x14ac:dyDescent="0.2">
      <c r="A130" s="9"/>
      <c r="B130" s="9"/>
      <c r="C130" s="9"/>
      <c r="D130" s="9"/>
      <c r="E130" s="9"/>
      <c r="F130" s="9"/>
      <c r="G130" s="9"/>
      <c r="H130" s="9"/>
      <c r="I130" s="173"/>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t="str">
        <f>IF(OR(IFERROR(VLOOKUP(CA130,#REF!,MATCH("Price To Earnings",#REF!,0),FALSE),"-")&lt;0,IFERROR(VLOOKUP(CA130,#REF!,MATCH("Price To Earnings",#REF!,0),FALSE),"-")&gt;500),"-",IFERROR(VLOOKUP(CA130,#REF!,MATCH("Price To Earnings",#REF!,0),FALSE),"-"))</f>
        <v>-</v>
      </c>
      <c r="BR130" s="9"/>
      <c r="BS130" s="9"/>
      <c r="BT130" s="9"/>
      <c r="BU130" s="9"/>
      <c r="BV130" s="9"/>
    </row>
    <row r="131" spans="1:74" ht="12.75" customHeight="1" x14ac:dyDescent="0.2">
      <c r="A131" s="9"/>
      <c r="B131" s="9"/>
      <c r="C131" s="9"/>
      <c r="D131" s="9"/>
      <c r="E131" s="153"/>
      <c r="F131" s="9"/>
      <c r="G131" s="9"/>
      <c r="H131" s="9"/>
      <c r="I131" s="173"/>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t="str">
        <f>IF(OR(IFERROR(VLOOKUP(CA131,#REF!,MATCH("Price To Earnings",#REF!,0),FALSE),"-")&lt;0,IFERROR(VLOOKUP(CA131,#REF!,MATCH("Price To Earnings",#REF!,0),FALSE),"-")&gt;500),"-",IFERROR(VLOOKUP(CA131,#REF!,MATCH("Price To Earnings",#REF!,0),FALSE),"-"))</f>
        <v>-</v>
      </c>
      <c r="BR131" s="9"/>
      <c r="BS131" s="9"/>
      <c r="BT131" s="9"/>
      <c r="BU131" s="9"/>
      <c r="BV131" s="9"/>
    </row>
    <row r="132" spans="1:74" ht="12.75" customHeight="1" x14ac:dyDescent="0.2">
      <c r="A132" s="9"/>
      <c r="B132" s="9"/>
      <c r="C132" s="9"/>
      <c r="D132" s="9"/>
      <c r="E132" s="9"/>
      <c r="F132" s="9"/>
      <c r="G132" s="9"/>
      <c r="H132" s="9"/>
      <c r="I132" s="173"/>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t="str">
        <f>IF(OR(IFERROR(VLOOKUP(CA132,#REF!,MATCH("Price To Earnings",#REF!,0),FALSE),"-")&lt;0,IFERROR(VLOOKUP(CA132,#REF!,MATCH("Price To Earnings",#REF!,0),FALSE),"-")&gt;500),"-",IFERROR(VLOOKUP(CA132,#REF!,MATCH("Price To Earnings",#REF!,0),FALSE),"-"))</f>
        <v>-</v>
      </c>
      <c r="BR132" s="9"/>
      <c r="BS132" s="9"/>
      <c r="BT132" s="9"/>
      <c r="BU132" s="9"/>
      <c r="BV132" s="9"/>
    </row>
    <row r="133" spans="1:74" ht="12.75" customHeight="1" x14ac:dyDescent="0.2">
      <c r="A133" s="9"/>
      <c r="B133" s="9"/>
      <c r="C133" s="9"/>
      <c r="D133" s="9"/>
      <c r="E133" s="9"/>
      <c r="F133" s="9"/>
      <c r="G133" s="9"/>
      <c r="H133" s="9"/>
      <c r="I133" s="173"/>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t="str">
        <f>IF(OR(IFERROR(VLOOKUP(CA133,#REF!,MATCH("Price To Earnings",#REF!,0),FALSE),"-")&lt;0,IFERROR(VLOOKUP(CA133,#REF!,MATCH("Price To Earnings",#REF!,0),FALSE),"-")&gt;500),"-",IFERROR(VLOOKUP(CA133,#REF!,MATCH("Price To Earnings",#REF!,0),FALSE),"-"))</f>
        <v>-</v>
      </c>
      <c r="BR133" s="9"/>
      <c r="BS133" s="9"/>
      <c r="BT133" s="9"/>
      <c r="BU133" s="9"/>
      <c r="BV133" s="9"/>
    </row>
    <row r="134" spans="1:74" ht="12.75" customHeight="1" x14ac:dyDescent="0.2">
      <c r="A134" s="9"/>
      <c r="B134" s="9"/>
      <c r="C134" s="9"/>
      <c r="D134" s="9"/>
      <c r="E134" s="153"/>
      <c r="F134" s="9"/>
      <c r="G134" s="9"/>
      <c r="H134" s="9"/>
      <c r="I134" s="173"/>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row>
    <row r="135" spans="1:74" ht="12.75" customHeight="1" x14ac:dyDescent="0.2">
      <c r="A135" s="9"/>
      <c r="B135" s="9"/>
      <c r="C135" s="9"/>
      <c r="D135" s="9"/>
      <c r="E135" s="161"/>
      <c r="F135" s="9"/>
      <c r="G135" s="9"/>
      <c r="H135" s="9"/>
      <c r="I135" s="173"/>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t="str">
        <f>IF(OR(IFERROR(VLOOKUP(CA135,#REF!,MATCH("Price To Earnings",#REF!,0),FALSE),"-")&lt;0,IFERROR(VLOOKUP(CA135,#REF!,MATCH("Price To Earnings",#REF!,0),FALSE),"-")&gt;500),"-",IFERROR(VLOOKUP(CA135,#REF!,MATCH("Price To Earnings",#REF!,0),FALSE),"-"))</f>
        <v>-</v>
      </c>
      <c r="BR135" s="9"/>
      <c r="BS135" s="9"/>
      <c r="BT135" s="9"/>
      <c r="BU135" s="9"/>
      <c r="BV135" s="9"/>
    </row>
    <row r="136" spans="1:74" ht="12.75" customHeight="1" x14ac:dyDescent="0.2">
      <c r="A136" s="9"/>
      <c r="B136" s="9"/>
      <c r="C136" s="9"/>
      <c r="D136" s="9"/>
      <c r="E136" s="9"/>
      <c r="F136" s="9"/>
      <c r="G136" s="9"/>
      <c r="H136" s="9"/>
      <c r="I136" s="173"/>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t="str">
        <f>IF(OR(IFERROR(VLOOKUP(CA136,#REF!,MATCH("Price To Earnings",#REF!,0),FALSE),"-")&lt;0,IFERROR(VLOOKUP(CA136,#REF!,MATCH("Price To Earnings",#REF!,0),FALSE),"-")&gt;500),"-",IFERROR(VLOOKUP(CA136,#REF!,MATCH("Price To Earnings",#REF!,0),FALSE),"-"))</f>
        <v>-</v>
      </c>
      <c r="BR136" s="9"/>
      <c r="BS136" s="9"/>
      <c r="BT136" s="9"/>
      <c r="BU136" s="9"/>
      <c r="BV136" s="9"/>
    </row>
    <row r="137" spans="1:74" ht="12.75" customHeight="1" x14ac:dyDescent="0.2">
      <c r="A137" s="9"/>
      <c r="B137" s="9"/>
      <c r="C137" s="9"/>
      <c r="D137" s="9"/>
      <c r="E137" s="9"/>
      <c r="F137" s="9"/>
      <c r="G137" s="9"/>
      <c r="H137" s="9"/>
      <c r="I137" s="173"/>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t="str">
        <f>IF(OR(IFERROR(VLOOKUP(CA137,#REF!,MATCH("Price To Earnings",#REF!,0),FALSE),"-")&lt;0,IFERROR(VLOOKUP(CA137,#REF!,MATCH("Price To Earnings",#REF!,0),FALSE),"-")&gt;500),"-",IFERROR(VLOOKUP(CA137,#REF!,MATCH("Price To Earnings",#REF!,0),FALSE),"-"))</f>
        <v>-</v>
      </c>
      <c r="BR137" s="9"/>
      <c r="BS137" s="9"/>
      <c r="BT137" s="9"/>
      <c r="BU137" s="9"/>
      <c r="BV137" s="9"/>
    </row>
    <row r="138" spans="1:74" ht="12.75" customHeight="1" x14ac:dyDescent="0.2">
      <c r="A138" s="9"/>
      <c r="B138" s="9"/>
      <c r="C138" s="9"/>
      <c r="D138" s="9"/>
      <c r="E138" s="9"/>
      <c r="F138" s="9"/>
      <c r="G138" s="9"/>
      <c r="H138" s="9"/>
      <c r="I138" s="173"/>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t="str">
        <f>IF(OR(IFERROR(VLOOKUP(CA138,#REF!,MATCH("Price To Earnings",#REF!,0),FALSE),"-")&lt;0,IFERROR(VLOOKUP(CA138,#REF!,MATCH("Price To Earnings",#REF!,0),FALSE),"-")&gt;500),"-",IFERROR(VLOOKUP(CA138,#REF!,MATCH("Price To Earnings",#REF!,0),FALSE),"-"))</f>
        <v>-</v>
      </c>
      <c r="BR138" s="9"/>
      <c r="BS138" s="9"/>
      <c r="BT138" s="9"/>
      <c r="BU138" s="9"/>
      <c r="BV138" s="9"/>
    </row>
    <row r="139" spans="1:74" ht="12.75" customHeight="1" x14ac:dyDescent="0.2">
      <c r="A139" s="9"/>
      <c r="B139" s="9"/>
      <c r="C139" s="9"/>
      <c r="D139" s="9"/>
      <c r="E139" s="9"/>
      <c r="F139" s="9"/>
      <c r="G139" s="9"/>
      <c r="H139" s="9"/>
      <c r="I139" s="173"/>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t="str">
        <f>IF(OR(IFERROR(VLOOKUP(CA139,#REF!,MATCH("Price To Earnings",#REF!,0),FALSE),"-")&lt;0,IFERROR(VLOOKUP(CA139,#REF!,MATCH("Price To Earnings",#REF!,0),FALSE),"-")&gt;500),"-",IFERROR(VLOOKUP(CA139,#REF!,MATCH("Price To Earnings",#REF!,0),FALSE),"-"))</f>
        <v>-</v>
      </c>
      <c r="BR139" s="9"/>
      <c r="BS139" s="9"/>
      <c r="BT139" s="9"/>
      <c r="BU139" s="9"/>
      <c r="BV139" s="9"/>
    </row>
    <row r="140" spans="1:74" ht="12.75" customHeight="1" x14ac:dyDescent="0.2">
      <c r="A140" s="9"/>
      <c r="B140" s="9"/>
      <c r="C140" s="9"/>
      <c r="D140" s="9"/>
      <c r="E140" s="9"/>
      <c r="F140" s="9"/>
      <c r="G140" s="9"/>
      <c r="H140" s="9"/>
      <c r="I140" s="173"/>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t="str">
        <f>IF(OR(IFERROR(VLOOKUP(CA140,#REF!,MATCH("Price To Earnings",#REF!,0),FALSE),"-")&lt;0,IFERROR(VLOOKUP(CA140,#REF!,MATCH("Price To Earnings",#REF!,0),FALSE),"-")&gt;500),"-",IFERROR(VLOOKUP(CA140,#REF!,MATCH("Price To Earnings",#REF!,0),FALSE),"-"))</f>
        <v>-</v>
      </c>
      <c r="BR140" s="9"/>
      <c r="BS140" s="9"/>
      <c r="BT140" s="9"/>
      <c r="BU140" s="9"/>
      <c r="BV140" s="9"/>
    </row>
    <row r="141" spans="1:74" ht="12.75" customHeight="1" x14ac:dyDescent="0.2">
      <c r="A141" s="9"/>
      <c r="B141" s="9"/>
      <c r="C141" s="9"/>
      <c r="D141" s="9"/>
      <c r="E141" s="9"/>
      <c r="F141" s="9"/>
      <c r="G141" s="9"/>
      <c r="H141" s="9"/>
      <c r="I141" s="173"/>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c r="BS141" s="9"/>
      <c r="BT141" s="9"/>
      <c r="BU141" s="9"/>
      <c r="BV141" s="9"/>
    </row>
    <row r="142" spans="1:74" ht="12.75" customHeight="1" x14ac:dyDescent="0.2">
      <c r="A142" s="9"/>
      <c r="B142" s="9"/>
      <c r="C142" s="9"/>
      <c r="D142" s="9"/>
      <c r="E142" s="9"/>
      <c r="F142" s="9"/>
      <c r="G142" s="9"/>
      <c r="H142" s="9"/>
      <c r="I142" s="173"/>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t="str">
        <f>IF(OR(IFERROR(VLOOKUP(CA142,#REF!,MATCH("Price To Earnings",#REF!,0),FALSE),"-")&lt;0,IFERROR(VLOOKUP(CA142,#REF!,MATCH("Price To Earnings",#REF!,0),FALSE),"-")&gt;500),"-",IFERROR(VLOOKUP(CA142,#REF!,MATCH("Price To Earnings",#REF!,0),FALSE),"-"))</f>
        <v>-</v>
      </c>
      <c r="BR142" s="9"/>
      <c r="BS142" s="9"/>
      <c r="BT142" s="9"/>
      <c r="BU142" s="9"/>
      <c r="BV142" s="9"/>
    </row>
    <row r="143" spans="1:74" ht="12.75" customHeight="1" x14ac:dyDescent="0.2">
      <c r="A143" s="9"/>
      <c r="B143" s="9"/>
      <c r="C143" s="9"/>
      <c r="D143" s="9"/>
      <c r="E143" s="162"/>
      <c r="F143" s="9"/>
      <c r="G143" s="9"/>
      <c r="H143" s="9"/>
      <c r="I143" s="173"/>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t="str">
        <f>IF(OR(IFERROR(VLOOKUP(CA143,#REF!,MATCH("Price To Earnings",#REF!,0),FALSE),"-")&lt;0,IFERROR(VLOOKUP(CA143,#REF!,MATCH("Price To Earnings",#REF!,0),FALSE),"-")&gt;500),"-",IFERROR(VLOOKUP(CA143,#REF!,MATCH("Price To Earnings",#REF!,0),FALSE),"-"))</f>
        <v>-</v>
      </c>
      <c r="BR143" s="9"/>
      <c r="BS143" s="9"/>
      <c r="BT143" s="9"/>
      <c r="BU143" s="9"/>
      <c r="BV143" s="9"/>
    </row>
    <row r="144" spans="1:74" ht="12.75" customHeight="1" x14ac:dyDescent="0.2">
      <c r="A144" s="9"/>
      <c r="B144" s="9"/>
      <c r="C144" s="9"/>
      <c r="D144" s="9"/>
      <c r="E144" s="9"/>
      <c r="F144" s="9"/>
      <c r="G144" s="9"/>
      <c r="H144" s="9"/>
      <c r="I144" s="173"/>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t="str">
        <f>IF(OR(IFERROR(VLOOKUP(CA144,#REF!,MATCH("Price To Earnings",#REF!,0),FALSE),"-")&lt;0,IFERROR(VLOOKUP(CA144,#REF!,MATCH("Price To Earnings",#REF!,0),FALSE),"-")&gt;500),"-",IFERROR(VLOOKUP(CA144,#REF!,MATCH("Price To Earnings",#REF!,0),FALSE),"-"))</f>
        <v>-</v>
      </c>
      <c r="BR144" s="9"/>
      <c r="BS144" s="9"/>
      <c r="BT144" s="9"/>
      <c r="BU144" s="9"/>
      <c r="BV144" s="9"/>
    </row>
    <row r="145" spans="1:74" ht="12.75" customHeight="1" x14ac:dyDescent="0.2">
      <c r="A145" s="9"/>
      <c r="B145" s="9"/>
      <c r="C145" s="9"/>
      <c r="D145" s="9"/>
      <c r="E145" s="9"/>
      <c r="F145" s="9"/>
      <c r="G145" s="9"/>
      <c r="H145" s="9"/>
      <c r="I145" s="173"/>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t="str">
        <f>IF(OR(IFERROR(VLOOKUP(CA145,#REF!,MATCH("Price To Earnings",#REF!,0),FALSE),"-")&lt;0,IFERROR(VLOOKUP(CA145,#REF!,MATCH("Price To Earnings",#REF!,0),FALSE),"-")&gt;500),"-",IFERROR(VLOOKUP(CA145,#REF!,MATCH("Price To Earnings",#REF!,0),FALSE),"-"))</f>
        <v>-</v>
      </c>
      <c r="BR145" s="9"/>
      <c r="BS145" s="9"/>
      <c r="BT145" s="9"/>
      <c r="BU145" s="9"/>
      <c r="BV145" s="9"/>
    </row>
    <row r="146" spans="1:74" ht="12.75" customHeight="1" x14ac:dyDescent="0.2">
      <c r="A146" s="9"/>
      <c r="B146" s="9"/>
      <c r="C146" s="9"/>
      <c r="D146" s="9"/>
      <c r="E146" s="9"/>
      <c r="F146" s="9"/>
      <c r="G146" s="9"/>
      <c r="H146" s="9"/>
      <c r="I146" s="173"/>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t="str">
        <f>IF(OR(IFERROR(VLOOKUP(CA146,#REF!,MATCH("Price To Earnings",#REF!,0),FALSE),"-")&lt;0,IFERROR(VLOOKUP(CA146,#REF!,MATCH("Price To Earnings",#REF!,0),FALSE),"-")&gt;500),"-",IFERROR(VLOOKUP(CA146,#REF!,MATCH("Price To Earnings",#REF!,0),FALSE),"-"))</f>
        <v>-</v>
      </c>
      <c r="BR146" s="9"/>
      <c r="BS146" s="9"/>
      <c r="BT146" s="9"/>
      <c r="BU146" s="9"/>
      <c r="BV146" s="9"/>
    </row>
    <row r="147" spans="1:74" ht="12.75" customHeight="1" x14ac:dyDescent="0.2">
      <c r="A147" s="9"/>
      <c r="B147" s="9"/>
      <c r="C147" s="9"/>
      <c r="D147" s="9"/>
      <c r="E147" s="9"/>
      <c r="F147" s="9"/>
      <c r="G147" s="9"/>
      <c r="H147" s="9"/>
      <c r="I147" s="173"/>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t="str">
        <f>IF(OR(IFERROR(VLOOKUP(CA147,#REF!,MATCH("Price To Earnings",#REF!,0),FALSE),"-")&lt;0,IFERROR(VLOOKUP(CA147,#REF!,MATCH("Price To Earnings",#REF!,0),FALSE),"-")&gt;500),"-",IFERROR(VLOOKUP(CA147,#REF!,MATCH("Price To Earnings",#REF!,0),FALSE),"-"))</f>
        <v>-</v>
      </c>
      <c r="BR147" s="9"/>
      <c r="BS147" s="9"/>
      <c r="BT147" s="9"/>
      <c r="BU147" s="9"/>
      <c r="BV147" s="9"/>
    </row>
    <row r="148" spans="1:74" ht="12.75" customHeight="1" x14ac:dyDescent="0.2">
      <c r="A148" s="9"/>
      <c r="B148" s="9"/>
      <c r="C148" s="9"/>
      <c r="D148" s="9"/>
      <c r="E148" s="153"/>
      <c r="F148" s="9"/>
      <c r="G148" s="9"/>
      <c r="H148" s="9"/>
      <c r="I148" s="173"/>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t="str">
        <f>IF(OR(IFERROR(VLOOKUP(CA148,#REF!,MATCH("Price To Earnings",#REF!,0),FALSE),"-")&lt;0,IFERROR(VLOOKUP(CA148,#REF!,MATCH("Price To Earnings",#REF!,0),FALSE),"-")&gt;500),"-",IFERROR(VLOOKUP(CA148,#REF!,MATCH("Price To Earnings",#REF!,0),FALSE),"-"))</f>
        <v>-</v>
      </c>
      <c r="BR148" s="9"/>
      <c r="BS148" s="9"/>
      <c r="BT148" s="9"/>
      <c r="BU148" s="9"/>
      <c r="BV148" s="9"/>
    </row>
    <row r="149" spans="1:74" ht="12.75" customHeight="1" x14ac:dyDescent="0.2">
      <c r="A149" s="9"/>
      <c r="B149" s="9"/>
      <c r="C149" s="9"/>
      <c r="D149" s="9"/>
      <c r="E149" s="9"/>
      <c r="F149" s="9"/>
      <c r="G149" s="9"/>
      <c r="H149" s="9"/>
      <c r="I149" s="173"/>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t="str">
        <f>IF(OR(IFERROR(VLOOKUP(CA149,#REF!,MATCH("Price To Earnings",#REF!,0),FALSE),"-")&lt;0,IFERROR(VLOOKUP(CA149,#REF!,MATCH("Price To Earnings",#REF!,0),FALSE),"-")&gt;500),"-",IFERROR(VLOOKUP(CA149,#REF!,MATCH("Price To Earnings",#REF!,0),FALSE),"-"))</f>
        <v>-</v>
      </c>
      <c r="BR149" s="9"/>
      <c r="BS149" s="9"/>
      <c r="BT149" s="9"/>
      <c r="BU149" s="9"/>
      <c r="BV149" s="9"/>
    </row>
    <row r="150" spans="1:74" ht="12.75" customHeight="1" x14ac:dyDescent="0.2">
      <c r="A150" s="9"/>
      <c r="B150" s="9"/>
      <c r="C150" s="9"/>
      <c r="D150" s="9"/>
      <c r="E150" s="9"/>
      <c r="F150" s="9"/>
      <c r="G150" s="9"/>
      <c r="H150" s="9"/>
      <c r="I150" s="173"/>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t="str">
        <f>IF(OR(IFERROR(VLOOKUP(CA150,#REF!,MATCH("Price To Earnings",#REF!,0),FALSE),"-")&lt;0,IFERROR(VLOOKUP(CA150,#REF!,MATCH("Price To Earnings",#REF!,0),FALSE),"-")&gt;500),"-",IFERROR(VLOOKUP(CA150,#REF!,MATCH("Price To Earnings",#REF!,0),FALSE),"-"))</f>
        <v>-</v>
      </c>
      <c r="BR150" s="9"/>
      <c r="BS150" s="9"/>
      <c r="BT150" s="9"/>
      <c r="BU150" s="9"/>
      <c r="BV150" s="9"/>
    </row>
    <row r="151" spans="1:74" ht="12.75" customHeight="1" x14ac:dyDescent="0.2">
      <c r="A151" s="9"/>
      <c r="B151" s="9"/>
      <c r="C151" s="9"/>
      <c r="D151" s="9"/>
      <c r="E151" s="9"/>
      <c r="F151" s="9"/>
      <c r="G151" s="9"/>
      <c r="H151" s="9"/>
      <c r="I151" s="173"/>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t="str">
        <f>IF(OR(IFERROR(VLOOKUP(CA151,#REF!,MATCH("Price To Earnings",#REF!,0),FALSE),"-")&lt;0,IFERROR(VLOOKUP(CA151,#REF!,MATCH("Price To Earnings",#REF!,0),FALSE),"-")&gt;500),"-",IFERROR(VLOOKUP(CA151,#REF!,MATCH("Price To Earnings",#REF!,0),FALSE),"-"))</f>
        <v>-</v>
      </c>
      <c r="BR151" s="9"/>
      <c r="BS151" s="9"/>
      <c r="BT151" s="9"/>
      <c r="BU151" s="9"/>
      <c r="BV151" s="9"/>
    </row>
    <row r="152" spans="1:74" ht="12.75" customHeight="1" x14ac:dyDescent="0.2">
      <c r="A152" s="9"/>
      <c r="B152" s="9"/>
      <c r="C152" s="9"/>
      <c r="D152" s="9"/>
      <c r="E152" s="9"/>
      <c r="F152" s="9"/>
      <c r="G152" s="9"/>
      <c r="H152" s="9"/>
      <c r="I152" s="173"/>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c r="BS152" s="9"/>
      <c r="BT152" s="9"/>
      <c r="BU152" s="9"/>
      <c r="BV152" s="9"/>
    </row>
    <row r="153" spans="1:74" ht="12.75" customHeight="1" x14ac:dyDescent="0.2">
      <c r="A153" s="9"/>
      <c r="B153" s="9"/>
      <c r="C153" s="9"/>
      <c r="D153" s="9"/>
      <c r="E153" s="9"/>
      <c r="F153" s="9"/>
      <c r="G153" s="9"/>
      <c r="H153" s="9"/>
      <c r="I153" s="173"/>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t="str">
        <f>IF(OR(IFERROR(VLOOKUP(CA153,#REF!,MATCH("Price To Earnings",#REF!,0),FALSE),"-")&lt;0,IFERROR(VLOOKUP(CA153,#REF!,MATCH("Price To Earnings",#REF!,0),FALSE),"-")&gt;500),"-",IFERROR(VLOOKUP(CA153,#REF!,MATCH("Price To Earnings",#REF!,0),FALSE),"-"))</f>
        <v>-</v>
      </c>
      <c r="BR153" s="9"/>
      <c r="BS153" s="9"/>
      <c r="BT153" s="9"/>
      <c r="BU153" s="9"/>
      <c r="BV153" s="9"/>
    </row>
    <row r="154" spans="1:74" ht="12.75" customHeight="1" x14ac:dyDescent="0.2">
      <c r="A154" s="9"/>
      <c r="B154" s="9"/>
      <c r="C154" s="9"/>
      <c r="D154" s="9"/>
      <c r="E154" s="9"/>
      <c r="F154" s="9"/>
      <c r="G154" s="9"/>
      <c r="H154" s="9"/>
      <c r="I154" s="173"/>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t="str">
        <f>IF(OR(IFERROR(VLOOKUP(CA154,#REF!,MATCH("Price To Earnings",#REF!,0),FALSE),"-")&lt;0,IFERROR(VLOOKUP(CA154,#REF!,MATCH("Price To Earnings",#REF!,0),FALSE),"-")&gt;500),"-",IFERROR(VLOOKUP(CA154,#REF!,MATCH("Price To Earnings",#REF!,0),FALSE),"-"))</f>
        <v>-</v>
      </c>
      <c r="BR154" s="9"/>
      <c r="BS154" s="9"/>
      <c r="BT154" s="9"/>
      <c r="BU154" s="9"/>
      <c r="BV154" s="9"/>
    </row>
    <row r="155" spans="1:74" ht="12.75" customHeight="1" x14ac:dyDescent="0.2">
      <c r="A155" s="9"/>
      <c r="B155" s="9"/>
      <c r="C155" s="9"/>
      <c r="D155" s="9"/>
      <c r="E155" s="9"/>
      <c r="F155" s="9"/>
      <c r="G155" s="9"/>
      <c r="H155" s="9"/>
      <c r="I155" s="173"/>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c r="BS155" s="9"/>
      <c r="BT155" s="9"/>
      <c r="BU155" s="9"/>
      <c r="BV155" s="9"/>
    </row>
    <row r="156" spans="1:74" ht="12.75" customHeight="1" x14ac:dyDescent="0.2">
      <c r="A156" s="9"/>
      <c r="B156" s="9"/>
      <c r="C156" s="9"/>
      <c r="D156" s="9"/>
      <c r="E156" s="9"/>
      <c r="F156" s="9"/>
      <c r="G156" s="9"/>
      <c r="H156" s="9"/>
      <c r="I156" s="173"/>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c r="BS156" s="9"/>
      <c r="BT156" s="9"/>
      <c r="BU156" s="9"/>
      <c r="BV156" s="9"/>
    </row>
    <row r="157" spans="1:74" ht="12.75" customHeight="1" x14ac:dyDescent="0.2">
      <c r="A157" s="9"/>
      <c r="B157" s="9"/>
      <c r="C157" s="9"/>
      <c r="D157" s="9"/>
      <c r="E157" s="9"/>
      <c r="F157" s="9"/>
      <c r="G157" s="9"/>
      <c r="H157" s="9"/>
      <c r="I157" s="173"/>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c r="BS157" s="9"/>
      <c r="BT157" s="9"/>
      <c r="BU157" s="9"/>
      <c r="BV157" s="9"/>
    </row>
    <row r="158" spans="1:74" ht="12.75" customHeight="1" x14ac:dyDescent="0.2">
      <c r="A158" s="9"/>
      <c r="B158" s="9"/>
      <c r="C158" s="9"/>
      <c r="D158" s="9"/>
      <c r="E158" s="9"/>
      <c r="F158" s="9"/>
      <c r="G158" s="9"/>
      <c r="H158" s="9"/>
      <c r="I158" s="173"/>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c r="BS158" s="9"/>
      <c r="BT158" s="9"/>
      <c r="BU158" s="9"/>
      <c r="BV158" s="9"/>
    </row>
    <row r="159" spans="1:74" ht="12.75" customHeight="1" x14ac:dyDescent="0.2">
      <c r="A159" s="9"/>
      <c r="B159" s="9"/>
      <c r="C159" s="9"/>
      <c r="D159" s="9"/>
      <c r="E159" s="9"/>
      <c r="F159" s="9"/>
      <c r="G159" s="9"/>
      <c r="H159" s="9"/>
      <c r="I159" s="173"/>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c r="BS159" s="9"/>
      <c r="BT159" s="9"/>
      <c r="BU159" s="9"/>
      <c r="BV159" s="9"/>
    </row>
    <row r="160" spans="1:74" ht="12.75" customHeight="1" x14ac:dyDescent="0.2">
      <c r="A160" s="9"/>
      <c r="B160" s="9"/>
      <c r="C160" s="9"/>
      <c r="D160" s="9"/>
      <c r="E160" s="9"/>
      <c r="F160" s="9"/>
      <c r="G160" s="9"/>
      <c r="H160" s="9"/>
      <c r="I160" s="173"/>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c r="BS160" s="9"/>
      <c r="BT160" s="9"/>
      <c r="BU160" s="9"/>
      <c r="BV160" s="9"/>
    </row>
    <row r="161" spans="1:74" ht="12.75" customHeight="1" x14ac:dyDescent="0.2">
      <c r="A161" s="9"/>
      <c r="B161" s="9"/>
      <c r="C161" s="9"/>
      <c r="D161" s="9"/>
      <c r="E161" s="9"/>
      <c r="F161" s="9"/>
      <c r="G161" s="9"/>
      <c r="H161" s="9"/>
      <c r="I161" s="173"/>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c r="BS161" s="9"/>
      <c r="BT161" s="9"/>
      <c r="BU161" s="9"/>
      <c r="BV161" s="9"/>
    </row>
    <row r="162" spans="1:74" ht="12.75" customHeight="1" x14ac:dyDescent="0.2">
      <c r="A162" s="9"/>
      <c r="B162" s="9"/>
      <c r="C162" s="9"/>
      <c r="D162" s="9"/>
      <c r="E162" s="9"/>
      <c r="F162" s="9"/>
      <c r="G162" s="9"/>
      <c r="H162" s="9"/>
      <c r="I162" s="173"/>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c r="BS162" s="9"/>
      <c r="BT162" s="9"/>
      <c r="BU162" s="9"/>
      <c r="BV162" s="9"/>
    </row>
  </sheetData>
  <mergeCells count="91">
    <mergeCell ref="A1:L3"/>
    <mergeCell ref="A114:B114"/>
    <mergeCell ref="A115:B115"/>
    <mergeCell ref="A112:B112"/>
    <mergeCell ref="A113:B113"/>
    <mergeCell ref="A107:B107"/>
    <mergeCell ref="A108:B108"/>
    <mergeCell ref="A109:B109"/>
    <mergeCell ref="A110:B110"/>
    <mergeCell ref="A111:B111"/>
    <mergeCell ref="A104:B104"/>
    <mergeCell ref="A105:B105"/>
    <mergeCell ref="A106:B106"/>
    <mergeCell ref="A97:B97"/>
    <mergeCell ref="A98:B98"/>
    <mergeCell ref="A99:B99"/>
    <mergeCell ref="A103:B103"/>
    <mergeCell ref="A88:B88"/>
    <mergeCell ref="A89:B89"/>
    <mergeCell ref="A90:B90"/>
    <mergeCell ref="A91:B91"/>
    <mergeCell ref="A92:B92"/>
    <mergeCell ref="A100:B100"/>
    <mergeCell ref="A101:B101"/>
    <mergeCell ref="A102:B102"/>
    <mergeCell ref="A93:B93"/>
    <mergeCell ref="A94:B94"/>
    <mergeCell ref="A95:B95"/>
    <mergeCell ref="A96:B96"/>
    <mergeCell ref="A30:BB30"/>
    <mergeCell ref="A31:BB31"/>
    <mergeCell ref="A24:BB24"/>
    <mergeCell ref="A25:BB25"/>
    <mergeCell ref="A26:BB26"/>
    <mergeCell ref="A27:BB27"/>
    <mergeCell ref="A28:BB28"/>
    <mergeCell ref="A14:BB14"/>
    <mergeCell ref="A15:BB15"/>
    <mergeCell ref="A21:BB21"/>
    <mergeCell ref="A22:BB22"/>
    <mergeCell ref="A23:BB23"/>
    <mergeCell ref="A39:BB39"/>
    <mergeCell ref="A40:BC41"/>
    <mergeCell ref="A32:BB33"/>
    <mergeCell ref="A34:BB35"/>
    <mergeCell ref="A36:BB36"/>
    <mergeCell ref="A37:BB37"/>
    <mergeCell ref="A38:BB38"/>
    <mergeCell ref="AF49:AG49"/>
    <mergeCell ref="AF50:AG50"/>
    <mergeCell ref="AF51:AG51"/>
    <mergeCell ref="AF52:AG52"/>
    <mergeCell ref="AF53:AG53"/>
    <mergeCell ref="AF63:AG63"/>
    <mergeCell ref="AF54:AG54"/>
    <mergeCell ref="AF55:AG55"/>
    <mergeCell ref="AF56:AG56"/>
    <mergeCell ref="AF57:AG57"/>
    <mergeCell ref="AF58:AG58"/>
    <mergeCell ref="AF86:AG86"/>
    <mergeCell ref="AF87:AG87"/>
    <mergeCell ref="AF48:AG48"/>
    <mergeCell ref="AF79:AG79"/>
    <mergeCell ref="AF80:AG80"/>
    <mergeCell ref="AF81:AG81"/>
    <mergeCell ref="AF82:AG82"/>
    <mergeCell ref="AF83:AG83"/>
    <mergeCell ref="AF74:AG74"/>
    <mergeCell ref="AF75:AG75"/>
    <mergeCell ref="AF76:AG76"/>
    <mergeCell ref="AF77:AG77"/>
    <mergeCell ref="AF78:AG78"/>
    <mergeCell ref="AF69:AG69"/>
    <mergeCell ref="AF70:AG70"/>
    <mergeCell ref="AF71:AG71"/>
    <mergeCell ref="AH48:AX48"/>
    <mergeCell ref="J48:AA48"/>
    <mergeCell ref="H48:I48"/>
    <mergeCell ref="AF84:AG84"/>
    <mergeCell ref="AF85:AG85"/>
    <mergeCell ref="AF72:AG72"/>
    <mergeCell ref="AF73:AG73"/>
    <mergeCell ref="AF64:AG64"/>
    <mergeCell ref="AF65:AG65"/>
    <mergeCell ref="AF66:AG66"/>
    <mergeCell ref="AF67:AG67"/>
    <mergeCell ref="AF68:AG68"/>
    <mergeCell ref="AF59:AG59"/>
    <mergeCell ref="AF60:AG60"/>
    <mergeCell ref="AF61:AG61"/>
    <mergeCell ref="AF62:AG62"/>
  </mergeCells>
  <printOptions horizontalCentered="1"/>
  <pageMargins left="0.15" right="0.15" top="0.74803149606299202" bottom="0.511811023622047" header="0" footer="0"/>
  <pageSetup paperSize="9" scale="61" fitToHeight="2"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45" max="53"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F116" sqref="F116:H116"/>
    </sheetView>
  </sheetViews>
  <sheetFormatPr baseColWidth="10" defaultRowHeight="12.75" customHeight="1" x14ac:dyDescent="0.2"/>
  <cols>
    <col min="1" max="4" width="3.28515625" style="1" customWidth="1"/>
    <col min="5" max="5" width="4.42578125" style="1" customWidth="1"/>
    <col min="6" max="7" width="3.28515625" style="1" customWidth="1"/>
    <col min="8" max="8" width="2.28515625" style="1" customWidth="1"/>
    <col min="9" max="10" width="3.28515625" style="1" customWidth="1"/>
    <col min="11" max="11" width="5.85546875" style="1" customWidth="1"/>
    <col min="12" max="13" width="3.28515625" style="1" customWidth="1"/>
    <col min="14" max="14" width="1.28515625" style="1" customWidth="1"/>
    <col min="15" max="25" width="3.28515625" style="1" customWidth="1"/>
    <col min="26" max="26" width="3.42578125" style="1" customWidth="1"/>
    <col min="27" max="31" width="3.28515625" style="1" customWidth="1"/>
    <col min="32" max="32" width="2.140625" style="1" customWidth="1"/>
    <col min="33" max="34" width="3.28515625" style="1" customWidth="1"/>
    <col min="35" max="35" width="3" style="1" customWidth="1"/>
    <col min="36" max="36" width="3.28515625" style="8" customWidth="1"/>
    <col min="37" max="40" width="3.28515625" style="1" customWidth="1"/>
    <col min="41" max="41" width="4" style="1" customWidth="1"/>
    <col min="42" max="43" width="3.28515625" style="1" customWidth="1"/>
    <col min="44" max="44" width="3.42578125" style="1" customWidth="1"/>
    <col min="45" max="45" width="8.140625" style="1" customWidth="1"/>
    <col min="46" max="46" width="8.28515625" style="1" customWidth="1"/>
    <col min="47" max="47" width="6.140625" style="1" customWidth="1"/>
    <col min="48" max="48" width="11.42578125" style="1"/>
    <col min="49" max="49" width="5.140625" style="1" customWidth="1"/>
    <col min="50" max="51" width="11.42578125" style="1"/>
    <col min="52" max="52" width="3.140625" style="1" customWidth="1"/>
    <col min="53" max="53" width="11.42578125" style="1" customWidth="1"/>
    <col min="54" max="54" width="11.42578125" style="1"/>
    <col min="55" max="55" width="2.42578125" style="1" customWidth="1"/>
    <col min="56" max="63" width="11.42578125" style="1"/>
    <col min="64" max="64" width="2.42578125" style="1" customWidth="1"/>
    <col min="65" max="66" width="11.42578125" style="1"/>
    <col min="67" max="67" width="6" style="1" customWidth="1"/>
    <col min="68" max="70" width="11.42578125" style="1"/>
    <col min="71" max="71" width="5.28515625" style="1" customWidth="1"/>
    <col min="72" max="72" width="11.42578125" style="1"/>
    <col min="73" max="73" width="6.140625" style="1" customWidth="1"/>
    <col min="74" max="74" width="9.5703125" style="1" customWidth="1"/>
    <col min="75" max="271" width="11.42578125" style="1"/>
    <col min="272" max="272" width="14.5703125" style="1" customWidth="1"/>
    <col min="273" max="273" width="12.7109375" style="1" customWidth="1"/>
    <col min="274" max="274" width="1.5703125" style="1" customWidth="1"/>
    <col min="275" max="275" width="18.28515625" style="1" customWidth="1"/>
    <col min="276" max="276" width="11" style="1" customWidth="1"/>
    <col min="277" max="277" width="13.28515625" style="1" bestFit="1" customWidth="1"/>
    <col min="278" max="278" width="18" style="1" customWidth="1"/>
    <col min="279" max="279" width="11.42578125" style="1"/>
    <col min="280" max="280" width="11.140625" style="1" customWidth="1"/>
    <col min="281" max="281" width="11.42578125" style="1"/>
    <col min="282" max="282" width="17.42578125" style="1" customWidth="1"/>
    <col min="283" max="527" width="11.42578125" style="1"/>
    <col min="528" max="528" width="14.5703125" style="1" customWidth="1"/>
    <col min="529" max="529" width="12.7109375" style="1" customWidth="1"/>
    <col min="530" max="530" width="1.5703125" style="1" customWidth="1"/>
    <col min="531" max="531" width="18.28515625" style="1" customWidth="1"/>
    <col min="532" max="532" width="11" style="1" customWidth="1"/>
    <col min="533" max="533" width="13.28515625" style="1" bestFit="1" customWidth="1"/>
    <col min="534" max="534" width="18" style="1" customWidth="1"/>
    <col min="535" max="535" width="11.42578125" style="1"/>
    <col min="536" max="536" width="11.140625" style="1" customWidth="1"/>
    <col min="537" max="537" width="11.42578125" style="1"/>
    <col min="538" max="538" width="17.42578125" style="1" customWidth="1"/>
    <col min="539" max="783" width="11.42578125" style="1"/>
    <col min="784" max="784" width="14.5703125" style="1" customWidth="1"/>
    <col min="785" max="785" width="12.7109375" style="1" customWidth="1"/>
    <col min="786" max="786" width="1.5703125" style="1" customWidth="1"/>
    <col min="787" max="787" width="18.28515625" style="1" customWidth="1"/>
    <col min="788" max="788" width="11" style="1" customWidth="1"/>
    <col min="789" max="789" width="13.28515625" style="1" bestFit="1" customWidth="1"/>
    <col min="790" max="790" width="18" style="1" customWidth="1"/>
    <col min="791" max="791" width="11.42578125" style="1"/>
    <col min="792" max="792" width="11.140625" style="1" customWidth="1"/>
    <col min="793" max="793" width="11.42578125" style="1"/>
    <col min="794" max="794" width="17.42578125" style="1" customWidth="1"/>
    <col min="795" max="1039" width="11.42578125" style="1"/>
    <col min="1040" max="1040" width="14.5703125" style="1" customWidth="1"/>
    <col min="1041" max="1041" width="12.7109375" style="1" customWidth="1"/>
    <col min="1042" max="1042" width="1.5703125" style="1" customWidth="1"/>
    <col min="1043" max="1043" width="18.28515625" style="1" customWidth="1"/>
    <col min="1044" max="1044" width="11" style="1" customWidth="1"/>
    <col min="1045" max="1045" width="13.28515625" style="1" bestFit="1" customWidth="1"/>
    <col min="1046" max="1046" width="18" style="1" customWidth="1"/>
    <col min="1047" max="1047" width="11.42578125" style="1"/>
    <col min="1048" max="1048" width="11.140625" style="1" customWidth="1"/>
    <col min="1049" max="1049" width="11.42578125" style="1"/>
    <col min="1050" max="1050" width="17.42578125" style="1" customWidth="1"/>
    <col min="1051" max="1295" width="11.42578125" style="1"/>
    <col min="1296" max="1296" width="14.5703125" style="1" customWidth="1"/>
    <col min="1297" max="1297" width="12.7109375" style="1" customWidth="1"/>
    <col min="1298" max="1298" width="1.5703125" style="1" customWidth="1"/>
    <col min="1299" max="1299" width="18.28515625" style="1" customWidth="1"/>
    <col min="1300" max="1300" width="11" style="1" customWidth="1"/>
    <col min="1301" max="1301" width="13.28515625" style="1" bestFit="1" customWidth="1"/>
    <col min="1302" max="1302" width="18" style="1" customWidth="1"/>
    <col min="1303" max="1303" width="11.42578125" style="1"/>
    <col min="1304" max="1304" width="11.140625" style="1" customWidth="1"/>
    <col min="1305" max="1305" width="11.42578125" style="1"/>
    <col min="1306" max="1306" width="17.42578125" style="1" customWidth="1"/>
    <col min="1307" max="1551" width="11.42578125" style="1"/>
    <col min="1552" max="1552" width="14.5703125" style="1" customWidth="1"/>
    <col min="1553" max="1553" width="12.7109375" style="1" customWidth="1"/>
    <col min="1554" max="1554" width="1.5703125" style="1" customWidth="1"/>
    <col min="1555" max="1555" width="18.28515625" style="1" customWidth="1"/>
    <col min="1556" max="1556" width="11" style="1" customWidth="1"/>
    <col min="1557" max="1557" width="13.28515625" style="1" bestFit="1" customWidth="1"/>
    <col min="1558" max="1558" width="18" style="1" customWidth="1"/>
    <col min="1559" max="1559" width="11.42578125" style="1"/>
    <col min="1560" max="1560" width="11.140625" style="1" customWidth="1"/>
    <col min="1561" max="1561" width="11.42578125" style="1"/>
    <col min="1562" max="1562" width="17.42578125" style="1" customWidth="1"/>
    <col min="1563" max="1807" width="11.42578125" style="1"/>
    <col min="1808" max="1808" width="14.5703125" style="1" customWidth="1"/>
    <col min="1809" max="1809" width="12.7109375" style="1" customWidth="1"/>
    <col min="1810" max="1810" width="1.5703125" style="1" customWidth="1"/>
    <col min="1811" max="1811" width="18.28515625" style="1" customWidth="1"/>
    <col min="1812" max="1812" width="11" style="1" customWidth="1"/>
    <col min="1813" max="1813" width="13.28515625" style="1" bestFit="1" customWidth="1"/>
    <col min="1814" max="1814" width="18" style="1" customWidth="1"/>
    <col min="1815" max="1815" width="11.42578125" style="1"/>
    <col min="1816" max="1816" width="11.140625" style="1" customWidth="1"/>
    <col min="1817" max="1817" width="11.42578125" style="1"/>
    <col min="1818" max="1818" width="17.42578125" style="1" customWidth="1"/>
    <col min="1819" max="2063" width="11.42578125" style="1"/>
    <col min="2064" max="2064" width="14.5703125" style="1" customWidth="1"/>
    <col min="2065" max="2065" width="12.7109375" style="1" customWidth="1"/>
    <col min="2066" max="2066" width="1.5703125" style="1" customWidth="1"/>
    <col min="2067" max="2067" width="18.28515625" style="1" customWidth="1"/>
    <col min="2068" max="2068" width="11" style="1" customWidth="1"/>
    <col min="2069" max="2069" width="13.28515625" style="1" bestFit="1" customWidth="1"/>
    <col min="2070" max="2070" width="18" style="1" customWidth="1"/>
    <col min="2071" max="2071" width="11.42578125" style="1"/>
    <col min="2072" max="2072" width="11.140625" style="1" customWidth="1"/>
    <col min="2073" max="2073" width="11.42578125" style="1"/>
    <col min="2074" max="2074" width="17.42578125" style="1" customWidth="1"/>
    <col min="2075" max="2319" width="11.42578125" style="1"/>
    <col min="2320" max="2320" width="14.5703125" style="1" customWidth="1"/>
    <col min="2321" max="2321" width="12.7109375" style="1" customWidth="1"/>
    <col min="2322" max="2322" width="1.5703125" style="1" customWidth="1"/>
    <col min="2323" max="2323" width="18.28515625" style="1" customWidth="1"/>
    <col min="2324" max="2324" width="11" style="1" customWidth="1"/>
    <col min="2325" max="2325" width="13.28515625" style="1" bestFit="1" customWidth="1"/>
    <col min="2326" max="2326" width="18" style="1" customWidth="1"/>
    <col min="2327" max="2327" width="11.42578125" style="1"/>
    <col min="2328" max="2328" width="11.140625" style="1" customWidth="1"/>
    <col min="2329" max="2329" width="11.42578125" style="1"/>
    <col min="2330" max="2330" width="17.42578125" style="1" customWidth="1"/>
    <col min="2331" max="2575" width="11.42578125" style="1"/>
    <col min="2576" max="2576" width="14.5703125" style="1" customWidth="1"/>
    <col min="2577" max="2577" width="12.7109375" style="1" customWidth="1"/>
    <col min="2578" max="2578" width="1.5703125" style="1" customWidth="1"/>
    <col min="2579" max="2579" width="18.28515625" style="1" customWidth="1"/>
    <col min="2580" max="2580" width="11" style="1" customWidth="1"/>
    <col min="2581" max="2581" width="13.28515625" style="1" bestFit="1" customWidth="1"/>
    <col min="2582" max="2582" width="18" style="1" customWidth="1"/>
    <col min="2583" max="2583" width="11.42578125" style="1"/>
    <col min="2584" max="2584" width="11.140625" style="1" customWidth="1"/>
    <col min="2585" max="2585" width="11.42578125" style="1"/>
    <col min="2586" max="2586" width="17.42578125" style="1" customWidth="1"/>
    <col min="2587" max="2831" width="11.42578125" style="1"/>
    <col min="2832" max="2832" width="14.5703125" style="1" customWidth="1"/>
    <col min="2833" max="2833" width="12.7109375" style="1" customWidth="1"/>
    <col min="2834" max="2834" width="1.5703125" style="1" customWidth="1"/>
    <col min="2835" max="2835" width="18.28515625" style="1" customWidth="1"/>
    <col min="2836" max="2836" width="11" style="1" customWidth="1"/>
    <col min="2837" max="2837" width="13.28515625" style="1" bestFit="1" customWidth="1"/>
    <col min="2838" max="2838" width="18" style="1" customWidth="1"/>
    <col min="2839" max="2839" width="11.42578125" style="1"/>
    <col min="2840" max="2840" width="11.140625" style="1" customWidth="1"/>
    <col min="2841" max="2841" width="11.42578125" style="1"/>
    <col min="2842" max="2842" width="17.42578125" style="1" customWidth="1"/>
    <col min="2843" max="3087" width="11.42578125" style="1"/>
    <col min="3088" max="3088" width="14.5703125" style="1" customWidth="1"/>
    <col min="3089" max="3089" width="12.7109375" style="1" customWidth="1"/>
    <col min="3090" max="3090" width="1.5703125" style="1" customWidth="1"/>
    <col min="3091" max="3091" width="18.28515625" style="1" customWidth="1"/>
    <col min="3092" max="3092" width="11" style="1" customWidth="1"/>
    <col min="3093" max="3093" width="13.28515625" style="1" bestFit="1" customWidth="1"/>
    <col min="3094" max="3094" width="18" style="1" customWidth="1"/>
    <col min="3095" max="3095" width="11.42578125" style="1"/>
    <col min="3096" max="3096" width="11.140625" style="1" customWidth="1"/>
    <col min="3097" max="3097" width="11.42578125" style="1"/>
    <col min="3098" max="3098" width="17.42578125" style="1" customWidth="1"/>
    <col min="3099" max="3343" width="11.42578125" style="1"/>
    <col min="3344" max="3344" width="14.5703125" style="1" customWidth="1"/>
    <col min="3345" max="3345" width="12.7109375" style="1" customWidth="1"/>
    <col min="3346" max="3346" width="1.5703125" style="1" customWidth="1"/>
    <col min="3347" max="3347" width="18.28515625" style="1" customWidth="1"/>
    <col min="3348" max="3348" width="11" style="1" customWidth="1"/>
    <col min="3349" max="3349" width="13.28515625" style="1" bestFit="1" customWidth="1"/>
    <col min="3350" max="3350" width="18" style="1" customWidth="1"/>
    <col min="3351" max="3351" width="11.42578125" style="1"/>
    <col min="3352" max="3352" width="11.140625" style="1" customWidth="1"/>
    <col min="3353" max="3353" width="11.42578125" style="1"/>
    <col min="3354" max="3354" width="17.42578125" style="1" customWidth="1"/>
    <col min="3355" max="3599" width="11.42578125" style="1"/>
    <col min="3600" max="3600" width="14.5703125" style="1" customWidth="1"/>
    <col min="3601" max="3601" width="12.7109375" style="1" customWidth="1"/>
    <col min="3602" max="3602" width="1.5703125" style="1" customWidth="1"/>
    <col min="3603" max="3603" width="18.28515625" style="1" customWidth="1"/>
    <col min="3604" max="3604" width="11" style="1" customWidth="1"/>
    <col min="3605" max="3605" width="13.28515625" style="1" bestFit="1" customWidth="1"/>
    <col min="3606" max="3606" width="18" style="1" customWidth="1"/>
    <col min="3607" max="3607" width="11.42578125" style="1"/>
    <col min="3608" max="3608" width="11.140625" style="1" customWidth="1"/>
    <col min="3609" max="3609" width="11.42578125" style="1"/>
    <col min="3610" max="3610" width="17.42578125" style="1" customWidth="1"/>
    <col min="3611" max="3855" width="11.42578125" style="1"/>
    <col min="3856" max="3856" width="14.5703125" style="1" customWidth="1"/>
    <col min="3857" max="3857" width="12.7109375" style="1" customWidth="1"/>
    <col min="3858" max="3858" width="1.5703125" style="1" customWidth="1"/>
    <col min="3859" max="3859" width="18.28515625" style="1" customWidth="1"/>
    <col min="3860" max="3860" width="11" style="1" customWidth="1"/>
    <col min="3861" max="3861" width="13.28515625" style="1" bestFit="1" customWidth="1"/>
    <col min="3862" max="3862" width="18" style="1" customWidth="1"/>
    <col min="3863" max="3863" width="11.42578125" style="1"/>
    <col min="3864" max="3864" width="11.140625" style="1" customWidth="1"/>
    <col min="3865" max="3865" width="11.42578125" style="1"/>
    <col min="3866" max="3866" width="17.42578125" style="1" customWidth="1"/>
    <col min="3867" max="4111" width="11.42578125" style="1"/>
    <col min="4112" max="4112" width="14.5703125" style="1" customWidth="1"/>
    <col min="4113" max="4113" width="12.7109375" style="1" customWidth="1"/>
    <col min="4114" max="4114" width="1.5703125" style="1" customWidth="1"/>
    <col min="4115" max="4115" width="18.28515625" style="1" customWidth="1"/>
    <col min="4116" max="4116" width="11" style="1" customWidth="1"/>
    <col min="4117" max="4117" width="13.28515625" style="1" bestFit="1" customWidth="1"/>
    <col min="4118" max="4118" width="18" style="1" customWidth="1"/>
    <col min="4119" max="4119" width="11.42578125" style="1"/>
    <col min="4120" max="4120" width="11.140625" style="1" customWidth="1"/>
    <col min="4121" max="4121" width="11.42578125" style="1"/>
    <col min="4122" max="4122" width="17.42578125" style="1" customWidth="1"/>
    <col min="4123" max="4367" width="11.42578125" style="1"/>
    <col min="4368" max="4368" width="14.5703125" style="1" customWidth="1"/>
    <col min="4369" max="4369" width="12.7109375" style="1" customWidth="1"/>
    <col min="4370" max="4370" width="1.5703125" style="1" customWidth="1"/>
    <col min="4371" max="4371" width="18.28515625" style="1" customWidth="1"/>
    <col min="4372" max="4372" width="11" style="1" customWidth="1"/>
    <col min="4373" max="4373" width="13.28515625" style="1" bestFit="1" customWidth="1"/>
    <col min="4374" max="4374" width="18" style="1" customWidth="1"/>
    <col min="4375" max="4375" width="11.42578125" style="1"/>
    <col min="4376" max="4376" width="11.140625" style="1" customWidth="1"/>
    <col min="4377" max="4377" width="11.42578125" style="1"/>
    <col min="4378" max="4378" width="17.42578125" style="1" customWidth="1"/>
    <col min="4379" max="4623" width="11.42578125" style="1"/>
    <col min="4624" max="4624" width="14.5703125" style="1" customWidth="1"/>
    <col min="4625" max="4625" width="12.7109375" style="1" customWidth="1"/>
    <col min="4626" max="4626" width="1.5703125" style="1" customWidth="1"/>
    <col min="4627" max="4627" width="18.28515625" style="1" customWidth="1"/>
    <col min="4628" max="4628" width="11" style="1" customWidth="1"/>
    <col min="4629" max="4629" width="13.28515625" style="1" bestFit="1" customWidth="1"/>
    <col min="4630" max="4630" width="18" style="1" customWidth="1"/>
    <col min="4631" max="4631" width="11.42578125" style="1"/>
    <col min="4632" max="4632" width="11.140625" style="1" customWidth="1"/>
    <col min="4633" max="4633" width="11.42578125" style="1"/>
    <col min="4634" max="4634" width="17.42578125" style="1" customWidth="1"/>
    <col min="4635" max="4879" width="11.42578125" style="1"/>
    <col min="4880" max="4880" width="14.5703125" style="1" customWidth="1"/>
    <col min="4881" max="4881" width="12.7109375" style="1" customWidth="1"/>
    <col min="4882" max="4882" width="1.5703125" style="1" customWidth="1"/>
    <col min="4883" max="4883" width="18.28515625" style="1" customWidth="1"/>
    <col min="4884" max="4884" width="11" style="1" customWidth="1"/>
    <col min="4885" max="4885" width="13.28515625" style="1" bestFit="1" customWidth="1"/>
    <col min="4886" max="4886" width="18" style="1" customWidth="1"/>
    <col min="4887" max="4887" width="11.42578125" style="1"/>
    <col min="4888" max="4888" width="11.140625" style="1" customWidth="1"/>
    <col min="4889" max="4889" width="11.42578125" style="1"/>
    <col min="4890" max="4890" width="17.42578125" style="1" customWidth="1"/>
    <col min="4891" max="5135" width="11.42578125" style="1"/>
    <col min="5136" max="5136" width="14.5703125" style="1" customWidth="1"/>
    <col min="5137" max="5137" width="12.7109375" style="1" customWidth="1"/>
    <col min="5138" max="5138" width="1.5703125" style="1" customWidth="1"/>
    <col min="5139" max="5139" width="18.28515625" style="1" customWidth="1"/>
    <col min="5140" max="5140" width="11" style="1" customWidth="1"/>
    <col min="5141" max="5141" width="13.28515625" style="1" bestFit="1" customWidth="1"/>
    <col min="5142" max="5142" width="18" style="1" customWidth="1"/>
    <col min="5143" max="5143" width="11.42578125" style="1"/>
    <col min="5144" max="5144" width="11.140625" style="1" customWidth="1"/>
    <col min="5145" max="5145" width="11.42578125" style="1"/>
    <col min="5146" max="5146" width="17.42578125" style="1" customWidth="1"/>
    <col min="5147" max="5391" width="11.42578125" style="1"/>
    <col min="5392" max="5392" width="14.5703125" style="1" customWidth="1"/>
    <col min="5393" max="5393" width="12.7109375" style="1" customWidth="1"/>
    <col min="5394" max="5394" width="1.5703125" style="1" customWidth="1"/>
    <col min="5395" max="5395" width="18.28515625" style="1" customWidth="1"/>
    <col min="5396" max="5396" width="11" style="1" customWidth="1"/>
    <col min="5397" max="5397" width="13.28515625" style="1" bestFit="1" customWidth="1"/>
    <col min="5398" max="5398" width="18" style="1" customWidth="1"/>
    <col min="5399" max="5399" width="11.42578125" style="1"/>
    <col min="5400" max="5400" width="11.140625" style="1" customWidth="1"/>
    <col min="5401" max="5401" width="11.42578125" style="1"/>
    <col min="5402" max="5402" width="17.42578125" style="1" customWidth="1"/>
    <col min="5403" max="5647" width="11.42578125" style="1"/>
    <col min="5648" max="5648" width="14.5703125" style="1" customWidth="1"/>
    <col min="5649" max="5649" width="12.7109375" style="1" customWidth="1"/>
    <col min="5650" max="5650" width="1.5703125" style="1" customWidth="1"/>
    <col min="5651" max="5651" width="18.28515625" style="1" customWidth="1"/>
    <col min="5652" max="5652" width="11" style="1" customWidth="1"/>
    <col min="5653" max="5653" width="13.28515625" style="1" bestFit="1" customWidth="1"/>
    <col min="5654" max="5654" width="18" style="1" customWidth="1"/>
    <col min="5655" max="5655" width="11.42578125" style="1"/>
    <col min="5656" max="5656" width="11.140625" style="1" customWidth="1"/>
    <col min="5657" max="5657" width="11.42578125" style="1"/>
    <col min="5658" max="5658" width="17.42578125" style="1" customWidth="1"/>
    <col min="5659" max="5903" width="11.42578125" style="1"/>
    <col min="5904" max="5904" width="14.5703125" style="1" customWidth="1"/>
    <col min="5905" max="5905" width="12.7109375" style="1" customWidth="1"/>
    <col min="5906" max="5906" width="1.5703125" style="1" customWidth="1"/>
    <col min="5907" max="5907" width="18.28515625" style="1" customWidth="1"/>
    <col min="5908" max="5908" width="11" style="1" customWidth="1"/>
    <col min="5909" max="5909" width="13.28515625" style="1" bestFit="1" customWidth="1"/>
    <col min="5910" max="5910" width="18" style="1" customWidth="1"/>
    <col min="5911" max="5911" width="11.42578125" style="1"/>
    <col min="5912" max="5912" width="11.140625" style="1" customWidth="1"/>
    <col min="5913" max="5913" width="11.42578125" style="1"/>
    <col min="5914" max="5914" width="17.42578125" style="1" customWidth="1"/>
    <col min="5915" max="6159" width="11.42578125" style="1"/>
    <col min="6160" max="6160" width="14.5703125" style="1" customWidth="1"/>
    <col min="6161" max="6161" width="12.7109375" style="1" customWidth="1"/>
    <col min="6162" max="6162" width="1.5703125" style="1" customWidth="1"/>
    <col min="6163" max="6163" width="18.28515625" style="1" customWidth="1"/>
    <col min="6164" max="6164" width="11" style="1" customWidth="1"/>
    <col min="6165" max="6165" width="13.28515625" style="1" bestFit="1" customWidth="1"/>
    <col min="6166" max="6166" width="18" style="1" customWidth="1"/>
    <col min="6167" max="6167" width="11.42578125" style="1"/>
    <col min="6168" max="6168" width="11.140625" style="1" customWidth="1"/>
    <col min="6169" max="6169" width="11.42578125" style="1"/>
    <col min="6170" max="6170" width="17.42578125" style="1" customWidth="1"/>
    <col min="6171" max="6415" width="11.42578125" style="1"/>
    <col min="6416" max="6416" width="14.5703125" style="1" customWidth="1"/>
    <col min="6417" max="6417" width="12.7109375" style="1" customWidth="1"/>
    <col min="6418" max="6418" width="1.5703125" style="1" customWidth="1"/>
    <col min="6419" max="6419" width="18.28515625" style="1" customWidth="1"/>
    <col min="6420" max="6420" width="11" style="1" customWidth="1"/>
    <col min="6421" max="6421" width="13.28515625" style="1" bestFit="1" customWidth="1"/>
    <col min="6422" max="6422" width="18" style="1" customWidth="1"/>
    <col min="6423" max="6423" width="11.42578125" style="1"/>
    <col min="6424" max="6424" width="11.140625" style="1" customWidth="1"/>
    <col min="6425" max="6425" width="11.42578125" style="1"/>
    <col min="6426" max="6426" width="17.42578125" style="1" customWidth="1"/>
    <col min="6427" max="6671" width="11.42578125" style="1"/>
    <col min="6672" max="6672" width="14.5703125" style="1" customWidth="1"/>
    <col min="6673" max="6673" width="12.7109375" style="1" customWidth="1"/>
    <col min="6674" max="6674" width="1.5703125" style="1" customWidth="1"/>
    <col min="6675" max="6675" width="18.28515625" style="1" customWidth="1"/>
    <col min="6676" max="6676" width="11" style="1" customWidth="1"/>
    <col min="6677" max="6677" width="13.28515625" style="1" bestFit="1" customWidth="1"/>
    <col min="6678" max="6678" width="18" style="1" customWidth="1"/>
    <col min="6679" max="6679" width="11.42578125" style="1"/>
    <col min="6680" max="6680" width="11.140625" style="1" customWidth="1"/>
    <col min="6681" max="6681" width="11.42578125" style="1"/>
    <col min="6682" max="6682" width="17.42578125" style="1" customWidth="1"/>
    <col min="6683" max="6927" width="11.42578125" style="1"/>
    <col min="6928" max="6928" width="14.5703125" style="1" customWidth="1"/>
    <col min="6929" max="6929" width="12.7109375" style="1" customWidth="1"/>
    <col min="6930" max="6930" width="1.5703125" style="1" customWidth="1"/>
    <col min="6931" max="6931" width="18.28515625" style="1" customWidth="1"/>
    <col min="6932" max="6932" width="11" style="1" customWidth="1"/>
    <col min="6933" max="6933" width="13.28515625" style="1" bestFit="1" customWidth="1"/>
    <col min="6934" max="6934" width="18" style="1" customWidth="1"/>
    <col min="6935" max="6935" width="11.42578125" style="1"/>
    <col min="6936" max="6936" width="11.140625" style="1" customWidth="1"/>
    <col min="6937" max="6937" width="11.42578125" style="1"/>
    <col min="6938" max="6938" width="17.42578125" style="1" customWidth="1"/>
    <col min="6939" max="7183" width="11.42578125" style="1"/>
    <col min="7184" max="7184" width="14.5703125" style="1" customWidth="1"/>
    <col min="7185" max="7185" width="12.7109375" style="1" customWidth="1"/>
    <col min="7186" max="7186" width="1.5703125" style="1" customWidth="1"/>
    <col min="7187" max="7187" width="18.28515625" style="1" customWidth="1"/>
    <col min="7188" max="7188" width="11" style="1" customWidth="1"/>
    <col min="7189" max="7189" width="13.28515625" style="1" bestFit="1" customWidth="1"/>
    <col min="7190" max="7190" width="18" style="1" customWidth="1"/>
    <col min="7191" max="7191" width="11.42578125" style="1"/>
    <col min="7192" max="7192" width="11.140625" style="1" customWidth="1"/>
    <col min="7193" max="7193" width="11.42578125" style="1"/>
    <col min="7194" max="7194" width="17.42578125" style="1" customWidth="1"/>
    <col min="7195" max="7439" width="11.42578125" style="1"/>
    <col min="7440" max="7440" width="14.5703125" style="1" customWidth="1"/>
    <col min="7441" max="7441" width="12.7109375" style="1" customWidth="1"/>
    <col min="7442" max="7442" width="1.5703125" style="1" customWidth="1"/>
    <col min="7443" max="7443" width="18.28515625" style="1" customWidth="1"/>
    <col min="7444" max="7444" width="11" style="1" customWidth="1"/>
    <col min="7445" max="7445" width="13.28515625" style="1" bestFit="1" customWidth="1"/>
    <col min="7446" max="7446" width="18" style="1" customWidth="1"/>
    <col min="7447" max="7447" width="11.42578125" style="1"/>
    <col min="7448" max="7448" width="11.140625" style="1" customWidth="1"/>
    <col min="7449" max="7449" width="11.42578125" style="1"/>
    <col min="7450" max="7450" width="17.42578125" style="1" customWidth="1"/>
    <col min="7451" max="7695" width="11.42578125" style="1"/>
    <col min="7696" max="7696" width="14.5703125" style="1" customWidth="1"/>
    <col min="7697" max="7697" width="12.7109375" style="1" customWidth="1"/>
    <col min="7698" max="7698" width="1.5703125" style="1" customWidth="1"/>
    <col min="7699" max="7699" width="18.28515625" style="1" customWidth="1"/>
    <col min="7700" max="7700" width="11" style="1" customWidth="1"/>
    <col min="7701" max="7701" width="13.28515625" style="1" bestFit="1" customWidth="1"/>
    <col min="7702" max="7702" width="18" style="1" customWidth="1"/>
    <col min="7703" max="7703" width="11.42578125" style="1"/>
    <col min="7704" max="7704" width="11.140625" style="1" customWidth="1"/>
    <col min="7705" max="7705" width="11.42578125" style="1"/>
    <col min="7706" max="7706" width="17.42578125" style="1" customWidth="1"/>
    <col min="7707" max="7951" width="11.42578125" style="1"/>
    <col min="7952" max="7952" width="14.5703125" style="1" customWidth="1"/>
    <col min="7953" max="7953" width="12.7109375" style="1" customWidth="1"/>
    <col min="7954" max="7954" width="1.5703125" style="1" customWidth="1"/>
    <col min="7955" max="7955" width="18.28515625" style="1" customWidth="1"/>
    <col min="7956" max="7956" width="11" style="1" customWidth="1"/>
    <col min="7957" max="7957" width="13.28515625" style="1" bestFit="1" customWidth="1"/>
    <col min="7958" max="7958" width="18" style="1" customWidth="1"/>
    <col min="7959" max="7959" width="11.42578125" style="1"/>
    <col min="7960" max="7960" width="11.140625" style="1" customWidth="1"/>
    <col min="7961" max="7961" width="11.42578125" style="1"/>
    <col min="7962" max="7962" width="17.42578125" style="1" customWidth="1"/>
    <col min="7963" max="8207" width="11.42578125" style="1"/>
    <col min="8208" max="8208" width="14.5703125" style="1" customWidth="1"/>
    <col min="8209" max="8209" width="12.7109375" style="1" customWidth="1"/>
    <col min="8210" max="8210" width="1.5703125" style="1" customWidth="1"/>
    <col min="8211" max="8211" width="18.28515625" style="1" customWidth="1"/>
    <col min="8212" max="8212" width="11" style="1" customWidth="1"/>
    <col min="8213" max="8213" width="13.28515625" style="1" bestFit="1" customWidth="1"/>
    <col min="8214" max="8214" width="18" style="1" customWidth="1"/>
    <col min="8215" max="8215" width="11.42578125" style="1"/>
    <col min="8216" max="8216" width="11.140625" style="1" customWidth="1"/>
    <col min="8217" max="8217" width="11.42578125" style="1"/>
    <col min="8218" max="8218" width="17.42578125" style="1" customWidth="1"/>
    <col min="8219" max="8463" width="11.42578125" style="1"/>
    <col min="8464" max="8464" width="14.5703125" style="1" customWidth="1"/>
    <col min="8465" max="8465" width="12.7109375" style="1" customWidth="1"/>
    <col min="8466" max="8466" width="1.5703125" style="1" customWidth="1"/>
    <col min="8467" max="8467" width="18.28515625" style="1" customWidth="1"/>
    <col min="8468" max="8468" width="11" style="1" customWidth="1"/>
    <col min="8469" max="8469" width="13.28515625" style="1" bestFit="1" customWidth="1"/>
    <col min="8470" max="8470" width="18" style="1" customWidth="1"/>
    <col min="8471" max="8471" width="11.42578125" style="1"/>
    <col min="8472" max="8472" width="11.140625" style="1" customWidth="1"/>
    <col min="8473" max="8473" width="11.42578125" style="1"/>
    <col min="8474" max="8474" width="17.42578125" style="1" customWidth="1"/>
    <col min="8475" max="8719" width="11.42578125" style="1"/>
    <col min="8720" max="8720" width="14.5703125" style="1" customWidth="1"/>
    <col min="8721" max="8721" width="12.7109375" style="1" customWidth="1"/>
    <col min="8722" max="8722" width="1.5703125" style="1" customWidth="1"/>
    <col min="8723" max="8723" width="18.28515625" style="1" customWidth="1"/>
    <col min="8724" max="8724" width="11" style="1" customWidth="1"/>
    <col min="8725" max="8725" width="13.28515625" style="1" bestFit="1" customWidth="1"/>
    <col min="8726" max="8726" width="18" style="1" customWidth="1"/>
    <col min="8727" max="8727" width="11.42578125" style="1"/>
    <col min="8728" max="8728" width="11.140625" style="1" customWidth="1"/>
    <col min="8729" max="8729" width="11.42578125" style="1"/>
    <col min="8730" max="8730" width="17.42578125" style="1" customWidth="1"/>
    <col min="8731" max="8975" width="11.42578125" style="1"/>
    <col min="8976" max="8976" width="14.5703125" style="1" customWidth="1"/>
    <col min="8977" max="8977" width="12.7109375" style="1" customWidth="1"/>
    <col min="8978" max="8978" width="1.5703125" style="1" customWidth="1"/>
    <col min="8979" max="8979" width="18.28515625" style="1" customWidth="1"/>
    <col min="8980" max="8980" width="11" style="1" customWidth="1"/>
    <col min="8981" max="8981" width="13.28515625" style="1" bestFit="1" customWidth="1"/>
    <col min="8982" max="8982" width="18" style="1" customWidth="1"/>
    <col min="8983" max="8983" width="11.42578125" style="1"/>
    <col min="8984" max="8984" width="11.140625" style="1" customWidth="1"/>
    <col min="8985" max="8985" width="11.42578125" style="1"/>
    <col min="8986" max="8986" width="17.42578125" style="1" customWidth="1"/>
    <col min="8987" max="9231" width="11.42578125" style="1"/>
    <col min="9232" max="9232" width="14.5703125" style="1" customWidth="1"/>
    <col min="9233" max="9233" width="12.7109375" style="1" customWidth="1"/>
    <col min="9234" max="9234" width="1.5703125" style="1" customWidth="1"/>
    <col min="9235" max="9235" width="18.28515625" style="1" customWidth="1"/>
    <col min="9236" max="9236" width="11" style="1" customWidth="1"/>
    <col min="9237" max="9237" width="13.28515625" style="1" bestFit="1" customWidth="1"/>
    <col min="9238" max="9238" width="18" style="1" customWidth="1"/>
    <col min="9239" max="9239" width="11.42578125" style="1"/>
    <col min="9240" max="9240" width="11.140625" style="1" customWidth="1"/>
    <col min="9241" max="9241" width="11.42578125" style="1"/>
    <col min="9242" max="9242" width="17.42578125" style="1" customWidth="1"/>
    <col min="9243" max="9487" width="11.42578125" style="1"/>
    <col min="9488" max="9488" width="14.5703125" style="1" customWidth="1"/>
    <col min="9489" max="9489" width="12.7109375" style="1" customWidth="1"/>
    <col min="9490" max="9490" width="1.5703125" style="1" customWidth="1"/>
    <col min="9491" max="9491" width="18.28515625" style="1" customWidth="1"/>
    <col min="9492" max="9492" width="11" style="1" customWidth="1"/>
    <col min="9493" max="9493" width="13.28515625" style="1" bestFit="1" customWidth="1"/>
    <col min="9494" max="9494" width="18" style="1" customWidth="1"/>
    <col min="9495" max="9495" width="11.42578125" style="1"/>
    <col min="9496" max="9496" width="11.140625" style="1" customWidth="1"/>
    <col min="9497" max="9497" width="11.42578125" style="1"/>
    <col min="9498" max="9498" width="17.42578125" style="1" customWidth="1"/>
    <col min="9499" max="9743" width="11.42578125" style="1"/>
    <col min="9744" max="9744" width="14.5703125" style="1" customWidth="1"/>
    <col min="9745" max="9745" width="12.7109375" style="1" customWidth="1"/>
    <col min="9746" max="9746" width="1.5703125" style="1" customWidth="1"/>
    <col min="9747" max="9747" width="18.28515625" style="1" customWidth="1"/>
    <col min="9748" max="9748" width="11" style="1" customWidth="1"/>
    <col min="9749" max="9749" width="13.28515625" style="1" bestFit="1" customWidth="1"/>
    <col min="9750" max="9750" width="18" style="1" customWidth="1"/>
    <col min="9751" max="9751" width="11.42578125" style="1"/>
    <col min="9752" max="9752" width="11.140625" style="1" customWidth="1"/>
    <col min="9753" max="9753" width="11.42578125" style="1"/>
    <col min="9754" max="9754" width="17.42578125" style="1" customWidth="1"/>
    <col min="9755" max="9999" width="11.42578125" style="1"/>
    <col min="10000" max="10000" width="14.5703125" style="1" customWidth="1"/>
    <col min="10001" max="10001" width="12.7109375" style="1" customWidth="1"/>
    <col min="10002" max="10002" width="1.5703125" style="1" customWidth="1"/>
    <col min="10003" max="10003" width="18.28515625" style="1" customWidth="1"/>
    <col min="10004" max="10004" width="11" style="1" customWidth="1"/>
    <col min="10005" max="10005" width="13.28515625" style="1" bestFit="1" customWidth="1"/>
    <col min="10006" max="10006" width="18" style="1" customWidth="1"/>
    <col min="10007" max="10007" width="11.42578125" style="1"/>
    <col min="10008" max="10008" width="11.140625" style="1" customWidth="1"/>
    <col min="10009" max="10009" width="11.42578125" style="1"/>
    <col min="10010" max="10010" width="17.42578125" style="1" customWidth="1"/>
    <col min="10011" max="10255" width="11.42578125" style="1"/>
    <col min="10256" max="10256" width="14.5703125" style="1" customWidth="1"/>
    <col min="10257" max="10257" width="12.7109375" style="1" customWidth="1"/>
    <col min="10258" max="10258" width="1.5703125" style="1" customWidth="1"/>
    <col min="10259" max="10259" width="18.28515625" style="1" customWidth="1"/>
    <col min="10260" max="10260" width="11" style="1" customWidth="1"/>
    <col min="10261" max="10261" width="13.28515625" style="1" bestFit="1" customWidth="1"/>
    <col min="10262" max="10262" width="18" style="1" customWidth="1"/>
    <col min="10263" max="10263" width="11.42578125" style="1"/>
    <col min="10264" max="10264" width="11.140625" style="1" customWidth="1"/>
    <col min="10265" max="10265" width="11.42578125" style="1"/>
    <col min="10266" max="10266" width="17.42578125" style="1" customWidth="1"/>
    <col min="10267" max="10511" width="11.42578125" style="1"/>
    <col min="10512" max="10512" width="14.5703125" style="1" customWidth="1"/>
    <col min="10513" max="10513" width="12.7109375" style="1" customWidth="1"/>
    <col min="10514" max="10514" width="1.5703125" style="1" customWidth="1"/>
    <col min="10515" max="10515" width="18.28515625" style="1" customWidth="1"/>
    <col min="10516" max="10516" width="11" style="1" customWidth="1"/>
    <col min="10517" max="10517" width="13.28515625" style="1" bestFit="1" customWidth="1"/>
    <col min="10518" max="10518" width="18" style="1" customWidth="1"/>
    <col min="10519" max="10519" width="11.42578125" style="1"/>
    <col min="10520" max="10520" width="11.140625" style="1" customWidth="1"/>
    <col min="10521" max="10521" width="11.42578125" style="1"/>
    <col min="10522" max="10522" width="17.42578125" style="1" customWidth="1"/>
    <col min="10523" max="10767" width="11.42578125" style="1"/>
    <col min="10768" max="10768" width="14.5703125" style="1" customWidth="1"/>
    <col min="10769" max="10769" width="12.7109375" style="1" customWidth="1"/>
    <col min="10770" max="10770" width="1.5703125" style="1" customWidth="1"/>
    <col min="10771" max="10771" width="18.28515625" style="1" customWidth="1"/>
    <col min="10772" max="10772" width="11" style="1" customWidth="1"/>
    <col min="10773" max="10773" width="13.28515625" style="1" bestFit="1" customWidth="1"/>
    <col min="10774" max="10774" width="18" style="1" customWidth="1"/>
    <col min="10775" max="10775" width="11.42578125" style="1"/>
    <col min="10776" max="10776" width="11.140625" style="1" customWidth="1"/>
    <col min="10777" max="10777" width="11.42578125" style="1"/>
    <col min="10778" max="10778" width="17.42578125" style="1" customWidth="1"/>
    <col min="10779" max="11023" width="11.42578125" style="1"/>
    <col min="11024" max="11024" width="14.5703125" style="1" customWidth="1"/>
    <col min="11025" max="11025" width="12.7109375" style="1" customWidth="1"/>
    <col min="11026" max="11026" width="1.5703125" style="1" customWidth="1"/>
    <col min="11027" max="11027" width="18.28515625" style="1" customWidth="1"/>
    <col min="11028" max="11028" width="11" style="1" customWidth="1"/>
    <col min="11029" max="11029" width="13.28515625" style="1" bestFit="1" customWidth="1"/>
    <col min="11030" max="11030" width="18" style="1" customWidth="1"/>
    <col min="11031" max="11031" width="11.42578125" style="1"/>
    <col min="11032" max="11032" width="11.140625" style="1" customWidth="1"/>
    <col min="11033" max="11033" width="11.42578125" style="1"/>
    <col min="11034" max="11034" width="17.42578125" style="1" customWidth="1"/>
    <col min="11035" max="11279" width="11.42578125" style="1"/>
    <col min="11280" max="11280" width="14.5703125" style="1" customWidth="1"/>
    <col min="11281" max="11281" width="12.7109375" style="1" customWidth="1"/>
    <col min="11282" max="11282" width="1.5703125" style="1" customWidth="1"/>
    <col min="11283" max="11283" width="18.28515625" style="1" customWidth="1"/>
    <col min="11284" max="11284" width="11" style="1" customWidth="1"/>
    <col min="11285" max="11285" width="13.28515625" style="1" bestFit="1" customWidth="1"/>
    <col min="11286" max="11286" width="18" style="1" customWidth="1"/>
    <col min="11287" max="11287" width="11.42578125" style="1"/>
    <col min="11288" max="11288" width="11.140625" style="1" customWidth="1"/>
    <col min="11289" max="11289" width="11.42578125" style="1"/>
    <col min="11290" max="11290" width="17.42578125" style="1" customWidth="1"/>
    <col min="11291" max="11535" width="11.42578125" style="1"/>
    <col min="11536" max="11536" width="14.5703125" style="1" customWidth="1"/>
    <col min="11537" max="11537" width="12.7109375" style="1" customWidth="1"/>
    <col min="11538" max="11538" width="1.5703125" style="1" customWidth="1"/>
    <col min="11539" max="11539" width="18.28515625" style="1" customWidth="1"/>
    <col min="11540" max="11540" width="11" style="1" customWidth="1"/>
    <col min="11541" max="11541" width="13.28515625" style="1" bestFit="1" customWidth="1"/>
    <col min="11542" max="11542" width="18" style="1" customWidth="1"/>
    <col min="11543" max="11543" width="11.42578125" style="1"/>
    <col min="11544" max="11544" width="11.140625" style="1" customWidth="1"/>
    <col min="11545" max="11545" width="11.42578125" style="1"/>
    <col min="11546" max="11546" width="17.42578125" style="1" customWidth="1"/>
    <col min="11547" max="11791" width="11.42578125" style="1"/>
    <col min="11792" max="11792" width="14.5703125" style="1" customWidth="1"/>
    <col min="11793" max="11793" width="12.7109375" style="1" customWidth="1"/>
    <col min="11794" max="11794" width="1.5703125" style="1" customWidth="1"/>
    <col min="11795" max="11795" width="18.28515625" style="1" customWidth="1"/>
    <col min="11796" max="11796" width="11" style="1" customWidth="1"/>
    <col min="11797" max="11797" width="13.28515625" style="1" bestFit="1" customWidth="1"/>
    <col min="11798" max="11798" width="18" style="1" customWidth="1"/>
    <col min="11799" max="11799" width="11.42578125" style="1"/>
    <col min="11800" max="11800" width="11.140625" style="1" customWidth="1"/>
    <col min="11801" max="11801" width="11.42578125" style="1"/>
    <col min="11802" max="11802" width="17.42578125" style="1" customWidth="1"/>
    <col min="11803" max="12047" width="11.42578125" style="1"/>
    <col min="12048" max="12048" width="14.5703125" style="1" customWidth="1"/>
    <col min="12049" max="12049" width="12.7109375" style="1" customWidth="1"/>
    <col min="12050" max="12050" width="1.5703125" style="1" customWidth="1"/>
    <col min="12051" max="12051" width="18.28515625" style="1" customWidth="1"/>
    <col min="12052" max="12052" width="11" style="1" customWidth="1"/>
    <col min="12053" max="12053" width="13.28515625" style="1" bestFit="1" customWidth="1"/>
    <col min="12054" max="12054" width="18" style="1" customWidth="1"/>
    <col min="12055" max="12055" width="11.42578125" style="1"/>
    <col min="12056" max="12056" width="11.140625" style="1" customWidth="1"/>
    <col min="12057" max="12057" width="11.42578125" style="1"/>
    <col min="12058" max="12058" width="17.42578125" style="1" customWidth="1"/>
    <col min="12059" max="12303" width="11.42578125" style="1"/>
    <col min="12304" max="12304" width="14.5703125" style="1" customWidth="1"/>
    <col min="12305" max="12305" width="12.7109375" style="1" customWidth="1"/>
    <col min="12306" max="12306" width="1.5703125" style="1" customWidth="1"/>
    <col min="12307" max="12307" width="18.28515625" style="1" customWidth="1"/>
    <col min="12308" max="12308" width="11" style="1" customWidth="1"/>
    <col min="12309" max="12309" width="13.28515625" style="1" bestFit="1" customWidth="1"/>
    <col min="12310" max="12310" width="18" style="1" customWidth="1"/>
    <col min="12311" max="12311" width="11.42578125" style="1"/>
    <col min="12312" max="12312" width="11.140625" style="1" customWidth="1"/>
    <col min="12313" max="12313" width="11.42578125" style="1"/>
    <col min="12314" max="12314" width="17.42578125" style="1" customWidth="1"/>
    <col min="12315" max="12559" width="11.42578125" style="1"/>
    <col min="12560" max="12560" width="14.5703125" style="1" customWidth="1"/>
    <col min="12561" max="12561" width="12.7109375" style="1" customWidth="1"/>
    <col min="12562" max="12562" width="1.5703125" style="1" customWidth="1"/>
    <col min="12563" max="12563" width="18.28515625" style="1" customWidth="1"/>
    <col min="12564" max="12564" width="11" style="1" customWidth="1"/>
    <col min="12565" max="12565" width="13.28515625" style="1" bestFit="1" customWidth="1"/>
    <col min="12566" max="12566" width="18" style="1" customWidth="1"/>
    <col min="12567" max="12567" width="11.42578125" style="1"/>
    <col min="12568" max="12568" width="11.140625" style="1" customWidth="1"/>
    <col min="12569" max="12569" width="11.42578125" style="1"/>
    <col min="12570" max="12570" width="17.42578125" style="1" customWidth="1"/>
    <col min="12571" max="12815" width="11.42578125" style="1"/>
    <col min="12816" max="12816" width="14.5703125" style="1" customWidth="1"/>
    <col min="12817" max="12817" width="12.7109375" style="1" customWidth="1"/>
    <col min="12818" max="12818" width="1.5703125" style="1" customWidth="1"/>
    <col min="12819" max="12819" width="18.28515625" style="1" customWidth="1"/>
    <col min="12820" max="12820" width="11" style="1" customWidth="1"/>
    <col min="12821" max="12821" width="13.28515625" style="1" bestFit="1" customWidth="1"/>
    <col min="12822" max="12822" width="18" style="1" customWidth="1"/>
    <col min="12823" max="12823" width="11.42578125" style="1"/>
    <col min="12824" max="12824" width="11.140625" style="1" customWidth="1"/>
    <col min="12825" max="12825" width="11.42578125" style="1"/>
    <col min="12826" max="12826" width="17.42578125" style="1" customWidth="1"/>
    <col min="12827" max="13071" width="11.42578125" style="1"/>
    <col min="13072" max="13072" width="14.5703125" style="1" customWidth="1"/>
    <col min="13073" max="13073" width="12.7109375" style="1" customWidth="1"/>
    <col min="13074" max="13074" width="1.5703125" style="1" customWidth="1"/>
    <col min="13075" max="13075" width="18.28515625" style="1" customWidth="1"/>
    <col min="13076" max="13076" width="11" style="1" customWidth="1"/>
    <col min="13077" max="13077" width="13.28515625" style="1" bestFit="1" customWidth="1"/>
    <col min="13078" max="13078" width="18" style="1" customWidth="1"/>
    <col min="13079" max="13079" width="11.42578125" style="1"/>
    <col min="13080" max="13080" width="11.140625" style="1" customWidth="1"/>
    <col min="13081" max="13081" width="11.42578125" style="1"/>
    <col min="13082" max="13082" width="17.42578125" style="1" customWidth="1"/>
    <col min="13083" max="13327" width="11.42578125" style="1"/>
    <col min="13328" max="13328" width="14.5703125" style="1" customWidth="1"/>
    <col min="13329" max="13329" width="12.7109375" style="1" customWidth="1"/>
    <col min="13330" max="13330" width="1.5703125" style="1" customWidth="1"/>
    <col min="13331" max="13331" width="18.28515625" style="1" customWidth="1"/>
    <col min="13332" max="13332" width="11" style="1" customWidth="1"/>
    <col min="13333" max="13333" width="13.28515625" style="1" bestFit="1" customWidth="1"/>
    <col min="13334" max="13334" width="18" style="1" customWidth="1"/>
    <col min="13335" max="13335" width="11.42578125" style="1"/>
    <col min="13336" max="13336" width="11.140625" style="1" customWidth="1"/>
    <col min="13337" max="13337" width="11.42578125" style="1"/>
    <col min="13338" max="13338" width="17.42578125" style="1" customWidth="1"/>
    <col min="13339" max="13583" width="11.42578125" style="1"/>
    <col min="13584" max="13584" width="14.5703125" style="1" customWidth="1"/>
    <col min="13585" max="13585" width="12.7109375" style="1" customWidth="1"/>
    <col min="13586" max="13586" width="1.5703125" style="1" customWidth="1"/>
    <col min="13587" max="13587" width="18.28515625" style="1" customWidth="1"/>
    <col min="13588" max="13588" width="11" style="1" customWidth="1"/>
    <col min="13589" max="13589" width="13.28515625" style="1" bestFit="1" customWidth="1"/>
    <col min="13590" max="13590" width="18" style="1" customWidth="1"/>
    <col min="13591" max="13591" width="11.42578125" style="1"/>
    <col min="13592" max="13592" width="11.140625" style="1" customWidth="1"/>
    <col min="13593" max="13593" width="11.42578125" style="1"/>
    <col min="13594" max="13594" width="17.42578125" style="1" customWidth="1"/>
    <col min="13595" max="13839" width="11.42578125" style="1"/>
    <col min="13840" max="13840" width="14.5703125" style="1" customWidth="1"/>
    <col min="13841" max="13841" width="12.7109375" style="1" customWidth="1"/>
    <col min="13842" max="13842" width="1.5703125" style="1" customWidth="1"/>
    <col min="13843" max="13843" width="18.28515625" style="1" customWidth="1"/>
    <col min="13844" max="13844" width="11" style="1" customWidth="1"/>
    <col min="13845" max="13845" width="13.28515625" style="1" bestFit="1" customWidth="1"/>
    <col min="13846" max="13846" width="18" style="1" customWidth="1"/>
    <col min="13847" max="13847" width="11.42578125" style="1"/>
    <col min="13848" max="13848" width="11.140625" style="1" customWidth="1"/>
    <col min="13849" max="13849" width="11.42578125" style="1"/>
    <col min="13850" max="13850" width="17.42578125" style="1" customWidth="1"/>
    <col min="13851" max="14095" width="11.42578125" style="1"/>
    <col min="14096" max="14096" width="14.5703125" style="1" customWidth="1"/>
    <col min="14097" max="14097" width="12.7109375" style="1" customWidth="1"/>
    <col min="14098" max="14098" width="1.5703125" style="1" customWidth="1"/>
    <col min="14099" max="14099" width="18.28515625" style="1" customWidth="1"/>
    <col min="14100" max="14100" width="11" style="1" customWidth="1"/>
    <col min="14101" max="14101" width="13.28515625" style="1" bestFit="1" customWidth="1"/>
    <col min="14102" max="14102" width="18" style="1" customWidth="1"/>
    <col min="14103" max="14103" width="11.42578125" style="1"/>
    <col min="14104" max="14104" width="11.140625" style="1" customWidth="1"/>
    <col min="14105" max="14105" width="11.42578125" style="1"/>
    <col min="14106" max="14106" width="17.42578125" style="1" customWidth="1"/>
    <col min="14107" max="14351" width="11.42578125" style="1"/>
    <col min="14352" max="14352" width="14.5703125" style="1" customWidth="1"/>
    <col min="14353" max="14353" width="12.7109375" style="1" customWidth="1"/>
    <col min="14354" max="14354" width="1.5703125" style="1" customWidth="1"/>
    <col min="14355" max="14355" width="18.28515625" style="1" customWidth="1"/>
    <col min="14356" max="14356" width="11" style="1" customWidth="1"/>
    <col min="14357" max="14357" width="13.28515625" style="1" bestFit="1" customWidth="1"/>
    <col min="14358" max="14358" width="18" style="1" customWidth="1"/>
    <col min="14359" max="14359" width="11.42578125" style="1"/>
    <col min="14360" max="14360" width="11.140625" style="1" customWidth="1"/>
    <col min="14361" max="14361" width="11.42578125" style="1"/>
    <col min="14362" max="14362" width="17.42578125" style="1" customWidth="1"/>
    <col min="14363" max="14607" width="11.42578125" style="1"/>
    <col min="14608" max="14608" width="14.5703125" style="1" customWidth="1"/>
    <col min="14609" max="14609" width="12.7109375" style="1" customWidth="1"/>
    <col min="14610" max="14610" width="1.5703125" style="1" customWidth="1"/>
    <col min="14611" max="14611" width="18.28515625" style="1" customWidth="1"/>
    <col min="14612" max="14612" width="11" style="1" customWidth="1"/>
    <col min="14613" max="14613" width="13.28515625" style="1" bestFit="1" customWidth="1"/>
    <col min="14614" max="14614" width="18" style="1" customWidth="1"/>
    <col min="14615" max="14615" width="11.42578125" style="1"/>
    <col min="14616" max="14616" width="11.140625" style="1" customWidth="1"/>
    <col min="14617" max="14617" width="11.42578125" style="1"/>
    <col min="14618" max="14618" width="17.42578125" style="1" customWidth="1"/>
    <col min="14619" max="14863" width="11.42578125" style="1"/>
    <col min="14864" max="14864" width="14.5703125" style="1" customWidth="1"/>
    <col min="14865" max="14865" width="12.7109375" style="1" customWidth="1"/>
    <col min="14866" max="14866" width="1.5703125" style="1" customWidth="1"/>
    <col min="14867" max="14867" width="18.28515625" style="1" customWidth="1"/>
    <col min="14868" max="14868" width="11" style="1" customWidth="1"/>
    <col min="14869" max="14869" width="13.28515625" style="1" bestFit="1" customWidth="1"/>
    <col min="14870" max="14870" width="18" style="1" customWidth="1"/>
    <col min="14871" max="14871" width="11.42578125" style="1"/>
    <col min="14872" max="14872" width="11.140625" style="1" customWidth="1"/>
    <col min="14873" max="14873" width="11.42578125" style="1"/>
    <col min="14874" max="14874" width="17.42578125" style="1" customWidth="1"/>
    <col min="14875" max="15119" width="11.42578125" style="1"/>
    <col min="15120" max="15120" width="14.5703125" style="1" customWidth="1"/>
    <col min="15121" max="15121" width="12.7109375" style="1" customWidth="1"/>
    <col min="15122" max="15122" width="1.5703125" style="1" customWidth="1"/>
    <col min="15123" max="15123" width="18.28515625" style="1" customWidth="1"/>
    <col min="15124" max="15124" width="11" style="1" customWidth="1"/>
    <col min="15125" max="15125" width="13.28515625" style="1" bestFit="1" customWidth="1"/>
    <col min="15126" max="15126" width="18" style="1" customWidth="1"/>
    <col min="15127" max="15127" width="11.42578125" style="1"/>
    <col min="15128" max="15128" width="11.140625" style="1" customWidth="1"/>
    <col min="15129" max="15129" width="11.42578125" style="1"/>
    <col min="15130" max="15130" width="17.42578125" style="1" customWidth="1"/>
    <col min="15131" max="15375" width="11.42578125" style="1"/>
    <col min="15376" max="15376" width="14.5703125" style="1" customWidth="1"/>
    <col min="15377" max="15377" width="12.7109375" style="1" customWidth="1"/>
    <col min="15378" max="15378" width="1.5703125" style="1" customWidth="1"/>
    <col min="15379" max="15379" width="18.28515625" style="1" customWidth="1"/>
    <col min="15380" max="15380" width="11" style="1" customWidth="1"/>
    <col min="15381" max="15381" width="13.28515625" style="1" bestFit="1" customWidth="1"/>
    <col min="15382" max="15382" width="18" style="1" customWidth="1"/>
    <col min="15383" max="15383" width="11.42578125" style="1"/>
    <col min="15384" max="15384" width="11.140625" style="1" customWidth="1"/>
    <col min="15385" max="15385" width="11.42578125" style="1"/>
    <col min="15386" max="15386" width="17.42578125" style="1" customWidth="1"/>
    <col min="15387" max="15631" width="11.42578125" style="1"/>
    <col min="15632" max="15632" width="14.5703125" style="1" customWidth="1"/>
    <col min="15633" max="15633" width="12.7109375" style="1" customWidth="1"/>
    <col min="15634" max="15634" width="1.5703125" style="1" customWidth="1"/>
    <col min="15635" max="15635" width="18.28515625" style="1" customWidth="1"/>
    <col min="15636" max="15636" width="11" style="1" customWidth="1"/>
    <col min="15637" max="15637" width="13.28515625" style="1" bestFit="1" customWidth="1"/>
    <col min="15638" max="15638" width="18" style="1" customWidth="1"/>
    <col min="15639" max="15639" width="11.42578125" style="1"/>
    <col min="15640" max="15640" width="11.140625" style="1" customWidth="1"/>
    <col min="15641" max="15641" width="11.42578125" style="1"/>
    <col min="15642" max="15642" width="17.42578125" style="1" customWidth="1"/>
    <col min="15643" max="15887" width="11.42578125" style="1"/>
    <col min="15888" max="15888" width="14.5703125" style="1" customWidth="1"/>
    <col min="15889" max="15889" width="12.7109375" style="1" customWidth="1"/>
    <col min="15890" max="15890" width="1.5703125" style="1" customWidth="1"/>
    <col min="15891" max="15891" width="18.28515625" style="1" customWidth="1"/>
    <col min="15892" max="15892" width="11" style="1" customWidth="1"/>
    <col min="15893" max="15893" width="13.28515625" style="1" bestFit="1" customWidth="1"/>
    <col min="15894" max="15894" width="18" style="1" customWidth="1"/>
    <col min="15895" max="15895" width="11.42578125" style="1"/>
    <col min="15896" max="15896" width="11.140625" style="1" customWidth="1"/>
    <col min="15897" max="15897" width="11.42578125" style="1"/>
    <col min="15898" max="15898" width="17.42578125" style="1" customWidth="1"/>
    <col min="15899" max="16143" width="11.42578125" style="1"/>
    <col min="16144" max="16144" width="14.5703125" style="1" customWidth="1"/>
    <col min="16145" max="16145" width="12.7109375" style="1" customWidth="1"/>
    <col min="16146" max="16146" width="1.5703125" style="1" customWidth="1"/>
    <col min="16147" max="16147" width="18.28515625" style="1" customWidth="1"/>
    <col min="16148" max="16148" width="11" style="1" customWidth="1"/>
    <col min="16149" max="16149" width="13.28515625" style="1" bestFit="1" customWidth="1"/>
    <col min="16150" max="16150" width="18" style="1" customWidth="1"/>
    <col min="16151" max="16151" width="11.42578125" style="1"/>
    <col min="16152" max="16152" width="11.140625" style="1" customWidth="1"/>
    <col min="16153" max="16153" width="11.42578125" style="1"/>
    <col min="16154" max="16154" width="17.42578125" style="1" customWidth="1"/>
    <col min="16155" max="16384" width="11.42578125" style="1"/>
  </cols>
  <sheetData>
    <row r="1" spans="1:74" ht="12.75" customHeight="1" x14ac:dyDescent="0.2">
      <c r="A1" s="563" t="s">
        <v>267</v>
      </c>
      <c r="B1" s="563"/>
      <c r="C1" s="563"/>
      <c r="D1" s="563"/>
      <c r="E1" s="563"/>
      <c r="F1" s="563"/>
      <c r="G1" s="563"/>
      <c r="H1" s="563"/>
      <c r="I1" s="563"/>
      <c r="J1" s="563"/>
      <c r="K1" s="563"/>
      <c r="L1" s="563"/>
      <c r="AJ1" s="1"/>
      <c r="AR1" s="8"/>
      <c r="AS1" s="190"/>
      <c r="AT1" s="190"/>
      <c r="AU1" s="190"/>
      <c r="AV1" s="190"/>
      <c r="AW1" s="190"/>
      <c r="AX1" s="190"/>
      <c r="AY1" s="190"/>
      <c r="AZ1" s="190"/>
      <c r="BA1" s="190"/>
      <c r="BB1" s="190"/>
      <c r="BC1" s="190"/>
      <c r="BD1" s="190"/>
      <c r="BE1" s="190"/>
      <c r="BF1" s="190"/>
      <c r="BG1" s="190"/>
      <c r="BH1" s="190"/>
      <c r="BI1" s="190"/>
      <c r="BM1" s="95" t="s">
        <v>178</v>
      </c>
    </row>
    <row r="2" spans="1:74" ht="12.75" customHeight="1" x14ac:dyDescent="0.2">
      <c r="A2" s="563"/>
      <c r="B2" s="563"/>
      <c r="C2" s="563"/>
      <c r="D2" s="563"/>
      <c r="E2" s="563"/>
      <c r="F2" s="563"/>
      <c r="G2" s="563"/>
      <c r="H2" s="563"/>
      <c r="I2" s="563"/>
      <c r="J2" s="563"/>
      <c r="K2" s="563"/>
      <c r="L2" s="563"/>
      <c r="M2" s="210"/>
      <c r="N2" s="210"/>
      <c r="O2" s="210"/>
      <c r="P2" s="210"/>
      <c r="Q2" s="210"/>
      <c r="R2" s="210"/>
      <c r="S2" s="210"/>
      <c r="T2" s="210"/>
      <c r="U2" s="210"/>
      <c r="V2" s="210"/>
      <c r="W2" s="210"/>
      <c r="X2" s="210"/>
      <c r="Y2" s="210"/>
      <c r="Z2" s="210"/>
      <c r="AA2" s="210"/>
      <c r="AB2" s="210"/>
      <c r="AC2" s="210"/>
      <c r="AD2" s="210"/>
      <c r="AE2" s="210"/>
      <c r="AF2" s="210"/>
      <c r="AG2" s="210"/>
      <c r="AH2" s="210"/>
      <c r="AI2" s="210"/>
      <c r="AJ2" s="210"/>
      <c r="AK2" s="210"/>
      <c r="AL2" s="210"/>
      <c r="AM2" s="210"/>
      <c r="AN2" s="210"/>
      <c r="AO2" s="210"/>
      <c r="AP2" s="210"/>
      <c r="AQ2" s="210"/>
      <c r="AR2" s="8"/>
      <c r="AS2" s="190"/>
      <c r="AT2" s="190"/>
      <c r="AU2" s="190"/>
      <c r="AV2" s="190"/>
      <c r="AW2" s="190"/>
      <c r="AX2" s="190"/>
      <c r="AY2" s="190"/>
      <c r="AZ2" s="190"/>
      <c r="BA2" s="190"/>
      <c r="BB2" s="190"/>
      <c r="BC2" s="190"/>
      <c r="BD2" s="190"/>
      <c r="BE2" s="190"/>
      <c r="BF2" s="190"/>
      <c r="BG2" s="190"/>
      <c r="BH2" s="190"/>
      <c r="BI2" s="190"/>
    </row>
    <row r="3" spans="1:74" ht="12.75" customHeight="1" x14ac:dyDescent="0.2">
      <c r="A3" s="563"/>
      <c r="B3" s="564"/>
      <c r="C3" s="564"/>
      <c r="D3" s="564"/>
      <c r="E3" s="564"/>
      <c r="F3" s="564"/>
      <c r="G3" s="564"/>
      <c r="H3" s="564"/>
      <c r="I3" s="564"/>
      <c r="J3" s="564"/>
      <c r="K3" s="564"/>
      <c r="L3" s="564"/>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11"/>
      <c r="AS3" s="190"/>
      <c r="AT3" s="190"/>
      <c r="AU3" s="190"/>
      <c r="AV3" s="190"/>
      <c r="AW3" s="190"/>
      <c r="AX3" s="190"/>
      <c r="AY3" s="190"/>
      <c r="AZ3" s="190"/>
      <c r="BA3" s="190"/>
      <c r="BB3" s="190"/>
      <c r="BC3" s="190"/>
      <c r="BD3" s="190"/>
      <c r="BE3" s="190"/>
      <c r="BF3" s="190"/>
      <c r="BG3" s="190"/>
      <c r="BH3" s="190"/>
      <c r="BI3" s="190"/>
    </row>
    <row r="4" spans="1:74" ht="12.75" customHeight="1" x14ac:dyDescent="0.25">
      <c r="A4" s="52"/>
      <c r="B4" s="28"/>
      <c r="C4" s="28"/>
      <c r="D4" s="192"/>
      <c r="E4" s="28"/>
      <c r="F4" s="28"/>
      <c r="G4" s="28"/>
      <c r="H4" s="28"/>
      <c r="I4" s="28"/>
      <c r="J4" s="28"/>
      <c r="K4" s="28"/>
      <c r="L4" s="28"/>
      <c r="M4" s="28"/>
      <c r="N4" s="28"/>
      <c r="O4" s="28"/>
      <c r="P4" s="28"/>
      <c r="Q4" s="28"/>
      <c r="R4" s="28"/>
      <c r="S4" s="28"/>
      <c r="T4" s="28"/>
      <c r="U4" s="28"/>
      <c r="V4" s="28"/>
      <c r="W4" s="28"/>
      <c r="X4" s="28"/>
      <c r="Y4" s="76"/>
      <c r="Z4" s="76"/>
      <c r="AA4" s="76"/>
      <c r="AB4" s="28"/>
      <c r="AC4" s="28"/>
      <c r="AD4" s="28"/>
      <c r="AE4" s="28"/>
      <c r="AF4" s="28"/>
      <c r="AG4" s="28"/>
      <c r="AH4" s="28"/>
      <c r="AI4" s="28"/>
      <c r="AJ4" s="28"/>
      <c r="AK4" s="28"/>
      <c r="AL4" s="28"/>
      <c r="AM4" s="28"/>
      <c r="AN4" s="28"/>
      <c r="AO4" s="28"/>
      <c r="AP4" s="28"/>
      <c r="AQ4" s="28"/>
      <c r="AR4" s="20"/>
      <c r="AS4" s="89"/>
      <c r="AT4" s="89"/>
      <c r="AU4" s="89"/>
      <c r="AV4" s="89"/>
      <c r="AW4" s="89"/>
      <c r="AX4" s="89"/>
      <c r="AY4" s="89"/>
      <c r="AZ4" s="89"/>
      <c r="BA4" s="89"/>
      <c r="BB4" s="89"/>
      <c r="BC4" s="8"/>
      <c r="BE4" s="5"/>
    </row>
    <row r="5" spans="1:74" ht="12.75" customHeight="1" x14ac:dyDescent="0.2">
      <c r="A5" s="565" t="s">
        <v>192</v>
      </c>
      <c r="B5" s="565"/>
      <c r="C5" s="565"/>
      <c r="D5" s="565"/>
      <c r="E5" s="565"/>
      <c r="F5" s="565"/>
      <c r="G5" s="565"/>
      <c r="H5" s="565"/>
      <c r="I5" s="565"/>
      <c r="J5" s="565"/>
      <c r="K5" s="565"/>
      <c r="L5" s="565"/>
      <c r="M5" s="565"/>
      <c r="N5" s="565"/>
      <c r="O5" s="565"/>
      <c r="P5" s="565"/>
      <c r="Q5" s="565"/>
      <c r="R5" s="565"/>
      <c r="S5" s="565"/>
      <c r="T5" s="565"/>
      <c r="U5" s="565"/>
      <c r="V5" s="565"/>
      <c r="W5" s="565"/>
      <c r="X5" s="565"/>
      <c r="Y5" s="565"/>
      <c r="Z5" s="565"/>
      <c r="AA5" s="565"/>
      <c r="AB5" s="565"/>
      <c r="AC5" s="565"/>
      <c r="AD5" s="565"/>
      <c r="AE5" s="565"/>
      <c r="AF5" s="565"/>
      <c r="AG5" s="565"/>
      <c r="AH5" s="565"/>
      <c r="AI5" s="565"/>
      <c r="AJ5" s="565"/>
      <c r="AK5" s="565"/>
      <c r="AL5" s="565"/>
      <c r="AM5" s="565"/>
      <c r="AN5" s="565"/>
      <c r="AO5" s="565"/>
      <c r="AP5" s="565"/>
      <c r="AQ5" s="565"/>
      <c r="AR5" s="565"/>
      <c r="AS5" s="90"/>
      <c r="AT5" s="90"/>
      <c r="AU5" s="90"/>
      <c r="AV5" s="90"/>
      <c r="AW5" s="90"/>
      <c r="AX5" s="90"/>
      <c r="AY5" s="90"/>
      <c r="AZ5" s="90"/>
      <c r="BA5" s="90"/>
      <c r="BB5" s="90"/>
      <c r="BC5" s="8"/>
      <c r="BE5" s="5"/>
    </row>
    <row r="6" spans="1:74" ht="12.75" customHeight="1" x14ac:dyDescent="0.2">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65"/>
      <c r="AK6" s="565"/>
      <c r="AL6" s="565"/>
      <c r="AM6" s="565"/>
      <c r="AN6" s="565"/>
      <c r="AO6" s="565"/>
      <c r="AP6" s="565"/>
      <c r="AQ6" s="565"/>
      <c r="AR6" s="565"/>
      <c r="AS6" s="90"/>
      <c r="AT6" s="90"/>
      <c r="AU6" s="90"/>
      <c r="AV6" s="90"/>
      <c r="AW6" s="90"/>
      <c r="AX6" s="90"/>
      <c r="AY6" s="90"/>
      <c r="AZ6" s="90"/>
      <c r="BA6" s="90"/>
      <c r="BB6" s="90"/>
      <c r="BC6" s="74"/>
      <c r="BD6" s="191"/>
      <c r="BE6" s="191"/>
      <c r="BF6" s="191"/>
      <c r="BG6" s="191"/>
      <c r="BH6" s="191"/>
      <c r="BI6" s="191"/>
      <c r="BJ6" s="191"/>
      <c r="BK6" s="191"/>
      <c r="BL6" s="191"/>
      <c r="BM6" s="191"/>
      <c r="BN6" s="191"/>
      <c r="BO6" s="191"/>
      <c r="BP6" s="191"/>
      <c r="BQ6" s="191"/>
      <c r="BR6" s="191"/>
      <c r="BS6" s="191"/>
      <c r="BT6" s="191"/>
      <c r="BU6" s="191"/>
      <c r="BV6" s="191"/>
    </row>
    <row r="7" spans="1:74" ht="27" customHeight="1" x14ac:dyDescent="0.2">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65"/>
      <c r="AK7" s="565"/>
      <c r="AL7" s="565"/>
      <c r="AM7" s="565"/>
      <c r="AN7" s="565"/>
      <c r="AO7" s="565"/>
      <c r="AP7" s="565"/>
      <c r="AQ7" s="565"/>
      <c r="AR7" s="565"/>
      <c r="AS7" s="127"/>
      <c r="AT7" s="127"/>
      <c r="AU7" s="127"/>
      <c r="AV7" s="127"/>
      <c r="AW7" s="127"/>
      <c r="AX7" s="127"/>
      <c r="AY7" s="127"/>
      <c r="AZ7" s="127"/>
      <c r="BA7" s="127"/>
      <c r="BB7" s="127"/>
      <c r="BC7" s="74"/>
      <c r="BD7" s="191"/>
      <c r="BE7" s="191"/>
      <c r="BF7" s="191"/>
      <c r="BG7" s="191"/>
      <c r="BH7" s="191"/>
      <c r="BI7" s="191"/>
      <c r="BJ7" s="191"/>
      <c r="BK7" s="191"/>
      <c r="BL7" s="191"/>
      <c r="BM7" s="191"/>
      <c r="BN7" s="191"/>
      <c r="BO7" s="191"/>
      <c r="BP7" s="191"/>
      <c r="BQ7" s="191"/>
      <c r="BR7" s="191"/>
      <c r="BS7" s="191"/>
      <c r="BT7" s="191"/>
      <c r="BU7" s="191"/>
      <c r="BV7" s="191"/>
    </row>
    <row r="8" spans="1:74" ht="12.75" customHeight="1" x14ac:dyDescent="0.2">
      <c r="A8" s="565"/>
      <c r="B8" s="565"/>
      <c r="C8" s="565"/>
      <c r="D8" s="565"/>
      <c r="E8" s="565"/>
      <c r="F8" s="565"/>
      <c r="G8" s="565"/>
      <c r="H8" s="565"/>
      <c r="I8" s="565"/>
      <c r="J8" s="565"/>
      <c r="K8" s="565"/>
      <c r="L8" s="565"/>
      <c r="M8" s="565"/>
      <c r="N8" s="565"/>
      <c r="O8" s="565"/>
      <c r="P8" s="565"/>
      <c r="Q8" s="565"/>
      <c r="R8" s="565"/>
      <c r="S8" s="565"/>
      <c r="T8" s="565"/>
      <c r="U8" s="565"/>
      <c r="V8" s="565"/>
      <c r="W8" s="565"/>
      <c r="X8" s="565"/>
      <c r="Y8" s="565"/>
      <c r="Z8" s="565"/>
      <c r="AA8" s="565"/>
      <c r="AB8" s="565"/>
      <c r="AC8" s="565"/>
      <c r="AD8" s="565"/>
      <c r="AE8" s="565"/>
      <c r="AF8" s="565"/>
      <c r="AG8" s="565"/>
      <c r="AH8" s="565"/>
      <c r="AI8" s="565"/>
      <c r="AJ8" s="565"/>
      <c r="AK8" s="565"/>
      <c r="AL8" s="565"/>
      <c r="AM8" s="565"/>
      <c r="AN8" s="565"/>
      <c r="AO8" s="565"/>
      <c r="AP8" s="565"/>
      <c r="AQ8" s="565"/>
      <c r="AR8" s="565"/>
      <c r="AS8" s="127"/>
      <c r="AT8" s="127"/>
      <c r="AU8" s="127"/>
      <c r="AV8" s="127"/>
      <c r="AW8" s="127"/>
      <c r="AX8" s="127"/>
      <c r="AY8" s="127"/>
      <c r="AZ8" s="127"/>
      <c r="BA8" s="127"/>
      <c r="BB8" s="127"/>
      <c r="BC8" s="74"/>
      <c r="BE8" s="5"/>
    </row>
    <row r="9" spans="1:74" ht="12.75" customHeight="1" x14ac:dyDescent="0.2">
      <c r="A9" s="565"/>
      <c r="B9" s="565"/>
      <c r="C9" s="565"/>
      <c r="D9" s="565"/>
      <c r="E9" s="565"/>
      <c r="F9" s="565"/>
      <c r="G9" s="565"/>
      <c r="H9" s="565"/>
      <c r="I9" s="565"/>
      <c r="J9" s="565"/>
      <c r="K9" s="565"/>
      <c r="L9" s="565"/>
      <c r="M9" s="565"/>
      <c r="N9" s="565"/>
      <c r="O9" s="565"/>
      <c r="P9" s="565"/>
      <c r="Q9" s="565"/>
      <c r="R9" s="565"/>
      <c r="S9" s="565"/>
      <c r="T9" s="565"/>
      <c r="U9" s="565"/>
      <c r="V9" s="565"/>
      <c r="W9" s="565"/>
      <c r="X9" s="565"/>
      <c r="Y9" s="565"/>
      <c r="Z9" s="565"/>
      <c r="AA9" s="565"/>
      <c r="AB9" s="565"/>
      <c r="AC9" s="565"/>
      <c r="AD9" s="565"/>
      <c r="AE9" s="565"/>
      <c r="AF9" s="565"/>
      <c r="AG9" s="565"/>
      <c r="AH9" s="565"/>
      <c r="AI9" s="565"/>
      <c r="AJ9" s="565"/>
      <c r="AK9" s="565"/>
      <c r="AL9" s="565"/>
      <c r="AM9" s="565"/>
      <c r="AN9" s="565"/>
      <c r="AO9" s="565"/>
      <c r="AP9" s="565"/>
      <c r="AQ9" s="565"/>
      <c r="AR9" s="565"/>
      <c r="AS9" s="176"/>
      <c r="AT9" s="176"/>
      <c r="AU9" s="176"/>
      <c r="AV9" s="176"/>
      <c r="AW9" s="176"/>
      <c r="AX9" s="176"/>
      <c r="AY9" s="176"/>
      <c r="AZ9" s="176"/>
      <c r="BA9" s="176"/>
      <c r="BB9" s="176"/>
      <c r="BC9" s="74"/>
      <c r="BE9" s="5"/>
    </row>
    <row r="10" spans="1:74" ht="12.75" customHeight="1" x14ac:dyDescent="0.2">
      <c r="A10" s="565"/>
      <c r="B10" s="565"/>
      <c r="C10" s="565"/>
      <c r="D10" s="565"/>
      <c r="E10" s="565"/>
      <c r="F10" s="565"/>
      <c r="G10" s="565"/>
      <c r="H10" s="565"/>
      <c r="I10" s="565"/>
      <c r="J10" s="565"/>
      <c r="K10" s="565"/>
      <c r="L10" s="565"/>
      <c r="M10" s="565"/>
      <c r="N10" s="565"/>
      <c r="O10" s="565"/>
      <c r="P10" s="565"/>
      <c r="Q10" s="565"/>
      <c r="R10" s="565"/>
      <c r="S10" s="565"/>
      <c r="T10" s="565"/>
      <c r="U10" s="565"/>
      <c r="V10" s="565"/>
      <c r="W10" s="565"/>
      <c r="X10" s="565"/>
      <c r="Y10" s="565"/>
      <c r="Z10" s="565"/>
      <c r="AA10" s="565"/>
      <c r="AB10" s="565"/>
      <c r="AC10" s="565"/>
      <c r="AD10" s="565"/>
      <c r="AE10" s="565"/>
      <c r="AF10" s="565"/>
      <c r="AG10" s="565"/>
      <c r="AH10" s="565"/>
      <c r="AI10" s="565"/>
      <c r="AJ10" s="565"/>
      <c r="AK10" s="565"/>
      <c r="AL10" s="565"/>
      <c r="AM10" s="565"/>
      <c r="AN10" s="565"/>
      <c r="AO10" s="565"/>
      <c r="AP10" s="565"/>
      <c r="AQ10" s="565"/>
      <c r="AR10" s="565"/>
      <c r="AS10" s="127"/>
      <c r="AT10" s="127"/>
      <c r="AU10" s="127"/>
      <c r="AV10" s="127"/>
      <c r="AW10" s="127"/>
      <c r="AX10" s="127"/>
      <c r="AY10" s="127"/>
      <c r="AZ10" s="127"/>
      <c r="BA10" s="127"/>
      <c r="BB10" s="127"/>
      <c r="BC10" s="74"/>
      <c r="BE10" s="5"/>
    </row>
    <row r="11" spans="1:74" ht="12.75" customHeight="1" x14ac:dyDescent="0.2">
      <c r="A11" s="565"/>
      <c r="B11" s="565"/>
      <c r="C11" s="565"/>
      <c r="D11" s="565"/>
      <c r="E11" s="565"/>
      <c r="F11" s="565"/>
      <c r="G11" s="565"/>
      <c r="H11" s="565"/>
      <c r="I11" s="565"/>
      <c r="J11" s="565"/>
      <c r="K11" s="565"/>
      <c r="L11" s="565"/>
      <c r="M11" s="565"/>
      <c r="N11" s="565"/>
      <c r="O11" s="565"/>
      <c r="P11" s="565"/>
      <c r="Q11" s="565"/>
      <c r="R11" s="565"/>
      <c r="S11" s="565"/>
      <c r="T11" s="565"/>
      <c r="U11" s="565"/>
      <c r="V11" s="565"/>
      <c r="W11" s="565"/>
      <c r="X11" s="565"/>
      <c r="Y11" s="565"/>
      <c r="Z11" s="565"/>
      <c r="AA11" s="565"/>
      <c r="AB11" s="565"/>
      <c r="AC11" s="565"/>
      <c r="AD11" s="565"/>
      <c r="AE11" s="565"/>
      <c r="AF11" s="565"/>
      <c r="AG11" s="565"/>
      <c r="AH11" s="565"/>
      <c r="AI11" s="565"/>
      <c r="AJ11" s="565"/>
      <c r="AK11" s="565"/>
      <c r="AL11" s="565"/>
      <c r="AM11" s="565"/>
      <c r="AN11" s="565"/>
      <c r="AO11" s="565"/>
      <c r="AP11" s="565"/>
      <c r="AQ11" s="565"/>
      <c r="AR11" s="565"/>
      <c r="AS11" s="127"/>
      <c r="AT11" s="127"/>
      <c r="AU11" s="127"/>
      <c r="AV11" s="127"/>
      <c r="AW11" s="127"/>
      <c r="AX11" s="127"/>
      <c r="AY11" s="127"/>
      <c r="AZ11" s="127"/>
      <c r="BA11" s="127"/>
      <c r="BB11" s="127"/>
      <c r="BC11" s="74"/>
      <c r="BE11" s="5"/>
    </row>
    <row r="12" spans="1:74" ht="12.75" customHeight="1" x14ac:dyDescent="0.2">
      <c r="A12" s="565"/>
      <c r="B12" s="565"/>
      <c r="C12" s="565"/>
      <c r="D12" s="565"/>
      <c r="E12" s="565"/>
      <c r="F12" s="565"/>
      <c r="G12" s="565"/>
      <c r="H12" s="565"/>
      <c r="I12" s="565"/>
      <c r="J12" s="565"/>
      <c r="K12" s="565"/>
      <c r="L12" s="565"/>
      <c r="M12" s="565"/>
      <c r="N12" s="565"/>
      <c r="O12" s="565"/>
      <c r="P12" s="565"/>
      <c r="Q12" s="565"/>
      <c r="R12" s="565"/>
      <c r="S12" s="565"/>
      <c r="T12" s="565"/>
      <c r="U12" s="565"/>
      <c r="V12" s="565"/>
      <c r="W12" s="565"/>
      <c r="X12" s="565"/>
      <c r="Y12" s="565"/>
      <c r="Z12" s="565"/>
      <c r="AA12" s="565"/>
      <c r="AB12" s="565"/>
      <c r="AC12" s="565"/>
      <c r="AD12" s="565"/>
      <c r="AE12" s="565"/>
      <c r="AF12" s="565"/>
      <c r="AG12" s="565"/>
      <c r="AH12" s="565"/>
      <c r="AI12" s="565"/>
      <c r="AJ12" s="565"/>
      <c r="AK12" s="565"/>
      <c r="AL12" s="565"/>
      <c r="AM12" s="565"/>
      <c r="AN12" s="565"/>
      <c r="AO12" s="565"/>
      <c r="AP12" s="565"/>
      <c r="AQ12" s="565"/>
      <c r="AR12" s="565"/>
      <c r="AS12" s="127"/>
      <c r="AT12" s="127"/>
      <c r="AU12" s="127"/>
      <c r="AV12" s="127"/>
      <c r="AW12" s="127"/>
      <c r="AX12" s="127"/>
      <c r="AY12" s="127"/>
      <c r="AZ12" s="127"/>
      <c r="BA12" s="127"/>
      <c r="BB12" s="127"/>
      <c r="BC12" s="74"/>
      <c r="BE12" s="5"/>
    </row>
    <row r="13" spans="1:74" ht="12.75" customHeight="1" x14ac:dyDescent="0.2">
      <c r="A13" s="565"/>
      <c r="B13" s="565"/>
      <c r="C13" s="565"/>
      <c r="D13" s="565"/>
      <c r="E13" s="565"/>
      <c r="F13" s="565"/>
      <c r="G13" s="565"/>
      <c r="H13" s="565"/>
      <c r="I13" s="565"/>
      <c r="J13" s="565"/>
      <c r="K13" s="565"/>
      <c r="L13" s="565"/>
      <c r="M13" s="565"/>
      <c r="N13" s="565"/>
      <c r="O13" s="565"/>
      <c r="P13" s="565"/>
      <c r="Q13" s="565"/>
      <c r="R13" s="565"/>
      <c r="S13" s="565"/>
      <c r="T13" s="565"/>
      <c r="U13" s="565"/>
      <c r="V13" s="565"/>
      <c r="W13" s="565"/>
      <c r="X13" s="565"/>
      <c r="Y13" s="565"/>
      <c r="Z13" s="565"/>
      <c r="AA13" s="565"/>
      <c r="AB13" s="565"/>
      <c r="AC13" s="565"/>
      <c r="AD13" s="565"/>
      <c r="AE13" s="565"/>
      <c r="AF13" s="565"/>
      <c r="AG13" s="565"/>
      <c r="AH13" s="565"/>
      <c r="AI13" s="565"/>
      <c r="AJ13" s="565"/>
      <c r="AK13" s="565"/>
      <c r="AL13" s="565"/>
      <c r="AM13" s="565"/>
      <c r="AN13" s="565"/>
      <c r="AO13" s="565"/>
      <c r="AP13" s="565"/>
      <c r="AQ13" s="565"/>
      <c r="AR13" s="565"/>
      <c r="AS13" s="176"/>
      <c r="AT13" s="176"/>
      <c r="AU13" s="176"/>
      <c r="AV13" s="176"/>
      <c r="AW13" s="176"/>
      <c r="AX13" s="176"/>
      <c r="AY13" s="176"/>
      <c r="AZ13" s="176"/>
      <c r="BA13" s="176"/>
      <c r="BB13" s="176"/>
      <c r="BC13" s="74"/>
      <c r="BE13" s="5"/>
      <c r="BG13" s="1" t="s">
        <v>188</v>
      </c>
    </row>
    <row r="14" spans="1:74" ht="12.75" customHeight="1" x14ac:dyDescent="0.2">
      <c r="A14" s="565"/>
      <c r="B14" s="565"/>
      <c r="C14" s="565"/>
      <c r="D14" s="565"/>
      <c r="E14" s="565"/>
      <c r="F14" s="565"/>
      <c r="G14" s="565"/>
      <c r="H14" s="565"/>
      <c r="I14" s="565"/>
      <c r="J14" s="565"/>
      <c r="K14" s="565"/>
      <c r="L14" s="565"/>
      <c r="M14" s="565"/>
      <c r="N14" s="565"/>
      <c r="O14" s="565"/>
      <c r="P14" s="565"/>
      <c r="Q14" s="565"/>
      <c r="R14" s="565"/>
      <c r="S14" s="565"/>
      <c r="T14" s="565"/>
      <c r="U14" s="565"/>
      <c r="V14" s="565"/>
      <c r="W14" s="565"/>
      <c r="X14" s="565"/>
      <c r="Y14" s="565"/>
      <c r="Z14" s="565"/>
      <c r="AA14" s="565"/>
      <c r="AB14" s="565"/>
      <c r="AC14" s="565"/>
      <c r="AD14" s="565"/>
      <c r="AE14" s="565"/>
      <c r="AF14" s="565"/>
      <c r="AG14" s="565"/>
      <c r="AH14" s="565"/>
      <c r="AI14" s="565"/>
      <c r="AJ14" s="565"/>
      <c r="AK14" s="565"/>
      <c r="AL14" s="565"/>
      <c r="AM14" s="565"/>
      <c r="AN14" s="565"/>
      <c r="AO14" s="565"/>
      <c r="AP14" s="565"/>
      <c r="AQ14" s="565"/>
      <c r="AR14" s="565"/>
      <c r="AS14" s="207"/>
      <c r="AT14" s="207"/>
      <c r="AU14" s="207"/>
      <c r="AV14" s="207"/>
      <c r="AW14" s="207"/>
      <c r="AX14" s="207"/>
      <c r="AY14" s="207"/>
      <c r="AZ14" s="207"/>
      <c r="BA14" s="207"/>
      <c r="BB14" s="207"/>
      <c r="BC14" s="74"/>
      <c r="BE14" s="5"/>
    </row>
    <row r="15" spans="1:74" ht="12.75" customHeight="1" x14ac:dyDescent="0.2">
      <c r="A15" s="565"/>
      <c r="B15" s="565"/>
      <c r="C15" s="565"/>
      <c r="D15" s="565"/>
      <c r="E15" s="565"/>
      <c r="F15" s="565"/>
      <c r="G15" s="565"/>
      <c r="H15" s="565"/>
      <c r="I15" s="565"/>
      <c r="J15" s="565"/>
      <c r="K15" s="565"/>
      <c r="L15" s="565"/>
      <c r="M15" s="565"/>
      <c r="N15" s="565"/>
      <c r="O15" s="565"/>
      <c r="P15" s="565"/>
      <c r="Q15" s="565"/>
      <c r="R15" s="565"/>
      <c r="S15" s="565"/>
      <c r="T15" s="565"/>
      <c r="U15" s="565"/>
      <c r="V15" s="565"/>
      <c r="W15" s="565"/>
      <c r="X15" s="565"/>
      <c r="Y15" s="565"/>
      <c r="Z15" s="565"/>
      <c r="AA15" s="565"/>
      <c r="AB15" s="565"/>
      <c r="AC15" s="565"/>
      <c r="AD15" s="565"/>
      <c r="AE15" s="565"/>
      <c r="AF15" s="565"/>
      <c r="AG15" s="565"/>
      <c r="AH15" s="565"/>
      <c r="AI15" s="565"/>
      <c r="AJ15" s="565"/>
      <c r="AK15" s="565"/>
      <c r="AL15" s="565"/>
      <c r="AM15" s="565"/>
      <c r="AN15" s="565"/>
      <c r="AO15" s="565"/>
      <c r="AP15" s="565"/>
      <c r="AQ15" s="565"/>
      <c r="AR15" s="565"/>
      <c r="AS15" s="208"/>
      <c r="AT15" s="208"/>
      <c r="AU15" s="208"/>
      <c r="AV15" s="208"/>
      <c r="AW15" s="208"/>
      <c r="AX15" s="208"/>
      <c r="AY15" s="208"/>
      <c r="AZ15" s="208"/>
      <c r="BA15" s="208"/>
      <c r="BB15" s="208"/>
      <c r="BC15" s="74"/>
      <c r="BD15" s="9"/>
      <c r="BE15" s="10"/>
      <c r="BF15" s="9"/>
      <c r="BG15" s="9"/>
      <c r="BH15" s="9"/>
      <c r="BI15" s="9"/>
      <c r="BJ15" s="9"/>
      <c r="BK15" s="9"/>
      <c r="BL15" s="9"/>
      <c r="BM15" s="9"/>
      <c r="BN15" s="9"/>
      <c r="BO15" s="9"/>
      <c r="BP15" s="9"/>
      <c r="BQ15" s="9"/>
      <c r="BR15" s="9"/>
      <c r="BS15" s="9"/>
      <c r="BT15" s="9"/>
      <c r="BU15" s="9"/>
      <c r="BV15" s="9"/>
    </row>
    <row r="16" spans="1:74" ht="12.75" customHeight="1" x14ac:dyDescent="0.2">
      <c r="A16" s="565"/>
      <c r="B16" s="565"/>
      <c r="C16" s="565"/>
      <c r="D16" s="565"/>
      <c r="E16" s="565"/>
      <c r="F16" s="565"/>
      <c r="G16" s="565"/>
      <c r="H16" s="565"/>
      <c r="I16" s="565"/>
      <c r="J16" s="565"/>
      <c r="K16" s="565"/>
      <c r="L16" s="565"/>
      <c r="M16" s="565"/>
      <c r="N16" s="565"/>
      <c r="O16" s="565"/>
      <c r="P16" s="565"/>
      <c r="Q16" s="565"/>
      <c r="R16" s="565"/>
      <c r="S16" s="565"/>
      <c r="T16" s="565"/>
      <c r="U16" s="565"/>
      <c r="V16" s="565"/>
      <c r="W16" s="565"/>
      <c r="X16" s="565"/>
      <c r="Y16" s="565"/>
      <c r="Z16" s="565"/>
      <c r="AA16" s="565"/>
      <c r="AB16" s="565"/>
      <c r="AC16" s="565"/>
      <c r="AD16" s="565"/>
      <c r="AE16" s="565"/>
      <c r="AF16" s="565"/>
      <c r="AG16" s="565"/>
      <c r="AH16" s="565"/>
      <c r="AI16" s="565"/>
      <c r="AJ16" s="565"/>
      <c r="AK16" s="565"/>
      <c r="AL16" s="565"/>
      <c r="AM16" s="565"/>
      <c r="AN16" s="565"/>
      <c r="AO16" s="565"/>
      <c r="AP16" s="565"/>
      <c r="AQ16" s="565"/>
      <c r="AR16" s="565"/>
      <c r="AS16" s="176"/>
      <c r="AT16" s="176"/>
      <c r="AU16" s="176"/>
      <c r="AV16" s="176"/>
      <c r="AW16" s="176"/>
      <c r="AX16" s="176"/>
      <c r="AY16" s="176"/>
      <c r="AZ16" s="176"/>
      <c r="BA16" s="176"/>
      <c r="BB16" s="176"/>
      <c r="BC16" s="74"/>
      <c r="BD16" s="9"/>
      <c r="BE16" s="10"/>
      <c r="BF16" s="9"/>
      <c r="BG16" s="9"/>
      <c r="BH16" s="9"/>
      <c r="BI16" s="9"/>
      <c r="BJ16" s="9"/>
      <c r="BK16" s="9"/>
      <c r="BL16" s="9"/>
      <c r="BM16" s="9"/>
      <c r="BN16" s="9"/>
      <c r="BO16" s="9"/>
      <c r="BP16" s="9"/>
      <c r="BQ16" s="9"/>
      <c r="BR16" s="9"/>
      <c r="BS16" s="9"/>
      <c r="BT16" s="9"/>
      <c r="BU16" s="9"/>
      <c r="BV16" s="9"/>
    </row>
    <row r="17" spans="1:76" ht="12.75" customHeight="1" x14ac:dyDescent="0.2">
      <c r="A17" s="565"/>
      <c r="B17" s="565"/>
      <c r="C17" s="565"/>
      <c r="D17" s="565"/>
      <c r="E17" s="565"/>
      <c r="F17" s="565"/>
      <c r="G17" s="565"/>
      <c r="H17" s="565"/>
      <c r="I17" s="565"/>
      <c r="J17" s="565"/>
      <c r="K17" s="565"/>
      <c r="L17" s="565"/>
      <c r="M17" s="565"/>
      <c r="N17" s="565"/>
      <c r="O17" s="565"/>
      <c r="P17" s="565"/>
      <c r="Q17" s="565"/>
      <c r="R17" s="565"/>
      <c r="S17" s="565"/>
      <c r="T17" s="565"/>
      <c r="U17" s="565"/>
      <c r="V17" s="565"/>
      <c r="W17" s="565"/>
      <c r="X17" s="565"/>
      <c r="Y17" s="565"/>
      <c r="Z17" s="565"/>
      <c r="AA17" s="565"/>
      <c r="AB17" s="565"/>
      <c r="AC17" s="565"/>
      <c r="AD17" s="565"/>
      <c r="AE17" s="565"/>
      <c r="AF17" s="565"/>
      <c r="AG17" s="565"/>
      <c r="AH17" s="565"/>
      <c r="AI17" s="565"/>
      <c r="AJ17" s="565"/>
      <c r="AK17" s="565"/>
      <c r="AL17" s="565"/>
      <c r="AM17" s="565"/>
      <c r="AN17" s="565"/>
      <c r="AO17" s="565"/>
      <c r="AP17" s="565"/>
      <c r="AQ17" s="565"/>
      <c r="AR17" s="565"/>
      <c r="AS17" s="127"/>
      <c r="AT17" s="127"/>
      <c r="AU17" s="127"/>
      <c r="AV17" s="127"/>
      <c r="AW17" s="127"/>
      <c r="AX17" s="127"/>
      <c r="AY17" s="127"/>
      <c r="AZ17" s="127"/>
      <c r="BA17" s="127"/>
      <c r="BB17" s="127"/>
      <c r="BC17" s="74"/>
      <c r="BD17" s="9"/>
      <c r="BE17" s="10"/>
      <c r="BF17" s="9"/>
      <c r="BG17" s="9"/>
      <c r="BH17" s="9"/>
      <c r="BI17" s="9"/>
      <c r="BJ17" s="9"/>
      <c r="BK17" s="9"/>
      <c r="BL17" s="9"/>
      <c r="BM17" s="9"/>
      <c r="BN17" s="9"/>
      <c r="BO17" s="9"/>
      <c r="BP17" s="9"/>
      <c r="BQ17" s="9"/>
      <c r="BR17" s="9"/>
      <c r="BS17" s="9"/>
      <c r="BT17" s="9"/>
      <c r="BU17" s="9"/>
      <c r="BV17" s="9"/>
    </row>
    <row r="18" spans="1:76" ht="12.75" customHeight="1" x14ac:dyDescent="0.2">
      <c r="A18" s="565"/>
      <c r="B18" s="565"/>
      <c r="C18" s="565"/>
      <c r="D18" s="565"/>
      <c r="E18" s="565"/>
      <c r="F18" s="565"/>
      <c r="G18" s="565"/>
      <c r="H18" s="565"/>
      <c r="I18" s="565"/>
      <c r="J18" s="565"/>
      <c r="K18" s="565"/>
      <c r="L18" s="565"/>
      <c r="M18" s="565"/>
      <c r="N18" s="565"/>
      <c r="O18" s="565"/>
      <c r="P18" s="565"/>
      <c r="Q18" s="565"/>
      <c r="R18" s="565"/>
      <c r="S18" s="565"/>
      <c r="T18" s="565"/>
      <c r="U18" s="565"/>
      <c r="V18" s="565"/>
      <c r="W18" s="565"/>
      <c r="X18" s="565"/>
      <c r="Y18" s="565"/>
      <c r="Z18" s="565"/>
      <c r="AA18" s="565"/>
      <c r="AB18" s="565"/>
      <c r="AC18" s="565"/>
      <c r="AD18" s="565"/>
      <c r="AE18" s="565"/>
      <c r="AF18" s="565"/>
      <c r="AG18" s="565"/>
      <c r="AH18" s="565"/>
      <c r="AI18" s="565"/>
      <c r="AJ18" s="565"/>
      <c r="AK18" s="565"/>
      <c r="AL18" s="565"/>
      <c r="AM18" s="565"/>
      <c r="AN18" s="565"/>
      <c r="AO18" s="565"/>
      <c r="AP18" s="565"/>
      <c r="AQ18" s="565"/>
      <c r="AR18" s="565"/>
      <c r="AS18" s="127"/>
      <c r="AT18" s="127"/>
      <c r="AU18" s="127"/>
      <c r="AV18" s="127"/>
      <c r="AW18" s="127"/>
      <c r="AX18" s="127"/>
      <c r="AY18" s="127"/>
      <c r="AZ18" s="127"/>
      <c r="BA18" s="127"/>
      <c r="BB18" s="127"/>
      <c r="BC18" s="74"/>
      <c r="BD18" s="9"/>
      <c r="BE18" s="10"/>
      <c r="BF18" s="9"/>
      <c r="BG18" s="9"/>
      <c r="BH18" s="9"/>
      <c r="BI18" s="9"/>
      <c r="BJ18" s="9"/>
      <c r="BK18" s="9"/>
      <c r="BL18" s="9"/>
      <c r="BM18" s="9"/>
      <c r="BN18" s="9"/>
      <c r="BO18" s="9"/>
      <c r="BP18" s="9"/>
      <c r="BQ18" s="9"/>
      <c r="BR18" s="9"/>
      <c r="BS18" s="9"/>
      <c r="BT18" s="9"/>
      <c r="BU18" s="9"/>
      <c r="BV18" s="9"/>
    </row>
    <row r="19" spans="1:76" ht="12.75" customHeight="1" x14ac:dyDescent="0.2">
      <c r="A19" s="565"/>
      <c r="B19" s="565"/>
      <c r="C19" s="565"/>
      <c r="D19" s="565"/>
      <c r="E19" s="565"/>
      <c r="F19" s="565"/>
      <c r="G19" s="565"/>
      <c r="H19" s="565"/>
      <c r="I19" s="565"/>
      <c r="J19" s="565"/>
      <c r="K19" s="565"/>
      <c r="L19" s="565"/>
      <c r="M19" s="565"/>
      <c r="N19" s="565"/>
      <c r="O19" s="565"/>
      <c r="P19" s="565"/>
      <c r="Q19" s="565"/>
      <c r="R19" s="565"/>
      <c r="S19" s="565"/>
      <c r="T19" s="565"/>
      <c r="U19" s="565"/>
      <c r="V19" s="565"/>
      <c r="W19" s="565"/>
      <c r="X19" s="565"/>
      <c r="Y19" s="565"/>
      <c r="Z19" s="565"/>
      <c r="AA19" s="565"/>
      <c r="AB19" s="565"/>
      <c r="AC19" s="565"/>
      <c r="AD19" s="565"/>
      <c r="AE19" s="565"/>
      <c r="AF19" s="565"/>
      <c r="AG19" s="565"/>
      <c r="AH19" s="565"/>
      <c r="AI19" s="565"/>
      <c r="AJ19" s="565"/>
      <c r="AK19" s="565"/>
      <c r="AL19" s="565"/>
      <c r="AM19" s="565"/>
      <c r="AN19" s="565"/>
      <c r="AO19" s="565"/>
      <c r="AP19" s="565"/>
      <c r="AQ19" s="565"/>
      <c r="AR19" s="565"/>
      <c r="AS19" s="127"/>
      <c r="AT19" s="127"/>
      <c r="AU19" s="127"/>
      <c r="AV19" s="127"/>
      <c r="AW19" s="127"/>
      <c r="AX19" s="127"/>
      <c r="AY19" s="127"/>
      <c r="AZ19" s="127"/>
      <c r="BA19" s="127"/>
      <c r="BB19" s="127"/>
      <c r="BC19" s="74"/>
      <c r="BD19" s="9"/>
      <c r="BE19" s="10" t="str">
        <f ca="1">IFERROR(_xll.BDP($BL19,"PX_TO_SALES_RATIO")*1,"-")</f>
        <v>-</v>
      </c>
      <c r="BF19" s="9"/>
      <c r="BG19" s="9"/>
      <c r="BH19" s="9" t="str">
        <f ca="1">IFERROR(_xll.BDP($BL19,"PX_TO_FREE_CASH_FLOW")*1,"-")</f>
        <v>-</v>
      </c>
      <c r="BI19" s="9"/>
      <c r="BJ19" s="9"/>
      <c r="BK19" s="9"/>
      <c r="BL19" s="9"/>
      <c r="BM19" s="9"/>
      <c r="BN19" s="9"/>
      <c r="BO19" s="9"/>
      <c r="BP19" s="9"/>
      <c r="BQ19" s="9"/>
      <c r="BR19" s="9"/>
      <c r="BS19" s="9"/>
      <c r="BT19" s="9"/>
      <c r="BU19" s="9"/>
      <c r="BV19" s="9"/>
    </row>
    <row r="20" spans="1:76" ht="12.75" customHeight="1" x14ac:dyDescent="0.2">
      <c r="A20" s="565"/>
      <c r="B20" s="565"/>
      <c r="C20" s="565"/>
      <c r="D20" s="565"/>
      <c r="E20" s="565"/>
      <c r="F20" s="565"/>
      <c r="G20" s="565"/>
      <c r="H20" s="565"/>
      <c r="I20" s="565"/>
      <c r="J20" s="565"/>
      <c r="K20" s="565"/>
      <c r="L20" s="565"/>
      <c r="M20" s="565"/>
      <c r="N20" s="565"/>
      <c r="O20" s="565"/>
      <c r="P20" s="565"/>
      <c r="Q20" s="565"/>
      <c r="R20" s="565"/>
      <c r="S20" s="565"/>
      <c r="T20" s="565"/>
      <c r="U20" s="565"/>
      <c r="V20" s="565"/>
      <c r="W20" s="565"/>
      <c r="X20" s="565"/>
      <c r="Y20" s="565"/>
      <c r="Z20" s="565"/>
      <c r="AA20" s="565"/>
      <c r="AB20" s="565"/>
      <c r="AC20" s="565"/>
      <c r="AD20" s="565"/>
      <c r="AE20" s="565"/>
      <c r="AF20" s="565"/>
      <c r="AG20" s="565"/>
      <c r="AH20" s="565"/>
      <c r="AI20" s="565"/>
      <c r="AJ20" s="565"/>
      <c r="AK20" s="565"/>
      <c r="AL20" s="565"/>
      <c r="AM20" s="565"/>
      <c r="AN20" s="565"/>
      <c r="AO20" s="565"/>
      <c r="AP20" s="565"/>
      <c r="AQ20" s="565"/>
      <c r="AR20" s="565"/>
      <c r="AS20" s="127"/>
      <c r="AT20" s="127"/>
      <c r="AU20" s="127"/>
      <c r="AV20" s="127"/>
      <c r="AW20" s="127"/>
      <c r="AX20" s="127"/>
      <c r="AY20" s="127"/>
      <c r="AZ20" s="127"/>
      <c r="BA20" s="127"/>
      <c r="BB20" s="127"/>
      <c r="BC20" s="74"/>
      <c r="BD20" s="9"/>
      <c r="BE20" s="10"/>
      <c r="BF20" s="9"/>
      <c r="BG20" s="9"/>
      <c r="BH20" s="9"/>
      <c r="BI20" s="9"/>
      <c r="BJ20" s="9"/>
      <c r="BK20" s="9"/>
      <c r="BL20" s="9"/>
      <c r="BM20" s="9"/>
      <c r="BN20" s="9"/>
      <c r="BO20" s="9"/>
      <c r="BP20" s="9"/>
      <c r="BQ20" s="9"/>
      <c r="BR20" s="9"/>
      <c r="BS20" s="9"/>
      <c r="BT20" s="9"/>
      <c r="BU20" s="9"/>
      <c r="BV20" s="9"/>
    </row>
    <row r="21" spans="1:76" ht="12.75" customHeight="1" x14ac:dyDescent="0.2">
      <c r="A21" s="565"/>
      <c r="B21" s="565"/>
      <c r="C21" s="565"/>
      <c r="D21" s="565"/>
      <c r="E21" s="565"/>
      <c r="F21" s="565"/>
      <c r="G21" s="565"/>
      <c r="H21" s="565"/>
      <c r="I21" s="565"/>
      <c r="J21" s="565"/>
      <c r="K21" s="565"/>
      <c r="L21" s="565"/>
      <c r="M21" s="565"/>
      <c r="N21" s="565"/>
      <c r="O21" s="565"/>
      <c r="P21" s="565"/>
      <c r="Q21" s="565"/>
      <c r="R21" s="565"/>
      <c r="S21" s="565"/>
      <c r="T21" s="565"/>
      <c r="U21" s="565"/>
      <c r="V21" s="565"/>
      <c r="W21" s="565"/>
      <c r="X21" s="565"/>
      <c r="Y21" s="565"/>
      <c r="Z21" s="565"/>
      <c r="AA21" s="565"/>
      <c r="AB21" s="565"/>
      <c r="AC21" s="565"/>
      <c r="AD21" s="565"/>
      <c r="AE21" s="565"/>
      <c r="AF21" s="565"/>
      <c r="AG21" s="565"/>
      <c r="AH21" s="565"/>
      <c r="AI21" s="565"/>
      <c r="AJ21" s="565"/>
      <c r="AK21" s="565"/>
      <c r="AL21" s="565"/>
      <c r="AM21" s="565"/>
      <c r="AN21" s="565"/>
      <c r="AO21" s="565"/>
      <c r="AP21" s="565"/>
      <c r="AQ21" s="565"/>
      <c r="AR21" s="565"/>
      <c r="AS21" s="207"/>
      <c r="AT21" s="207"/>
      <c r="AU21" s="207"/>
      <c r="AV21" s="207"/>
      <c r="AW21" s="207"/>
      <c r="AX21" s="207"/>
      <c r="AY21" s="207"/>
      <c r="AZ21" s="207"/>
      <c r="BA21" s="207"/>
      <c r="BB21" s="207"/>
      <c r="BC21" s="74"/>
      <c r="BD21" s="150"/>
      <c r="BE21" s="150"/>
      <c r="BF21" s="150"/>
      <c r="BG21" s="150"/>
      <c r="BH21" s="150"/>
      <c r="BI21" s="150"/>
      <c r="BJ21" s="150"/>
      <c r="BK21" s="150"/>
      <c r="BL21" s="150"/>
      <c r="BM21" s="150"/>
      <c r="BN21" s="150"/>
      <c r="BO21" s="150"/>
      <c r="BP21" s="150"/>
      <c r="BQ21" s="150"/>
      <c r="BR21" s="150"/>
      <c r="BS21" s="150"/>
      <c r="BT21" s="9"/>
      <c r="BU21" s="9"/>
      <c r="BV21" s="9"/>
    </row>
    <row r="22" spans="1:76" s="3" customFormat="1" ht="12.75" customHeight="1" x14ac:dyDescent="0.2">
      <c r="A22" s="565"/>
      <c r="B22" s="565"/>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65"/>
      <c r="AK22" s="565"/>
      <c r="AL22" s="565"/>
      <c r="AM22" s="565"/>
      <c r="AN22" s="565"/>
      <c r="AO22" s="565"/>
      <c r="AP22" s="565"/>
      <c r="AQ22" s="565"/>
      <c r="AR22" s="565"/>
      <c r="AS22" s="207"/>
      <c r="AT22" s="207"/>
      <c r="AU22" s="207"/>
      <c r="AV22" s="207"/>
      <c r="AW22" s="207"/>
      <c r="AX22" s="207"/>
      <c r="AY22" s="207"/>
      <c r="AZ22" s="207"/>
      <c r="BA22" s="207"/>
      <c r="BB22" s="207"/>
      <c r="BC22" s="74"/>
      <c r="BD22" s="11"/>
      <c r="BE22" s="12"/>
      <c r="BF22" s="11" t="str">
        <f>IF(OR(IFERROR(VLOOKUP(BP22,#REF!,MATCH("Price To Earnings",#REF!,0),FALSE),"-")&lt;0,IFERROR(VLOOKUP(BP22,#REF!,MATCH("Price To Earnings",#REF!,0),FALSE),"-")&gt;500),"-",IFERROR(VLOOKUP(BP22,#REF!,MATCH("Price To Earnings",#REF!,0),FALSE),"-"))</f>
        <v>-</v>
      </c>
      <c r="BG22" s="11"/>
      <c r="BH22" s="11"/>
      <c r="BI22" s="11"/>
      <c r="BJ22" s="11"/>
      <c r="BK22" s="11"/>
      <c r="BL22" s="11"/>
      <c r="BM22" s="11"/>
      <c r="BN22" s="11"/>
      <c r="BO22" s="11"/>
      <c r="BP22" s="11"/>
      <c r="BQ22" s="11"/>
      <c r="BR22" s="11"/>
      <c r="BS22" s="11"/>
      <c r="BT22" s="11"/>
      <c r="BU22" s="11"/>
      <c r="BV22" s="11"/>
    </row>
    <row r="23" spans="1:76" ht="12.75" customHeight="1" x14ac:dyDescent="0.2">
      <c r="A23" s="565"/>
      <c r="B23" s="565"/>
      <c r="C23" s="565"/>
      <c r="D23" s="565"/>
      <c r="E23" s="565"/>
      <c r="F23" s="565"/>
      <c r="G23" s="565"/>
      <c r="H23" s="565"/>
      <c r="I23" s="565"/>
      <c r="J23" s="565"/>
      <c r="K23" s="565"/>
      <c r="L23" s="565"/>
      <c r="M23" s="565"/>
      <c r="N23" s="565"/>
      <c r="O23" s="565"/>
      <c r="P23" s="565"/>
      <c r="Q23" s="565"/>
      <c r="R23" s="565"/>
      <c r="S23" s="565"/>
      <c r="T23" s="565"/>
      <c r="U23" s="565"/>
      <c r="V23" s="565"/>
      <c r="W23" s="565"/>
      <c r="X23" s="565"/>
      <c r="Y23" s="565"/>
      <c r="Z23" s="565"/>
      <c r="AA23" s="565"/>
      <c r="AB23" s="565"/>
      <c r="AC23" s="565"/>
      <c r="AD23" s="565"/>
      <c r="AE23" s="565"/>
      <c r="AF23" s="565"/>
      <c r="AG23" s="565"/>
      <c r="AH23" s="565"/>
      <c r="AI23" s="565"/>
      <c r="AJ23" s="565"/>
      <c r="AK23" s="565"/>
      <c r="AL23" s="565"/>
      <c r="AM23" s="565"/>
      <c r="AN23" s="565"/>
      <c r="AO23" s="565"/>
      <c r="AP23" s="565"/>
      <c r="AQ23" s="565"/>
      <c r="AR23" s="565"/>
      <c r="AS23" s="207"/>
      <c r="AT23" s="207"/>
      <c r="AU23" s="207"/>
      <c r="AV23" s="207"/>
      <c r="AW23" s="207"/>
      <c r="AX23" s="207"/>
      <c r="AY23" s="207"/>
      <c r="AZ23" s="207"/>
      <c r="BA23" s="207"/>
      <c r="BB23" s="207"/>
      <c r="BC23" s="74"/>
      <c r="BD23" s="9"/>
      <c r="BE23" s="10"/>
      <c r="BF23" s="9" t="str">
        <f>IF(OR(IFERROR(VLOOKUP(BP23,#REF!,MATCH("Price To Earnings",#REF!,0),FALSE),"-")&lt;0,IFERROR(VLOOKUP(BP23,#REF!,MATCH("Price To Earnings",#REF!,0),FALSE),"-")&gt;500),"-",IFERROR(VLOOKUP(BP23,#REF!,MATCH("Price To Earnings",#REF!,0),FALSE),"-"))</f>
        <v>-</v>
      </c>
      <c r="BG23" s="9"/>
      <c r="BH23" s="9"/>
      <c r="BI23" s="9"/>
      <c r="BJ23" s="9"/>
      <c r="BK23" s="9"/>
      <c r="BL23" s="9"/>
      <c r="BM23" s="9"/>
      <c r="BN23" s="9"/>
      <c r="BO23" s="9"/>
      <c r="BP23" s="9"/>
      <c r="BQ23" s="9"/>
      <c r="BR23" s="9"/>
      <c r="BS23" s="9"/>
      <c r="BT23" s="9"/>
      <c r="BU23" s="9"/>
      <c r="BV23" s="9"/>
    </row>
    <row r="24" spans="1:76" s="15" customFormat="1" ht="12.75" customHeight="1" x14ac:dyDescent="0.2">
      <c r="A24" s="565"/>
      <c r="B24" s="565"/>
      <c r="C24" s="565"/>
      <c r="D24" s="565"/>
      <c r="E24" s="565"/>
      <c r="F24" s="565"/>
      <c r="G24" s="565"/>
      <c r="H24" s="565"/>
      <c r="I24" s="565"/>
      <c r="J24" s="565"/>
      <c r="K24" s="565"/>
      <c r="L24" s="565"/>
      <c r="M24" s="565"/>
      <c r="N24" s="565"/>
      <c r="O24" s="565"/>
      <c r="P24" s="565"/>
      <c r="Q24" s="565"/>
      <c r="R24" s="565"/>
      <c r="S24" s="565"/>
      <c r="T24" s="565"/>
      <c r="U24" s="565"/>
      <c r="V24" s="565"/>
      <c r="W24" s="565"/>
      <c r="X24" s="565"/>
      <c r="Y24" s="565"/>
      <c r="Z24" s="565"/>
      <c r="AA24" s="565"/>
      <c r="AB24" s="565"/>
      <c r="AC24" s="565"/>
      <c r="AD24" s="565"/>
      <c r="AE24" s="565"/>
      <c r="AF24" s="565"/>
      <c r="AG24" s="565"/>
      <c r="AH24" s="565"/>
      <c r="AI24" s="565"/>
      <c r="AJ24" s="565"/>
      <c r="AK24" s="565"/>
      <c r="AL24" s="565"/>
      <c r="AM24" s="565"/>
      <c r="AN24" s="565"/>
      <c r="AO24" s="565"/>
      <c r="AP24" s="565"/>
      <c r="AQ24" s="565"/>
      <c r="AR24" s="565"/>
      <c r="AS24" s="208"/>
      <c r="AT24" s="208"/>
      <c r="AU24" s="208"/>
      <c r="AV24" s="208"/>
      <c r="AW24" s="208"/>
      <c r="AX24" s="208"/>
      <c r="AY24" s="208"/>
      <c r="AZ24" s="208"/>
      <c r="BA24" s="208"/>
      <c r="BB24" s="208"/>
      <c r="BC24" s="74"/>
      <c r="BD24" s="13"/>
      <c r="BE24" s="14"/>
      <c r="BF24" s="13" t="str">
        <f>IF(OR(IFERROR(VLOOKUP(BP24,#REF!,MATCH("Price To Earnings",#REF!,0),FALSE),"-")&lt;0,IFERROR(VLOOKUP(BP24,#REF!,MATCH("Price To Earnings",#REF!,0),FALSE),"-")&gt;500),"-",IFERROR(VLOOKUP(BP24,#REF!,MATCH("Price To Earnings",#REF!,0),FALSE),"-"))</f>
        <v>-</v>
      </c>
      <c r="BG24" s="13"/>
      <c r="BH24" s="13"/>
      <c r="BI24" s="13"/>
      <c r="BJ24" s="13"/>
      <c r="BK24" s="13"/>
      <c r="BL24" s="13"/>
      <c r="BM24" s="13"/>
      <c r="BN24" s="13"/>
      <c r="BO24" s="13"/>
      <c r="BP24" s="13"/>
      <c r="BQ24" s="13"/>
      <c r="BR24" s="13"/>
      <c r="BS24" s="13"/>
      <c r="BT24" s="13"/>
      <c r="BU24" s="13"/>
      <c r="BV24" s="13"/>
    </row>
    <row r="25" spans="1:76" s="15" customFormat="1" ht="12.75" customHeight="1" x14ac:dyDescent="0.2">
      <c r="A25" s="565"/>
      <c r="B25" s="565"/>
      <c r="C25" s="565"/>
      <c r="D25" s="565"/>
      <c r="E25" s="565"/>
      <c r="F25" s="565"/>
      <c r="G25" s="565"/>
      <c r="H25" s="565"/>
      <c r="I25" s="565"/>
      <c r="J25" s="565"/>
      <c r="K25" s="565"/>
      <c r="L25" s="565"/>
      <c r="M25" s="565"/>
      <c r="N25" s="565"/>
      <c r="O25" s="565"/>
      <c r="P25" s="565"/>
      <c r="Q25" s="565"/>
      <c r="R25" s="565"/>
      <c r="S25" s="565"/>
      <c r="T25" s="565"/>
      <c r="U25" s="565"/>
      <c r="V25" s="565"/>
      <c r="W25" s="565"/>
      <c r="X25" s="565"/>
      <c r="Y25" s="565"/>
      <c r="Z25" s="565"/>
      <c r="AA25" s="565"/>
      <c r="AB25" s="565"/>
      <c r="AC25" s="565"/>
      <c r="AD25" s="565"/>
      <c r="AE25" s="565"/>
      <c r="AF25" s="565"/>
      <c r="AG25" s="565"/>
      <c r="AH25" s="565"/>
      <c r="AI25" s="565"/>
      <c r="AJ25" s="565"/>
      <c r="AK25" s="565"/>
      <c r="AL25" s="565"/>
      <c r="AM25" s="565"/>
      <c r="AN25" s="565"/>
      <c r="AO25" s="565"/>
      <c r="AP25" s="565"/>
      <c r="AQ25" s="565"/>
      <c r="AR25" s="565"/>
      <c r="AS25" s="208"/>
      <c r="AT25" s="208"/>
      <c r="AU25" s="208"/>
      <c r="AV25" s="208"/>
      <c r="AW25" s="208"/>
      <c r="AX25" s="208"/>
      <c r="AY25" s="208"/>
      <c r="AZ25" s="208"/>
      <c r="BA25" s="208"/>
      <c r="BB25" s="208"/>
      <c r="BC25" s="74"/>
      <c r="BD25" s="9"/>
      <c r="BE25" s="10"/>
      <c r="BF25" s="9" t="str">
        <f>IF(OR(IFERROR(VLOOKUP(BP25,#REF!,MATCH("Price To Earnings",#REF!,0),FALSE),"-")&lt;0,IFERROR(VLOOKUP(BP25,#REF!,MATCH("Price To Earnings",#REF!,0),FALSE),"-")&gt;500),"-",IFERROR(VLOOKUP(BP25,#REF!,MATCH("Price To Earnings",#REF!,0),FALSE),"-"))</f>
        <v>-</v>
      </c>
      <c r="BG25" s="9"/>
      <c r="BH25" s="9"/>
      <c r="BI25" s="9"/>
      <c r="BJ25" s="9"/>
      <c r="BK25" s="9"/>
      <c r="BL25" s="9"/>
      <c r="BM25" s="9"/>
      <c r="BN25" s="9"/>
      <c r="BO25" s="9"/>
      <c r="BP25" s="9"/>
      <c r="BQ25" s="9"/>
      <c r="BR25" s="9"/>
      <c r="BS25" s="9"/>
      <c r="BT25" s="9"/>
      <c r="BU25" s="9"/>
      <c r="BV25" s="9"/>
      <c r="BX25" s="15" t="s">
        <v>194</v>
      </c>
    </row>
    <row r="26" spans="1:76" s="15" customFormat="1" ht="12.75" customHeight="1" x14ac:dyDescent="0.2">
      <c r="A26" s="565"/>
      <c r="B26" s="565"/>
      <c r="C26" s="565"/>
      <c r="D26" s="565"/>
      <c r="E26" s="565"/>
      <c r="F26" s="565"/>
      <c r="G26" s="565"/>
      <c r="H26" s="565"/>
      <c r="I26" s="565"/>
      <c r="J26" s="565"/>
      <c r="K26" s="565"/>
      <c r="L26" s="565"/>
      <c r="M26" s="565"/>
      <c r="N26" s="565"/>
      <c r="O26" s="565"/>
      <c r="P26" s="565"/>
      <c r="Q26" s="565"/>
      <c r="R26" s="565"/>
      <c r="S26" s="565"/>
      <c r="T26" s="565"/>
      <c r="U26" s="565"/>
      <c r="V26" s="565"/>
      <c r="W26" s="565"/>
      <c r="X26" s="565"/>
      <c r="Y26" s="565"/>
      <c r="Z26" s="565"/>
      <c r="AA26" s="565"/>
      <c r="AB26" s="565"/>
      <c r="AC26" s="565"/>
      <c r="AD26" s="565"/>
      <c r="AE26" s="565"/>
      <c r="AF26" s="565"/>
      <c r="AG26" s="565"/>
      <c r="AH26" s="565"/>
      <c r="AI26" s="565"/>
      <c r="AJ26" s="565"/>
      <c r="AK26" s="565"/>
      <c r="AL26" s="565"/>
      <c r="AM26" s="565"/>
      <c r="AN26" s="565"/>
      <c r="AO26" s="565"/>
      <c r="AP26" s="565"/>
      <c r="AQ26" s="565"/>
      <c r="AR26" s="565"/>
      <c r="AS26" s="189"/>
      <c r="AT26" s="189"/>
      <c r="AU26" s="189"/>
      <c r="AV26" s="189"/>
      <c r="AW26" s="189"/>
      <c r="AX26" s="189"/>
      <c r="AY26" s="189"/>
      <c r="AZ26" s="189"/>
      <c r="BA26" s="189"/>
      <c r="BB26" s="189"/>
      <c r="BC26" s="74"/>
      <c r="BD26" s="13"/>
      <c r="BE26" s="14"/>
      <c r="BF26" s="13" t="str">
        <f>IF(OR(IFERROR(VLOOKUP(BP26,#REF!,MATCH("Price To Earnings",#REF!,0),FALSE),"-")&lt;0,IFERROR(VLOOKUP(BP26,#REF!,MATCH("Price To Earnings",#REF!,0),FALSE),"-")&gt;500),"-",IFERROR(VLOOKUP(BP26,#REF!,MATCH("Price To Earnings",#REF!,0),FALSE),"-"))</f>
        <v>-</v>
      </c>
      <c r="BG26" s="13"/>
      <c r="BH26" s="13"/>
      <c r="BI26" s="13"/>
      <c r="BJ26" s="13"/>
      <c r="BK26" s="13"/>
      <c r="BL26" s="13"/>
      <c r="BM26" s="13"/>
      <c r="BN26" s="13"/>
      <c r="BO26" s="13"/>
      <c r="BP26" s="13"/>
      <c r="BQ26" s="13"/>
      <c r="BR26" s="13"/>
      <c r="BS26" s="13"/>
      <c r="BT26" s="13"/>
      <c r="BU26" s="13"/>
      <c r="BV26" s="13"/>
      <c r="BX26" s="15" t="s">
        <v>195</v>
      </c>
    </row>
    <row r="27" spans="1:76" ht="12.75" customHeight="1" x14ac:dyDescent="0.2">
      <c r="A27" s="565"/>
      <c r="B27" s="565"/>
      <c r="C27" s="565"/>
      <c r="D27" s="565"/>
      <c r="E27" s="565"/>
      <c r="F27" s="565"/>
      <c r="G27" s="565"/>
      <c r="H27" s="565"/>
      <c r="I27" s="565"/>
      <c r="J27" s="565"/>
      <c r="K27" s="565"/>
      <c r="L27" s="565"/>
      <c r="M27" s="565"/>
      <c r="N27" s="565"/>
      <c r="O27" s="565"/>
      <c r="P27" s="565"/>
      <c r="Q27" s="565"/>
      <c r="R27" s="565"/>
      <c r="S27" s="565"/>
      <c r="T27" s="565"/>
      <c r="U27" s="565"/>
      <c r="V27" s="565"/>
      <c r="W27" s="565"/>
      <c r="X27" s="565"/>
      <c r="Y27" s="565"/>
      <c r="Z27" s="565"/>
      <c r="AA27" s="565"/>
      <c r="AB27" s="565"/>
      <c r="AC27" s="565"/>
      <c r="AD27" s="565"/>
      <c r="AE27" s="565"/>
      <c r="AF27" s="565"/>
      <c r="AG27" s="565"/>
      <c r="AH27" s="565"/>
      <c r="AI27" s="565"/>
      <c r="AJ27" s="565"/>
      <c r="AK27" s="565"/>
      <c r="AL27" s="565"/>
      <c r="AM27" s="565"/>
      <c r="AN27" s="565"/>
      <c r="AO27" s="565"/>
      <c r="AP27" s="565"/>
      <c r="AQ27" s="565"/>
      <c r="AR27" s="565"/>
      <c r="AS27" s="207"/>
      <c r="AT27" s="207"/>
      <c r="AU27" s="207"/>
      <c r="AV27" s="207"/>
      <c r="AW27" s="207"/>
      <c r="AX27" s="207"/>
      <c r="AY27" s="207"/>
      <c r="AZ27" s="207"/>
      <c r="BA27" s="207"/>
      <c r="BB27" s="207"/>
      <c r="BC27" s="74"/>
      <c r="BD27" s="9"/>
      <c r="BE27" s="10"/>
      <c r="BF27" s="9" t="str">
        <f>IF(OR(IFERROR(VLOOKUP(BP27,#REF!,MATCH("Price To Earnings",#REF!,0),FALSE),"-")&lt;0,IFERROR(VLOOKUP(BP27,#REF!,MATCH("Price To Earnings",#REF!,0),FALSE),"-")&gt;500),"-",IFERROR(VLOOKUP(BP27,#REF!,MATCH("Price To Earnings",#REF!,0),FALSE),"-"))</f>
        <v>-</v>
      </c>
      <c r="BG27" s="9"/>
      <c r="BH27" s="9"/>
      <c r="BI27" s="9"/>
      <c r="BJ27" s="9"/>
      <c r="BK27" s="9"/>
      <c r="BL27" s="9"/>
      <c r="BM27" s="9"/>
      <c r="BN27" s="9"/>
      <c r="BO27" s="9"/>
      <c r="BP27" s="9"/>
      <c r="BQ27" s="9"/>
      <c r="BR27" s="9"/>
      <c r="BS27" s="9"/>
      <c r="BT27" s="9"/>
      <c r="BU27" s="9"/>
      <c r="BV27" s="9"/>
      <c r="BW27" s="9"/>
    </row>
    <row r="28" spans="1:76" ht="12.75" customHeight="1" x14ac:dyDescent="0.2">
      <c r="A28" s="565"/>
      <c r="B28" s="565"/>
      <c r="C28" s="565"/>
      <c r="D28" s="565"/>
      <c r="E28" s="565"/>
      <c r="F28" s="565"/>
      <c r="G28" s="565"/>
      <c r="H28" s="565"/>
      <c r="I28" s="565"/>
      <c r="J28" s="565"/>
      <c r="K28" s="565"/>
      <c r="L28" s="565"/>
      <c r="M28" s="565"/>
      <c r="N28" s="565"/>
      <c r="O28" s="565"/>
      <c r="P28" s="565"/>
      <c r="Q28" s="565"/>
      <c r="R28" s="565"/>
      <c r="S28" s="565"/>
      <c r="T28" s="565"/>
      <c r="U28" s="565"/>
      <c r="V28" s="565"/>
      <c r="W28" s="565"/>
      <c r="X28" s="565"/>
      <c r="Y28" s="565"/>
      <c r="Z28" s="565"/>
      <c r="AA28" s="565"/>
      <c r="AB28" s="565"/>
      <c r="AC28" s="565"/>
      <c r="AD28" s="565"/>
      <c r="AE28" s="565"/>
      <c r="AF28" s="565"/>
      <c r="AG28" s="565"/>
      <c r="AH28" s="565"/>
      <c r="AI28" s="565"/>
      <c r="AJ28" s="565"/>
      <c r="AK28" s="565"/>
      <c r="AL28" s="565"/>
      <c r="AM28" s="565"/>
      <c r="AN28" s="565"/>
      <c r="AO28" s="565"/>
      <c r="AP28" s="565"/>
      <c r="AQ28" s="565"/>
      <c r="AR28" s="565"/>
      <c r="AS28" s="208"/>
      <c r="AT28" s="208"/>
      <c r="AU28" s="208"/>
      <c r="AV28" s="208"/>
      <c r="AW28" s="208"/>
      <c r="AX28" s="208"/>
      <c r="AY28" s="208"/>
      <c r="AZ28" s="208"/>
      <c r="BA28" s="208"/>
      <c r="BB28" s="208"/>
      <c r="BC28" s="74"/>
      <c r="BD28" s="9"/>
      <c r="BE28" s="10"/>
      <c r="BF28" s="9" t="str">
        <f>IF(OR(IFERROR(VLOOKUP(BP28,#REF!,MATCH("Price To Earnings",#REF!,0),FALSE),"-")&lt;0,IFERROR(VLOOKUP(BP28,#REF!,MATCH("Price To Earnings",#REF!,0),FALSE),"-")&gt;500),"-",IFERROR(VLOOKUP(BP28,#REF!,MATCH("Price To Earnings",#REF!,0),FALSE),"-"))</f>
        <v>-</v>
      </c>
      <c r="BG28" s="9"/>
      <c r="BH28" s="9"/>
      <c r="BI28" s="9"/>
      <c r="BJ28" s="9"/>
      <c r="BK28" s="9"/>
      <c r="BL28" s="9"/>
      <c r="BM28" s="9"/>
      <c r="BN28" s="9"/>
      <c r="BO28" s="9"/>
      <c r="BP28" s="9"/>
      <c r="BQ28" s="9"/>
      <c r="BR28" s="9"/>
      <c r="BS28" s="9"/>
      <c r="BT28" s="9"/>
      <c r="BU28" s="9"/>
      <c r="BV28" s="9"/>
    </row>
    <row r="29" spans="1:76" ht="12.75" customHeight="1" x14ac:dyDescent="0.2">
      <c r="A29" s="193"/>
      <c r="B29" s="193"/>
      <c r="C29" s="193"/>
      <c r="D29" s="193"/>
      <c r="E29" s="193"/>
      <c r="F29" s="193"/>
      <c r="G29" s="193"/>
      <c r="H29" s="193"/>
      <c r="I29" s="193"/>
      <c r="J29" s="193"/>
      <c r="K29" s="193"/>
      <c r="L29" s="193"/>
      <c r="M29" s="194"/>
      <c r="N29" s="193"/>
      <c r="O29" s="193"/>
      <c r="P29" s="193"/>
      <c r="Q29" s="193"/>
      <c r="R29" s="193"/>
      <c r="S29" s="193"/>
      <c r="T29" s="193"/>
      <c r="U29" s="193"/>
      <c r="V29" s="195"/>
      <c r="W29" s="195"/>
      <c r="X29" s="195"/>
      <c r="Y29" s="195"/>
      <c r="Z29" s="195"/>
      <c r="AA29" s="195"/>
      <c r="AB29" s="195"/>
      <c r="AC29" s="195"/>
      <c r="AD29" s="195"/>
      <c r="AE29" s="195"/>
      <c r="AF29" s="195"/>
      <c r="AG29" s="195"/>
      <c r="AH29" s="195"/>
      <c r="AI29" s="195"/>
      <c r="AJ29" s="195"/>
      <c r="AK29" s="195"/>
      <c r="AL29" s="195"/>
      <c r="AM29" s="195"/>
      <c r="AN29" s="195"/>
      <c r="AO29" s="195"/>
      <c r="AP29" s="195"/>
      <c r="AQ29" s="195"/>
      <c r="AR29" s="196"/>
      <c r="AS29" s="208"/>
      <c r="AT29" s="208"/>
      <c r="AU29" s="208"/>
      <c r="AV29" s="208"/>
      <c r="AW29" s="208"/>
      <c r="AX29" s="208"/>
      <c r="AY29" s="208"/>
      <c r="AZ29" s="208"/>
      <c r="BA29" s="208"/>
      <c r="BB29" s="208"/>
      <c r="BC29" s="74"/>
      <c r="BD29" s="9"/>
      <c r="BE29" s="10"/>
      <c r="BF29" s="9" t="str">
        <f>IF(OR(IFERROR(VLOOKUP(BP29,#REF!,MATCH("Price To Earnings",#REF!,0),FALSE),"-")&lt;0,IFERROR(VLOOKUP(BP29,#REF!,MATCH("Price To Earnings",#REF!,0),FALSE),"-")&gt;500),"-",IFERROR(VLOOKUP(BP29,#REF!,MATCH("Price To Earnings",#REF!,0),FALSE),"-"))</f>
        <v>-</v>
      </c>
      <c r="BG29" s="9"/>
      <c r="BH29" s="9"/>
      <c r="BI29" s="9"/>
      <c r="BJ29" s="9"/>
      <c r="BK29" s="9"/>
      <c r="BL29" s="9"/>
      <c r="BM29" s="9"/>
      <c r="BN29" s="9"/>
      <c r="BO29" s="9"/>
      <c r="BP29" s="9"/>
      <c r="BQ29" s="9"/>
      <c r="BR29" s="9"/>
      <c r="BS29" s="9"/>
      <c r="BT29" s="9"/>
      <c r="BU29" s="9"/>
      <c r="BV29" s="9"/>
    </row>
    <row r="30" spans="1:76" ht="12.75" customHeight="1" x14ac:dyDescent="0.2">
      <c r="A30" s="197"/>
      <c r="B30" s="193"/>
      <c r="C30" s="193"/>
      <c r="D30" s="193"/>
      <c r="E30" s="193"/>
      <c r="F30" s="193"/>
      <c r="G30" s="193"/>
      <c r="H30" s="193"/>
      <c r="I30" s="193"/>
      <c r="J30" s="193"/>
      <c r="K30" s="193"/>
      <c r="L30" s="193"/>
      <c r="M30" s="193"/>
      <c r="N30" s="193"/>
      <c r="O30" s="193"/>
      <c r="P30" s="193"/>
      <c r="Q30" s="193"/>
      <c r="R30" s="193"/>
      <c r="S30" s="193"/>
      <c r="T30" s="193"/>
      <c r="U30" s="193"/>
      <c r="V30" s="195"/>
      <c r="W30" s="195"/>
      <c r="X30" s="195"/>
      <c r="Y30" s="195"/>
      <c r="Z30" s="195"/>
      <c r="AA30" s="195"/>
      <c r="AB30" s="195"/>
      <c r="AC30" s="195"/>
      <c r="AD30" s="195"/>
      <c r="AE30" s="195"/>
      <c r="AF30" s="195"/>
      <c r="AG30" s="195"/>
      <c r="AH30" s="195"/>
      <c r="AI30" s="195"/>
      <c r="AJ30" s="195"/>
      <c r="AK30" s="195"/>
      <c r="AL30" s="195"/>
      <c r="AM30" s="195"/>
      <c r="AN30" s="195"/>
      <c r="AO30" s="195"/>
      <c r="AP30" s="195"/>
      <c r="AQ30" s="195"/>
      <c r="AR30" s="198"/>
      <c r="AS30" s="189"/>
      <c r="AT30" s="189"/>
      <c r="AU30" s="189"/>
      <c r="AV30" s="189"/>
      <c r="AW30" s="189"/>
      <c r="AX30" s="189"/>
      <c r="AY30" s="189"/>
      <c r="AZ30" s="189"/>
      <c r="BA30" s="189"/>
      <c r="BB30" s="189"/>
      <c r="BC30" s="74"/>
      <c r="BD30" s="9"/>
      <c r="BE30" s="10"/>
      <c r="BF30" s="9" t="str">
        <f>IF(OR(IFERROR(VLOOKUP(BP30,#REF!,MATCH("Price To Earnings",#REF!,0),FALSE),"-")&lt;0,IFERROR(VLOOKUP(BP30,#REF!,MATCH("Price To Earnings",#REF!,0),FALSE),"-")&gt;500),"-",IFERROR(VLOOKUP(BP30,#REF!,MATCH("Price To Earnings",#REF!,0),FALSE),"-"))</f>
        <v>-</v>
      </c>
      <c r="BG30" s="9"/>
      <c r="BH30" s="9"/>
      <c r="BI30" s="9"/>
      <c r="BJ30" s="9"/>
      <c r="BK30" s="9"/>
      <c r="BL30" s="9"/>
      <c r="BM30" s="9"/>
      <c r="BN30" s="9"/>
      <c r="BO30" s="9"/>
      <c r="BP30" s="9"/>
      <c r="BQ30" s="9"/>
      <c r="BR30" s="9"/>
      <c r="BS30" s="9"/>
      <c r="BT30" s="9"/>
      <c r="BU30" s="9"/>
      <c r="BV30" s="9"/>
    </row>
    <row r="31" spans="1:76" ht="12.75" customHeight="1" x14ac:dyDescent="0.2">
      <c r="A31" s="193"/>
      <c r="B31" s="193"/>
      <c r="C31" s="193"/>
      <c r="D31" s="193"/>
      <c r="E31" s="193"/>
      <c r="F31" s="193"/>
      <c r="G31" s="193"/>
      <c r="H31" s="193"/>
      <c r="I31" s="193"/>
      <c r="J31" s="193"/>
      <c r="K31" s="193"/>
      <c r="L31" s="193"/>
      <c r="M31" s="199"/>
      <c r="N31" s="193"/>
      <c r="O31" s="193"/>
      <c r="P31" s="193"/>
      <c r="Q31" s="193"/>
      <c r="R31" s="193"/>
      <c r="S31" s="193"/>
      <c r="T31" s="193"/>
      <c r="U31" s="193"/>
      <c r="V31" s="195"/>
      <c r="W31" s="195"/>
      <c r="X31" s="195"/>
      <c r="Y31" s="195"/>
      <c r="Z31" s="195"/>
      <c r="AA31" s="195"/>
      <c r="AB31" s="195"/>
      <c r="AC31" s="195"/>
      <c r="AD31" s="195"/>
      <c r="AE31" s="195"/>
      <c r="AF31" s="195"/>
      <c r="AG31" s="195"/>
      <c r="AH31" s="195"/>
      <c r="AI31" s="195"/>
      <c r="AJ31" s="195"/>
      <c r="AK31" s="195"/>
      <c r="AL31" s="195"/>
      <c r="AM31" s="195"/>
      <c r="AN31" s="195"/>
      <c r="AO31" s="195"/>
      <c r="AP31" s="195"/>
      <c r="AQ31" s="195"/>
      <c r="AR31" s="200"/>
      <c r="AS31" s="207"/>
      <c r="AT31" s="207"/>
      <c r="AU31" s="207"/>
      <c r="AV31" s="207"/>
      <c r="AW31" s="258"/>
      <c r="AX31" s="258"/>
      <c r="AY31" s="258"/>
      <c r="AZ31" s="207"/>
      <c r="BA31" s="207"/>
      <c r="BB31" s="207"/>
      <c r="BC31" s="205"/>
      <c r="BD31" s="9"/>
      <c r="BE31" s="10"/>
      <c r="BF31" s="9" t="str">
        <f>IF(OR(IFERROR(VLOOKUP(BP31,#REF!,MATCH("Price To Earnings",#REF!,0),FALSE),"-")&lt;0,IFERROR(VLOOKUP(BP31,#REF!,MATCH("Price To Earnings",#REF!,0),FALSE),"-")&gt;500),"-",IFERROR(VLOOKUP(BP31,#REF!,MATCH("Price To Earnings",#REF!,0),FALSE),"-"))</f>
        <v>-</v>
      </c>
      <c r="BG31" s="9"/>
      <c r="BH31" s="9"/>
      <c r="BI31" s="9"/>
      <c r="BJ31" s="9"/>
      <c r="BK31" s="9"/>
      <c r="BL31" s="9"/>
      <c r="BM31" s="9"/>
      <c r="BN31" s="9"/>
      <c r="BO31" s="9"/>
      <c r="BP31" s="9"/>
      <c r="BQ31" s="9"/>
      <c r="BR31" s="9"/>
      <c r="BS31" s="9"/>
      <c r="BT31" s="9"/>
      <c r="BU31" s="9"/>
      <c r="BV31" s="9"/>
    </row>
    <row r="32" spans="1:76" ht="12.75" customHeight="1" x14ac:dyDescent="0.2">
      <c r="A32" s="195"/>
      <c r="B32" s="195"/>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195"/>
      <c r="AG32" s="195"/>
      <c r="AH32" s="195"/>
      <c r="AI32" s="195"/>
      <c r="AJ32" s="195"/>
      <c r="AK32" s="195"/>
      <c r="AL32" s="195"/>
      <c r="AM32" s="195"/>
      <c r="AN32" s="195"/>
      <c r="AO32" s="195"/>
      <c r="AP32" s="195"/>
      <c r="AQ32" s="195"/>
      <c r="AR32" s="195"/>
      <c r="AS32" s="207"/>
      <c r="AT32" s="207"/>
      <c r="AU32" s="207"/>
      <c r="AV32" s="207"/>
      <c r="AW32" s="207"/>
      <c r="AX32" s="207"/>
      <c r="AY32" s="207"/>
      <c r="AZ32" s="207"/>
      <c r="BA32" s="207"/>
      <c r="BB32" s="207"/>
      <c r="BC32" s="205"/>
      <c r="BD32" s="9"/>
      <c r="BE32" s="10"/>
      <c r="BF32" s="9" t="str">
        <f>IF(OR(IFERROR(VLOOKUP(BP32,#REF!,MATCH("Price To Earnings",#REF!,0),FALSE),"-")&lt;0,IFERROR(VLOOKUP(BP32,#REF!,MATCH("Price To Earnings",#REF!,0),FALSE),"-")&gt;500),"-",IFERROR(VLOOKUP(BP32,#REF!,MATCH("Price To Earnings",#REF!,0),FALSE),"-"))</f>
        <v>-</v>
      </c>
      <c r="BG32" s="9"/>
      <c r="BH32" s="9"/>
      <c r="BI32" s="9"/>
      <c r="BJ32" s="9"/>
      <c r="BK32" s="9"/>
      <c r="BL32" s="9"/>
      <c r="BM32" s="9"/>
      <c r="BN32" s="9"/>
      <c r="BO32" s="9"/>
      <c r="BP32" s="9"/>
      <c r="BQ32" s="9"/>
      <c r="BR32" s="9"/>
      <c r="BS32" s="9"/>
      <c r="BT32" s="9"/>
      <c r="BU32" s="9"/>
      <c r="BV32" s="9"/>
    </row>
    <row r="33" spans="1:75" ht="12.75" customHeight="1" x14ac:dyDescent="0.2">
      <c r="A33" s="8"/>
      <c r="B33" s="8"/>
      <c r="C33" s="8"/>
      <c r="D33" s="19"/>
      <c r="E33" s="8"/>
      <c r="F33" s="8"/>
      <c r="G33" s="8"/>
      <c r="H33" s="8"/>
      <c r="I33" s="8"/>
      <c r="M33" s="201"/>
      <c r="P33" s="566"/>
      <c r="Q33" s="566"/>
      <c r="R33" s="566"/>
      <c r="S33" s="566"/>
      <c r="T33" s="566"/>
      <c r="U33" s="566"/>
      <c r="V33" s="566"/>
      <c r="W33" s="566"/>
      <c r="X33" s="566"/>
      <c r="Y33" s="566"/>
      <c r="Z33" s="566"/>
      <c r="AA33" s="566"/>
      <c r="AB33" s="566"/>
      <c r="AC33" s="195"/>
      <c r="AD33" s="195"/>
      <c r="AE33" s="195"/>
      <c r="AF33" s="195"/>
      <c r="AG33" s="195"/>
      <c r="AH33" s="195"/>
      <c r="AI33" s="195"/>
      <c r="AJ33" s="195"/>
      <c r="AK33" s="195"/>
      <c r="AL33" s="195"/>
      <c r="AM33" s="195"/>
      <c r="AN33" s="195"/>
      <c r="AO33" s="195"/>
      <c r="AP33" s="195"/>
      <c r="AQ33" s="195"/>
      <c r="AR33" s="8"/>
      <c r="AS33" s="207"/>
      <c r="AT33" s="207"/>
      <c r="AU33" s="207"/>
      <c r="AV33" s="207"/>
      <c r="AW33" s="207"/>
      <c r="AX33" s="207"/>
      <c r="AY33" s="207"/>
      <c r="AZ33" s="207"/>
      <c r="BA33" s="207"/>
      <c r="BB33" s="207"/>
      <c r="BC33" s="205"/>
      <c r="BD33" s="9"/>
      <c r="BE33" s="10"/>
      <c r="BF33" s="9" t="str">
        <f>IF(OR(IFERROR(VLOOKUP(BP33,#REF!,MATCH("Price To Earnings",#REF!,0),FALSE),"-")&lt;0,IFERROR(VLOOKUP(BP33,#REF!,MATCH("Price To Earnings",#REF!,0),FALSE),"-")&gt;500),"-",IFERROR(VLOOKUP(BP33,#REF!,MATCH("Price To Earnings",#REF!,0),FALSE),"-"))</f>
        <v>-</v>
      </c>
      <c r="BG33" s="9"/>
      <c r="BH33" s="9"/>
      <c r="BI33" s="9"/>
      <c r="BJ33" s="9"/>
      <c r="BK33" s="9"/>
      <c r="BL33" s="9"/>
      <c r="BM33" s="9"/>
      <c r="BN33" s="9"/>
      <c r="BO33" s="9"/>
      <c r="BP33" s="9"/>
      <c r="BQ33" s="9"/>
      <c r="BR33" s="9"/>
      <c r="BS33" s="9"/>
      <c r="BT33" s="9"/>
      <c r="BU33" s="9"/>
      <c r="BV33" s="9"/>
    </row>
    <row r="34" spans="1:75" ht="12.75" customHeight="1" x14ac:dyDescent="0.2">
      <c r="A34" s="8"/>
      <c r="B34" s="8"/>
      <c r="C34" s="8"/>
      <c r="D34" s="19"/>
      <c r="E34" s="8"/>
      <c r="F34" s="8"/>
      <c r="G34" s="8"/>
      <c r="H34" s="8"/>
      <c r="I34" s="8"/>
      <c r="P34" s="202"/>
      <c r="Q34" s="202"/>
      <c r="R34" s="202"/>
      <c r="S34" s="202"/>
      <c r="T34" s="202"/>
      <c r="U34" s="202"/>
      <c r="V34" s="202"/>
      <c r="W34" s="202"/>
      <c r="X34" s="202"/>
      <c r="Y34" s="202"/>
      <c r="Z34" s="202"/>
      <c r="AA34" s="202"/>
      <c r="AB34" s="202"/>
      <c r="AC34" s="195"/>
      <c r="AD34" s="195"/>
      <c r="AE34" s="195"/>
      <c r="AF34" s="195"/>
      <c r="AG34" s="195"/>
      <c r="AH34" s="195"/>
      <c r="AI34" s="195"/>
      <c r="AJ34" s="195"/>
      <c r="AK34" s="195"/>
      <c r="AL34" s="195"/>
      <c r="AM34" s="195"/>
      <c r="AN34" s="195"/>
      <c r="AO34" s="195"/>
      <c r="AP34" s="195"/>
      <c r="AQ34" s="195"/>
      <c r="AR34" s="8"/>
      <c r="AS34" s="207"/>
      <c r="AT34" s="207"/>
      <c r="AU34" s="207"/>
      <c r="AV34" s="207"/>
      <c r="AW34" s="207"/>
      <c r="AX34" s="207"/>
      <c r="AY34" s="207"/>
      <c r="AZ34" s="207"/>
      <c r="BA34" s="207"/>
      <c r="BB34" s="207"/>
      <c r="BC34" s="205"/>
      <c r="BD34" s="9"/>
      <c r="BE34" s="10"/>
      <c r="BF34" s="9" t="str">
        <f>IF(OR(IFERROR(VLOOKUP(BP34,#REF!,MATCH("Price To Earnings",#REF!,0),FALSE),"-")&lt;0,IFERROR(VLOOKUP(BP34,#REF!,MATCH("Price To Earnings",#REF!,0),FALSE),"-")&gt;500),"-",IFERROR(VLOOKUP(BP34,#REF!,MATCH("Price To Earnings",#REF!,0),FALSE),"-"))</f>
        <v>-</v>
      </c>
      <c r="BG34" s="9"/>
      <c r="BH34" s="9"/>
      <c r="BI34" s="9"/>
      <c r="BJ34" s="9"/>
      <c r="BK34" s="9"/>
      <c r="BL34" s="9"/>
      <c r="BM34" s="9"/>
      <c r="BN34" s="9"/>
      <c r="BO34" s="9"/>
      <c r="BP34" s="9"/>
      <c r="BQ34" s="9"/>
      <c r="BR34" s="9"/>
      <c r="BS34" s="152"/>
      <c r="BT34" s="9"/>
      <c r="BU34" s="9"/>
      <c r="BV34" s="9"/>
    </row>
    <row r="35" spans="1:75" ht="12.75" customHeight="1" x14ac:dyDescent="0.2">
      <c r="A35" s="8"/>
      <c r="B35" s="8"/>
      <c r="C35" s="8"/>
      <c r="D35" s="19"/>
      <c r="E35" s="8"/>
      <c r="F35" s="8"/>
      <c r="AA35" s="255"/>
      <c r="AB35" s="255"/>
      <c r="AC35" s="258"/>
      <c r="AD35" s="258"/>
      <c r="AE35" s="258"/>
      <c r="AF35" s="258"/>
      <c r="AG35" s="195"/>
      <c r="AH35" s="195"/>
      <c r="AI35" s="195"/>
      <c r="AJ35" s="195"/>
      <c r="AK35" s="195"/>
      <c r="AL35" s="195"/>
      <c r="AM35" s="195"/>
      <c r="AN35" s="195"/>
      <c r="AO35" s="195"/>
      <c r="AP35" s="195"/>
      <c r="AQ35" s="195"/>
      <c r="AR35" s="8"/>
      <c r="AS35" s="208"/>
      <c r="AT35" s="208"/>
      <c r="AU35" s="208"/>
      <c r="AV35" s="208"/>
      <c r="AW35" s="208"/>
      <c r="AX35" s="208"/>
      <c r="AY35" s="208"/>
      <c r="AZ35" s="208"/>
      <c r="BA35" s="208"/>
      <c r="BB35" s="208"/>
      <c r="BC35" s="205"/>
      <c r="BD35" s="9"/>
      <c r="BE35" s="10"/>
      <c r="BF35" s="9" t="str">
        <f>IF(OR(IFERROR(VLOOKUP(BP35,#REF!,MATCH("Price To Earnings",#REF!,0),FALSE),"-")&lt;0,IFERROR(VLOOKUP(BP35,#REF!,MATCH("Price To Earnings",#REF!,0),FALSE),"-")&gt;500),"-",IFERROR(VLOOKUP(BP35,#REF!,MATCH("Price To Earnings",#REF!,0),FALSE),"-"))</f>
        <v>-</v>
      </c>
      <c r="BG35" s="9"/>
      <c r="BH35" s="9"/>
      <c r="BI35" s="9"/>
      <c r="BJ35" s="9"/>
      <c r="BK35" s="9"/>
      <c r="BL35" s="9"/>
      <c r="BM35" s="9"/>
      <c r="BN35" s="9"/>
      <c r="BO35" s="9"/>
      <c r="BP35" s="9"/>
      <c r="BQ35" s="9"/>
      <c r="BR35" s="9"/>
      <c r="BS35" s="152"/>
      <c r="BT35" s="9"/>
      <c r="BU35" s="9"/>
      <c r="BV35" s="9"/>
    </row>
    <row r="36" spans="1:75" ht="12.75" customHeight="1" x14ac:dyDescent="0.2">
      <c r="A36" s="8"/>
      <c r="B36" s="8"/>
      <c r="C36" s="8"/>
      <c r="D36" s="19"/>
      <c r="F36" s="8"/>
      <c r="L36" s="8"/>
      <c r="M36" s="8"/>
      <c r="N36" s="8"/>
      <c r="P36" s="259"/>
      <c r="Q36" s="259"/>
      <c r="R36" s="259"/>
      <c r="S36" s="259"/>
      <c r="T36" s="259"/>
      <c r="U36" s="255"/>
      <c r="V36" s="255"/>
      <c r="W36" s="255"/>
      <c r="X36" s="255"/>
      <c r="Y36" s="255"/>
      <c r="Z36" s="255"/>
      <c r="AA36" s="255"/>
      <c r="AB36" s="255"/>
      <c r="AC36" s="255"/>
      <c r="AD36" s="255"/>
      <c r="AE36" s="255"/>
      <c r="AF36" s="256"/>
      <c r="AI36" s="195"/>
      <c r="AJ36" s="195"/>
      <c r="AK36" s="195"/>
      <c r="AL36" s="195"/>
      <c r="AM36" s="195"/>
      <c r="AN36" s="195"/>
      <c r="AO36" s="195"/>
      <c r="AP36" s="195"/>
      <c r="AQ36" s="195"/>
      <c r="AR36" s="8"/>
      <c r="AS36" s="207"/>
      <c r="AT36" s="207"/>
      <c r="AU36" s="207"/>
      <c r="AV36" s="207"/>
      <c r="AW36" s="207"/>
      <c r="AX36" s="207"/>
      <c r="AY36" s="207"/>
      <c r="AZ36" s="207"/>
      <c r="BA36" s="207"/>
      <c r="BB36" s="207"/>
      <c r="BC36" s="205"/>
      <c r="BD36" s="9"/>
      <c r="BE36" s="10"/>
      <c r="BF36" s="9" t="str">
        <f>IF(OR(IFERROR(VLOOKUP(BP36,#REF!,MATCH("Price To Earnings",#REF!,0),FALSE),"-")&lt;0,IFERROR(VLOOKUP(BP36,#REF!,MATCH("Price To Earnings",#REF!,0),FALSE),"-")&gt;500),"-",IFERROR(VLOOKUP(BP36,#REF!,MATCH("Price To Earnings",#REF!,0),FALSE),"-"))</f>
        <v>-</v>
      </c>
      <c r="BG36" s="9"/>
      <c r="BH36" s="9"/>
      <c r="BI36" s="9"/>
      <c r="BJ36" s="9"/>
      <c r="BK36" s="9"/>
      <c r="BL36" s="9"/>
      <c r="BM36" s="9"/>
      <c r="BN36" s="9"/>
      <c r="BO36" s="9"/>
      <c r="BP36" s="9"/>
      <c r="BQ36" s="9"/>
      <c r="BR36" s="9"/>
      <c r="BS36" s="152"/>
      <c r="BT36" s="9"/>
      <c r="BU36" s="9"/>
      <c r="BV36" s="9"/>
    </row>
    <row r="37" spans="1:75" ht="12.75" customHeight="1" x14ac:dyDescent="0.2">
      <c r="A37" s="8"/>
      <c r="B37" s="8"/>
      <c r="C37" s="8"/>
      <c r="D37" s="19"/>
      <c r="G37" s="8"/>
      <c r="H37" s="8"/>
      <c r="I37" s="8"/>
      <c r="K37" s="256" t="s">
        <v>1</v>
      </c>
      <c r="L37" s="259"/>
      <c r="M37" s="259"/>
      <c r="N37" s="259"/>
      <c r="O37" s="259"/>
      <c r="P37" s="255"/>
      <c r="Q37" s="255"/>
      <c r="R37" s="255"/>
      <c r="S37" s="255"/>
      <c r="T37" s="255"/>
      <c r="U37" s="255"/>
      <c r="V37" s="256" t="s">
        <v>164</v>
      </c>
      <c r="W37" s="255"/>
      <c r="X37" s="255"/>
      <c r="Y37" s="255"/>
      <c r="Z37" s="255"/>
      <c r="AA37" s="257"/>
      <c r="AH37" s="256" t="s">
        <v>268</v>
      </c>
      <c r="AI37" s="195"/>
      <c r="AJ37" s="195"/>
      <c r="AK37" s="195"/>
      <c r="AL37" s="195"/>
      <c r="AM37" s="195"/>
      <c r="AN37" s="195"/>
      <c r="AO37" s="195"/>
      <c r="AP37" s="195"/>
      <c r="AQ37" s="195"/>
      <c r="AR37" s="8"/>
      <c r="AS37" s="208"/>
      <c r="AT37" s="208"/>
      <c r="AU37" s="208"/>
      <c r="AV37" s="208"/>
      <c r="AW37" s="208"/>
      <c r="AX37" s="208"/>
      <c r="AY37" s="208"/>
      <c r="AZ37" s="208"/>
      <c r="BA37" s="208"/>
      <c r="BB37" s="208"/>
      <c r="BC37" s="205"/>
      <c r="BD37" s="9"/>
      <c r="BE37" s="10"/>
      <c r="BF37" s="9"/>
      <c r="BG37" s="9"/>
      <c r="BH37" s="9"/>
      <c r="BI37" s="9"/>
      <c r="BJ37" s="9"/>
      <c r="BK37" s="9"/>
      <c r="BL37" s="9"/>
      <c r="BM37" s="9"/>
      <c r="BN37" s="9"/>
      <c r="BO37" s="9"/>
      <c r="BP37" s="9"/>
      <c r="BQ37" s="9"/>
      <c r="BR37" s="9"/>
      <c r="BS37" s="9"/>
      <c r="BT37" s="9"/>
      <c r="BU37" s="9"/>
      <c r="BV37" s="9"/>
      <c r="BW37" s="9"/>
    </row>
    <row r="38" spans="1:75" ht="12.75" customHeight="1" x14ac:dyDescent="0.2">
      <c r="A38" s="203"/>
      <c r="B38" s="203"/>
      <c r="C38" s="203"/>
      <c r="D38" s="203"/>
      <c r="G38" s="8"/>
      <c r="H38" s="8"/>
      <c r="I38" s="8"/>
      <c r="K38" s="257" t="s">
        <v>0</v>
      </c>
      <c r="L38" s="259"/>
      <c r="M38" s="259"/>
      <c r="N38" s="259"/>
      <c r="O38" s="259"/>
      <c r="P38" s="255"/>
      <c r="Q38" s="255"/>
      <c r="R38" s="255"/>
      <c r="S38" s="255"/>
      <c r="T38" s="255"/>
      <c r="U38" s="255"/>
      <c r="V38" s="257" t="s">
        <v>163</v>
      </c>
      <c r="W38" s="255"/>
      <c r="X38" s="255"/>
      <c r="Y38" s="255"/>
      <c r="Z38" s="255"/>
      <c r="AA38" s="257"/>
      <c r="AH38" s="257" t="s">
        <v>269</v>
      </c>
      <c r="AI38" s="195"/>
      <c r="AJ38" s="195"/>
      <c r="AK38" s="195"/>
      <c r="AL38" s="195"/>
      <c r="AM38" s="195"/>
      <c r="AN38" s="195"/>
      <c r="AO38" s="195"/>
      <c r="AP38" s="195"/>
      <c r="AQ38" s="195"/>
      <c r="AR38" s="8"/>
      <c r="AS38" s="208"/>
      <c r="AT38" s="208"/>
      <c r="AU38" s="208"/>
      <c r="AV38" s="208"/>
      <c r="AW38" s="208"/>
      <c r="AX38" s="208"/>
      <c r="AY38" s="208"/>
      <c r="AZ38" s="208"/>
      <c r="BA38" s="208"/>
      <c r="BB38" s="208"/>
      <c r="BC38" s="205"/>
      <c r="BD38" s="9"/>
      <c r="BE38" s="10"/>
      <c r="BF38" s="9" t="str">
        <f>IF(OR(IFERROR(VLOOKUP(BP38,#REF!,MATCH("Price To Earnings",#REF!,0),FALSE),"-")&lt;0,IFERROR(VLOOKUP(BP38,#REF!,MATCH("Price To Earnings",#REF!,0),FALSE),"-")&gt;500),"-",IFERROR(VLOOKUP(BP38,#REF!,MATCH("Price To Earnings",#REF!,0),FALSE),"-"))</f>
        <v>-</v>
      </c>
      <c r="BG38" s="9"/>
      <c r="BH38" s="9"/>
      <c r="BI38" s="9"/>
      <c r="BJ38" s="9"/>
      <c r="BK38" s="9"/>
      <c r="BL38" s="9"/>
      <c r="BM38" s="9"/>
      <c r="BN38" s="9"/>
      <c r="BO38" s="9"/>
      <c r="BP38" s="9"/>
      <c r="BQ38" s="9"/>
      <c r="BR38" s="9"/>
      <c r="BS38" s="9"/>
      <c r="BT38" s="9"/>
      <c r="BU38" s="9"/>
      <c r="BV38" s="9"/>
    </row>
    <row r="39" spans="1:75" ht="12.75" customHeight="1" x14ac:dyDescent="0.2">
      <c r="A39" s="203"/>
      <c r="B39" s="203"/>
      <c r="C39" s="203"/>
      <c r="D39" s="203"/>
      <c r="G39" s="203"/>
      <c r="H39" s="203"/>
      <c r="I39" s="203"/>
      <c r="J39" s="203"/>
      <c r="K39" s="257" t="s">
        <v>167</v>
      </c>
      <c r="L39" s="260"/>
      <c r="M39" s="260"/>
      <c r="N39" s="260"/>
      <c r="O39" s="260"/>
      <c r="P39" s="260"/>
      <c r="Q39" s="260"/>
      <c r="R39" s="260"/>
      <c r="S39" s="260"/>
      <c r="T39" s="260"/>
      <c r="U39" s="258"/>
      <c r="V39" s="257" t="s">
        <v>177</v>
      </c>
      <c r="W39" s="258"/>
      <c r="X39" s="258"/>
      <c r="Y39" s="258"/>
      <c r="Z39" s="258"/>
      <c r="AA39" s="257"/>
      <c r="AH39" s="257" t="s">
        <v>271</v>
      </c>
      <c r="AI39" s="195"/>
      <c r="AJ39" s="195"/>
      <c r="AK39" s="195"/>
      <c r="AL39" s="195"/>
      <c r="AM39" s="195"/>
      <c r="AN39" s="195"/>
      <c r="AO39" s="195"/>
      <c r="AP39" s="195"/>
      <c r="AQ39" s="195"/>
      <c r="AR39" s="8"/>
      <c r="AS39" s="209"/>
      <c r="AT39" s="209"/>
      <c r="AU39" s="209"/>
      <c r="AV39" s="209"/>
      <c r="AW39" s="209"/>
      <c r="AX39" s="209"/>
      <c r="AY39" s="209"/>
      <c r="AZ39" s="209"/>
      <c r="BA39" s="209"/>
      <c r="BB39" s="209"/>
      <c r="BC39" s="209"/>
      <c r="BD39" s="9"/>
      <c r="BE39" s="10"/>
      <c r="BF39" s="9"/>
      <c r="BG39" s="9"/>
      <c r="BH39" s="9"/>
      <c r="BI39" s="9"/>
      <c r="BJ39" s="9"/>
      <c r="BK39" s="9"/>
      <c r="BL39" s="9"/>
      <c r="BM39" s="9"/>
      <c r="BN39" s="9"/>
      <c r="BO39" s="9"/>
      <c r="BP39" s="9"/>
      <c r="BQ39" s="9"/>
      <c r="BR39" s="9"/>
      <c r="BS39" s="9"/>
      <c r="BT39" s="9"/>
      <c r="BU39" s="9"/>
      <c r="BV39" s="9"/>
    </row>
    <row r="40" spans="1:75" ht="12.75" customHeight="1" x14ac:dyDescent="0.2">
      <c r="A40" s="203"/>
      <c r="B40" s="203"/>
      <c r="C40" s="203"/>
      <c r="D40" s="203"/>
      <c r="E40" s="203"/>
      <c r="G40" s="203"/>
      <c r="H40" s="203"/>
      <c r="I40" s="203"/>
      <c r="J40" s="203"/>
      <c r="K40" s="257" t="s">
        <v>168</v>
      </c>
      <c r="L40" s="260"/>
      <c r="M40" s="260"/>
      <c r="N40" s="260"/>
      <c r="O40" s="260"/>
      <c r="P40" s="260"/>
      <c r="Q40" s="260"/>
      <c r="R40" s="260"/>
      <c r="S40" s="260"/>
      <c r="T40" s="260"/>
      <c r="U40" s="258"/>
      <c r="V40" s="257" t="s">
        <v>165</v>
      </c>
      <c r="W40" s="258"/>
      <c r="X40" s="258"/>
      <c r="Y40" s="258"/>
      <c r="Z40" s="258"/>
      <c r="AA40" s="195"/>
      <c r="AH40" s="257" t="s">
        <v>270</v>
      </c>
      <c r="AI40" s="195"/>
      <c r="AJ40" s="195"/>
      <c r="AK40" s="195"/>
      <c r="AL40" s="195"/>
      <c r="AM40" s="195"/>
      <c r="AN40" s="195"/>
      <c r="AO40" s="195"/>
      <c r="AP40" s="195"/>
      <c r="AQ40" s="195"/>
      <c r="AR40" s="8"/>
      <c r="AS40" s="209"/>
      <c r="AT40" s="209"/>
      <c r="AU40" s="209"/>
      <c r="AV40" s="209"/>
      <c r="AW40" s="209"/>
      <c r="AX40" s="209"/>
      <c r="AY40" s="209"/>
      <c r="AZ40" s="209"/>
      <c r="BA40" s="209"/>
      <c r="BB40" s="209"/>
      <c r="BC40" s="209"/>
      <c r="BD40" s="9"/>
      <c r="BE40" s="10"/>
      <c r="BF40" s="9" t="str">
        <f>IF(OR(IFERROR(VLOOKUP(BP40,#REF!,MATCH("Price To Earnings",#REF!,0),FALSE),"-")&lt;0,IFERROR(VLOOKUP(BP40,#REF!,MATCH("Price To Earnings",#REF!,0),FALSE),"-")&gt;500),"-",IFERROR(VLOOKUP(BP40,#REF!,MATCH("Price To Earnings",#REF!,0),FALSE),"-"))</f>
        <v>-</v>
      </c>
      <c r="BG40" s="9"/>
      <c r="BH40" s="9"/>
      <c r="BI40" s="9"/>
      <c r="BJ40" s="9"/>
      <c r="BK40" s="9"/>
      <c r="BL40" s="9"/>
      <c r="BM40" s="9"/>
      <c r="BN40" s="9"/>
      <c r="BO40" s="9"/>
      <c r="BP40" s="9"/>
      <c r="BQ40" s="9"/>
      <c r="BR40" s="9"/>
      <c r="BS40" s="9"/>
      <c r="BT40" s="9"/>
      <c r="BU40" s="9"/>
      <c r="BV40" s="9"/>
    </row>
    <row r="41" spans="1:75" ht="12.75" customHeight="1" x14ac:dyDescent="0.2">
      <c r="A41" s="203"/>
      <c r="B41" s="203"/>
      <c r="C41" s="203"/>
      <c r="D41" s="203"/>
      <c r="E41" s="203"/>
      <c r="F41" s="203"/>
      <c r="G41" s="203"/>
      <c r="H41" s="203"/>
      <c r="I41" s="203"/>
      <c r="J41" s="203"/>
      <c r="K41" s="203"/>
      <c r="L41" s="203"/>
      <c r="M41" s="203"/>
      <c r="N41" s="203"/>
      <c r="O41" s="203"/>
      <c r="P41" s="203"/>
      <c r="Q41" s="203"/>
      <c r="R41" s="203"/>
      <c r="S41" s="203"/>
      <c r="T41" s="203"/>
      <c r="U41" s="195"/>
      <c r="V41" s="195"/>
      <c r="W41" s="195"/>
      <c r="X41" s="195"/>
      <c r="Y41" s="195"/>
      <c r="Z41" s="195"/>
      <c r="AA41" s="195"/>
      <c r="AI41" s="195"/>
      <c r="AJ41" s="195"/>
      <c r="AK41" s="195"/>
      <c r="AL41" s="195"/>
      <c r="AM41" s="195"/>
      <c r="AN41" s="195"/>
      <c r="AO41" s="195"/>
      <c r="AP41" s="195"/>
      <c r="AQ41" s="195"/>
      <c r="AR41" s="8"/>
      <c r="AS41" s="206"/>
      <c r="AT41" s="206"/>
      <c r="AU41" s="206"/>
      <c r="AV41" s="206"/>
      <c r="AW41" s="206"/>
      <c r="AX41" s="206"/>
      <c r="AY41" s="206"/>
      <c r="AZ41" s="206"/>
      <c r="BA41" s="206"/>
      <c r="BB41" s="206"/>
      <c r="BC41" s="205"/>
      <c r="BD41" s="9"/>
      <c r="BE41" s="10"/>
      <c r="BF41" s="9"/>
      <c r="BG41" s="9"/>
      <c r="BH41" s="9"/>
      <c r="BI41" s="9"/>
      <c r="BJ41" s="9"/>
      <c r="BK41" s="9"/>
      <c r="BL41" s="9"/>
      <c r="BM41" s="9"/>
      <c r="BN41" s="9"/>
      <c r="BO41" s="9"/>
      <c r="BP41" s="9"/>
      <c r="BQ41" s="9"/>
      <c r="BR41" s="9"/>
      <c r="BS41" s="9"/>
      <c r="BT41" s="9"/>
      <c r="BU41" s="9"/>
      <c r="BV41" s="9"/>
    </row>
    <row r="42" spans="1:75" ht="12.75" customHeight="1" x14ac:dyDescent="0.2">
      <c r="A42" s="203"/>
      <c r="B42" s="203"/>
      <c r="C42" s="203"/>
      <c r="D42" s="2"/>
      <c r="H42" s="203"/>
      <c r="I42" s="203"/>
      <c r="J42" s="203"/>
      <c r="K42" s="203"/>
      <c r="L42" s="203"/>
      <c r="M42" s="203"/>
      <c r="N42" s="203"/>
      <c r="O42" s="203"/>
      <c r="P42" s="203"/>
      <c r="Q42" s="203"/>
      <c r="R42" s="203"/>
      <c r="S42" s="203"/>
      <c r="T42" s="203"/>
      <c r="U42" s="203"/>
      <c r="V42" s="203"/>
      <c r="W42" s="195"/>
      <c r="X42" s="195"/>
      <c r="Z42" s="195"/>
      <c r="AA42" s="195"/>
      <c r="AB42" s="195"/>
      <c r="AC42" s="195"/>
      <c r="AD42" s="195"/>
      <c r="AE42" s="195"/>
      <c r="AF42" s="195"/>
      <c r="AI42" s="195"/>
      <c r="AJ42" s="195"/>
      <c r="AK42" s="195"/>
      <c r="AP42" s="195"/>
      <c r="AQ42" s="195"/>
      <c r="AR42" s="195"/>
      <c r="AS42" s="90"/>
      <c r="AT42" s="90"/>
      <c r="AU42" s="90"/>
      <c r="AV42" s="90"/>
      <c r="AW42" s="90"/>
      <c r="AX42" s="90"/>
      <c r="AY42" s="90"/>
      <c r="AZ42" s="90"/>
      <c r="BA42" s="90"/>
      <c r="BB42" s="90"/>
      <c r="BC42" s="74"/>
      <c r="BD42" s="9"/>
      <c r="BE42" s="10"/>
      <c r="BF42" s="9"/>
      <c r="BG42" s="9"/>
      <c r="BH42" s="9"/>
      <c r="BI42" s="9"/>
      <c r="BJ42" s="9"/>
      <c r="BK42" s="9"/>
      <c r="BL42" s="9"/>
      <c r="BM42" s="9"/>
      <c r="BN42" s="9"/>
      <c r="BO42" s="9"/>
      <c r="BP42" s="9"/>
      <c r="BQ42" s="9"/>
      <c r="BR42" s="9"/>
      <c r="BS42" s="9"/>
      <c r="BT42" s="9"/>
      <c r="BU42" s="9"/>
      <c r="BV42" s="9"/>
    </row>
    <row r="43" spans="1:75" ht="12.75" customHeight="1" x14ac:dyDescent="0.2">
      <c r="A43" s="203"/>
      <c r="B43" s="203"/>
      <c r="C43" s="203"/>
      <c r="D43" s="2"/>
      <c r="H43" s="203"/>
      <c r="I43" s="203"/>
      <c r="J43" s="203"/>
      <c r="K43" s="203"/>
      <c r="L43" s="203"/>
      <c r="M43" s="203"/>
      <c r="N43" s="203"/>
      <c r="O43" s="203"/>
      <c r="P43" s="203"/>
      <c r="Q43" s="203"/>
      <c r="R43" s="203"/>
      <c r="S43" s="203"/>
      <c r="T43" s="203"/>
      <c r="U43" s="203"/>
      <c r="V43" s="203"/>
      <c r="W43" s="195"/>
      <c r="X43" s="195"/>
      <c r="Z43" s="195"/>
      <c r="AA43" s="195"/>
      <c r="AB43" s="195"/>
      <c r="AC43" s="195"/>
      <c r="AD43" s="195"/>
      <c r="AE43" s="195"/>
      <c r="AF43" s="195"/>
      <c r="AI43" s="195"/>
      <c r="AJ43" s="195"/>
      <c r="AK43" s="195"/>
      <c r="AP43" s="195"/>
      <c r="AQ43" s="195"/>
      <c r="AR43" s="195"/>
      <c r="AS43" s="90"/>
      <c r="AT43" s="90"/>
      <c r="AU43" s="90"/>
      <c r="AV43" s="90"/>
      <c r="AW43" s="90"/>
      <c r="AX43" s="90"/>
      <c r="AY43" s="90"/>
      <c r="AZ43" s="90"/>
      <c r="BA43" s="90"/>
      <c r="BB43" s="90"/>
      <c r="BC43" s="74"/>
      <c r="BD43" s="9"/>
      <c r="BE43" s="10"/>
      <c r="BF43" s="9"/>
      <c r="BG43" s="9"/>
      <c r="BH43" s="9"/>
      <c r="BI43" s="9"/>
      <c r="BJ43" s="9"/>
      <c r="BK43" s="9"/>
      <c r="BL43" s="9"/>
      <c r="BM43" s="9"/>
      <c r="BN43" s="9"/>
      <c r="BO43" s="9"/>
      <c r="BP43" s="9"/>
      <c r="BQ43" s="9"/>
      <c r="BR43" s="9"/>
      <c r="BS43" s="9"/>
      <c r="BT43" s="9"/>
      <c r="BU43" s="9"/>
      <c r="BV43" s="9"/>
    </row>
    <row r="44" spans="1:75" ht="12.75" customHeight="1" x14ac:dyDescent="0.2">
      <c r="A44" s="212"/>
      <c r="B44" s="19"/>
      <c r="C44" s="213"/>
      <c r="D44" s="2"/>
      <c r="F44" s="56"/>
      <c r="G44" s="56"/>
      <c r="H44" s="9"/>
      <c r="I44" s="9"/>
      <c r="K44" s="55"/>
      <c r="S44" s="55"/>
      <c r="T44" s="9"/>
      <c r="V44" s="55"/>
      <c r="AF44" s="55"/>
      <c r="AI44" s="55"/>
      <c r="AJ44" s="1"/>
      <c r="AO44" s="4"/>
      <c r="AP44" s="9"/>
      <c r="AQ44" s="9"/>
      <c r="AR44" s="8"/>
      <c r="AS44" s="9"/>
      <c r="AT44" s="10"/>
      <c r="AU44" s="9"/>
      <c r="AV44" s="9"/>
      <c r="AW44" s="9"/>
      <c r="AX44" s="9"/>
      <c r="AY44" s="9"/>
      <c r="AZ44" s="9"/>
      <c r="BA44" s="9"/>
      <c r="BB44" s="9"/>
      <c r="BC44" s="9"/>
      <c r="BD44" s="9"/>
      <c r="BE44" s="10"/>
      <c r="BF44" s="9" t="str">
        <f>IF(OR(IFERROR(VLOOKUP(BP44,#REF!,MATCH("Price To Earnings",#REF!,0),FALSE),"-")&lt;0,IFERROR(VLOOKUP(BP44,#REF!,MATCH("Price To Earnings",#REF!,0),FALSE),"-")&gt;500),"-",IFERROR(VLOOKUP(BP44,#REF!,MATCH("Price To Earnings",#REF!,0),FALSE),"-"))</f>
        <v>-</v>
      </c>
      <c r="BG44" s="9"/>
      <c r="BH44" s="9"/>
      <c r="BI44" s="9"/>
      <c r="BJ44" s="9"/>
      <c r="BK44" s="9"/>
      <c r="BL44" s="9"/>
      <c r="BM44" s="9"/>
      <c r="BN44" s="9"/>
      <c r="BO44" s="9"/>
      <c r="BP44" s="9"/>
      <c r="BQ44" s="9"/>
      <c r="BR44" s="9"/>
      <c r="BS44" s="9"/>
      <c r="BT44" s="9"/>
      <c r="BU44" s="9"/>
      <c r="BV44" s="9"/>
    </row>
    <row r="45" spans="1:75" ht="12.75" customHeight="1" x14ac:dyDescent="0.2">
      <c r="A45" s="214"/>
      <c r="B45" s="19"/>
      <c r="C45" s="213"/>
      <c r="D45" s="2"/>
      <c r="F45" s="215"/>
      <c r="G45" s="215"/>
      <c r="H45" s="9"/>
      <c r="I45" s="9"/>
      <c r="K45" s="58"/>
      <c r="S45" s="58"/>
      <c r="T45" s="9"/>
      <c r="V45" s="58"/>
      <c r="AF45" s="58"/>
      <c r="AI45" s="58"/>
      <c r="AJ45" s="1"/>
      <c r="AO45" s="4"/>
      <c r="AP45" s="9"/>
      <c r="AQ45" s="9"/>
      <c r="AR45" s="8"/>
      <c r="AS45" s="9"/>
      <c r="AT45" s="10"/>
      <c r="AU45" s="9"/>
      <c r="AV45" s="9"/>
      <c r="AW45" s="9"/>
      <c r="AX45" s="9"/>
      <c r="AY45" s="9"/>
      <c r="AZ45" s="9"/>
      <c r="BA45" s="9"/>
      <c r="BB45" s="9"/>
      <c r="BC45" s="9"/>
      <c r="BD45" s="9"/>
      <c r="BE45" s="10"/>
      <c r="BF45" s="9" t="str">
        <f>IF(OR(IFERROR(VLOOKUP(BP45,#REF!,MATCH("Price To Earnings",#REF!,0),FALSE),"-")&lt;0,IFERROR(VLOOKUP(BP45,#REF!,MATCH("Price To Earnings",#REF!,0),FALSE),"-")&gt;500),"-",IFERROR(VLOOKUP(BP45,#REF!,MATCH("Price To Earnings",#REF!,0),FALSE),"-"))</f>
        <v>-</v>
      </c>
      <c r="BG45" s="9"/>
      <c r="BH45" s="9"/>
      <c r="BI45" s="9"/>
      <c r="BJ45" s="9"/>
      <c r="BK45" s="9"/>
      <c r="BL45" s="9"/>
      <c r="BM45" s="9"/>
      <c r="BN45" s="9"/>
      <c r="BO45" s="9"/>
      <c r="BP45" s="9"/>
      <c r="BQ45" s="9"/>
      <c r="BR45" s="9"/>
      <c r="BS45" s="9"/>
      <c r="BT45" s="9"/>
      <c r="BU45" s="9"/>
      <c r="BV45" s="9"/>
    </row>
    <row r="46" spans="1:75" ht="12.75" customHeight="1" x14ac:dyDescent="0.2">
      <c r="A46" s="21"/>
      <c r="B46" s="216"/>
      <c r="C46" s="213"/>
      <c r="D46" s="2"/>
      <c r="F46" s="217"/>
      <c r="G46" s="217"/>
      <c r="H46" s="9"/>
      <c r="I46" s="9"/>
      <c r="K46" s="58"/>
      <c r="S46" s="58"/>
      <c r="T46" s="9"/>
      <c r="V46" s="58"/>
      <c r="AF46" s="58"/>
      <c r="AI46" s="58"/>
      <c r="AJ46" s="1"/>
      <c r="AO46" s="4"/>
      <c r="AP46" s="9"/>
      <c r="AQ46" s="9"/>
      <c r="AR46" s="8"/>
      <c r="AS46" s="150"/>
      <c r="AT46" s="187"/>
      <c r="AU46" s="150"/>
      <c r="AV46" s="9"/>
      <c r="AW46" s="9"/>
      <c r="AX46" s="9"/>
      <c r="AY46" s="9"/>
      <c r="AZ46" s="9"/>
      <c r="BA46" s="9"/>
      <c r="BB46" s="9"/>
      <c r="BC46" s="9"/>
      <c r="BD46" s="9"/>
      <c r="BE46" s="10"/>
      <c r="BF46" s="9" t="str">
        <f>IF(OR(IFERROR(VLOOKUP(BP46,#REF!,MATCH("Price To Earnings",#REF!,0),FALSE),"-")&lt;0,IFERROR(VLOOKUP(BP46,#REF!,MATCH("Price To Earnings",#REF!,0),FALSE),"-")&gt;500),"-",IFERROR(VLOOKUP(BP46,#REF!,MATCH("Price To Earnings",#REF!,0),FALSE),"-"))</f>
        <v>-</v>
      </c>
      <c r="BG46" s="9"/>
      <c r="BH46" s="9"/>
      <c r="BI46" s="9"/>
      <c r="BJ46" s="9"/>
      <c r="BK46" s="9"/>
      <c r="BL46" s="9"/>
      <c r="BM46" s="9"/>
      <c r="BN46" s="9"/>
      <c r="BO46" s="9"/>
      <c r="BP46" s="9"/>
      <c r="BQ46" s="9"/>
      <c r="BR46" s="9"/>
      <c r="BS46" s="9"/>
      <c r="BT46" s="9"/>
      <c r="BU46" s="9"/>
      <c r="BV46" s="9"/>
    </row>
    <row r="47" spans="1:75" ht="12.75" customHeight="1" x14ac:dyDescent="0.2">
      <c r="A47" s="218"/>
      <c r="B47" s="19"/>
      <c r="C47" s="213"/>
      <c r="D47" s="2"/>
      <c r="F47" s="57"/>
      <c r="G47" s="59"/>
      <c r="H47" s="9"/>
      <c r="I47" s="9"/>
      <c r="K47" s="58"/>
      <c r="S47" s="58"/>
      <c r="T47" s="9"/>
      <c r="V47" s="58"/>
      <c r="AF47" s="58"/>
      <c r="AI47" s="58"/>
      <c r="AJ47" s="1"/>
      <c r="AO47" s="4"/>
      <c r="AP47" s="9"/>
      <c r="AQ47" s="9"/>
      <c r="AR47" s="8"/>
      <c r="AS47" s="9"/>
      <c r="AT47" s="10"/>
      <c r="AU47" s="9"/>
      <c r="AV47" s="9"/>
      <c r="AW47" s="9"/>
      <c r="AX47" s="9"/>
      <c r="AY47" s="9"/>
      <c r="AZ47" s="9"/>
      <c r="BA47" s="9"/>
      <c r="BB47" s="9"/>
      <c r="BC47" s="9"/>
      <c r="BD47" s="9"/>
      <c r="BE47" s="10"/>
      <c r="BF47" s="9" t="str">
        <f>IF(OR(IFERROR(VLOOKUP(BP47,#REF!,MATCH("Price To Earnings",#REF!,0),FALSE),"-")&lt;0,IFERROR(VLOOKUP(BP47,#REF!,MATCH("Price To Earnings",#REF!,0),FALSE),"-")&gt;500),"-",IFERROR(VLOOKUP(BP47,#REF!,MATCH("Price To Earnings",#REF!,0),FALSE),"-"))</f>
        <v>-</v>
      </c>
      <c r="BG47" s="9"/>
      <c r="BH47" s="9"/>
      <c r="BI47" s="9"/>
      <c r="BJ47" s="9"/>
      <c r="BK47" s="9"/>
      <c r="BL47" s="9"/>
      <c r="BM47" s="9"/>
      <c r="BN47" s="9"/>
      <c r="BO47" s="9"/>
      <c r="BP47" s="9"/>
      <c r="BQ47" s="9"/>
      <c r="BR47" s="9"/>
      <c r="BS47" s="9"/>
      <c r="BT47" s="9"/>
      <c r="BU47" s="9"/>
      <c r="BV47" s="9"/>
    </row>
    <row r="48" spans="1:75" ht="12.75" customHeight="1" x14ac:dyDescent="0.2">
      <c r="A48" s="218"/>
      <c r="B48" s="19"/>
      <c r="C48" s="213"/>
      <c r="D48" s="2"/>
      <c r="G48" s="58"/>
      <c r="I48" s="57"/>
      <c r="J48" s="59"/>
      <c r="K48" s="9"/>
      <c r="L48" s="9"/>
      <c r="M48" s="58"/>
      <c r="O48" s="58"/>
      <c r="P48" s="4"/>
      <c r="Q48" s="9"/>
      <c r="S48" s="58"/>
      <c r="T48" s="9"/>
      <c r="U48" s="4"/>
      <c r="V48" s="4"/>
      <c r="W48" s="58"/>
      <c r="AE48" s="58"/>
      <c r="AJ48" s="1"/>
      <c r="AM48" s="58"/>
      <c r="AN48" s="58"/>
      <c r="AO48" s="4"/>
      <c r="AP48" s="9"/>
      <c r="AQ48" s="9"/>
      <c r="AR48" s="8"/>
      <c r="AS48" s="9"/>
      <c r="AT48" s="10"/>
      <c r="AU48" s="9"/>
      <c r="AV48" s="9"/>
      <c r="AW48" s="9"/>
      <c r="AX48" s="9"/>
      <c r="AY48" s="9"/>
      <c r="AZ48" s="9"/>
      <c r="BA48" s="9"/>
      <c r="BB48" s="9"/>
      <c r="BC48" s="9"/>
      <c r="BD48" s="9"/>
      <c r="BE48" s="10"/>
      <c r="BF48" s="9" t="str">
        <f>IF(OR(IFERROR(VLOOKUP(BP48,#REF!,MATCH("Price To Earnings",#REF!,0),FALSE),"-")&lt;0,IFERROR(VLOOKUP(BP48,#REF!,MATCH("Price To Earnings",#REF!,0),FALSE),"-")&gt;500),"-",IFERROR(VLOOKUP(BP48,#REF!,MATCH("Price To Earnings",#REF!,0),FALSE),"-"))</f>
        <v>-</v>
      </c>
      <c r="BG48" s="9"/>
      <c r="BH48" s="9"/>
      <c r="BI48" s="9"/>
      <c r="BJ48" s="9"/>
      <c r="BK48" s="9"/>
      <c r="BL48" s="9"/>
      <c r="BM48" s="9"/>
      <c r="BN48" s="9"/>
      <c r="BO48" s="9"/>
      <c r="BP48" s="9"/>
      <c r="BQ48" s="9"/>
      <c r="BR48" s="9"/>
      <c r="BS48" s="9"/>
      <c r="BT48" s="9"/>
      <c r="BU48" s="9"/>
      <c r="BV48" s="9"/>
    </row>
    <row r="49" spans="1:75" ht="12.75" customHeight="1" x14ac:dyDescent="0.2">
      <c r="A49" s="218"/>
      <c r="B49" s="19"/>
      <c r="C49" s="213"/>
      <c r="D49" s="2"/>
      <c r="H49" s="218"/>
      <c r="I49" s="8"/>
      <c r="J49" s="8"/>
      <c r="K49" s="8"/>
      <c r="L49" s="8"/>
      <c r="M49" s="219"/>
      <c r="N49" s="8"/>
      <c r="O49" s="19"/>
      <c r="P49" s="218"/>
      <c r="Q49" s="218"/>
      <c r="R49" s="218"/>
      <c r="S49" s="218"/>
      <c r="T49" s="218"/>
      <c r="U49" s="218"/>
      <c r="V49" s="218"/>
      <c r="W49" s="19"/>
      <c r="X49" s="8"/>
      <c r="Z49" s="8"/>
      <c r="AA49" s="8"/>
      <c r="AB49" s="8"/>
      <c r="AC49" s="8"/>
      <c r="AD49" s="8"/>
      <c r="AE49" s="8"/>
      <c r="AF49" s="8"/>
      <c r="AG49" s="8"/>
      <c r="AH49" s="8"/>
      <c r="AI49" s="8"/>
      <c r="AK49" s="8"/>
      <c r="AP49" s="8"/>
      <c r="AQ49" s="8"/>
      <c r="AR49" s="8"/>
      <c r="AS49" s="9"/>
      <c r="AT49" s="10"/>
      <c r="AU49" s="9"/>
      <c r="AV49" s="9"/>
      <c r="AW49" s="9"/>
      <c r="AX49" s="9"/>
      <c r="AY49" s="9"/>
      <c r="AZ49" s="9"/>
      <c r="BA49" s="9"/>
      <c r="BB49" s="9"/>
      <c r="BC49" s="9"/>
      <c r="BD49" s="9"/>
      <c r="BE49" s="10"/>
      <c r="BF49" s="9" t="str">
        <f>IF(OR(IFERROR(VLOOKUP(BP49,#REF!,MATCH("Price To Earnings",#REF!,0),FALSE),"-")&lt;0,IFERROR(VLOOKUP(BP49,#REF!,MATCH("Price To Earnings",#REF!,0),FALSE),"-")&gt;500),"-",IFERROR(VLOOKUP(BP49,#REF!,MATCH("Price To Earnings",#REF!,0),FALSE),"-"))</f>
        <v>-</v>
      </c>
      <c r="BG49" s="9"/>
      <c r="BH49" s="9"/>
      <c r="BI49" s="9"/>
      <c r="BJ49" s="9"/>
      <c r="BK49" s="9"/>
      <c r="BL49" s="9"/>
      <c r="BM49" s="9"/>
      <c r="BN49" s="9"/>
      <c r="BO49" s="9"/>
      <c r="BP49" s="9"/>
      <c r="BQ49" s="9"/>
      <c r="BR49" s="9"/>
      <c r="BS49" s="9"/>
      <c r="BT49" s="9"/>
      <c r="BU49" s="9"/>
      <c r="BV49" s="9"/>
    </row>
    <row r="50" spans="1:75" ht="12.75" customHeight="1" x14ac:dyDescent="0.2">
      <c r="A50" s="218"/>
      <c r="B50" s="19"/>
      <c r="C50" s="213"/>
      <c r="D50" s="2"/>
      <c r="H50" s="218"/>
      <c r="I50" s="8"/>
      <c r="J50" s="8"/>
      <c r="K50" s="8"/>
      <c r="L50" s="8"/>
      <c r="M50" s="8"/>
      <c r="N50" s="8"/>
      <c r="P50" s="218"/>
      <c r="Q50" s="218"/>
      <c r="R50" s="218"/>
      <c r="S50" s="218"/>
      <c r="T50" s="218"/>
      <c r="U50" s="218"/>
      <c r="V50" s="218"/>
      <c r="W50" s="19"/>
      <c r="X50" s="8"/>
      <c r="Z50" s="8"/>
      <c r="AA50" s="8"/>
      <c r="AB50" s="8"/>
      <c r="AC50" s="8"/>
      <c r="AD50" s="8"/>
      <c r="AE50" s="8"/>
      <c r="AF50" s="8"/>
      <c r="AG50" s="8"/>
      <c r="AH50" s="8"/>
      <c r="AI50" s="8"/>
      <c r="AK50" s="8"/>
      <c r="AP50" s="8"/>
      <c r="AQ50" s="8"/>
      <c r="AR50" s="8"/>
      <c r="AS50" s="9"/>
      <c r="AT50" s="10"/>
      <c r="AU50" s="9"/>
      <c r="AV50" s="9"/>
      <c r="AW50" s="9"/>
      <c r="AX50" s="9"/>
      <c r="AY50" s="9"/>
      <c r="AZ50" s="9"/>
      <c r="BA50" s="9"/>
      <c r="BB50" s="9"/>
      <c r="BC50" s="9"/>
      <c r="BD50" s="9"/>
      <c r="BE50" s="10"/>
      <c r="BF50" s="9"/>
      <c r="BG50" s="9"/>
      <c r="BH50" s="9"/>
      <c r="BI50" s="9"/>
      <c r="BJ50" s="9"/>
      <c r="BK50" s="9"/>
      <c r="BL50" s="9"/>
      <c r="BM50" s="9"/>
      <c r="BN50" s="9"/>
      <c r="BO50" s="9"/>
      <c r="BP50" s="9"/>
      <c r="BQ50" s="9"/>
      <c r="BR50" s="9"/>
      <c r="BS50" s="9"/>
      <c r="BT50" s="9"/>
      <c r="BU50" s="9"/>
      <c r="BV50" s="9"/>
    </row>
    <row r="51" spans="1:75" ht="12.75" customHeight="1" x14ac:dyDescent="0.2">
      <c r="A51" s="218"/>
      <c r="B51" s="216"/>
      <c r="C51" s="220"/>
      <c r="D51" s="221"/>
      <c r="E51" s="8"/>
      <c r="F51" s="8"/>
      <c r="G51" s="8"/>
      <c r="H51" s="8"/>
      <c r="I51" s="8"/>
      <c r="J51" s="8"/>
      <c r="L51" s="221"/>
      <c r="M51" s="221"/>
      <c r="N51" s="221"/>
      <c r="O51" s="221"/>
      <c r="P51" s="222" t="s">
        <v>185</v>
      </c>
      <c r="T51" s="218"/>
      <c r="V51" s="223" t="s">
        <v>183</v>
      </c>
      <c r="Y51" s="8"/>
      <c r="AA51" s="224" t="s">
        <v>184</v>
      </c>
      <c r="AB51" s="8"/>
      <c r="AC51" s="8"/>
      <c r="AD51" s="8"/>
      <c r="AE51" s="8"/>
      <c r="AF51" s="8"/>
      <c r="AG51" s="8"/>
      <c r="AH51" s="8"/>
      <c r="AI51" s="8"/>
      <c r="AO51" s="8"/>
      <c r="AP51" s="8"/>
      <c r="AQ51" s="8"/>
      <c r="AR51" s="8"/>
      <c r="AS51" s="9"/>
      <c r="AT51" s="10"/>
      <c r="AU51" s="9"/>
      <c r="AV51" s="9"/>
      <c r="AW51" s="9"/>
      <c r="AX51" s="9"/>
      <c r="AY51" s="9"/>
      <c r="AZ51" s="9"/>
      <c r="BA51" s="9"/>
      <c r="BB51" s="9"/>
      <c r="BC51" s="9"/>
      <c r="BD51" s="9"/>
      <c r="BE51" s="10"/>
      <c r="BF51" s="9" t="str">
        <f>IF(OR(IFERROR(VLOOKUP(BP51,#REF!,MATCH("Price To Earnings",#REF!,0),FALSE),"-")&lt;0,IFERROR(VLOOKUP(BP51,#REF!,MATCH("Price To Earnings",#REF!,0),FALSE),"-")&gt;500),"-",IFERROR(VLOOKUP(BP51,#REF!,MATCH("Price To Earnings",#REF!,0),FALSE),"-"))</f>
        <v>-</v>
      </c>
      <c r="BG51" s="9"/>
      <c r="BH51" s="9"/>
      <c r="BI51" s="9"/>
      <c r="BJ51" s="9"/>
      <c r="BK51" s="9"/>
      <c r="BL51" s="9"/>
      <c r="BM51" s="9"/>
      <c r="BN51" s="9"/>
      <c r="BO51" s="9"/>
      <c r="BP51" s="9"/>
      <c r="BQ51" s="9"/>
      <c r="BR51" s="9"/>
      <c r="BS51" s="9"/>
      <c r="BT51" s="9"/>
      <c r="BU51" s="9"/>
      <c r="BV51" s="9"/>
    </row>
    <row r="52" spans="1:75" ht="12.75" customHeight="1" x14ac:dyDescent="0.2">
      <c r="A52" s="218"/>
      <c r="B52" s="216"/>
      <c r="C52" s="220"/>
      <c r="D52" s="221"/>
      <c r="E52" s="8"/>
      <c r="F52" s="8"/>
      <c r="G52" s="8"/>
      <c r="H52" s="8"/>
      <c r="I52" s="8"/>
      <c r="J52" s="8"/>
      <c r="L52" s="221"/>
      <c r="M52" s="221"/>
      <c r="N52" s="221"/>
      <c r="O52" s="221"/>
      <c r="P52" s="222"/>
      <c r="T52" s="218"/>
      <c r="V52" s="223"/>
      <c r="Y52" s="8"/>
      <c r="AA52" s="224"/>
      <c r="AB52" s="8"/>
      <c r="AC52" s="8"/>
      <c r="AD52" s="8"/>
      <c r="AE52" s="8"/>
      <c r="AF52" s="8"/>
      <c r="AG52" s="8"/>
      <c r="AH52" s="8"/>
      <c r="AI52" s="8"/>
      <c r="AO52" s="8"/>
      <c r="AP52" s="8"/>
      <c r="AQ52" s="8"/>
      <c r="AR52" s="8"/>
      <c r="AS52" s="9"/>
      <c r="AT52" s="10"/>
      <c r="AU52" s="9"/>
      <c r="AV52" s="9"/>
      <c r="AW52" s="9"/>
      <c r="AX52" s="9"/>
      <c r="AY52" s="9"/>
      <c r="AZ52" s="9"/>
      <c r="BA52" s="9"/>
      <c r="BB52" s="9"/>
      <c r="BC52" s="9"/>
      <c r="BD52" s="9"/>
      <c r="BE52" s="10"/>
      <c r="BF52" s="9" t="str">
        <f>IF(OR(IFERROR(VLOOKUP(BP52,#REF!,MATCH("Price To Earnings",#REF!,0),FALSE),"-")&lt;0,IFERROR(VLOOKUP(BP52,#REF!,MATCH("Price To Earnings",#REF!,0),FALSE),"-")&gt;500),"-",IFERROR(VLOOKUP(BP52,#REF!,MATCH("Price To Earnings",#REF!,0),FALSE),"-"))</f>
        <v>-</v>
      </c>
      <c r="BG52" s="9"/>
      <c r="BH52" s="9"/>
      <c r="BI52" s="9"/>
      <c r="BJ52" s="9"/>
      <c r="BK52" s="9"/>
      <c r="BL52" s="9"/>
      <c r="BM52" s="9"/>
      <c r="BN52" s="9"/>
      <c r="BO52" s="9"/>
      <c r="BP52" s="9"/>
      <c r="BQ52" s="9"/>
      <c r="BR52" s="9"/>
      <c r="BS52" s="9"/>
      <c r="BT52" s="9"/>
      <c r="BU52" s="9"/>
      <c r="BV52" s="9"/>
      <c r="BW52" s="9"/>
    </row>
    <row r="53" spans="1:75" ht="12.75" customHeight="1" x14ac:dyDescent="0.2">
      <c r="A53" s="4"/>
      <c r="B53" s="4"/>
      <c r="C53" s="9"/>
      <c r="D53" s="59"/>
      <c r="E53" s="59"/>
      <c r="F53" s="59"/>
      <c r="G53" s="59"/>
      <c r="H53" s="155"/>
      <c r="I53" s="9"/>
      <c r="J53" s="9"/>
      <c r="K53" s="9"/>
      <c r="L53" s="154"/>
      <c r="M53" s="9"/>
      <c r="N53" s="156"/>
      <c r="O53" s="9"/>
      <c r="P53" s="9"/>
      <c r="Q53" s="4"/>
      <c r="R53" s="9"/>
      <c r="S53" s="157"/>
      <c r="T53" s="4"/>
      <c r="U53" s="4"/>
      <c r="V53" s="4"/>
      <c r="W53" s="4"/>
      <c r="X53" s="4"/>
      <c r="Y53" s="4"/>
      <c r="Z53" s="4"/>
      <c r="AA53" s="4"/>
      <c r="AB53" s="4"/>
      <c r="AC53" s="9"/>
      <c r="AD53" s="9"/>
      <c r="AE53" s="9"/>
      <c r="AF53" s="9"/>
      <c r="AG53" s="4"/>
      <c r="AH53" s="4"/>
      <c r="AI53" s="4"/>
      <c r="AJ53" s="4"/>
      <c r="AK53" s="9"/>
      <c r="AL53" s="9"/>
      <c r="AM53" s="9"/>
      <c r="AN53" s="9"/>
      <c r="AO53" s="9"/>
      <c r="AP53" s="9"/>
      <c r="AQ53" s="9"/>
      <c r="AR53" s="9"/>
      <c r="AS53" s="9"/>
      <c r="AT53" s="10"/>
      <c r="AU53" s="9"/>
      <c r="AV53" s="9"/>
      <c r="AW53" s="9"/>
      <c r="AX53" s="9"/>
      <c r="AY53" s="9"/>
      <c r="AZ53" s="9"/>
      <c r="BA53" s="9"/>
      <c r="BB53" s="9"/>
      <c r="BC53" s="9"/>
      <c r="BD53" s="9"/>
      <c r="BE53" s="10"/>
      <c r="BF53" s="9" t="str">
        <f>IF(OR(IFERROR(VLOOKUP(BP53,#REF!,MATCH("Price To Earnings",#REF!,0),FALSE),"-")&lt;0,IFERROR(VLOOKUP(BP53,#REF!,MATCH("Price To Earnings",#REF!,0),FALSE),"-")&gt;500),"-",IFERROR(VLOOKUP(BP53,#REF!,MATCH("Price To Earnings",#REF!,0),FALSE),"-"))</f>
        <v>-</v>
      </c>
      <c r="BG53" s="9"/>
      <c r="BH53" s="9"/>
      <c r="BI53" s="9"/>
      <c r="BJ53" s="9"/>
      <c r="BK53" s="9"/>
      <c r="BL53" s="9"/>
      <c r="BM53" s="9"/>
      <c r="BN53" s="9"/>
      <c r="BO53" s="9"/>
      <c r="BP53" s="9"/>
      <c r="BQ53" s="9"/>
      <c r="BR53" s="9"/>
      <c r="BS53" s="9"/>
      <c r="BT53" s="9"/>
      <c r="BU53" s="9"/>
      <c r="BV53" s="9"/>
    </row>
    <row r="54" spans="1:75" ht="12.75" customHeight="1" x14ac:dyDescent="0.2">
      <c r="A54" s="4"/>
      <c r="B54" s="4"/>
      <c r="C54" s="9"/>
      <c r="D54" s="59"/>
      <c r="E54" s="59"/>
      <c r="F54" s="59"/>
      <c r="G54" s="59"/>
      <c r="H54" s="155"/>
      <c r="I54" s="9"/>
      <c r="J54" s="9"/>
      <c r="K54" s="9"/>
      <c r="L54" s="154"/>
      <c r="M54" s="9"/>
      <c r="N54" s="156"/>
      <c r="O54" s="9"/>
      <c r="P54" s="9"/>
      <c r="Q54" s="4"/>
      <c r="R54" s="9"/>
      <c r="S54" s="157"/>
      <c r="T54" s="4"/>
      <c r="U54" s="4"/>
      <c r="V54" s="4"/>
      <c r="W54" s="4"/>
      <c r="X54" s="4"/>
      <c r="Y54" s="4"/>
      <c r="Z54" s="4"/>
      <c r="AA54" s="4"/>
      <c r="AB54" s="4"/>
      <c r="AC54" s="9"/>
      <c r="AD54" s="9"/>
      <c r="AE54" s="9"/>
      <c r="AF54" s="9"/>
      <c r="AG54" s="4"/>
      <c r="AH54" s="4"/>
      <c r="AI54" s="4"/>
      <c r="AJ54" s="4"/>
      <c r="AK54" s="9"/>
      <c r="AL54" s="9"/>
      <c r="AM54" s="9"/>
      <c r="AN54" s="9"/>
      <c r="AO54" s="9"/>
      <c r="AP54" s="9"/>
      <c r="AQ54" s="9"/>
      <c r="AR54" s="9"/>
      <c r="AS54" s="9"/>
      <c r="AT54" s="10"/>
      <c r="AU54" s="9"/>
      <c r="AV54" s="9"/>
      <c r="AW54" s="9"/>
      <c r="AX54" s="9"/>
      <c r="AY54" s="9"/>
      <c r="AZ54" s="9"/>
      <c r="BA54" s="9"/>
      <c r="BB54" s="9"/>
      <c r="BC54" s="9"/>
      <c r="BD54" s="9"/>
      <c r="BE54" s="10"/>
      <c r="BF54" s="9"/>
      <c r="BG54" s="9"/>
      <c r="BH54" s="9"/>
      <c r="BI54" s="9"/>
      <c r="BJ54" s="9"/>
      <c r="BK54" s="9"/>
      <c r="BL54" s="9"/>
      <c r="BM54" s="9"/>
      <c r="BN54" s="9"/>
      <c r="BO54" s="9"/>
      <c r="BP54" s="9"/>
      <c r="BQ54" s="9"/>
      <c r="BR54" s="9"/>
      <c r="BS54" s="9"/>
      <c r="BT54" s="9"/>
      <c r="BU54" s="9"/>
      <c r="BV54" s="9"/>
    </row>
    <row r="55" spans="1:75" ht="12.75" customHeight="1" x14ac:dyDescent="0.2">
      <c r="A55" s="4"/>
      <c r="B55" s="4"/>
      <c r="C55" s="9"/>
      <c r="D55" s="59"/>
      <c r="E55" s="59"/>
      <c r="F55" s="59"/>
      <c r="G55" s="59"/>
      <c r="H55" s="4"/>
      <c r="I55" s="59"/>
      <c r="J55" s="59"/>
      <c r="K55" s="154"/>
      <c r="L55" s="154"/>
      <c r="M55" s="9"/>
      <c r="N55" s="57"/>
      <c r="O55" s="4"/>
      <c r="P55" s="4"/>
      <c r="Q55" s="4"/>
      <c r="R55" s="4"/>
      <c r="S55" s="4"/>
      <c r="T55" s="4"/>
      <c r="U55" s="4"/>
      <c r="V55" s="4"/>
      <c r="W55" s="4"/>
      <c r="X55" s="4"/>
      <c r="Y55" s="4"/>
      <c r="Z55" s="4"/>
      <c r="AA55" s="4"/>
      <c r="AB55" s="4"/>
      <c r="AC55" s="4"/>
      <c r="AD55" s="4"/>
      <c r="AE55" s="4"/>
      <c r="AF55" s="4"/>
      <c r="AG55" s="4"/>
      <c r="AH55" s="4"/>
      <c r="AI55" s="4"/>
      <c r="AJ55" s="4"/>
      <c r="AK55" s="9"/>
      <c r="AL55" s="9"/>
      <c r="AM55" s="9"/>
      <c r="AN55" s="9"/>
      <c r="AO55" s="9"/>
      <c r="AP55" s="9"/>
      <c r="AQ55" s="9"/>
      <c r="AR55" s="9"/>
      <c r="AS55" s="9"/>
      <c r="AT55" s="10"/>
      <c r="AU55" s="9"/>
      <c r="AV55" s="9"/>
      <c r="AW55" s="9"/>
      <c r="AX55" s="9"/>
      <c r="AY55" s="9"/>
      <c r="AZ55" s="9"/>
      <c r="BA55" s="9"/>
      <c r="BB55" s="9"/>
      <c r="BC55" s="9"/>
      <c r="BD55" s="9"/>
      <c r="BE55" s="10"/>
      <c r="BF55" s="9" t="str">
        <f>IF(OR(IFERROR(VLOOKUP(BP55,#REF!,MATCH("Price To Earnings",#REF!,0),FALSE),"-")&lt;0,IFERROR(VLOOKUP(BP55,#REF!,MATCH("Price To Earnings",#REF!,0),FALSE),"-")&gt;500),"-",IFERROR(VLOOKUP(BP55,#REF!,MATCH("Price To Earnings",#REF!,0),FALSE),"-"))</f>
        <v>-</v>
      </c>
      <c r="BG55" s="9"/>
      <c r="BH55" s="9"/>
      <c r="BI55" s="9"/>
      <c r="BJ55" s="9"/>
      <c r="BK55" s="9"/>
      <c r="BL55" s="9"/>
      <c r="BM55" s="9"/>
      <c r="BN55" s="9"/>
      <c r="BO55" s="9"/>
      <c r="BP55" s="9"/>
      <c r="BQ55" s="9"/>
      <c r="BR55" s="9"/>
      <c r="BS55" s="9"/>
      <c r="BT55" s="9"/>
      <c r="BU55" s="9"/>
      <c r="BV55" s="9"/>
    </row>
    <row r="56" spans="1:75" ht="12.75" customHeight="1" x14ac:dyDescent="0.2">
      <c r="A56" s="4"/>
      <c r="B56" s="4"/>
      <c r="C56" s="9"/>
      <c r="D56" s="59"/>
      <c r="E56" s="158"/>
      <c r="F56" s="59"/>
      <c r="G56" s="59"/>
      <c r="H56" s="4"/>
      <c r="I56" s="154"/>
      <c r="J56" s="59"/>
      <c r="K56" s="154"/>
      <c r="L56" s="154"/>
      <c r="M56" s="9"/>
      <c r="N56" s="57"/>
      <c r="O56" s="4"/>
      <c r="P56" s="4"/>
      <c r="Q56" s="4"/>
      <c r="R56" s="4"/>
      <c r="S56" s="4"/>
      <c r="T56" s="4"/>
      <c r="U56" s="4"/>
      <c r="V56" s="4"/>
      <c r="W56" s="4"/>
      <c r="X56" s="4"/>
      <c r="Y56" s="4"/>
      <c r="Z56" s="4"/>
      <c r="AA56" s="4"/>
      <c r="AB56" s="4"/>
      <c r="AC56" s="4"/>
      <c r="AD56" s="4"/>
      <c r="AE56" s="4"/>
      <c r="AF56" s="4"/>
      <c r="AG56" s="4"/>
      <c r="AH56" s="4"/>
      <c r="AI56" s="4"/>
      <c r="AJ56" s="4"/>
      <c r="AK56" s="9"/>
      <c r="AL56" s="10"/>
      <c r="AM56" s="9"/>
      <c r="AN56" s="9"/>
      <c r="AO56" s="9"/>
      <c r="AP56" s="9"/>
      <c r="AQ56" s="9"/>
      <c r="AR56" s="9"/>
      <c r="AS56" s="9"/>
      <c r="AT56" s="10"/>
      <c r="AU56" s="9"/>
      <c r="AV56" s="9"/>
      <c r="AW56" s="9"/>
      <c r="AX56" s="9"/>
      <c r="AY56" s="9"/>
      <c r="AZ56" s="9"/>
      <c r="BA56" s="9"/>
      <c r="BB56" s="9"/>
      <c r="BC56" s="9"/>
      <c r="BD56" s="9"/>
      <c r="BE56" s="10"/>
      <c r="BF56" s="9" t="str">
        <f>IF(OR(IFERROR(VLOOKUP(BP56,#REF!,MATCH("Price To Earnings",#REF!,0),FALSE),"-")&lt;0,IFERROR(VLOOKUP(BP56,#REF!,MATCH("Price To Earnings",#REF!,0),FALSE),"-")&gt;500),"-",IFERROR(VLOOKUP(BP56,#REF!,MATCH("Price To Earnings",#REF!,0),FALSE),"-"))</f>
        <v>-</v>
      </c>
      <c r="BG56" s="9"/>
      <c r="BH56" s="9"/>
      <c r="BI56" s="9"/>
      <c r="BJ56" s="9"/>
      <c r="BK56" s="9"/>
      <c r="BL56" s="9"/>
      <c r="BM56" s="9"/>
      <c r="BN56" s="9"/>
      <c r="BO56" s="9"/>
      <c r="BP56" s="9"/>
      <c r="BQ56" s="9"/>
      <c r="BR56" s="9"/>
      <c r="BS56" s="9"/>
      <c r="BT56" s="9"/>
      <c r="BU56" s="9"/>
      <c r="BV56" s="9"/>
    </row>
    <row r="57" spans="1:75" ht="12.75" customHeight="1" x14ac:dyDescent="0.2">
      <c r="A57" s="4"/>
      <c r="B57" s="4"/>
      <c r="C57" s="9"/>
      <c r="D57" s="59"/>
      <c r="E57" s="59"/>
      <c r="F57" s="59"/>
      <c r="G57" s="59"/>
      <c r="H57" s="4"/>
      <c r="I57" s="154"/>
      <c r="J57" s="59"/>
      <c r="K57" s="154"/>
      <c r="L57" s="154"/>
      <c r="M57" s="9"/>
      <c r="N57" s="57"/>
      <c r="O57" s="4"/>
      <c r="P57" s="4"/>
      <c r="Q57" s="4"/>
      <c r="R57" s="4"/>
      <c r="S57" s="4"/>
      <c r="T57" s="4"/>
      <c r="U57" s="4"/>
      <c r="V57" s="4"/>
      <c r="W57" s="4"/>
      <c r="X57" s="4"/>
      <c r="Y57" s="4"/>
      <c r="Z57" s="4"/>
      <c r="AA57" s="4"/>
      <c r="AB57" s="4"/>
      <c r="AC57" s="4"/>
      <c r="AD57" s="4"/>
      <c r="AE57" s="4"/>
      <c r="AF57" s="4"/>
      <c r="AG57" s="4"/>
      <c r="AH57" s="4"/>
      <c r="AI57" s="4"/>
      <c r="AJ57" s="4"/>
      <c r="AK57" s="9"/>
      <c r="AL57" s="9"/>
      <c r="AM57" s="9"/>
      <c r="AN57" s="9"/>
      <c r="AO57" s="9"/>
      <c r="AP57" s="9"/>
      <c r="AQ57" s="9"/>
      <c r="AR57" s="9"/>
      <c r="AS57" s="9"/>
      <c r="AT57" s="10"/>
      <c r="AU57" s="9"/>
      <c r="AV57" s="9"/>
      <c r="AW57" s="9"/>
      <c r="AX57" s="9"/>
      <c r="AY57" s="9"/>
      <c r="AZ57" s="9"/>
      <c r="BA57" s="9"/>
      <c r="BB57" s="9"/>
      <c r="BC57" s="9"/>
      <c r="BD57" s="9"/>
      <c r="BE57" s="10"/>
      <c r="BF57" s="9" t="str">
        <f>IF(OR(IFERROR(VLOOKUP(BP57,#REF!,MATCH("Price To Earnings",#REF!,0),FALSE),"-")&lt;0,IFERROR(VLOOKUP(BP57,#REF!,MATCH("Price To Earnings",#REF!,0),FALSE),"-")&gt;500),"-",IFERROR(VLOOKUP(BP57,#REF!,MATCH("Price To Earnings",#REF!,0),FALSE),"-"))</f>
        <v>-</v>
      </c>
      <c r="BG57" s="9"/>
      <c r="BH57" s="9"/>
      <c r="BI57" s="9"/>
      <c r="BJ57" s="9"/>
      <c r="BK57" s="9"/>
      <c r="BL57" s="9"/>
      <c r="BM57" s="9"/>
      <c r="BN57" s="9"/>
      <c r="BO57" s="9"/>
      <c r="BP57" s="9"/>
      <c r="BQ57" s="9"/>
      <c r="BR57" s="9"/>
      <c r="BS57" s="9"/>
      <c r="BT57" s="9"/>
      <c r="BU57" s="9"/>
      <c r="BV57" s="9"/>
    </row>
    <row r="58" spans="1:75" ht="12.75" customHeight="1" x14ac:dyDescent="0.2">
      <c r="A58" s="151"/>
      <c r="B58" s="151"/>
      <c r="C58" s="151"/>
      <c r="D58" s="151"/>
      <c r="E58" s="151"/>
      <c r="F58" s="151"/>
      <c r="G58" s="151"/>
      <c r="H58" s="151"/>
      <c r="I58" s="151"/>
      <c r="J58" s="151"/>
      <c r="K58" s="151"/>
      <c r="L58" s="151"/>
      <c r="M58" s="151"/>
      <c r="N58" s="4"/>
      <c r="O58" s="4"/>
      <c r="P58" s="4"/>
      <c r="Q58" s="4"/>
      <c r="R58" s="4"/>
      <c r="S58" s="4"/>
      <c r="T58" s="4"/>
      <c r="U58" s="4"/>
      <c r="V58" s="4"/>
      <c r="W58" s="4"/>
      <c r="X58" s="4"/>
      <c r="Y58" s="4"/>
      <c r="Z58" s="4"/>
      <c r="AA58" s="4"/>
      <c r="AB58" s="4"/>
      <c r="AC58" s="4"/>
      <c r="AD58" s="4"/>
      <c r="AE58" s="4"/>
      <c r="AF58" s="4"/>
      <c r="AG58" s="4"/>
      <c r="AH58" s="4"/>
      <c r="AI58" s="4"/>
      <c r="AJ58" s="4"/>
      <c r="AK58" s="9"/>
      <c r="AL58" s="9"/>
      <c r="AM58" s="9"/>
      <c r="AN58" s="9"/>
      <c r="AO58" s="9"/>
      <c r="AP58" s="9"/>
      <c r="AQ58" s="9"/>
      <c r="AR58" s="9"/>
      <c r="AS58" s="9"/>
      <c r="AT58" s="10"/>
      <c r="AU58" s="9"/>
      <c r="AV58" s="9"/>
      <c r="AW58" s="9"/>
      <c r="AX58" s="9"/>
      <c r="AY58" s="9"/>
      <c r="AZ58" s="9"/>
      <c r="BA58" s="9"/>
      <c r="BB58" s="9"/>
      <c r="BC58" s="9"/>
      <c r="BD58" s="9"/>
      <c r="BE58" s="10"/>
      <c r="BF58" s="9" t="str">
        <f>IF(OR(IFERROR(VLOOKUP(BP58,#REF!,MATCH("Price To Earnings",#REF!,0),FALSE),"-")&lt;0,IFERROR(VLOOKUP(BP58,#REF!,MATCH("Price To Earnings",#REF!,0),FALSE),"-")&gt;500),"-",IFERROR(VLOOKUP(BP58,#REF!,MATCH("Price To Earnings",#REF!,0),FALSE),"-"))</f>
        <v>-</v>
      </c>
      <c r="BG58" s="9"/>
      <c r="BH58" s="9"/>
      <c r="BI58" s="9"/>
      <c r="BJ58" s="9"/>
      <c r="BK58" s="9"/>
      <c r="BL58" s="9"/>
      <c r="BM58" s="9"/>
      <c r="BN58" s="9"/>
      <c r="BO58" s="9"/>
      <c r="BP58" s="9"/>
      <c r="BQ58" s="9"/>
      <c r="BR58" s="9"/>
      <c r="BS58" s="9"/>
      <c r="BT58" s="9"/>
      <c r="BU58" s="9"/>
      <c r="BV58" s="9"/>
    </row>
    <row r="59" spans="1:75" ht="12.75" customHeight="1" x14ac:dyDescent="0.2">
      <c r="A59" s="159"/>
      <c r="B59" s="159"/>
      <c r="C59" s="159"/>
      <c r="D59" s="159"/>
      <c r="E59" s="159"/>
      <c r="F59" s="159"/>
      <c r="G59" s="159"/>
      <c r="H59" s="159"/>
      <c r="I59" s="159"/>
      <c r="J59" s="159"/>
      <c r="K59" s="159"/>
      <c r="L59" s="159"/>
      <c r="M59" s="159"/>
      <c r="N59" s="151"/>
      <c r="O59" s="151"/>
      <c r="P59" s="151"/>
      <c r="Q59" s="151"/>
      <c r="R59" s="151"/>
      <c r="S59" s="151"/>
      <c r="T59" s="151"/>
      <c r="U59" s="151"/>
      <c r="V59" s="151"/>
      <c r="W59" s="151"/>
      <c r="X59" s="151"/>
      <c r="Y59" s="151"/>
      <c r="Z59" s="151"/>
      <c r="AA59" s="151"/>
      <c r="AB59" s="151"/>
      <c r="AC59" s="151"/>
      <c r="AD59" s="151"/>
      <c r="AE59" s="151"/>
      <c r="AF59" s="151"/>
      <c r="AG59" s="151"/>
      <c r="AH59" s="151"/>
      <c r="AI59" s="151"/>
      <c r="AJ59" s="4"/>
      <c r="AK59" s="9"/>
      <c r="AL59" s="9"/>
      <c r="AM59" s="9"/>
      <c r="AN59" s="9"/>
      <c r="AO59" s="9"/>
      <c r="AP59" s="9"/>
      <c r="AQ59" s="9"/>
      <c r="AR59" s="9"/>
      <c r="AS59" s="9"/>
      <c r="AT59" s="10"/>
      <c r="AU59" s="9"/>
      <c r="AV59" s="9"/>
      <c r="AW59" s="9"/>
      <c r="AX59" s="9"/>
      <c r="AY59" s="9"/>
      <c r="AZ59" s="9"/>
      <c r="BA59" s="9"/>
      <c r="BB59" s="9"/>
      <c r="BC59" s="9"/>
      <c r="BD59" s="9"/>
      <c r="BE59" s="10"/>
      <c r="BF59" s="9" t="str">
        <f>IF(OR(IFERROR(VLOOKUP(BP59,#REF!,MATCH("Price To Earnings",#REF!,0),FALSE),"-")&lt;0,IFERROR(VLOOKUP(BP59,#REF!,MATCH("Price To Earnings",#REF!,0),FALSE),"-")&gt;500),"-",IFERROR(VLOOKUP(BP59,#REF!,MATCH("Price To Earnings",#REF!,0),FALSE),"-"))</f>
        <v>-</v>
      </c>
      <c r="BG59" s="9"/>
      <c r="BH59" s="9"/>
      <c r="BI59" s="9"/>
      <c r="BJ59" s="9"/>
      <c r="BK59" s="9"/>
      <c r="BL59" s="9"/>
      <c r="BM59" s="9"/>
      <c r="BN59" s="9"/>
      <c r="BO59" s="9"/>
      <c r="BP59" s="9"/>
      <c r="BQ59" s="9"/>
      <c r="BR59" s="9"/>
      <c r="BS59" s="9"/>
      <c r="BT59" s="9"/>
      <c r="BU59" s="9"/>
      <c r="BV59" s="9"/>
    </row>
    <row r="60" spans="1:75" ht="12.75" customHeight="1" x14ac:dyDescent="0.2">
      <c r="A60" s="159"/>
      <c r="B60" s="159"/>
      <c r="C60" s="159"/>
      <c r="D60" s="159"/>
      <c r="E60" s="160"/>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4"/>
      <c r="AK60" s="9"/>
      <c r="AL60" s="9"/>
      <c r="AM60" s="9"/>
      <c r="AN60" s="9"/>
      <c r="AO60" s="9"/>
      <c r="AP60" s="9"/>
      <c r="AQ60" s="9"/>
      <c r="AR60" s="9"/>
      <c r="AS60" s="9"/>
      <c r="AT60" s="10"/>
      <c r="AU60" s="9"/>
      <c r="AV60" s="9"/>
      <c r="AW60" s="9"/>
      <c r="AX60" s="9"/>
      <c r="AY60" s="9"/>
      <c r="AZ60" s="9"/>
      <c r="BA60" s="9"/>
      <c r="BB60" s="9"/>
      <c r="BC60" s="9"/>
      <c r="BD60" s="9"/>
      <c r="BE60" s="10"/>
      <c r="BF60" s="9" t="str">
        <f>IF(OR(IFERROR(VLOOKUP(BP60,#REF!,MATCH("Price To Earnings",#REF!,0),FALSE),"-")&lt;0,IFERROR(VLOOKUP(BP60,#REF!,MATCH("Price To Earnings",#REF!,0),FALSE),"-")&gt;500),"-",IFERROR(VLOOKUP(BP60,#REF!,MATCH("Price To Earnings",#REF!,0),FALSE),"-"))</f>
        <v>-</v>
      </c>
      <c r="BG60" s="9"/>
      <c r="BH60" s="9"/>
      <c r="BI60" s="9"/>
      <c r="BJ60" s="9"/>
      <c r="BK60" s="9"/>
      <c r="BL60" s="9"/>
      <c r="BM60" s="9"/>
      <c r="BN60" s="9"/>
      <c r="BO60" s="9"/>
      <c r="BP60" s="9"/>
      <c r="BQ60" s="9"/>
      <c r="BR60" s="9"/>
      <c r="BS60" s="9"/>
      <c r="BT60" s="9"/>
      <c r="BU60" s="9"/>
      <c r="BV60" s="9"/>
    </row>
    <row r="61" spans="1:75" ht="12.75" customHeight="1" x14ac:dyDescent="0.2">
      <c r="A61" s="4"/>
      <c r="B61" s="4"/>
      <c r="C61" s="4"/>
      <c r="D61" s="4"/>
      <c r="E61" s="4"/>
      <c r="F61" s="4"/>
      <c r="G61" s="4"/>
      <c r="H61" s="4"/>
      <c r="I61" s="4"/>
      <c r="J61" s="4"/>
      <c r="K61" s="4"/>
      <c r="L61" s="4"/>
      <c r="M61" s="4"/>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4"/>
      <c r="AK61" s="9"/>
      <c r="AL61" s="9"/>
      <c r="AM61" s="9"/>
      <c r="AN61" s="9"/>
      <c r="AO61" s="9"/>
      <c r="AP61" s="9"/>
      <c r="AQ61" s="9"/>
      <c r="AR61" s="9"/>
      <c r="AS61" s="9"/>
      <c r="AT61" s="10"/>
      <c r="AU61" s="9"/>
      <c r="AV61" s="9"/>
      <c r="AW61" s="9"/>
      <c r="AX61" s="9"/>
      <c r="AY61" s="9"/>
      <c r="AZ61" s="9"/>
      <c r="BA61" s="9"/>
      <c r="BB61" s="9"/>
      <c r="BC61" s="9"/>
      <c r="BD61" s="9"/>
      <c r="BE61" s="10"/>
      <c r="BF61" s="9" t="str">
        <f>IF(OR(IFERROR(VLOOKUP(BP61,#REF!,MATCH("Price To Earnings",#REF!,0),FALSE),"-")&lt;0,IFERROR(VLOOKUP(BP61,#REF!,MATCH("Price To Earnings",#REF!,0),FALSE),"-")&gt;500),"-",IFERROR(VLOOKUP(BP61,#REF!,MATCH("Price To Earnings",#REF!,0),FALSE),"-"))</f>
        <v>-</v>
      </c>
      <c r="BG61" s="9"/>
      <c r="BH61" s="9"/>
      <c r="BI61" s="9"/>
      <c r="BJ61" s="9"/>
      <c r="BK61" s="9"/>
      <c r="BL61" s="9"/>
      <c r="BM61" s="9"/>
      <c r="BN61" s="9"/>
      <c r="BO61" s="9"/>
      <c r="BP61" s="9"/>
      <c r="BQ61" s="9"/>
      <c r="BR61" s="9"/>
      <c r="BS61" s="9"/>
      <c r="BT61" s="9"/>
      <c r="BU61" s="9"/>
      <c r="BV61" s="9"/>
    </row>
    <row r="62" spans="1:75" ht="12.75" customHeight="1" x14ac:dyDescent="0.2">
      <c r="A62" s="218"/>
      <c r="B62" s="216"/>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4"/>
      <c r="AK62" s="9"/>
      <c r="AL62" s="9"/>
      <c r="AM62" s="9"/>
      <c r="AN62" s="9"/>
      <c r="AO62" s="9"/>
      <c r="AP62" s="9"/>
      <c r="AQ62" s="9"/>
      <c r="AR62" s="9"/>
      <c r="AS62" s="9"/>
      <c r="AT62" s="10"/>
      <c r="AU62" s="9"/>
      <c r="AV62" s="9"/>
      <c r="AW62" s="9"/>
      <c r="AX62" s="9"/>
      <c r="AY62" s="9"/>
      <c r="AZ62" s="9"/>
      <c r="BA62" s="9"/>
      <c r="BB62" s="9"/>
      <c r="BC62" s="9"/>
      <c r="BD62" s="9"/>
      <c r="BE62" s="9"/>
      <c r="BF62" s="9" t="str">
        <f>IF(OR(IFERROR(VLOOKUP(BP62,#REF!,MATCH("Price To Earnings",#REF!,0),FALSE),"-")&lt;0,IFERROR(VLOOKUP(BP62,#REF!,MATCH("Price To Earnings",#REF!,0),FALSE),"-")&gt;500),"-",IFERROR(VLOOKUP(BP62,#REF!,MATCH("Price To Earnings",#REF!,0),FALSE),"-"))</f>
        <v>-</v>
      </c>
      <c r="BG62" s="9"/>
      <c r="BH62" s="9"/>
      <c r="BI62" s="9"/>
      <c r="BJ62" s="9"/>
      <c r="BK62" s="9"/>
      <c r="BL62" s="9"/>
      <c r="BM62" s="9"/>
      <c r="BN62" s="9"/>
      <c r="BO62" s="9"/>
      <c r="BP62" s="9"/>
      <c r="BQ62" s="9"/>
      <c r="BR62" s="9"/>
      <c r="BS62" s="9"/>
      <c r="BT62" s="9"/>
      <c r="BU62" s="9"/>
      <c r="BV62" s="9"/>
    </row>
    <row r="63" spans="1:75" ht="12.75" customHeight="1" x14ac:dyDescent="0.2">
      <c r="A63" s="9"/>
      <c r="B63" s="9"/>
      <c r="C63" s="9"/>
      <c r="D63" s="9"/>
      <c r="E63" s="153"/>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4"/>
      <c r="AK63" s="9"/>
      <c r="AL63" s="9"/>
      <c r="AM63" s="9"/>
      <c r="AN63" s="9"/>
      <c r="AO63" s="9"/>
      <c r="AP63" s="9"/>
      <c r="AQ63" s="9"/>
      <c r="AR63" s="9"/>
      <c r="AS63" s="9"/>
      <c r="AT63" s="10"/>
      <c r="AU63" s="9"/>
      <c r="AV63" s="9"/>
      <c r="AW63" s="9"/>
      <c r="AX63" s="9"/>
      <c r="AY63" s="9"/>
      <c r="AZ63" s="9"/>
      <c r="BA63" s="9"/>
      <c r="BB63" s="9"/>
      <c r="BC63" s="9"/>
      <c r="BD63" s="9"/>
      <c r="BE63" s="9"/>
      <c r="BF63" s="9" t="str">
        <f>IF(OR(IFERROR(VLOOKUP(BP63,#REF!,MATCH("Price To Earnings",#REF!,0),FALSE),"-")&lt;0,IFERROR(VLOOKUP(BP63,#REF!,MATCH("Price To Earnings",#REF!,0),FALSE),"-")&gt;500),"-",IFERROR(VLOOKUP(BP63,#REF!,MATCH("Price To Earnings",#REF!,0),FALSE),"-"))</f>
        <v>-</v>
      </c>
      <c r="BG63" s="9"/>
      <c r="BH63" s="9"/>
      <c r="BI63" s="9"/>
      <c r="BJ63" s="9"/>
      <c r="BK63" s="9"/>
      <c r="BL63" s="9"/>
      <c r="BM63" s="9"/>
      <c r="BN63" s="9"/>
      <c r="BO63" s="9"/>
      <c r="BP63" s="9"/>
      <c r="BQ63" s="9"/>
      <c r="BR63" s="9"/>
      <c r="BS63" s="9"/>
      <c r="BT63" s="9"/>
      <c r="BU63" s="9"/>
      <c r="BV63" s="9"/>
      <c r="BW63" s="9"/>
    </row>
    <row r="64" spans="1:75" ht="12.75" customHeight="1" x14ac:dyDescent="0.2">
      <c r="A64" s="9"/>
      <c r="B64" s="9"/>
      <c r="C64" s="9"/>
      <c r="D64" s="9"/>
      <c r="E64" s="161"/>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4"/>
      <c r="AK64" s="9"/>
      <c r="AL64" s="9"/>
      <c r="AM64" s="9"/>
      <c r="AN64" s="9"/>
      <c r="AO64" s="9"/>
      <c r="AP64" s="9"/>
      <c r="AQ64" s="9"/>
      <c r="AR64" s="9"/>
      <c r="AS64" s="9"/>
      <c r="AT64" s="10"/>
      <c r="AU64" s="9"/>
      <c r="AV64" s="9"/>
      <c r="AW64" s="9"/>
      <c r="AX64" s="9"/>
      <c r="AY64" s="9"/>
      <c r="AZ64" s="9"/>
      <c r="BA64" s="9"/>
      <c r="BB64" s="9"/>
      <c r="BC64" s="9"/>
      <c r="BD64" s="9"/>
      <c r="BE64" s="9"/>
      <c r="BF64" s="9" t="str">
        <f>IF(OR(IFERROR(VLOOKUP(BP64,#REF!,MATCH("Price To Earnings",#REF!,0),FALSE),"-")&lt;0,IFERROR(VLOOKUP(BP64,#REF!,MATCH("Price To Earnings",#REF!,0),FALSE),"-")&gt;500),"-",IFERROR(VLOOKUP(BP64,#REF!,MATCH("Price To Earnings",#REF!,0),FALSE),"-"))</f>
        <v>-</v>
      </c>
      <c r="BG64" s="9"/>
      <c r="BH64" s="9"/>
      <c r="BI64" s="9"/>
      <c r="BJ64" s="9"/>
      <c r="BK64" s="9"/>
      <c r="BL64" s="9"/>
      <c r="BM64" s="9"/>
      <c r="BN64" s="9"/>
      <c r="BO64" s="9"/>
      <c r="BP64" s="9"/>
      <c r="BQ64" s="9"/>
      <c r="BR64" s="9"/>
      <c r="BS64" s="9"/>
      <c r="BT64" s="9"/>
      <c r="BU64" s="9"/>
      <c r="BV64" s="9"/>
    </row>
    <row r="65" spans="1:75" ht="12.75" customHeight="1" x14ac:dyDescent="0.2">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4"/>
      <c r="AK65" s="9"/>
      <c r="AL65" s="9"/>
      <c r="AM65" s="9"/>
      <c r="AN65" s="9"/>
      <c r="AO65" s="9"/>
      <c r="AP65" s="9"/>
      <c r="AQ65" s="9"/>
      <c r="AR65" s="9"/>
      <c r="AS65" s="9"/>
      <c r="AT65" s="10"/>
      <c r="AU65" s="9"/>
      <c r="AV65" s="9"/>
      <c r="AW65" s="9"/>
      <c r="AX65" s="9"/>
      <c r="AY65" s="9"/>
      <c r="AZ65" s="9"/>
      <c r="BA65" s="9"/>
      <c r="BB65" s="9"/>
      <c r="BC65" s="9"/>
      <c r="BD65" s="9"/>
      <c r="BE65" s="9"/>
      <c r="BF65" s="9" t="str">
        <f>IF(OR(IFERROR(VLOOKUP(BP65,#REF!,MATCH("Price To Earnings",#REF!,0),FALSE),"-")&lt;0,IFERROR(VLOOKUP(BP65,#REF!,MATCH("Price To Earnings",#REF!,0),FALSE),"-")&gt;500),"-",IFERROR(VLOOKUP(BP65,#REF!,MATCH("Price To Earnings",#REF!,0),FALSE),"-"))</f>
        <v>-</v>
      </c>
      <c r="BG65" s="9"/>
      <c r="BH65" s="9"/>
      <c r="BI65" s="9"/>
      <c r="BJ65" s="9"/>
      <c r="BK65" s="9"/>
      <c r="BL65" s="9"/>
      <c r="BM65" s="9"/>
      <c r="BN65" s="9"/>
      <c r="BO65" s="9"/>
      <c r="BP65" s="9"/>
      <c r="BQ65" s="9"/>
      <c r="BR65" s="9"/>
      <c r="BS65" s="9"/>
      <c r="BT65" s="9"/>
      <c r="BU65" s="9"/>
      <c r="BV65" s="9"/>
    </row>
    <row r="66" spans="1:75" ht="12.75" customHeigh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4"/>
      <c r="AK66" s="9"/>
      <c r="AL66" s="9"/>
      <c r="AM66" s="9"/>
      <c r="AN66" s="9"/>
      <c r="AO66" s="9"/>
      <c r="AP66" s="9"/>
      <c r="AQ66" s="9"/>
      <c r="AR66" s="9"/>
      <c r="AS66" s="9"/>
      <c r="AT66" s="10"/>
      <c r="AU66" s="9"/>
      <c r="AV66" s="9"/>
      <c r="AW66" s="9"/>
      <c r="AX66" s="9"/>
      <c r="AY66" s="9"/>
      <c r="AZ66" s="9"/>
      <c r="BA66" s="9"/>
      <c r="BB66" s="9"/>
      <c r="BC66" s="9"/>
      <c r="BD66" s="9"/>
      <c r="BE66" s="9"/>
      <c r="BF66" s="9" t="str">
        <f>IF(OR(IFERROR(VLOOKUP(BP66,#REF!,MATCH("Price To Earnings",#REF!,0),FALSE),"-")&lt;0,IFERROR(VLOOKUP(BP66,#REF!,MATCH("Price To Earnings",#REF!,0),FALSE),"-")&gt;500),"-",IFERROR(VLOOKUP(BP66,#REF!,MATCH("Price To Earnings",#REF!,0),FALSE),"-"))</f>
        <v>-</v>
      </c>
      <c r="BG66" s="9"/>
      <c r="BH66" s="9"/>
      <c r="BI66" s="9"/>
      <c r="BJ66" s="9"/>
      <c r="BK66" s="9"/>
      <c r="BL66" s="9"/>
      <c r="BM66" s="9"/>
      <c r="BN66" s="9"/>
      <c r="BO66" s="9"/>
      <c r="BP66" s="9"/>
      <c r="BQ66" s="9"/>
      <c r="BR66" s="9"/>
      <c r="BS66" s="9"/>
      <c r="BT66" s="9"/>
      <c r="BU66" s="9"/>
      <c r="BV66" s="9"/>
    </row>
    <row r="67" spans="1:75" ht="12.75" customHeight="1" x14ac:dyDescent="0.2">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4"/>
      <c r="AK67" s="9"/>
      <c r="AL67" s="9"/>
      <c r="AM67" s="9"/>
      <c r="AN67" s="9"/>
      <c r="AO67" s="9"/>
      <c r="AP67" s="9"/>
      <c r="AQ67" s="9"/>
      <c r="AR67" s="9"/>
      <c r="AS67" s="9"/>
      <c r="AT67" s="10"/>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row>
    <row r="68" spans="1:75" ht="12.75" customHeigh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4"/>
      <c r="AK68" s="9"/>
      <c r="AL68" s="9"/>
      <c r="AM68" s="9"/>
      <c r="AN68" s="9"/>
      <c r="AO68" s="9"/>
      <c r="AP68" s="9"/>
      <c r="AQ68" s="9"/>
      <c r="AR68" s="9"/>
      <c r="AS68" s="9"/>
      <c r="AT68" s="10"/>
      <c r="AU68" s="9"/>
      <c r="AV68" s="9"/>
      <c r="AW68" s="9"/>
      <c r="AX68" s="9"/>
      <c r="AY68" s="9"/>
      <c r="AZ68" s="9"/>
      <c r="BA68" s="9"/>
      <c r="BB68" s="9"/>
      <c r="BC68" s="9"/>
      <c r="BD68" s="9"/>
      <c r="BE68" s="9"/>
      <c r="BF68" s="9" t="str">
        <f>IF(OR(IFERROR(VLOOKUP(BP68,#REF!,MATCH("Price To Earnings",#REF!,0),FALSE),"-")&lt;0,IFERROR(VLOOKUP(BP68,#REF!,MATCH("Price To Earnings",#REF!,0),FALSE),"-")&gt;500),"-",IFERROR(VLOOKUP(BP68,#REF!,MATCH("Price To Earnings",#REF!,0),FALSE),"-"))</f>
        <v>-</v>
      </c>
      <c r="BG68" s="9"/>
      <c r="BH68" s="9"/>
      <c r="BI68" s="9"/>
      <c r="BJ68" s="9"/>
      <c r="BK68" s="9"/>
      <c r="BL68" s="9"/>
      <c r="BM68" s="9"/>
      <c r="BN68" s="9"/>
      <c r="BO68" s="9"/>
      <c r="BP68" s="9"/>
      <c r="BQ68" s="9"/>
      <c r="BR68" s="9"/>
      <c r="BS68" s="9"/>
      <c r="BT68" s="9"/>
      <c r="BU68" s="9"/>
      <c r="BV68" s="9"/>
    </row>
    <row r="69" spans="1:75" ht="12.75" customHeight="1" x14ac:dyDescent="0.2">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4"/>
      <c r="AK69" s="9"/>
      <c r="AL69" s="9"/>
      <c r="AM69" s="9"/>
      <c r="AN69" s="9"/>
      <c r="AO69" s="9"/>
      <c r="AP69" s="9"/>
      <c r="AQ69" s="9"/>
      <c r="AR69" s="9"/>
      <c r="AS69" s="9"/>
      <c r="AT69" s="10"/>
      <c r="AU69" s="9"/>
      <c r="AV69" s="9"/>
      <c r="AW69" s="9"/>
      <c r="AX69" s="9"/>
      <c r="AY69" s="9"/>
      <c r="AZ69" s="9"/>
      <c r="BA69" s="9"/>
      <c r="BB69" s="9"/>
      <c r="BC69" s="9"/>
      <c r="BD69" s="9"/>
      <c r="BE69" s="9"/>
      <c r="BF69" s="9" t="str">
        <f>IF(OR(IFERROR(VLOOKUP(BP69,#REF!,MATCH("Price To Earnings",#REF!,0),FALSE),"-")&lt;0,IFERROR(VLOOKUP(BP69,#REF!,MATCH("Price To Earnings",#REF!,0),FALSE),"-")&gt;500),"-",IFERROR(VLOOKUP(BP69,#REF!,MATCH("Price To Earnings",#REF!,0),FALSE),"-"))</f>
        <v>-</v>
      </c>
      <c r="BG69" s="9"/>
      <c r="BH69" s="9"/>
      <c r="BI69" s="9"/>
      <c r="BJ69" s="9"/>
      <c r="BK69" s="9"/>
      <c r="BL69" s="9"/>
      <c r="BM69" s="9"/>
      <c r="BN69" s="9"/>
      <c r="BO69" s="9"/>
      <c r="BP69" s="9"/>
      <c r="BQ69" s="9"/>
      <c r="BR69" s="9"/>
      <c r="BS69" s="9"/>
      <c r="BT69" s="9"/>
      <c r="BU69" s="9"/>
      <c r="BV69" s="9"/>
    </row>
    <row r="70" spans="1:75" ht="12.75" customHeigh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4"/>
      <c r="AK70" s="9"/>
      <c r="AL70" s="9"/>
      <c r="AM70" s="9"/>
      <c r="AN70" s="9"/>
      <c r="AO70" s="9"/>
      <c r="AP70" s="9"/>
      <c r="AQ70" s="9"/>
      <c r="AR70" s="9"/>
      <c r="AS70" s="9"/>
      <c r="AT70" s="10"/>
      <c r="AU70" s="9"/>
      <c r="AV70" s="9"/>
      <c r="AW70" s="9"/>
      <c r="AX70" s="9"/>
      <c r="AY70" s="9"/>
      <c r="AZ70" s="9"/>
      <c r="BA70" s="9"/>
      <c r="BB70" s="9"/>
      <c r="BC70" s="9"/>
      <c r="BD70" s="9"/>
      <c r="BE70" s="9"/>
      <c r="BF70" s="9" t="str">
        <f>IF(OR(IFERROR(VLOOKUP(BP70,#REF!,MATCH("Price To Earnings",#REF!,0),FALSE),"-")&lt;0,IFERROR(VLOOKUP(BP70,#REF!,MATCH("Price To Earnings",#REF!,0),FALSE),"-")&gt;500),"-",IFERROR(VLOOKUP(BP70,#REF!,MATCH("Price To Earnings",#REF!,0),FALSE),"-"))</f>
        <v>-</v>
      </c>
      <c r="BG70" s="9"/>
      <c r="BH70" s="9"/>
      <c r="BI70" s="9"/>
      <c r="BJ70" s="9"/>
      <c r="BK70" s="9"/>
      <c r="BL70" s="9"/>
      <c r="BM70" s="9"/>
      <c r="BN70" s="9"/>
      <c r="BO70" s="9"/>
      <c r="BP70" s="9"/>
      <c r="BQ70" s="9"/>
      <c r="BR70" s="9"/>
      <c r="BS70" s="9"/>
      <c r="BT70" s="9"/>
      <c r="BU70" s="9"/>
      <c r="BV70" s="9"/>
    </row>
    <row r="71" spans="1:75" ht="12.75" customHeight="1" x14ac:dyDescent="0.2">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4"/>
      <c r="AK71" s="9"/>
      <c r="AL71" s="9"/>
      <c r="AM71" s="9"/>
      <c r="AN71" s="9"/>
      <c r="AO71" s="9"/>
      <c r="AP71" s="9"/>
      <c r="AQ71" s="9"/>
      <c r="AR71" s="9"/>
      <c r="AS71" s="9"/>
      <c r="AT71" s="10"/>
      <c r="AU71" s="9"/>
      <c r="AV71" s="9"/>
      <c r="AW71" s="9"/>
      <c r="AX71" s="9"/>
      <c r="AY71" s="9"/>
      <c r="AZ71" s="9"/>
      <c r="BA71" s="9"/>
      <c r="BB71" s="9"/>
      <c r="BC71" s="9"/>
      <c r="BD71" s="9"/>
      <c r="BE71" s="9"/>
      <c r="BF71" s="9" t="str">
        <f>IF(OR(IFERROR(VLOOKUP(BP71,#REF!,MATCH("Price To Earnings",#REF!,0),FALSE),"-")&lt;0,IFERROR(VLOOKUP(BP71,#REF!,MATCH("Price To Earnings",#REF!,0),FALSE),"-")&gt;500),"-",IFERROR(VLOOKUP(BP71,#REF!,MATCH("Price To Earnings",#REF!,0),FALSE),"-"))</f>
        <v>-</v>
      </c>
      <c r="BG71" s="9"/>
      <c r="BH71" s="9"/>
      <c r="BI71" s="9"/>
      <c r="BJ71" s="9"/>
      <c r="BK71" s="9"/>
      <c r="BL71" s="9"/>
      <c r="BM71" s="9"/>
      <c r="BN71" s="9"/>
      <c r="BO71" s="9"/>
      <c r="BP71" s="9"/>
      <c r="BQ71" s="9"/>
      <c r="BR71" s="9"/>
      <c r="BS71" s="9"/>
      <c r="BT71" s="9"/>
      <c r="BU71" s="9"/>
      <c r="BV71" s="9"/>
    </row>
    <row r="72" spans="1:75" ht="12.75" customHeight="1" x14ac:dyDescent="0.2">
      <c r="A72" s="9"/>
      <c r="B72" s="9"/>
      <c r="C72" s="9"/>
      <c r="D72" s="9"/>
      <c r="E72" s="162"/>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4"/>
      <c r="AK72" s="9"/>
      <c r="AL72" s="9"/>
      <c r="AM72" s="9"/>
      <c r="AN72" s="9"/>
      <c r="AO72" s="9"/>
      <c r="AP72" s="9"/>
      <c r="AQ72" s="9"/>
      <c r="AR72" s="9"/>
      <c r="AS72" s="9"/>
      <c r="AT72" s="10"/>
      <c r="AU72" s="9"/>
      <c r="AV72" s="9"/>
      <c r="AW72" s="9"/>
      <c r="AX72" s="9"/>
      <c r="AY72" s="9"/>
      <c r="AZ72" s="9"/>
      <c r="BA72" s="9"/>
      <c r="BB72" s="9"/>
      <c r="BC72" s="9"/>
      <c r="BD72" s="9"/>
      <c r="BE72" s="9"/>
      <c r="BF72" s="9" t="str">
        <f>IF(OR(IFERROR(VLOOKUP(BP72,#REF!,MATCH("Price To Earnings",#REF!,0),FALSE),"-")&lt;0,IFERROR(VLOOKUP(BP72,#REF!,MATCH("Price To Earnings",#REF!,0),FALSE),"-")&gt;500),"-",IFERROR(VLOOKUP(BP72,#REF!,MATCH("Price To Earnings",#REF!,0),FALSE),"-"))</f>
        <v>-</v>
      </c>
      <c r="BG72" s="9"/>
      <c r="BH72" s="9"/>
      <c r="BI72" s="9"/>
      <c r="BJ72" s="9"/>
      <c r="BK72" s="9"/>
      <c r="BL72" s="9"/>
      <c r="BM72" s="9"/>
      <c r="BN72" s="9"/>
      <c r="BO72" s="9"/>
      <c r="BP72" s="9"/>
      <c r="BQ72" s="9"/>
      <c r="BR72" s="9"/>
      <c r="BS72" s="9"/>
      <c r="BT72" s="9"/>
      <c r="BU72" s="9"/>
      <c r="BV72" s="9"/>
    </row>
    <row r="73" spans="1:75" ht="12.75" customHeight="1" x14ac:dyDescent="0.2">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4"/>
      <c r="AK73" s="9"/>
      <c r="AL73" s="9"/>
      <c r="AM73" s="9"/>
      <c r="AN73" s="9"/>
      <c r="AO73" s="9"/>
      <c r="AP73" s="9"/>
      <c r="AQ73" s="9"/>
      <c r="AR73" s="9"/>
      <c r="AS73" s="9"/>
      <c r="AT73" s="10"/>
      <c r="AU73" s="9"/>
      <c r="AV73" s="9"/>
      <c r="AW73" s="9"/>
      <c r="AX73" s="9"/>
      <c r="AY73" s="9"/>
      <c r="AZ73" s="9"/>
      <c r="BA73" s="9"/>
      <c r="BB73" s="9"/>
      <c r="BC73" s="9"/>
      <c r="BD73" s="9"/>
      <c r="BE73" s="9"/>
      <c r="BF73" s="9" t="str">
        <f>IF(OR(IFERROR(VLOOKUP(BP73,#REF!,MATCH("Price To Earnings",#REF!,0),FALSE),"-")&lt;0,IFERROR(VLOOKUP(BP73,#REF!,MATCH("Price To Earnings",#REF!,0),FALSE),"-")&gt;500),"-",IFERROR(VLOOKUP(BP73,#REF!,MATCH("Price To Earnings",#REF!,0),FALSE),"-"))</f>
        <v>-</v>
      </c>
      <c r="BG73" s="9"/>
      <c r="BH73" s="9"/>
      <c r="BI73" s="9"/>
      <c r="BJ73" s="9"/>
      <c r="BK73" s="9"/>
      <c r="BL73" s="9"/>
      <c r="BM73" s="9"/>
      <c r="BN73" s="9"/>
      <c r="BO73" s="9"/>
      <c r="BP73" s="9"/>
      <c r="BQ73" s="9"/>
      <c r="BR73" s="9"/>
      <c r="BS73" s="9"/>
      <c r="BT73" s="9"/>
      <c r="BU73" s="9"/>
      <c r="BV73" s="9"/>
    </row>
    <row r="74" spans="1:75" ht="12.75" customHeigh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4"/>
      <c r="AK74" s="9"/>
      <c r="AL74" s="9"/>
      <c r="AM74" s="9"/>
      <c r="AN74" s="9"/>
      <c r="AO74" s="9"/>
      <c r="AP74" s="9"/>
      <c r="AQ74" s="9"/>
      <c r="AR74" s="9"/>
      <c r="AS74" s="9"/>
      <c r="AT74" s="10"/>
      <c r="AU74" s="9"/>
      <c r="AV74" s="9"/>
      <c r="AW74" s="9"/>
      <c r="AX74" s="9"/>
      <c r="AY74" s="9"/>
      <c r="AZ74" s="9"/>
      <c r="BA74" s="9"/>
      <c r="BB74" s="9"/>
      <c r="BC74" s="9"/>
      <c r="BD74" s="9"/>
      <c r="BE74" s="9"/>
      <c r="BF74" s="9" t="str">
        <f>IF(OR(IFERROR(VLOOKUP(BP74,#REF!,MATCH("Price To Earnings",#REF!,0),FALSE),"-")&lt;0,IFERROR(VLOOKUP(BP74,#REF!,MATCH("Price To Earnings",#REF!,0),FALSE),"-")&gt;500),"-",IFERROR(VLOOKUP(BP74,#REF!,MATCH("Price To Earnings",#REF!,0),FALSE),"-"))</f>
        <v>-</v>
      </c>
      <c r="BG74" s="9"/>
      <c r="BH74" s="9"/>
      <c r="BI74" s="9"/>
      <c r="BJ74" s="9"/>
      <c r="BK74" s="9"/>
      <c r="BL74" s="9"/>
      <c r="BM74" s="9"/>
      <c r="BN74" s="9"/>
      <c r="BO74" s="9"/>
      <c r="BP74" s="9"/>
      <c r="BQ74" s="9"/>
      <c r="BR74" s="9"/>
      <c r="BS74" s="9"/>
      <c r="BT74" s="9"/>
      <c r="BU74" s="9"/>
      <c r="BV74" s="9"/>
    </row>
    <row r="75" spans="1:75" ht="12.75" customHeight="1" x14ac:dyDescent="0.2">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4"/>
      <c r="AK75" s="9"/>
      <c r="AL75" s="9"/>
      <c r="AM75" s="9"/>
      <c r="AN75" s="9"/>
      <c r="AO75" s="9"/>
      <c r="AP75" s="9"/>
      <c r="AQ75" s="9"/>
      <c r="AR75" s="9"/>
      <c r="AS75" s="9"/>
      <c r="AT75" s="10"/>
      <c r="AU75" s="9"/>
      <c r="AV75" s="9"/>
      <c r="AW75" s="9"/>
      <c r="AX75" s="9"/>
      <c r="AY75" s="9"/>
      <c r="AZ75" s="9"/>
      <c r="BA75" s="9"/>
      <c r="BB75" s="9"/>
      <c r="BC75" s="9"/>
      <c r="BD75" s="9"/>
      <c r="BE75" s="9"/>
      <c r="BF75" s="9" t="str">
        <f>IF(OR(IFERROR(VLOOKUP(BP75,#REF!,MATCH("Price To Earnings",#REF!,0),FALSE),"-")&lt;0,IFERROR(VLOOKUP(BP75,#REF!,MATCH("Price To Earnings",#REF!,0),FALSE),"-")&gt;500),"-",IFERROR(VLOOKUP(BP75,#REF!,MATCH("Price To Earnings",#REF!,0),FALSE),"-"))</f>
        <v>-</v>
      </c>
      <c r="BG75" s="9"/>
      <c r="BH75" s="9"/>
      <c r="BI75" s="9"/>
      <c r="BJ75" s="9"/>
      <c r="BK75" s="9"/>
      <c r="BL75" s="9"/>
      <c r="BM75" s="9"/>
      <c r="BN75" s="9"/>
      <c r="BO75" s="9"/>
      <c r="BP75" s="9"/>
      <c r="BQ75" s="9"/>
      <c r="BR75" s="9"/>
      <c r="BS75" s="9"/>
      <c r="BT75" s="9"/>
      <c r="BU75" s="9"/>
      <c r="BV75" s="9"/>
      <c r="BW75" s="9"/>
    </row>
    <row r="76" spans="1:75" ht="12.75" customHeigh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4"/>
      <c r="AK76" s="9"/>
      <c r="AL76" s="9"/>
      <c r="AM76" s="9"/>
      <c r="AN76" s="9"/>
      <c r="AO76" s="9"/>
      <c r="AP76" s="9"/>
      <c r="AQ76" s="9"/>
      <c r="AR76" s="9"/>
      <c r="AS76" s="9"/>
      <c r="AT76" s="10"/>
      <c r="AU76" s="9"/>
      <c r="AV76" s="9"/>
      <c r="AW76" s="9"/>
      <c r="AX76" s="9"/>
      <c r="AY76" s="9"/>
      <c r="AZ76" s="9"/>
      <c r="BA76" s="9"/>
      <c r="BB76" s="9"/>
      <c r="BC76" s="9"/>
      <c r="BD76" s="9"/>
      <c r="BE76" s="9"/>
      <c r="BF76" s="9" t="str">
        <f>IF(OR(IFERROR(VLOOKUP(BP76,#REF!,MATCH("Price To Earnings",#REF!,0),FALSE),"-")&lt;0,IFERROR(VLOOKUP(BP76,#REF!,MATCH("Price To Earnings",#REF!,0),FALSE),"-")&gt;500),"-",IFERROR(VLOOKUP(BP76,#REF!,MATCH("Price To Earnings",#REF!,0),FALSE),"-"))</f>
        <v>-</v>
      </c>
      <c r="BG76" s="9"/>
      <c r="BH76" s="9"/>
      <c r="BI76" s="9"/>
      <c r="BJ76" s="9"/>
      <c r="BK76" s="9"/>
      <c r="BL76" s="9"/>
      <c r="BM76" s="9"/>
      <c r="BN76" s="9"/>
      <c r="BO76" s="9"/>
      <c r="BP76" s="9"/>
      <c r="BQ76" s="9"/>
      <c r="BR76" s="9"/>
      <c r="BS76" s="9"/>
      <c r="BT76" s="9"/>
      <c r="BU76" s="9"/>
      <c r="BV76" s="9"/>
    </row>
    <row r="77" spans="1:75" ht="12.75" customHeight="1" x14ac:dyDescent="0.2">
      <c r="A77" s="9"/>
      <c r="B77" s="9"/>
      <c r="C77" s="9"/>
      <c r="D77" s="9"/>
      <c r="E77" s="153"/>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4"/>
      <c r="AK77" s="9"/>
      <c r="AL77" s="9"/>
      <c r="AM77" s="9"/>
      <c r="AN77" s="9"/>
      <c r="AO77" s="9"/>
      <c r="AP77" s="9"/>
      <c r="AQ77" s="9"/>
      <c r="AR77" s="9"/>
      <c r="AS77" s="9"/>
      <c r="AT77" s="10"/>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row>
    <row r="78" spans="1:75" ht="12.75" customHeigh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4"/>
      <c r="AK78" s="9"/>
      <c r="AL78" s="9"/>
      <c r="AM78" s="9"/>
      <c r="AN78" s="9"/>
      <c r="AO78" s="9"/>
      <c r="AP78" s="9"/>
      <c r="AQ78" s="9"/>
      <c r="AR78" s="9"/>
      <c r="AS78" s="9"/>
      <c r="AT78" s="10"/>
      <c r="AU78" s="9"/>
      <c r="AV78" s="9"/>
      <c r="AW78" s="9"/>
      <c r="AX78" s="9"/>
      <c r="AY78" s="9"/>
      <c r="AZ78" s="9"/>
      <c r="BA78" s="9"/>
      <c r="BB78" s="9"/>
      <c r="BC78" s="9"/>
      <c r="BD78" s="9"/>
      <c r="BE78" s="9"/>
      <c r="BF78" s="9" t="str">
        <f>IF(OR(IFERROR(VLOOKUP(BP78,#REF!,MATCH("Price To Earnings",#REF!,0),FALSE),"-")&lt;0,IFERROR(VLOOKUP(BP78,#REF!,MATCH("Price To Earnings",#REF!,0),FALSE),"-")&gt;500),"-",IFERROR(VLOOKUP(BP78,#REF!,MATCH("Price To Earnings",#REF!,0),FALSE),"-"))</f>
        <v>-</v>
      </c>
      <c r="BG78" s="9"/>
      <c r="BH78" s="9"/>
      <c r="BI78" s="9"/>
      <c r="BJ78" s="9"/>
      <c r="BK78" s="9"/>
      <c r="BL78" s="9"/>
      <c r="BM78" s="9"/>
      <c r="BN78" s="9"/>
      <c r="BO78" s="9"/>
      <c r="BP78" s="9"/>
      <c r="BQ78" s="9"/>
      <c r="BR78" s="9"/>
      <c r="BS78" s="9"/>
      <c r="BT78" s="9"/>
      <c r="BU78" s="9"/>
      <c r="BV78" s="9"/>
    </row>
    <row r="79" spans="1:75" ht="12.75" customHeight="1" x14ac:dyDescent="0.2">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4"/>
      <c r="AK79" s="9"/>
      <c r="AL79" s="9"/>
      <c r="AM79" s="9"/>
      <c r="AN79" s="9"/>
      <c r="AO79" s="9"/>
      <c r="AP79" s="9"/>
      <c r="AQ79" s="9"/>
      <c r="AR79" s="9"/>
      <c r="AS79" s="9"/>
      <c r="AT79" s="10"/>
      <c r="AU79" s="163"/>
      <c r="AV79" s="163"/>
      <c r="AW79" s="163"/>
      <c r="AX79" s="9"/>
      <c r="AY79" s="9"/>
      <c r="AZ79" s="9"/>
      <c r="BA79" s="9"/>
      <c r="BB79" s="9"/>
      <c r="BC79" s="9"/>
      <c r="BD79" s="9"/>
      <c r="BE79" s="9"/>
      <c r="BF79" s="9" t="str">
        <f>IF(OR(IFERROR(VLOOKUP(BP79,#REF!,MATCH("Price To Earnings",#REF!,0),FALSE),"-")&lt;0,IFERROR(VLOOKUP(BP79,#REF!,MATCH("Price To Earnings",#REF!,0),FALSE),"-")&gt;500),"-",IFERROR(VLOOKUP(BP79,#REF!,MATCH("Price To Earnings",#REF!,0),FALSE),"-"))</f>
        <v>-</v>
      </c>
      <c r="BG79" s="9"/>
      <c r="BH79" s="9"/>
      <c r="BI79" s="9"/>
      <c r="BJ79" s="9"/>
      <c r="BK79" s="9"/>
      <c r="BL79" s="9"/>
      <c r="BM79" s="9"/>
      <c r="BN79" s="9"/>
      <c r="BO79" s="9"/>
      <c r="BP79" s="9"/>
      <c r="BQ79" s="9"/>
      <c r="BR79" s="9"/>
      <c r="BS79" s="9"/>
      <c r="BT79" s="9"/>
      <c r="BU79" s="9"/>
      <c r="BV79" s="9"/>
    </row>
    <row r="80" spans="1:75" ht="12.75" customHeigh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4"/>
      <c r="AK80" s="9"/>
      <c r="AL80" s="9"/>
      <c r="AM80" s="9"/>
      <c r="AN80" s="9"/>
      <c r="AO80" s="9"/>
      <c r="AP80" s="9"/>
      <c r="AQ80" s="9"/>
      <c r="AR80" s="9"/>
      <c r="AS80" s="9"/>
      <c r="AT80" s="10"/>
      <c r="AU80" s="163"/>
      <c r="AV80" s="163"/>
      <c r="AW80" s="163"/>
      <c r="AX80" s="9"/>
      <c r="AY80" s="9"/>
      <c r="AZ80" s="9"/>
      <c r="BA80" s="9"/>
      <c r="BB80" s="9"/>
      <c r="BC80" s="9"/>
      <c r="BD80" s="9"/>
      <c r="BE80" s="9"/>
      <c r="BF80" s="9" t="str">
        <f>IF(OR(IFERROR(VLOOKUP(BP80,#REF!,MATCH("Price To Earnings",#REF!,0),FALSE),"-")&lt;0,IFERROR(VLOOKUP(BP80,#REF!,MATCH("Price To Earnings",#REF!,0),FALSE),"-")&gt;500),"-",IFERROR(VLOOKUP(BP80,#REF!,MATCH("Price To Earnings",#REF!,0),FALSE),"-"))</f>
        <v>-</v>
      </c>
      <c r="BG80" s="9"/>
      <c r="BH80" s="9"/>
      <c r="BI80" s="9"/>
      <c r="BJ80" s="9"/>
      <c r="BK80" s="9"/>
      <c r="BL80" s="9"/>
      <c r="BM80" s="9"/>
      <c r="BN80" s="9"/>
      <c r="BO80" s="9"/>
      <c r="BP80" s="9"/>
      <c r="BQ80" s="9"/>
      <c r="BR80" s="9"/>
      <c r="BS80" s="9"/>
      <c r="BT80" s="9"/>
      <c r="BU80" s="9"/>
      <c r="BV80" s="9"/>
    </row>
    <row r="81" spans="1:75" ht="12.75" customHeight="1" x14ac:dyDescent="0.2">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4"/>
      <c r="AK81" s="9"/>
      <c r="AL81" s="9"/>
      <c r="AM81" s="9"/>
      <c r="AN81" s="9"/>
      <c r="AO81" s="9"/>
      <c r="AP81" s="9"/>
      <c r="AQ81" s="9"/>
      <c r="AR81" s="9"/>
      <c r="AS81" s="9"/>
      <c r="AT81" s="10"/>
      <c r="AU81" s="163"/>
      <c r="AV81" s="163"/>
      <c r="AW81" s="163"/>
      <c r="AX81" s="9"/>
      <c r="AY81" s="9"/>
      <c r="AZ81" s="9"/>
      <c r="BA81" s="9"/>
      <c r="BB81" s="9"/>
      <c r="BC81" s="9"/>
      <c r="BD81" s="9"/>
      <c r="BE81" s="9"/>
      <c r="BF81" s="9" t="str">
        <f>IF(OR(IFERROR(VLOOKUP(BP81,#REF!,MATCH("Price To Earnings",#REF!,0),FALSE),"-")&lt;0,IFERROR(VLOOKUP(BP81,#REF!,MATCH("Price To Earnings",#REF!,0),FALSE),"-")&gt;500),"-",IFERROR(VLOOKUP(BP81,#REF!,MATCH("Price To Earnings",#REF!,0),FALSE),"-"))</f>
        <v>-</v>
      </c>
      <c r="BG81" s="9"/>
      <c r="BH81" s="9"/>
      <c r="BI81" s="9"/>
      <c r="BJ81" s="9"/>
      <c r="BK81" s="9"/>
      <c r="BL81" s="9"/>
      <c r="BM81" s="9"/>
      <c r="BN81" s="9"/>
      <c r="BO81" s="9"/>
      <c r="BP81" s="9"/>
      <c r="BQ81" s="9"/>
      <c r="BR81" s="9"/>
      <c r="BS81" s="9"/>
      <c r="BT81" s="9"/>
      <c r="BU81" s="9"/>
      <c r="BV81" s="9"/>
    </row>
    <row r="82" spans="1:75" ht="12.75" customHeigh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4"/>
      <c r="AK82" s="9"/>
      <c r="AL82" s="9"/>
      <c r="AM82" s="9"/>
      <c r="AN82" s="9"/>
      <c r="AO82" s="9"/>
      <c r="AP82" s="9"/>
      <c r="AQ82" s="9"/>
      <c r="AR82" s="9"/>
      <c r="AS82" s="9"/>
      <c r="AT82" s="10"/>
      <c r="AU82" s="163"/>
      <c r="AV82" s="163"/>
      <c r="AW82" s="163"/>
      <c r="AX82" s="9"/>
      <c r="AY82" s="9"/>
      <c r="AZ82" s="9"/>
      <c r="BA82" s="9"/>
      <c r="BB82" s="9"/>
      <c r="BC82" s="9"/>
      <c r="BD82" s="9"/>
      <c r="BE82" s="9"/>
      <c r="BF82" s="9" t="str">
        <f>IF(OR(IFERROR(VLOOKUP(BP82,#REF!,MATCH("Price To Earnings",#REF!,0),FALSE),"-")&lt;0,IFERROR(VLOOKUP(BP82,#REF!,MATCH("Price To Earnings",#REF!,0),FALSE),"-")&gt;500),"-",IFERROR(VLOOKUP(BP82,#REF!,MATCH("Price To Earnings",#REF!,0),FALSE),"-"))</f>
        <v>-</v>
      </c>
      <c r="BG82" s="9"/>
      <c r="BH82" s="9"/>
      <c r="BI82" s="9"/>
      <c r="BJ82" s="9"/>
      <c r="BK82" s="9"/>
      <c r="BL82" s="9"/>
      <c r="BM82" s="9"/>
      <c r="BN82" s="9"/>
      <c r="BO82" s="9"/>
      <c r="BP82" s="9"/>
      <c r="BQ82" s="9"/>
      <c r="BR82" s="9"/>
      <c r="BS82" s="9"/>
      <c r="BT82" s="9"/>
      <c r="BU82" s="9"/>
      <c r="BV82" s="9"/>
    </row>
    <row r="83" spans="1:75" ht="12.75" customHeight="1" x14ac:dyDescent="0.2">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4"/>
      <c r="AK83" s="9"/>
      <c r="AL83" s="9"/>
      <c r="AM83" s="9"/>
      <c r="AN83" s="9"/>
      <c r="AO83" s="9"/>
      <c r="AP83" s="9"/>
      <c r="AQ83" s="9"/>
      <c r="AR83" s="9"/>
      <c r="AS83" s="9"/>
      <c r="AT83" s="10"/>
      <c r="AU83" s="163"/>
      <c r="AV83" s="163"/>
      <c r="AW83" s="163"/>
      <c r="AX83" s="9"/>
      <c r="AY83" s="9"/>
      <c r="AZ83" s="9"/>
      <c r="BA83" s="9"/>
      <c r="BB83" s="9"/>
      <c r="BC83" s="9"/>
      <c r="BD83" s="9"/>
      <c r="BE83" s="9"/>
      <c r="BF83" s="9" t="str">
        <f>IF(OR(IFERROR(VLOOKUP(BP83,#REF!,MATCH("Price To Earnings",#REF!,0),FALSE),"-")&lt;0,IFERROR(VLOOKUP(BP83,#REF!,MATCH("Price To Earnings",#REF!,0),FALSE),"-")&gt;500),"-",IFERROR(VLOOKUP(BP83,#REF!,MATCH("Price To Earnings",#REF!,0),FALSE),"-"))</f>
        <v>-</v>
      </c>
      <c r="BG83" s="9"/>
      <c r="BH83" s="9"/>
      <c r="BI83" s="9"/>
      <c r="BJ83" s="9"/>
      <c r="BK83" s="9"/>
      <c r="BL83" s="9"/>
      <c r="BM83" s="9"/>
      <c r="BN83" s="9"/>
      <c r="BO83" s="9"/>
      <c r="BP83" s="9"/>
      <c r="BQ83" s="9"/>
      <c r="BR83" s="9"/>
      <c r="BS83" s="9"/>
      <c r="BT83" s="9"/>
      <c r="BU83" s="9"/>
      <c r="BV83" s="9"/>
    </row>
    <row r="84" spans="1:75" ht="12.75" customHeigh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4"/>
      <c r="AK84" s="9"/>
      <c r="AL84" s="9"/>
      <c r="AM84" s="9"/>
      <c r="AN84" s="9"/>
      <c r="AO84" s="9"/>
      <c r="AP84" s="9"/>
      <c r="AQ84" s="9"/>
      <c r="AR84" s="9"/>
      <c r="AS84" s="9"/>
      <c r="AT84" s="10"/>
      <c r="AU84" s="163"/>
      <c r="AV84" s="163"/>
      <c r="AW84" s="163"/>
      <c r="AX84" s="9"/>
      <c r="AY84" s="9"/>
      <c r="AZ84" s="9"/>
      <c r="BA84" s="9"/>
      <c r="BB84" s="9"/>
      <c r="BC84" s="9"/>
      <c r="BD84" s="9"/>
      <c r="BE84" s="9"/>
      <c r="BF84" s="9"/>
      <c r="BG84" s="9"/>
      <c r="BH84" s="9"/>
      <c r="BI84" s="9"/>
      <c r="BJ84" s="9"/>
      <c r="BK84" s="9"/>
      <c r="BL84" s="9"/>
      <c r="BM84" s="9"/>
      <c r="BN84" s="9"/>
      <c r="BO84" s="9"/>
      <c r="BP84" s="9"/>
      <c r="BQ84" s="9"/>
      <c r="BR84" s="9"/>
      <c r="BS84" s="9"/>
      <c r="BT84" s="9"/>
      <c r="BU84" s="9"/>
      <c r="BV84" s="9"/>
    </row>
    <row r="85" spans="1:75" ht="12.75" customHeight="1" x14ac:dyDescent="0.2">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4"/>
      <c r="AK85" s="9"/>
      <c r="AL85" s="9"/>
      <c r="AM85" s="9"/>
      <c r="AN85" s="9"/>
      <c r="AO85" s="9"/>
      <c r="AP85" s="9"/>
      <c r="AQ85" s="9"/>
      <c r="AR85" s="9"/>
      <c r="AS85" s="9"/>
      <c r="AT85" s="10"/>
      <c r="AU85" s="163"/>
      <c r="AV85" s="163"/>
      <c r="AW85" s="163"/>
      <c r="AX85" s="9"/>
      <c r="AY85" s="9"/>
      <c r="AZ85" s="9"/>
      <c r="BA85" s="9"/>
      <c r="BB85" s="9"/>
      <c r="BC85" s="9"/>
      <c r="BD85" s="9"/>
      <c r="BE85" s="9"/>
      <c r="BF85" s="9" t="str">
        <f>IF(OR(IFERROR(VLOOKUP(BP85,#REF!,MATCH("Price To Earnings",#REF!,0),FALSE),"-")&lt;0,IFERROR(VLOOKUP(BP85,#REF!,MATCH("Price To Earnings",#REF!,0),FALSE),"-")&gt;500),"-",IFERROR(VLOOKUP(BP85,#REF!,MATCH("Price To Earnings",#REF!,0),FALSE),"-"))</f>
        <v>-</v>
      </c>
      <c r="BG85" s="9"/>
      <c r="BH85" s="9"/>
      <c r="BI85" s="9"/>
      <c r="BJ85" s="9"/>
      <c r="BK85" s="9"/>
      <c r="BL85" s="9"/>
      <c r="BM85" s="9"/>
      <c r="BN85" s="9"/>
      <c r="BO85" s="9"/>
      <c r="BP85" s="9"/>
      <c r="BQ85" s="9"/>
      <c r="BR85" s="9"/>
      <c r="BS85" s="9"/>
      <c r="BT85" s="9"/>
      <c r="BU85" s="9"/>
      <c r="BV85" s="9"/>
      <c r="BW85" s="9"/>
    </row>
    <row r="86" spans="1:75" ht="12.75" customHeigh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4"/>
      <c r="AK86" s="9"/>
      <c r="AL86" s="9"/>
      <c r="AM86" s="9"/>
      <c r="AN86" s="9"/>
      <c r="AO86" s="9"/>
      <c r="AP86" s="9"/>
      <c r="AQ86" s="9"/>
      <c r="AR86" s="9"/>
      <c r="AS86" s="9"/>
      <c r="AT86" s="10"/>
      <c r="AU86" s="163"/>
      <c r="AV86" s="163"/>
      <c r="AW86" s="163"/>
      <c r="AX86" s="9"/>
      <c r="AY86" s="9"/>
      <c r="AZ86" s="9"/>
      <c r="BA86" s="9"/>
      <c r="BB86" s="9"/>
      <c r="BC86" s="9"/>
      <c r="BD86" s="9"/>
      <c r="BE86" s="9"/>
      <c r="BF86" s="9" t="str">
        <f>IF(OR(IFERROR(VLOOKUP(BP86,#REF!,MATCH("Price To Earnings",#REF!,0),FALSE),"-")&lt;0,IFERROR(VLOOKUP(BP86,#REF!,MATCH("Price To Earnings",#REF!,0),FALSE),"-")&gt;500),"-",IFERROR(VLOOKUP(BP86,#REF!,MATCH("Price To Earnings",#REF!,0),FALSE),"-"))</f>
        <v>-</v>
      </c>
      <c r="BG86" s="9"/>
      <c r="BH86" s="9"/>
      <c r="BI86" s="9"/>
      <c r="BJ86" s="9"/>
      <c r="BK86" s="9"/>
      <c r="BL86" s="9"/>
      <c r="BM86" s="9"/>
      <c r="BN86" s="9"/>
      <c r="BO86" s="9"/>
      <c r="BP86" s="9"/>
      <c r="BQ86" s="9"/>
      <c r="BR86" s="9"/>
      <c r="BS86" s="9"/>
      <c r="BT86" s="9"/>
      <c r="BU86" s="9"/>
      <c r="BV86" s="9"/>
    </row>
    <row r="87" spans="1:75" ht="12.75" customHeight="1" x14ac:dyDescent="0.2">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4"/>
      <c r="AK87" s="9"/>
      <c r="AL87" s="9"/>
      <c r="AM87" s="9"/>
      <c r="AN87" s="9"/>
      <c r="AO87" s="9"/>
      <c r="AP87" s="9"/>
      <c r="AQ87" s="9"/>
      <c r="AR87" s="9"/>
      <c r="AS87" s="9"/>
      <c r="AT87" s="10"/>
      <c r="AU87" s="163"/>
      <c r="AV87" s="163"/>
      <c r="AW87" s="163"/>
      <c r="AX87" s="9"/>
      <c r="AY87" s="9"/>
      <c r="AZ87" s="9"/>
      <c r="BA87" s="9"/>
      <c r="BB87" s="9"/>
      <c r="BC87" s="9"/>
      <c r="BD87" s="9"/>
      <c r="BE87" s="9"/>
      <c r="BF87" s="9" t="str">
        <f>IF(OR(IFERROR(VLOOKUP(BP87,#REF!,MATCH("Price To Earnings",#REF!,0),FALSE),"-")&lt;0,IFERROR(VLOOKUP(BP87,#REF!,MATCH("Price To Earnings",#REF!,0),FALSE),"-")&gt;500),"-",IFERROR(VLOOKUP(BP87,#REF!,MATCH("Price To Earnings",#REF!,0),FALSE),"-"))</f>
        <v>-</v>
      </c>
      <c r="BG87" s="9"/>
      <c r="BH87" s="9"/>
      <c r="BI87" s="9"/>
      <c r="BJ87" s="9"/>
      <c r="BK87" s="9"/>
      <c r="BL87" s="9"/>
      <c r="BM87" s="9"/>
      <c r="BN87" s="9"/>
      <c r="BO87" s="9"/>
      <c r="BP87" s="9"/>
      <c r="BQ87" s="9"/>
      <c r="BR87" s="9"/>
      <c r="BS87" s="9"/>
      <c r="BT87" s="9"/>
      <c r="BU87" s="9"/>
      <c r="BV87" s="9"/>
    </row>
    <row r="88" spans="1:75" ht="12.75" customHeigh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4"/>
      <c r="AK88" s="9"/>
      <c r="AL88" s="9"/>
      <c r="AM88" s="9"/>
      <c r="AN88" s="9"/>
      <c r="AO88" s="9"/>
      <c r="AP88" s="9"/>
      <c r="AQ88" s="9"/>
      <c r="AR88" s="9"/>
      <c r="AS88" s="9"/>
      <c r="AT88" s="10"/>
      <c r="AU88" s="163"/>
      <c r="AV88" s="163"/>
      <c r="AW88" s="163"/>
      <c r="AX88" s="9"/>
      <c r="AY88" s="9"/>
      <c r="AZ88" s="9"/>
      <c r="BA88" s="9"/>
      <c r="BB88" s="9"/>
      <c r="BC88" s="9"/>
      <c r="BD88" s="9"/>
      <c r="BE88" s="9"/>
      <c r="BF88" s="9" t="str">
        <f>IF(OR(IFERROR(VLOOKUP(BP88,#REF!,MATCH("Price To Earnings",#REF!,0),FALSE),"-")&lt;0,IFERROR(VLOOKUP(BP88,#REF!,MATCH("Price To Earnings",#REF!,0),FALSE),"-")&gt;500),"-",IFERROR(VLOOKUP(BP88,#REF!,MATCH("Price To Earnings",#REF!,0),FALSE),"-"))</f>
        <v>-</v>
      </c>
      <c r="BG88" s="9"/>
      <c r="BH88" s="9"/>
      <c r="BI88" s="9"/>
      <c r="BJ88" s="9"/>
      <c r="BK88" s="9"/>
      <c r="BL88" s="9"/>
      <c r="BM88" s="9"/>
      <c r="BN88" s="9"/>
      <c r="BO88" s="9"/>
      <c r="BP88" s="9"/>
      <c r="BQ88" s="9"/>
      <c r="BR88" s="9"/>
      <c r="BS88" s="9"/>
      <c r="BT88" s="9"/>
      <c r="BU88" s="9"/>
      <c r="BV88" s="9"/>
    </row>
    <row r="89" spans="1:75" ht="12.75" customHeight="1" x14ac:dyDescent="0.2">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4"/>
      <c r="AK89" s="9"/>
      <c r="AL89" s="9"/>
      <c r="AM89" s="9"/>
      <c r="AN89" s="9"/>
      <c r="AO89" s="9"/>
      <c r="AP89" s="9"/>
      <c r="AQ89" s="9"/>
      <c r="AR89" s="9"/>
      <c r="AS89" s="9"/>
      <c r="AT89" s="10"/>
      <c r="AU89" s="163"/>
      <c r="AV89" s="163"/>
      <c r="AW89" s="163"/>
      <c r="AX89" s="9"/>
      <c r="AY89" s="9"/>
      <c r="AZ89" s="9"/>
      <c r="BA89" s="9"/>
      <c r="BB89" s="9"/>
      <c r="BC89" s="9"/>
      <c r="BD89" s="9"/>
      <c r="BE89" s="9"/>
      <c r="BF89" s="9" t="str">
        <f>IF(OR(IFERROR(VLOOKUP(BP89,#REF!,MATCH("Price To Earnings",#REF!,0),FALSE),"-")&lt;0,IFERROR(VLOOKUP(BP89,#REF!,MATCH("Price To Earnings",#REF!,0),FALSE),"-")&gt;500),"-",IFERROR(VLOOKUP(BP89,#REF!,MATCH("Price To Earnings",#REF!,0),FALSE),"-"))</f>
        <v>-</v>
      </c>
      <c r="BG89" s="9"/>
      <c r="BH89" s="9"/>
      <c r="BI89" s="9"/>
      <c r="BJ89" s="9"/>
      <c r="BK89" s="9"/>
      <c r="BL89" s="9"/>
      <c r="BM89" s="9"/>
      <c r="BN89" s="9"/>
      <c r="BO89" s="9"/>
      <c r="BP89" s="9"/>
      <c r="BQ89" s="9"/>
      <c r="BR89" s="9"/>
      <c r="BS89" s="9"/>
      <c r="BT89" s="9"/>
      <c r="BU89" s="9"/>
      <c r="BV89" s="9"/>
    </row>
    <row r="90" spans="1:75" ht="12.75" customHeigh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4"/>
      <c r="AK90" s="9"/>
      <c r="AL90" s="9"/>
      <c r="AM90" s="9"/>
      <c r="AN90" s="9"/>
      <c r="AO90" s="9"/>
      <c r="AP90" s="9"/>
      <c r="AQ90" s="9"/>
      <c r="AR90" s="9"/>
      <c r="AS90" s="9"/>
      <c r="AT90" s="10"/>
      <c r="AU90" s="163"/>
      <c r="AV90" s="163"/>
      <c r="AW90" s="163"/>
      <c r="AX90" s="9"/>
      <c r="AY90" s="9"/>
      <c r="AZ90" s="9"/>
      <c r="BA90" s="9"/>
      <c r="BB90" s="9"/>
      <c r="BC90" s="9"/>
      <c r="BD90" s="9"/>
      <c r="BE90" s="9"/>
      <c r="BF90" s="9" t="str">
        <f>IF(OR(IFERROR(VLOOKUP(BP90,#REF!,MATCH("Price To Earnings",#REF!,0),FALSE),"-")&lt;0,IFERROR(VLOOKUP(BP90,#REF!,MATCH("Price To Earnings",#REF!,0),FALSE),"-")&gt;500),"-",IFERROR(VLOOKUP(BP90,#REF!,MATCH("Price To Earnings",#REF!,0),FALSE),"-"))</f>
        <v>-</v>
      </c>
      <c r="BG90" s="9"/>
      <c r="BH90" s="9"/>
      <c r="BI90" s="9"/>
      <c r="BJ90" s="9"/>
      <c r="BK90" s="9"/>
      <c r="BL90" s="9"/>
      <c r="BM90" s="9"/>
      <c r="BN90" s="9"/>
      <c r="BO90" s="9"/>
      <c r="BP90" s="9"/>
      <c r="BQ90" s="9"/>
      <c r="BR90" s="9"/>
      <c r="BS90" s="9"/>
      <c r="BT90" s="9"/>
      <c r="BU90" s="9"/>
      <c r="BV90" s="9"/>
    </row>
    <row r="91" spans="1:75" ht="12.75" customHeight="1" x14ac:dyDescent="0.2">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4"/>
      <c r="AK91" s="9"/>
      <c r="AL91" s="9"/>
      <c r="AM91" s="9"/>
      <c r="AN91" s="9"/>
      <c r="AO91" s="9"/>
      <c r="AP91" s="9"/>
      <c r="AQ91" s="9"/>
      <c r="AR91" s="9"/>
      <c r="AS91" s="9"/>
      <c r="AT91" s="10"/>
      <c r="AU91" s="163"/>
      <c r="AV91" s="163"/>
      <c r="AW91" s="163"/>
      <c r="AX91" s="9"/>
      <c r="AY91" s="9"/>
      <c r="AZ91" s="9"/>
      <c r="BA91" s="9"/>
      <c r="BB91" s="9"/>
      <c r="BC91" s="9"/>
      <c r="BD91" s="9"/>
      <c r="BE91" s="9"/>
      <c r="BF91" s="9" t="str">
        <f>IF(OR(IFERROR(VLOOKUP(BP91,#REF!,MATCH("Price To Earnings",#REF!,0),FALSE),"-")&lt;0,IFERROR(VLOOKUP(BP91,#REF!,MATCH("Price To Earnings",#REF!,0),FALSE),"-")&gt;500),"-",IFERROR(VLOOKUP(BP91,#REF!,MATCH("Price To Earnings",#REF!,0),FALSE),"-"))</f>
        <v>-</v>
      </c>
      <c r="BG91" s="9"/>
      <c r="BH91" s="9"/>
      <c r="BI91" s="9"/>
      <c r="BJ91" s="9"/>
      <c r="BK91" s="9"/>
      <c r="BL91" s="9"/>
      <c r="BM91" s="9"/>
      <c r="BN91" s="9"/>
      <c r="BO91" s="9"/>
      <c r="BP91" s="9"/>
      <c r="BQ91" s="9"/>
      <c r="BR91" s="9"/>
      <c r="BS91" s="9"/>
      <c r="BT91" s="9"/>
      <c r="BU91" s="9"/>
      <c r="BV91" s="9"/>
    </row>
    <row r="92" spans="1:75" ht="12.75" customHeight="1" x14ac:dyDescent="0.2">
      <c r="AT92" s="5"/>
      <c r="AU92" s="16"/>
      <c r="AV92" s="16"/>
      <c r="AW92" s="16"/>
      <c r="BF92" s="1" t="str">
        <f>IF(OR(IFERROR(VLOOKUP(BP92,#REF!,MATCH("Price To Earnings",#REF!,0),FALSE),"-")&lt;0,IFERROR(VLOOKUP(BP92,#REF!,MATCH("Price To Earnings",#REF!,0),FALSE),"-")&gt;500),"-",IFERROR(VLOOKUP(BP92,#REF!,MATCH("Price To Earnings",#REF!,0),FALSE),"-"))</f>
        <v>-</v>
      </c>
    </row>
    <row r="93" spans="1:75" ht="12.75" customHeight="1" x14ac:dyDescent="0.2">
      <c r="AT93" s="5"/>
      <c r="AU93" s="16"/>
      <c r="AV93" s="16"/>
      <c r="AW93" s="16"/>
      <c r="BF93" s="1" t="str">
        <f>IF(OR(IFERROR(VLOOKUP(BP93,#REF!,MATCH("Price To Earnings",#REF!,0),FALSE),"-")&lt;0,IFERROR(VLOOKUP(BP93,#REF!,MATCH("Price To Earnings",#REF!,0),FALSE),"-")&gt;500),"-",IFERROR(VLOOKUP(BP93,#REF!,MATCH("Price To Earnings",#REF!,0),FALSE),"-"))</f>
        <v>-</v>
      </c>
    </row>
    <row r="94" spans="1:75" ht="12.75" customHeight="1" x14ac:dyDescent="0.2">
      <c r="AT94" s="5"/>
      <c r="AU94" s="16"/>
      <c r="AV94" s="16"/>
      <c r="AW94" s="16"/>
      <c r="BF94" s="1" t="str">
        <f>IF(OR(IFERROR(VLOOKUP(BP94,#REF!,MATCH("Price To Earnings",#REF!,0),FALSE),"-")&lt;0,IFERROR(VLOOKUP(BP94,#REF!,MATCH("Price To Earnings",#REF!,0),FALSE),"-")&gt;500),"-",IFERROR(VLOOKUP(BP94,#REF!,MATCH("Price To Earnings",#REF!,0),FALSE),"-"))</f>
        <v>-</v>
      </c>
    </row>
    <row r="95" spans="1:75" ht="12.75" customHeight="1" x14ac:dyDescent="0.2">
      <c r="AT95" s="5"/>
      <c r="AU95" s="16"/>
      <c r="AV95" s="16"/>
      <c r="AW95" s="16"/>
    </row>
    <row r="96" spans="1:75" ht="12.75" customHeight="1" x14ac:dyDescent="0.2">
      <c r="AT96" s="5"/>
      <c r="AU96" s="16"/>
      <c r="AV96" s="16"/>
      <c r="AW96" s="16"/>
      <c r="BF96" s="1" t="str">
        <f>IF(OR(IFERROR(VLOOKUP(BP96,#REF!,MATCH("Price To Earnings",#REF!,0),FALSE),"-")&lt;0,IFERROR(VLOOKUP(BP96,#REF!,MATCH("Price To Earnings",#REF!,0),FALSE),"-")&gt;500),"-",IFERROR(VLOOKUP(BP96,#REF!,MATCH("Price To Earnings",#REF!,0),FALSE),"-"))</f>
        <v>-</v>
      </c>
    </row>
    <row r="97" spans="46:58" ht="12.75" customHeight="1" x14ac:dyDescent="0.2">
      <c r="AT97" s="5"/>
      <c r="AU97" s="16"/>
      <c r="AV97" s="16"/>
      <c r="AW97" s="16"/>
      <c r="BF97" s="1" t="str">
        <f>IF(OR(IFERROR(VLOOKUP(BP97,#REF!,MATCH("Price To Earnings",#REF!,0),FALSE),"-")&lt;0,IFERROR(VLOOKUP(BP97,#REF!,MATCH("Price To Earnings",#REF!,0),FALSE),"-")&gt;500),"-",IFERROR(VLOOKUP(BP97,#REF!,MATCH("Price To Earnings",#REF!,0),FALSE),"-"))</f>
        <v>-</v>
      </c>
    </row>
    <row r="98" spans="46:58" ht="12.75" customHeight="1" x14ac:dyDescent="0.2">
      <c r="AT98" s="5"/>
      <c r="AU98" s="16"/>
      <c r="AV98" s="16"/>
      <c r="AW98" s="16"/>
    </row>
    <row r="99" spans="46:58" ht="12.75" customHeight="1" x14ac:dyDescent="0.2">
      <c r="AT99" s="5"/>
      <c r="AU99" s="16"/>
      <c r="AV99" s="16"/>
      <c r="AW99" s="16"/>
    </row>
    <row r="100" spans="46:58" ht="12.75" customHeight="1" x14ac:dyDescent="0.2">
      <c r="AT100" s="5"/>
      <c r="AU100" s="16"/>
      <c r="AV100" s="16"/>
      <c r="AW100" s="16"/>
    </row>
    <row r="101" spans="46:58" ht="12.75" customHeight="1" x14ac:dyDescent="0.2">
      <c r="AT101" s="5"/>
      <c r="AU101" s="16"/>
      <c r="AV101" s="16"/>
      <c r="AW101" s="16"/>
    </row>
    <row r="102" spans="46:58" ht="12.75" customHeight="1" x14ac:dyDescent="0.2">
      <c r="AT102" s="5"/>
      <c r="AU102" s="16"/>
      <c r="AV102" s="16"/>
      <c r="AW102" s="16"/>
    </row>
    <row r="103" spans="46:58" ht="12.75" customHeight="1" x14ac:dyDescent="0.2">
      <c r="AT103" s="5"/>
      <c r="AU103" s="16"/>
      <c r="AV103" s="16"/>
      <c r="AW103" s="16"/>
    </row>
    <row r="104" spans="46:58" ht="12.75" customHeight="1" x14ac:dyDescent="0.2">
      <c r="AT104" s="5"/>
      <c r="AU104" s="16"/>
      <c r="AV104" s="16"/>
      <c r="AW104" s="16"/>
    </row>
    <row r="105" spans="46:58" ht="12.75" customHeight="1" x14ac:dyDescent="0.2">
      <c r="AT105" s="5"/>
      <c r="AU105" s="16"/>
      <c r="AV105" s="16"/>
      <c r="AW105" s="16"/>
    </row>
    <row r="106" spans="46:58" ht="12.75" customHeight="1" x14ac:dyDescent="0.2">
      <c r="AT106" s="5"/>
      <c r="AU106" s="16"/>
      <c r="AV106" s="16"/>
      <c r="AW106" s="16"/>
    </row>
    <row r="107" spans="46:58" ht="12.75" customHeight="1" x14ac:dyDescent="0.2">
      <c r="AT107" s="5"/>
      <c r="AU107" s="16"/>
      <c r="AV107" s="16"/>
      <c r="AW107" s="16"/>
    </row>
    <row r="108" spans="46:58" ht="12.75" customHeight="1" x14ac:dyDescent="0.2">
      <c r="AT108" s="5"/>
      <c r="AU108" s="16"/>
      <c r="AV108" s="16"/>
      <c r="AW108" s="16"/>
    </row>
    <row r="109" spans="46:58" ht="12.75" customHeight="1" x14ac:dyDescent="0.2">
      <c r="AT109" s="5"/>
    </row>
    <row r="110" spans="46:58" ht="12.75" customHeight="1" x14ac:dyDescent="0.2">
      <c r="AT110" s="5"/>
    </row>
    <row r="111" spans="46:58" ht="12.75" customHeight="1" x14ac:dyDescent="0.2">
      <c r="AT111" s="5"/>
    </row>
    <row r="112" spans="46:58" ht="12.75" customHeight="1" x14ac:dyDescent="0.2">
      <c r="AT112" s="5"/>
    </row>
    <row r="113" spans="46:46" ht="12.75" customHeight="1" x14ac:dyDescent="0.2">
      <c r="AT113" s="5"/>
    </row>
    <row r="114" spans="46:46" ht="22.5" customHeight="1" x14ac:dyDescent="0.2">
      <c r="AT114" s="5"/>
    </row>
    <row r="115" spans="46:46" ht="12.75" customHeight="1" x14ac:dyDescent="0.2">
      <c r="AT115" s="5"/>
    </row>
    <row r="116" spans="46:46" ht="12.75" customHeight="1" x14ac:dyDescent="0.2">
      <c r="AT116" s="5"/>
    </row>
    <row r="117" spans="46:46" ht="12.75" customHeight="1" x14ac:dyDescent="0.2">
      <c r="AT117" s="5"/>
    </row>
    <row r="118" spans="46:46" ht="12.75" customHeight="1" x14ac:dyDescent="0.2">
      <c r="AT118" s="5"/>
    </row>
    <row r="119" spans="46:46" ht="12.75" customHeight="1" x14ac:dyDescent="0.2">
      <c r="AT119" s="5"/>
    </row>
    <row r="120" spans="46:46" ht="12.75" customHeight="1" x14ac:dyDescent="0.2">
      <c r="AT120" s="5"/>
    </row>
    <row r="121" spans="46:46" ht="12.75" customHeight="1" x14ac:dyDescent="0.2">
      <c r="AT121" s="5"/>
    </row>
    <row r="122" spans="46:46" ht="12.75" customHeight="1" x14ac:dyDescent="0.2">
      <c r="AT122" s="5"/>
    </row>
    <row r="123" spans="46:46" ht="12.75" customHeight="1" x14ac:dyDescent="0.2">
      <c r="AT123" s="5"/>
    </row>
    <row r="124" spans="46:46" ht="12.75" customHeight="1" x14ac:dyDescent="0.2">
      <c r="AT124" s="5"/>
    </row>
    <row r="125" spans="46:46" ht="12.75" customHeight="1" x14ac:dyDescent="0.2">
      <c r="AT125" s="5"/>
    </row>
    <row r="126" spans="46:46" ht="12.75" customHeight="1" x14ac:dyDescent="0.2">
      <c r="AT126" s="5"/>
    </row>
    <row r="127" spans="46:46" ht="12.75" customHeight="1" x14ac:dyDescent="0.2">
      <c r="AT127" s="5"/>
    </row>
    <row r="128" spans="46:46" ht="12.75" customHeight="1" x14ac:dyDescent="0.2">
      <c r="AT128" s="5"/>
    </row>
    <row r="129" spans="46:49" ht="12.75" customHeight="1" x14ac:dyDescent="0.2">
      <c r="AT129" s="5"/>
    </row>
    <row r="130" spans="46:49" ht="12.75" customHeight="1" x14ac:dyDescent="0.2">
      <c r="AT130" s="5"/>
    </row>
    <row r="131" spans="46:49" ht="12.75" customHeight="1" x14ac:dyDescent="0.2">
      <c r="AT131" s="5"/>
      <c r="AU131" s="17"/>
      <c r="AV131" s="17"/>
      <c r="AW131" s="17"/>
    </row>
    <row r="132" spans="46:49" ht="12.75" customHeight="1" x14ac:dyDescent="0.2">
      <c r="AT132" s="5"/>
      <c r="AU132" s="17"/>
      <c r="AV132" s="17"/>
      <c r="AW132" s="17"/>
    </row>
    <row r="133" spans="46:49" ht="12.75" customHeight="1" x14ac:dyDescent="0.2">
      <c r="AT133" s="5"/>
      <c r="AU133" s="17"/>
      <c r="AV133" s="17"/>
      <c r="AW133" s="17"/>
    </row>
    <row r="134" spans="46:49" ht="12.75" customHeight="1" x14ac:dyDescent="0.2">
      <c r="AT134" s="5"/>
      <c r="AU134" s="17"/>
      <c r="AV134" s="17"/>
      <c r="AW134" s="17"/>
    </row>
    <row r="135" spans="46:49" ht="12.75" customHeight="1" x14ac:dyDescent="0.2">
      <c r="AT135" s="5"/>
    </row>
    <row r="136" spans="46:49" ht="12.75" customHeight="1" x14ac:dyDescent="0.2">
      <c r="AT136" s="5"/>
    </row>
    <row r="137" spans="46:49" ht="12.75" customHeight="1" x14ac:dyDescent="0.2">
      <c r="AT137" s="5"/>
    </row>
    <row r="138" spans="46:49" ht="12.75" customHeight="1" x14ac:dyDescent="0.2">
      <c r="AT138" s="5"/>
    </row>
    <row r="139" spans="46:49" ht="12.75" customHeight="1" x14ac:dyDescent="0.2">
      <c r="AT139" s="5"/>
    </row>
    <row r="140" spans="46:49" ht="12.75" customHeight="1" x14ac:dyDescent="0.2">
      <c r="AT140" s="5"/>
    </row>
    <row r="141" spans="46:49" ht="12.75" customHeight="1" x14ac:dyDescent="0.2">
      <c r="AT141" s="5"/>
    </row>
    <row r="142" spans="46:49" ht="12.75" customHeight="1" x14ac:dyDescent="0.2">
      <c r="AT142" s="5"/>
    </row>
    <row r="143" spans="46:49" ht="12.75" customHeight="1" x14ac:dyDescent="0.2">
      <c r="AT143" s="5"/>
    </row>
    <row r="144" spans="46:49" ht="12.75" customHeight="1" x14ac:dyDescent="0.2">
      <c r="AT144" s="5"/>
    </row>
    <row r="145" spans="46:46" ht="12.75" customHeight="1" x14ac:dyDescent="0.2">
      <c r="AT145" s="5"/>
    </row>
    <row r="146" spans="46:46" ht="12.75" customHeight="1" x14ac:dyDescent="0.2">
      <c r="AT146" s="5"/>
    </row>
    <row r="147" spans="46:46" ht="12.75" customHeight="1" x14ac:dyDescent="0.2">
      <c r="AT147" s="5"/>
    </row>
    <row r="148" spans="46:46" ht="12.75" customHeight="1" x14ac:dyDescent="0.2">
      <c r="AT148" s="5"/>
    </row>
    <row r="149" spans="46:46" ht="12.75" customHeight="1" x14ac:dyDescent="0.2">
      <c r="AT149" s="5"/>
    </row>
    <row r="150" spans="46:46" ht="12.75" customHeight="1" x14ac:dyDescent="0.2">
      <c r="AT150" s="5"/>
    </row>
    <row r="151" spans="46:46" ht="12.75" customHeight="1" x14ac:dyDescent="0.2">
      <c r="AT151" s="5"/>
    </row>
    <row r="152" spans="46:46" ht="12.75" customHeight="1" x14ac:dyDescent="0.2">
      <c r="AT152" s="5"/>
    </row>
    <row r="153" spans="46:46" ht="12.75" customHeight="1" x14ac:dyDescent="0.2">
      <c r="AT153" s="5"/>
    </row>
    <row r="154" spans="46:46" ht="12.75" customHeight="1" x14ac:dyDescent="0.2">
      <c r="AT154" s="5"/>
    </row>
    <row r="155" spans="46:46" ht="12.75" customHeight="1" x14ac:dyDescent="0.2">
      <c r="AT155" s="5"/>
    </row>
    <row r="156" spans="46:46" ht="12.75" customHeight="1" x14ac:dyDescent="0.2">
      <c r="AT156" s="5"/>
    </row>
    <row r="157" spans="46:46" ht="12.75" customHeight="1" x14ac:dyDescent="0.2">
      <c r="AT157" s="5"/>
    </row>
    <row r="158" spans="46:46" ht="12.75" customHeight="1" x14ac:dyDescent="0.2">
      <c r="AT158" s="5"/>
    </row>
    <row r="159" spans="46:46" ht="12.75" customHeight="1" x14ac:dyDescent="0.2">
      <c r="AT159" s="5"/>
    </row>
    <row r="160" spans="46:46" ht="12.75" customHeight="1" x14ac:dyDescent="0.2">
      <c r="AT160" s="5"/>
    </row>
    <row r="161" spans="46:49" ht="12.75" customHeight="1" x14ac:dyDescent="0.2">
      <c r="AT161" s="5"/>
    </row>
    <row r="162" spans="46:49" ht="12.75" customHeight="1" x14ac:dyDescent="0.2">
      <c r="AT162" s="5"/>
    </row>
    <row r="163" spans="46:49" ht="12.75" customHeight="1" x14ac:dyDescent="0.2">
      <c r="AT163" s="5"/>
    </row>
    <row r="164" spans="46:49" ht="12.75" customHeight="1" x14ac:dyDescent="0.2">
      <c r="AT164" s="5"/>
    </row>
    <row r="165" spans="46:49" ht="12.75" customHeight="1" x14ac:dyDescent="0.2">
      <c r="AT165" s="5"/>
    </row>
    <row r="166" spans="46:49" ht="12.75" customHeight="1" x14ac:dyDescent="0.2">
      <c r="AT166" s="5"/>
    </row>
    <row r="167" spans="46:49" ht="12.75" customHeight="1" x14ac:dyDescent="0.2">
      <c r="AT167" s="5"/>
    </row>
    <row r="168" spans="46:49" ht="12.75" customHeight="1" x14ac:dyDescent="0.2">
      <c r="AT168" s="5"/>
    </row>
    <row r="169" spans="46:49" ht="12.75" customHeight="1" x14ac:dyDescent="0.2">
      <c r="AT169" s="5"/>
    </row>
    <row r="170" spans="46:49" ht="12.75" customHeight="1" x14ac:dyDescent="0.2">
      <c r="AT170" s="5"/>
    </row>
    <row r="171" spans="46:49" ht="12.75" customHeight="1" x14ac:dyDescent="0.2">
      <c r="AT171" s="5"/>
      <c r="AU171" s="18"/>
      <c r="AV171" s="18"/>
      <c r="AW171" s="18"/>
    </row>
    <row r="172" spans="46:49" ht="12.75" customHeight="1" x14ac:dyDescent="0.2">
      <c r="AT172" s="5"/>
      <c r="AU172" s="18"/>
      <c r="AV172" s="18"/>
      <c r="AW172" s="18"/>
    </row>
    <row r="173" spans="46:49" ht="12.75" customHeight="1" x14ac:dyDescent="0.2">
      <c r="AT173" s="5"/>
      <c r="AU173" s="18"/>
      <c r="AV173" s="18"/>
      <c r="AW173" s="18"/>
    </row>
    <row r="174" spans="46:49" ht="12.75" customHeight="1" x14ac:dyDescent="0.2">
      <c r="AT174" s="5"/>
      <c r="AU174" s="18"/>
      <c r="AV174" s="18"/>
      <c r="AW174" s="18"/>
    </row>
    <row r="175" spans="46:49" ht="12.75" customHeight="1" x14ac:dyDescent="0.2">
      <c r="AT175" s="5"/>
      <c r="AU175" s="18"/>
      <c r="AV175" s="18"/>
      <c r="AW175" s="18"/>
    </row>
    <row r="176" spans="46:49" ht="12.75" customHeight="1" x14ac:dyDescent="0.2">
      <c r="AT176" s="5"/>
      <c r="AU176" s="18"/>
      <c r="AV176" s="18"/>
      <c r="AW176" s="18"/>
    </row>
    <row r="177" spans="46:49" ht="12.75" customHeight="1" x14ac:dyDescent="0.2">
      <c r="AT177" s="5"/>
      <c r="AU177" s="18"/>
      <c r="AV177" s="18"/>
      <c r="AW177" s="18"/>
    </row>
    <row r="178" spans="46:49" ht="12.75" customHeight="1" x14ac:dyDescent="0.2">
      <c r="AT178" s="5"/>
      <c r="AU178" s="18"/>
      <c r="AV178" s="18"/>
      <c r="AW178" s="18"/>
    </row>
    <row r="179" spans="46:49" ht="12.75" customHeight="1" x14ac:dyDescent="0.2">
      <c r="AT179" s="5"/>
      <c r="AU179" s="18"/>
      <c r="AV179" s="18"/>
      <c r="AW179" s="18"/>
    </row>
    <row r="180" spans="46:49" ht="12.75" customHeight="1" x14ac:dyDescent="0.2">
      <c r="AT180" s="5"/>
      <c r="AU180" s="18"/>
      <c r="AV180" s="18"/>
      <c r="AW180" s="18"/>
    </row>
    <row r="181" spans="46:49" ht="12.75" customHeight="1" x14ac:dyDescent="0.2">
      <c r="AT181" s="5"/>
      <c r="AU181" s="18"/>
      <c r="AV181" s="18"/>
      <c r="AW181" s="18"/>
    </row>
    <row r="182" spans="46:49" ht="12.75" customHeight="1" x14ac:dyDescent="0.2">
      <c r="AT182" s="5"/>
      <c r="AU182" s="18"/>
      <c r="AV182" s="18"/>
      <c r="AW182" s="18"/>
    </row>
    <row r="183" spans="46:49" ht="12.75" customHeight="1" x14ac:dyDescent="0.2">
      <c r="AT183" s="5"/>
      <c r="AU183" s="18"/>
      <c r="AV183" s="18"/>
      <c r="AW183" s="18"/>
    </row>
    <row r="184" spans="46:49" ht="12.75" customHeight="1" x14ac:dyDescent="0.2">
      <c r="AT184" s="5"/>
      <c r="AU184" s="18"/>
      <c r="AV184" s="18"/>
      <c r="AW184" s="18"/>
    </row>
    <row r="185" spans="46:49" ht="12.75" customHeight="1" x14ac:dyDescent="0.2">
      <c r="AT185" s="5"/>
      <c r="AU185" s="18"/>
      <c r="AV185" s="18"/>
      <c r="AW185" s="18"/>
    </row>
    <row r="186" spans="46:49" ht="12.75" customHeight="1" x14ac:dyDescent="0.2">
      <c r="AT186" s="5"/>
      <c r="AU186" s="18"/>
      <c r="AV186" s="18"/>
      <c r="AW186" s="18"/>
    </row>
    <row r="187" spans="46:49" ht="12.75" customHeight="1" x14ac:dyDescent="0.2">
      <c r="AT187" s="5"/>
      <c r="AU187" s="18"/>
      <c r="AV187" s="18"/>
      <c r="AW187" s="18"/>
    </row>
    <row r="188" spans="46:49" ht="12.75" customHeight="1" x14ac:dyDescent="0.2">
      <c r="AT188" s="5"/>
      <c r="AU188" s="18"/>
      <c r="AV188" s="18"/>
      <c r="AW188" s="18"/>
    </row>
    <row r="189" spans="46:49" ht="12.75" customHeight="1" x14ac:dyDescent="0.2">
      <c r="AT189" s="5"/>
      <c r="AU189" s="18"/>
      <c r="AV189" s="18"/>
      <c r="AW189" s="18"/>
    </row>
    <row r="190" spans="46:49" ht="12.75" customHeight="1" x14ac:dyDescent="0.2">
      <c r="AT190" s="5"/>
      <c r="AU190" s="18"/>
      <c r="AV190" s="18"/>
      <c r="AW190" s="18"/>
    </row>
    <row r="191" spans="46:49" ht="12.75" customHeight="1" x14ac:dyDescent="0.2">
      <c r="AT191" s="5"/>
      <c r="AU191" s="18"/>
      <c r="AV191" s="18"/>
      <c r="AW191" s="18"/>
    </row>
    <row r="192" spans="46:49" ht="12.75" customHeight="1" x14ac:dyDescent="0.2">
      <c r="AT192" s="5"/>
      <c r="AU192" s="18"/>
      <c r="AV192" s="18"/>
      <c r="AW192" s="18"/>
    </row>
    <row r="193" spans="46:49" ht="12.75" customHeight="1" x14ac:dyDescent="0.2">
      <c r="AT193" s="5"/>
      <c r="AU193" s="18"/>
      <c r="AV193" s="18"/>
      <c r="AW193" s="18"/>
    </row>
    <row r="194" spans="46:49" ht="12.75" customHeight="1" x14ac:dyDescent="0.2">
      <c r="AT194" s="5"/>
      <c r="AU194" s="18"/>
      <c r="AV194" s="18"/>
      <c r="AW194" s="18"/>
    </row>
    <row r="195" spans="46:49" ht="12.75" customHeight="1" x14ac:dyDescent="0.2">
      <c r="AT195" s="5"/>
      <c r="AU195" s="18"/>
      <c r="AV195" s="18"/>
      <c r="AW195" s="18"/>
    </row>
    <row r="196" spans="46:49" ht="12.75" customHeight="1" x14ac:dyDescent="0.2">
      <c r="AT196" s="5"/>
      <c r="AU196" s="18"/>
      <c r="AV196" s="18"/>
      <c r="AW196" s="18"/>
    </row>
    <row r="197" spans="46:49" ht="12.75" customHeight="1" x14ac:dyDescent="0.2">
      <c r="AT197" s="5"/>
      <c r="AU197" s="18"/>
      <c r="AV197" s="18"/>
      <c r="AW197" s="18"/>
    </row>
    <row r="198" spans="46:49" ht="12.75" customHeight="1" x14ac:dyDescent="0.2">
      <c r="AT198" s="5"/>
      <c r="AU198" s="18"/>
      <c r="AV198" s="18"/>
      <c r="AW198" s="18"/>
    </row>
    <row r="199" spans="46:49" ht="12.75" customHeight="1" x14ac:dyDescent="0.2">
      <c r="AT199" s="5"/>
      <c r="AU199" s="18"/>
      <c r="AV199" s="18"/>
      <c r="AW199" s="18"/>
    </row>
    <row r="200" spans="46:49" ht="12.75" customHeight="1" x14ac:dyDescent="0.2">
      <c r="AT200" s="5"/>
    </row>
    <row r="201" spans="46:49" ht="12.75" customHeight="1" x14ac:dyDescent="0.2">
      <c r="AT201" s="5"/>
    </row>
    <row r="202" spans="46:49" ht="12.75" customHeight="1" x14ac:dyDescent="0.2">
      <c r="AT202" s="5"/>
    </row>
    <row r="203" spans="46:49" ht="12.75" customHeight="1" x14ac:dyDescent="0.2">
      <c r="AT203" s="5"/>
    </row>
    <row r="204" spans="46:49" ht="12.75" customHeight="1" x14ac:dyDescent="0.2">
      <c r="AT204" s="5"/>
    </row>
    <row r="205" spans="46:49" ht="12.75" customHeight="1" x14ac:dyDescent="0.2">
      <c r="AT205" s="5"/>
    </row>
    <row r="206" spans="46:49" ht="12.75" customHeight="1" x14ac:dyDescent="0.2">
      <c r="AT206" s="5"/>
    </row>
    <row r="207" spans="46:49" ht="12.75" customHeight="1" x14ac:dyDescent="0.2">
      <c r="AT207" s="5"/>
    </row>
    <row r="208" spans="46:49" ht="12.75" customHeight="1" x14ac:dyDescent="0.2">
      <c r="AT208" s="5"/>
    </row>
    <row r="209" spans="46:46" ht="12.75" customHeight="1" x14ac:dyDescent="0.2">
      <c r="AT209" s="5"/>
    </row>
    <row r="210" spans="46:46" ht="12.75" customHeight="1" x14ac:dyDescent="0.2">
      <c r="AT210" s="5"/>
    </row>
    <row r="211" spans="46:46" ht="12.75" customHeight="1" x14ac:dyDescent="0.2">
      <c r="AT211" s="5"/>
    </row>
    <row r="212" spans="46:46" ht="12.75" customHeight="1" x14ac:dyDescent="0.2">
      <c r="AT212" s="5"/>
    </row>
    <row r="213" spans="46:46" ht="12.75" customHeight="1" x14ac:dyDescent="0.2">
      <c r="AT213" s="5"/>
    </row>
    <row r="214" spans="46:46" ht="12.75" customHeight="1" x14ac:dyDescent="0.2">
      <c r="AT214" s="5"/>
    </row>
    <row r="215" spans="46:46" ht="12.75" customHeight="1" x14ac:dyDescent="0.2">
      <c r="AT215" s="5"/>
    </row>
    <row r="216" spans="46:46" ht="12.75" customHeight="1" x14ac:dyDescent="0.2">
      <c r="AT216" s="5"/>
    </row>
    <row r="217" spans="46:46" ht="12.75" customHeight="1" x14ac:dyDescent="0.2">
      <c r="AT217" s="5"/>
    </row>
    <row r="218" spans="46:46" ht="12.75" customHeight="1" x14ac:dyDescent="0.2">
      <c r="AT218" s="5"/>
    </row>
    <row r="219" spans="46:46" ht="12.75" customHeight="1" x14ac:dyDescent="0.2">
      <c r="AT219" s="5"/>
    </row>
    <row r="220" spans="46:46" ht="12.75" customHeight="1" x14ac:dyDescent="0.2">
      <c r="AT220" s="5"/>
    </row>
    <row r="221" spans="46:46" ht="12.75" customHeight="1" x14ac:dyDescent="0.2">
      <c r="AT221" s="5"/>
    </row>
    <row r="222" spans="46:46" ht="12.75" customHeight="1" x14ac:dyDescent="0.2">
      <c r="AT222" s="5"/>
    </row>
    <row r="223" spans="46:46" ht="12.75" customHeight="1" x14ac:dyDescent="0.2">
      <c r="AT223" s="5"/>
    </row>
    <row r="224" spans="46:46" ht="12.75" customHeight="1" x14ac:dyDescent="0.2">
      <c r="AT224" s="5"/>
    </row>
    <row r="225" spans="46:46" ht="12.75" customHeight="1" x14ac:dyDescent="0.2">
      <c r="AT225" s="5"/>
    </row>
    <row r="226" spans="46:46" ht="12.75" customHeight="1" x14ac:dyDescent="0.2">
      <c r="AT226" s="5"/>
    </row>
    <row r="227" spans="46:46" ht="12.75" customHeight="1" x14ac:dyDescent="0.2">
      <c r="AT227" s="5"/>
    </row>
    <row r="228" spans="46:46" ht="12.75" customHeight="1" x14ac:dyDescent="0.2">
      <c r="AT228" s="5"/>
    </row>
    <row r="229" spans="46:46" ht="12.75" customHeight="1" x14ac:dyDescent="0.2">
      <c r="AT229" s="5"/>
    </row>
    <row r="230" spans="46:46" ht="12.75" customHeight="1" x14ac:dyDescent="0.2">
      <c r="AT230" s="5"/>
    </row>
    <row r="231" spans="46:46" ht="12.75" customHeight="1" x14ac:dyDescent="0.2">
      <c r="AT231" s="5"/>
    </row>
    <row r="232" spans="46:46" ht="12.75" customHeight="1" x14ac:dyDescent="0.2">
      <c r="AT232" s="5"/>
    </row>
    <row r="233" spans="46:46" ht="12.75" customHeight="1" x14ac:dyDescent="0.2">
      <c r="AT233" s="5"/>
    </row>
    <row r="234" spans="46:46" ht="12.75" customHeight="1" x14ac:dyDescent="0.2">
      <c r="AT234" s="5"/>
    </row>
    <row r="235" spans="46:46" ht="12.75" customHeight="1" x14ac:dyDescent="0.2">
      <c r="AT235" s="5"/>
    </row>
    <row r="236" spans="46:46" ht="12.75" customHeight="1" x14ac:dyDescent="0.2">
      <c r="AT236" s="5"/>
    </row>
    <row r="237" spans="46:46" ht="12.75" customHeight="1" x14ac:dyDescent="0.2">
      <c r="AT237" s="5"/>
    </row>
    <row r="238" spans="46:46" ht="12.75" customHeight="1" x14ac:dyDescent="0.2">
      <c r="AT238" s="5"/>
    </row>
    <row r="239" spans="46:46" ht="12.75" customHeight="1" x14ac:dyDescent="0.2">
      <c r="AT239" s="5"/>
    </row>
    <row r="240" spans="46:46" ht="12.75" customHeight="1" x14ac:dyDescent="0.2">
      <c r="AT240" s="5"/>
    </row>
    <row r="241" spans="46:46" ht="12.75" customHeight="1" x14ac:dyDescent="0.2">
      <c r="AT241" s="5"/>
    </row>
    <row r="242" spans="46:46" ht="12.75" customHeight="1" x14ac:dyDescent="0.2">
      <c r="AT242" s="5"/>
    </row>
    <row r="243" spans="46:46" ht="12.75" customHeight="1" x14ac:dyDescent="0.2">
      <c r="AT243" s="5"/>
    </row>
    <row r="244" spans="46:46" ht="12.75" customHeight="1" x14ac:dyDescent="0.2">
      <c r="AT244" s="5"/>
    </row>
    <row r="245" spans="46:46" ht="12.75" customHeight="1" x14ac:dyDescent="0.2">
      <c r="AT245" s="5"/>
    </row>
    <row r="246" spans="46:46" ht="12.75" customHeight="1" x14ac:dyDescent="0.2">
      <c r="AT246" s="5"/>
    </row>
    <row r="247" spans="46:46" ht="12.75" customHeight="1" x14ac:dyDescent="0.2">
      <c r="AT247" s="5"/>
    </row>
    <row r="248" spans="46:46" ht="12.75" customHeight="1" x14ac:dyDescent="0.2">
      <c r="AT248" s="5"/>
    </row>
    <row r="249" spans="46:46" ht="12.75" customHeight="1" x14ac:dyDescent="0.2">
      <c r="AT249" s="5"/>
    </row>
    <row r="250" spans="46:46" ht="12.75" customHeight="1" x14ac:dyDescent="0.2">
      <c r="AT250" s="5"/>
    </row>
    <row r="251" spans="46:46" ht="12.75" customHeight="1" x14ac:dyDescent="0.2">
      <c r="AT251" s="5"/>
    </row>
    <row r="252" spans="46:46" ht="12.75" customHeight="1" x14ac:dyDescent="0.2">
      <c r="AT252" s="5"/>
    </row>
    <row r="253" spans="46:46" ht="12.75" customHeight="1" x14ac:dyDescent="0.2">
      <c r="AT253" s="5"/>
    </row>
    <row r="254" spans="46:46" ht="12.75" customHeight="1" x14ac:dyDescent="0.2">
      <c r="AT254" s="5"/>
    </row>
    <row r="255" spans="46:46" ht="12.75" customHeight="1" x14ac:dyDescent="0.2">
      <c r="AT255" s="5"/>
    </row>
    <row r="256" spans="46:46" ht="12.75" customHeight="1" x14ac:dyDescent="0.2">
      <c r="AT256" s="5"/>
    </row>
    <row r="257" spans="46:46" ht="12.75" customHeight="1" x14ac:dyDescent="0.2">
      <c r="AT257" s="5"/>
    </row>
    <row r="258" spans="46:46" ht="12.75" customHeight="1" x14ac:dyDescent="0.2">
      <c r="AT258" s="5"/>
    </row>
    <row r="259" spans="46:46" ht="12.75" customHeight="1" x14ac:dyDescent="0.2">
      <c r="AT259" s="5"/>
    </row>
    <row r="260" spans="46:46" ht="12.75" customHeight="1" x14ac:dyDescent="0.2">
      <c r="AT260" s="5"/>
    </row>
    <row r="261" spans="46:46" ht="12.75" customHeight="1" x14ac:dyDescent="0.2">
      <c r="AT261" s="5"/>
    </row>
    <row r="262" spans="46:46" ht="12.75" customHeight="1" x14ac:dyDescent="0.2">
      <c r="AT262" s="5"/>
    </row>
    <row r="263" spans="46:46" ht="12.75" customHeight="1" x14ac:dyDescent="0.2">
      <c r="AT263" s="5"/>
    </row>
    <row r="264" spans="46:46" ht="12.75" customHeight="1" x14ac:dyDescent="0.2">
      <c r="AT264" s="5"/>
    </row>
    <row r="265" spans="46:46" ht="12.75" customHeight="1" x14ac:dyDescent="0.2">
      <c r="AT265" s="5"/>
    </row>
    <row r="266" spans="46:46" ht="12.75" customHeight="1" x14ac:dyDescent="0.2">
      <c r="AT266" s="5"/>
    </row>
    <row r="267" spans="46:46" ht="12.75" customHeight="1" x14ac:dyDescent="0.2">
      <c r="AT267" s="5"/>
    </row>
    <row r="268" spans="46:46" ht="12.75" customHeight="1" x14ac:dyDescent="0.2">
      <c r="AT268" s="5"/>
    </row>
    <row r="269" spans="46:46" ht="12.75" customHeight="1" x14ac:dyDescent="0.2">
      <c r="AT269" s="5"/>
    </row>
    <row r="270" spans="46:46" ht="12.75" customHeight="1" x14ac:dyDescent="0.2">
      <c r="AT270" s="5"/>
    </row>
    <row r="271" spans="46:46" ht="12.75" customHeight="1" x14ac:dyDescent="0.2">
      <c r="AT271" s="5"/>
    </row>
    <row r="272" spans="46:46" ht="12.75" customHeight="1" x14ac:dyDescent="0.2">
      <c r="AT272" s="5"/>
    </row>
    <row r="273" spans="46:46" ht="12.75" customHeight="1" x14ac:dyDescent="0.2">
      <c r="AT273" s="5"/>
    </row>
    <row r="274" spans="46:46" ht="12.75" customHeight="1" x14ac:dyDescent="0.2">
      <c r="AT274" s="5"/>
    </row>
    <row r="275" spans="46:46" ht="12.75" customHeight="1" x14ac:dyDescent="0.2">
      <c r="AT275" s="5"/>
    </row>
    <row r="276" spans="46:46" ht="12.75" customHeight="1" x14ac:dyDescent="0.2">
      <c r="AT276" s="5"/>
    </row>
    <row r="277" spans="46:46" ht="12.75" customHeight="1" x14ac:dyDescent="0.2">
      <c r="AT277" s="5"/>
    </row>
    <row r="278" spans="46:46" ht="12.75" customHeight="1" x14ac:dyDescent="0.2">
      <c r="AT278" s="5"/>
    </row>
    <row r="279" spans="46:46" ht="12.75" customHeight="1" x14ac:dyDescent="0.2">
      <c r="AT279" s="5"/>
    </row>
    <row r="280" spans="46:46" ht="12.75" customHeight="1" x14ac:dyDescent="0.2">
      <c r="AT280" s="5"/>
    </row>
    <row r="281" spans="46:46" ht="12.75" customHeight="1" x14ac:dyDescent="0.2">
      <c r="AT281" s="5"/>
    </row>
    <row r="282" spans="46:46" ht="12.75" customHeight="1" x14ac:dyDescent="0.2">
      <c r="AT282" s="5"/>
    </row>
    <row r="283" spans="46:46" ht="12.75" customHeight="1" x14ac:dyDescent="0.2">
      <c r="AT283" s="5"/>
    </row>
    <row r="284" spans="46:46" ht="12.75" customHeight="1" x14ac:dyDescent="0.2">
      <c r="AT284" s="5"/>
    </row>
    <row r="285" spans="46:46" ht="12.75" customHeight="1" x14ac:dyDescent="0.2">
      <c r="AT285" s="5"/>
    </row>
    <row r="286" spans="46:46" ht="12.75" customHeight="1" x14ac:dyDescent="0.2">
      <c r="AT286" s="5"/>
    </row>
    <row r="287" spans="46:46" ht="12.75" customHeight="1" x14ac:dyDescent="0.2">
      <c r="AT287" s="5"/>
    </row>
    <row r="288" spans="46:46" ht="12.75" customHeight="1" x14ac:dyDescent="0.2">
      <c r="AT288" s="5"/>
    </row>
    <row r="289" spans="46:46" ht="12.75" customHeight="1" x14ac:dyDescent="0.2">
      <c r="AT289" s="5"/>
    </row>
    <row r="290" spans="46:46" ht="12.75" customHeight="1" x14ac:dyDescent="0.2">
      <c r="AT290" s="5"/>
    </row>
    <row r="291" spans="46:46" ht="12.75" customHeight="1" x14ac:dyDescent="0.2">
      <c r="AT291" s="5"/>
    </row>
    <row r="292" spans="46:46" ht="12.75" customHeight="1" x14ac:dyDescent="0.2">
      <c r="AT292" s="5"/>
    </row>
    <row r="293" spans="46:46" ht="12.75" customHeight="1" x14ac:dyDescent="0.2">
      <c r="AT293" s="5"/>
    </row>
    <row r="294" spans="46:46" ht="12.75" customHeight="1" x14ac:dyDescent="0.2">
      <c r="AT294" s="5"/>
    </row>
    <row r="295" spans="46:46" ht="12.75" customHeight="1" x14ac:dyDescent="0.2">
      <c r="AT295" s="5"/>
    </row>
    <row r="296" spans="46:46" ht="12.75" customHeight="1" x14ac:dyDescent="0.2">
      <c r="AT296" s="5"/>
    </row>
    <row r="297" spans="46:46" ht="12.75" customHeight="1" x14ac:dyDescent="0.2">
      <c r="AT297" s="5"/>
    </row>
    <row r="298" spans="46:46" ht="12.75" customHeight="1" x14ac:dyDescent="0.2">
      <c r="AT298" s="5"/>
    </row>
    <row r="299" spans="46:46" ht="12.75" customHeight="1" x14ac:dyDescent="0.2">
      <c r="AT299" s="5"/>
    </row>
    <row r="300" spans="46:46" ht="12.75" customHeight="1" x14ac:dyDescent="0.2">
      <c r="AT300" s="5"/>
    </row>
    <row r="301" spans="46:46" ht="12.75" customHeight="1" x14ac:dyDescent="0.2">
      <c r="AT301" s="5"/>
    </row>
    <row r="302" spans="46:46" ht="12.75" customHeight="1" x14ac:dyDescent="0.2">
      <c r="AT302" s="5"/>
    </row>
    <row r="303" spans="46:46" ht="12.75" customHeight="1" x14ac:dyDescent="0.2">
      <c r="AT303" s="5"/>
    </row>
    <row r="304" spans="46:46" ht="12.75" customHeight="1" x14ac:dyDescent="0.2">
      <c r="AT304" s="5"/>
    </row>
    <row r="305" spans="46:46" ht="12.75" customHeight="1" x14ac:dyDescent="0.2">
      <c r="AT305" s="5"/>
    </row>
    <row r="306" spans="46:46" ht="12.75" customHeight="1" x14ac:dyDescent="0.2">
      <c r="AT306" s="5"/>
    </row>
    <row r="307" spans="46:46" ht="12.75" customHeight="1" x14ac:dyDescent="0.2">
      <c r="AT307" s="5"/>
    </row>
    <row r="308" spans="46:46" ht="12.75" customHeight="1" x14ac:dyDescent="0.2">
      <c r="AT308" s="5"/>
    </row>
    <row r="309" spans="46:46" ht="12.75" customHeight="1" x14ac:dyDescent="0.2">
      <c r="AT309" s="5"/>
    </row>
    <row r="310" spans="46:46" ht="12.75" customHeight="1" x14ac:dyDescent="0.2">
      <c r="AT310" s="5"/>
    </row>
    <row r="311" spans="46:46" ht="12.75" customHeight="1" x14ac:dyDescent="0.2">
      <c r="AT311" s="5"/>
    </row>
    <row r="312" spans="46:46" ht="12.75" customHeight="1" x14ac:dyDescent="0.2">
      <c r="AT312" s="5"/>
    </row>
    <row r="313" spans="46:46" ht="12.75" customHeight="1" x14ac:dyDescent="0.2">
      <c r="AT313" s="5"/>
    </row>
    <row r="314" spans="46:46" ht="12.75" customHeight="1" x14ac:dyDescent="0.2">
      <c r="AT314" s="5"/>
    </row>
    <row r="315" spans="46:46" ht="12.75" customHeight="1" x14ac:dyDescent="0.2">
      <c r="AT315" s="5"/>
    </row>
    <row r="316" spans="46:46" ht="12.75" customHeight="1" x14ac:dyDescent="0.2">
      <c r="AT316" s="5"/>
    </row>
    <row r="317" spans="46:46" ht="12.75" customHeight="1" x14ac:dyDescent="0.2">
      <c r="AT317" s="5"/>
    </row>
    <row r="318" spans="46:46" ht="12.75" customHeight="1" x14ac:dyDescent="0.2">
      <c r="AT318" s="5"/>
    </row>
    <row r="319" spans="46:46" ht="12.75" customHeight="1" x14ac:dyDescent="0.2">
      <c r="AT319" s="5"/>
    </row>
    <row r="320" spans="46:46" ht="12.75" customHeight="1" x14ac:dyDescent="0.2">
      <c r="AT320" s="5"/>
    </row>
    <row r="321" spans="46:46" ht="12.75" customHeight="1" x14ac:dyDescent="0.2">
      <c r="AT321" s="5"/>
    </row>
    <row r="322" spans="46:46" ht="12.75" customHeight="1" x14ac:dyDescent="0.2">
      <c r="AT322" s="5"/>
    </row>
    <row r="323" spans="46:46" ht="12.75" customHeight="1" x14ac:dyDescent="0.2">
      <c r="AT323" s="5"/>
    </row>
    <row r="324" spans="46:46" ht="12.75" customHeight="1" x14ac:dyDescent="0.2">
      <c r="AT324" s="5"/>
    </row>
    <row r="325" spans="46:46" ht="12.75" customHeight="1" x14ac:dyDescent="0.2">
      <c r="AT325" s="5"/>
    </row>
    <row r="326" spans="46:46" ht="12.75" customHeight="1" x14ac:dyDescent="0.2">
      <c r="AT326" s="5"/>
    </row>
    <row r="327" spans="46:46" ht="12.75" customHeight="1" x14ac:dyDescent="0.2">
      <c r="AT327" s="5"/>
    </row>
    <row r="328" spans="46:46" ht="12.75" customHeight="1" x14ac:dyDescent="0.2">
      <c r="AT328" s="5"/>
    </row>
    <row r="329" spans="46:46" ht="12.75" customHeight="1" x14ac:dyDescent="0.2">
      <c r="AT329" s="5"/>
    </row>
  </sheetData>
  <mergeCells count="6">
    <mergeCell ref="A1:L3"/>
    <mergeCell ref="A5:AR28"/>
    <mergeCell ref="P33:T33"/>
    <mergeCell ref="U33:W33"/>
    <mergeCell ref="X33:Z33"/>
    <mergeCell ref="AA33:AB33"/>
  </mergeCells>
  <hyperlinks>
    <hyperlink ref="V40" display="fmatsuda@invertironline.com"/>
    <hyperlink ref="P51" display="www.invertironline.com"/>
    <hyperlink ref="AH40" r:id="rId1"/>
  </hyperlinks>
  <printOptions horizontalCentered="1"/>
  <pageMargins left="0.23622047244094499" right="0.23622047244094499" top="0.74803149606299202" bottom="0.511811023622047" header="0" footer="0"/>
  <pageSetup paperSize="9" scale="65" orientation="landscape" r:id="rId2"/>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Company>iol155</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driquelme</dc:creator>
  <cp:lastModifiedBy>Flavia Matsuda</cp:lastModifiedBy>
  <cp:lastPrinted>2018-04-27T16:19:12Z</cp:lastPrinted>
  <dcterms:created xsi:type="dcterms:W3CDTF">2012-07-27T13:26:42Z</dcterms:created>
  <dcterms:modified xsi:type="dcterms:W3CDTF">2018-04-27T16:24:23Z</dcterms:modified>
</cp:coreProperties>
</file>