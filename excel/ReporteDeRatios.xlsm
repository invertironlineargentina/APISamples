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135" windowWidth="20115" windowHeight="7245"/>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s>
  <definedNames>
    <definedName name="_xlnm.Print_Area" localSheetId="5">Disclaimer!$A$1:$S$36</definedName>
    <definedName name="_xlnm.Print_Area" localSheetId="3">Earnings!$A$1:$Z$119</definedName>
    <definedName name="_xlnm.Print_Area" localSheetId="2">Fundamentals!$A$1:$W$117</definedName>
    <definedName name="_xlnm.Print_Area" localSheetId="4">Glosario!$A$1:$K$133</definedName>
    <definedName name="_xlnm.Print_Area" localSheetId="0">Heatmap!$A$1:$Q$90</definedName>
    <definedName name="_xlnm.Print_Area" localSheetId="1">Mercado!$A$1:$X$124</definedName>
    <definedName name="fechas">'[1]Hetmap CA'!$P$2:$AA$2</definedName>
    <definedName name="precios">'[1]Hetmap CA'!$B$4:$N$78</definedName>
    <definedName name="rendimientos">'[1]Hetmap CA'!$P$4:$AA$78</definedName>
    <definedName name="RICs">'[1]Hetmap CA'!$A$4:$A$78</definedName>
  </definedNames>
  <calcPr calcId="145621"/>
</workbook>
</file>

<file path=xl/calcChain.xml><?xml version="1.0" encoding="utf-8"?>
<calcChain xmlns="http://schemas.openxmlformats.org/spreadsheetml/2006/main">
  <c r="P98" i="6" l="1"/>
</calcChain>
</file>

<file path=xl/sharedStrings.xml><?xml version="1.0" encoding="utf-8"?>
<sst xmlns="http://schemas.openxmlformats.org/spreadsheetml/2006/main" count="1877" uniqueCount="440">
  <si>
    <t>Reporte de ratios Argentina</t>
  </si>
  <si>
    <t>Heatmap de Mercado</t>
  </si>
  <si>
    <t>Rendimientos calculados en base al precio de cierre al último día hábil de cada mes</t>
  </si>
  <si>
    <t>Variación MoM</t>
  </si>
  <si>
    <t>Ticker</t>
  </si>
  <si>
    <t>Evolución de Precios - Últimos 12 meses</t>
  </si>
  <si>
    <t>rdto. Acum. 12 M</t>
  </si>
  <si>
    <t>POLL</t>
  </si>
  <si>
    <t>LOMA</t>
  </si>
  <si>
    <t>INAG</t>
  </si>
  <si>
    <t>CTIO</t>
  </si>
  <si>
    <t>RICH</t>
  </si>
  <si>
    <t>TEF</t>
  </si>
  <si>
    <t>HAVA</t>
  </si>
  <si>
    <t>TECO2</t>
  </si>
  <si>
    <t>CRES</t>
  </si>
  <si>
    <t>EDN</t>
  </si>
  <si>
    <t>TS</t>
  </si>
  <si>
    <t>INDU</t>
  </si>
  <si>
    <t>TGSU2</t>
  </si>
  <si>
    <t>FRAN</t>
  </si>
  <si>
    <t>CADO</t>
  </si>
  <si>
    <t>GBAN</t>
  </si>
  <si>
    <t>APBR</t>
  </si>
  <si>
    <t>PATA</t>
  </si>
  <si>
    <t>CEPU</t>
  </si>
  <si>
    <t>MOLI</t>
  </si>
  <si>
    <t>DOME</t>
  </si>
  <si>
    <t>MERA</t>
  </si>
  <si>
    <t>RIGO</t>
  </si>
  <si>
    <t>MOLA</t>
  </si>
  <si>
    <t>INVJ</t>
  </si>
  <si>
    <t>GRIM</t>
  </si>
  <si>
    <t>SAMI</t>
  </si>
  <si>
    <t>IRCP</t>
  </si>
  <si>
    <t>PGR</t>
  </si>
  <si>
    <t>BPAT</t>
  </si>
  <si>
    <t>IRSA</t>
  </si>
  <si>
    <t>CGPA2</t>
  </si>
  <si>
    <t>LEDE</t>
  </si>
  <si>
    <t>PAMP</t>
  </si>
  <si>
    <t>CELU</t>
  </si>
  <si>
    <t>DGCU2</t>
  </si>
  <si>
    <t>MORI</t>
  </si>
  <si>
    <t>PATY</t>
  </si>
  <si>
    <t>AUSO</t>
  </si>
  <si>
    <t>ROSE</t>
  </si>
  <si>
    <t>COLO</t>
  </si>
  <si>
    <t>MIRG</t>
  </si>
  <si>
    <t>TGNO4</t>
  </si>
  <si>
    <t>COME</t>
  </si>
  <si>
    <t>YPFD</t>
  </si>
  <si>
    <t>GCLA</t>
  </si>
  <si>
    <t>GARO</t>
  </si>
  <si>
    <t>HARG</t>
  </si>
  <si>
    <t>OEST</t>
  </si>
  <si>
    <t>INTR</t>
  </si>
  <si>
    <t>ALUA</t>
  </si>
  <si>
    <t>BRIO</t>
  </si>
  <si>
    <t>DYCA</t>
  </si>
  <si>
    <t>BYMA</t>
  </si>
  <si>
    <t>CAPU</t>
  </si>
  <si>
    <t>CAPX</t>
  </si>
  <si>
    <t>SEMI</t>
  </si>
  <si>
    <t>BHIP</t>
  </si>
  <si>
    <t>BOLT</t>
  </si>
  <si>
    <t>ESME</t>
  </si>
  <si>
    <t>TXAR</t>
  </si>
  <si>
    <t>BMA</t>
  </si>
  <si>
    <t>FIPL</t>
  </si>
  <si>
    <t>CVH</t>
  </si>
  <si>
    <t>TRAN</t>
  </si>
  <si>
    <t>METR</t>
  </si>
  <si>
    <t>LONG</t>
  </si>
  <si>
    <t>VALO</t>
  </si>
  <si>
    <t>PSUR</t>
  </si>
  <si>
    <t>AGRO</t>
  </si>
  <si>
    <t>GGAL</t>
  </si>
  <si>
    <t>CARC</t>
  </si>
  <si>
    <t>FERR</t>
  </si>
  <si>
    <t>CECO2</t>
  </si>
  <si>
    <t>TGLT</t>
  </si>
  <si>
    <t>C9&gt;.15</t>
  </si>
  <si>
    <t>verde 255</t>
  </si>
  <si>
    <t>Y(C9&lt;=0.15,C9&gt;0.1)</t>
  </si>
  <si>
    <t>verde 200</t>
  </si>
  <si>
    <t>Y(C9&lt;=0.1,C9&gt;0.05)</t>
  </si>
  <si>
    <t>verde 150</t>
  </si>
  <si>
    <t>Y(C9&lt;=0.05,C9&gt;0)</t>
  </si>
  <si>
    <t>rojo 255, verde 255</t>
  </si>
  <si>
    <t>Y(C9&lt;=-0.0,C9&gt;-0.05)</t>
  </si>
  <si>
    <t>rojo 255, verde 150</t>
  </si>
  <si>
    <t>Y(C9&lt;=-0.05,C9&gt;-0.1)</t>
  </si>
  <si>
    <t>Y(C9&lt;=-0.1,C9&gt;-0.15)</t>
  </si>
  <si>
    <t>C9&lt;-.15</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</si>
  <si>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</si>
  <si>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</si>
  <si>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</si>
  <si>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</si>
  <si>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</si>
  <si>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</si>
  <si>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</si>
  <si>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</si>
  <si>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</si>
  <si>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</si>
  <si>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</si>
  <si>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</si>
  <si>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</si>
  <si>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</si>
  <si>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</si>
  <si>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Mar</t>
  </si>
  <si>
    <t>30 días</t>
  </si>
  <si>
    <t>90 días</t>
  </si>
  <si>
    <t>Mkt cap (Mil mill)</t>
  </si>
  <si>
    <t>EV (Mil mill)</t>
  </si>
  <si>
    <t>EV/EBITDA</t>
  </si>
  <si>
    <t>P/S</t>
  </si>
  <si>
    <t>P/E</t>
  </si>
  <si>
    <t>P/E est.</t>
  </si>
  <si>
    <t>P/B</t>
  </si>
  <si>
    <t>P/FCF</t>
  </si>
  <si>
    <t>CONSUMO BÁSICO</t>
  </si>
  <si>
    <t>Promedio</t>
  </si>
  <si>
    <t>Prom.</t>
  </si>
  <si>
    <t>CONSUMO DISCRECIONAL</t>
  </si>
  <si>
    <t>ENERGÍA</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</si>
  <si>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</si>
  <si>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</si>
  <si>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</si>
  <si>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</si>
  <si>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</si>
  <si>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</si>
  <si>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</si>
  <si>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</si>
  <si>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</si>
  <si>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</si>
  <si>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</si>
  <si>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</si>
  <si>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</si>
  <si>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</si>
  <si>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</si>
  <si>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</si>
  <si>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</si>
  <si>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</si>
  <si>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</si>
  <si>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</si>
  <si>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</si>
  <si>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</si>
  <si>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</si>
  <si>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</si>
  <si>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</si>
  <si>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</si>
  <si>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</si>
  <si>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</si>
  <si>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</si>
  <si>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</si>
  <si>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</si>
  <si>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</si>
  <si>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</si>
  <si>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</si>
  <si>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</si>
  <si>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</si>
  <si>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</si>
  <si>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</si>
  <si>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</si>
  <si>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</si>
  <si>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</si>
  <si>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</si>
  <si>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</si>
  <si>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</si>
  <si>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</si>
  <si>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</si>
  <si>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</si>
  <si>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</si>
  <si>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</si>
  <si>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</si>
  <si>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</si>
  <si>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</si>
  <si>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</si>
  <si>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</si>
  <si>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</si>
  <si>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</si>
  <si>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</si>
  <si>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</si>
  <si>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3 Q</t>
  </si>
  <si>
    <t>2 Q</t>
  </si>
  <si>
    <t>1Q</t>
  </si>
  <si>
    <t>4 Q</t>
  </si>
  <si>
    <t>1 Q</t>
  </si>
  <si>
    <t>4Q</t>
  </si>
  <si>
    <t>3Q</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</si>
  <si>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</si>
  <si>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</si>
  <si>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</si>
  <si>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</si>
  <si>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</si>
  <si>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</si>
  <si>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</si>
  <si>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</si>
  <si>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</si>
  <si>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</si>
  <si>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</si>
  <si>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</si>
  <si>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</si>
  <si>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</si>
  <si>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</si>
  <si>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</si>
  <si>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</si>
  <si>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</si>
  <si>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</si>
  <si>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</si>
  <si>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</si>
  <si>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</si>
  <si>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</si>
  <si>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</si>
  <si>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</si>
  <si>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</si>
  <si>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</si>
  <si>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</si>
  <si>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</si>
  <si>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</si>
  <si>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</si>
  <si>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</si>
  <si>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</si>
  <si>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</si>
  <si>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</si>
  <si>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</si>
  <si>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</si>
  <si>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</si>
  <si>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</si>
  <si>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x</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</si>
  <si>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</si>
  <si>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</si>
  <si>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</si>
  <si>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</si>
  <si>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</si>
  <si>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</si>
  <si>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</si>
  <si>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</si>
  <si>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</si>
  <si>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</si>
  <si>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</si>
  <si>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</si>
  <si>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</si>
  <si>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</si>
  <si>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</si>
  <si>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</si>
  <si>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</si>
  <si>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</si>
  <si>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</si>
  <si>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</si>
  <si>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</si>
  <si>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</si>
  <si>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</si>
  <si>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</si>
  <si>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</si>
  <si>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</si>
  <si>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</si>
  <si>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</si>
  <si>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</si>
  <si>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</si>
  <si>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</si>
  <si>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</si>
  <si>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</si>
  <si>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</si>
  <si>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</si>
  <si>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</si>
  <si>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</si>
  <si>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</si>
  <si>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</si>
  <si>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</si>
  <si>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</si>
  <si>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</si>
  <si>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</si>
  <si>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</si>
  <si>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</si>
  <si>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</si>
  <si>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</si>
  <si>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</si>
  <si>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CABLEVISION HOLDING S.A.</t>
  </si>
  <si>
    <t>DISTRIBUIDORA DE GAS CUYANA S.A.</t>
  </si>
  <si>
    <t>DOMEC S.A.</t>
  </si>
  <si>
    <t>DYCASA SOCIEDAD ANONIMA</t>
  </si>
  <si>
    <t>EMPRESA DISTRIB. Y COMERCIALZADORA NORTE S.A. (EDENOR S.A.)</t>
  </si>
  <si>
    <t>BODEGAS ESMERALDA S.A.</t>
  </si>
  <si>
    <t>FERRUM S.A.</t>
  </si>
  <si>
    <t>FIPLASTO S.A.</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</si>
  <si>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</si>
  <si>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</si>
  <si>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</si>
  <si>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</si>
  <si>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</si>
  <si>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</si>
  <si>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</si>
  <si>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</si>
  <si>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</si>
  <si>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</si>
  <si>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</si>
  <si>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</si>
  <si>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</si>
  <si>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</si>
  <si>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Peso</t>
  </si>
  <si>
    <t>SUPV</t>
  </si>
  <si>
    <t>Período 1/1/2019 - 31/03/2019</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</si>
  <si>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</si>
  <si>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</si>
  <si>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</si>
  <si>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</si>
  <si>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</si>
  <si>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</si>
  <si>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</si>
  <si>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</si>
  <si>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</si>
  <si>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</si>
  <si>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</si>
  <si>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</si>
  <si>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</si>
  <si>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</si>
  <si>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</si>
  <si>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</si>
  <si>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</si>
  <si>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</si>
  <si>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</si>
  <si>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</si>
  <si>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</si>
  <si>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</si>
  <si>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</si>
  <si>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</si>
  <si>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</si>
  <si>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</si>
  <si>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</si>
  <si>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</si>
  <si>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</si>
  <si>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</si>
  <si>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</si>
  <si>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</si>
  <si>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</si>
  <si>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</si>
  <si>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</si>
  <si>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</si>
  <si>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</si>
  <si>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</si>
  <si>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</si>
  <si>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</si>
  <si>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</si>
  <si>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</si>
  <si>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</si>
  <si>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</si>
  <si>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</si>
  <si>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</si>
  <si>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</si>
  <si>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</si>
  <si>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</si>
  <si>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</si>
  <si>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</si>
  <si>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</si>
  <si>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</si>
  <si>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</si>
  <si>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</si>
  <si>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</si>
  <si>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</si>
  <si>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</si>
  <si>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</si>
  <si>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</si>
  <si>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</si>
  <si>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</si>
  <si>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</si>
  <si>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</si>
  <si>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</si>
  <si>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</si>
  <si>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</si>
  <si>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</si>
  <si>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</si>
  <si>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</si>
  <si>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Gerente de Inversiones</t>
  </si>
  <si>
    <t>abianchi@invertironline.com</t>
  </si>
  <si>
    <t>Flavia Matsuda</t>
  </si>
  <si>
    <t>Analista Cuantitativo</t>
  </si>
  <si>
    <t>fmatsuda@invertironline.com</t>
  </si>
  <si>
    <t>Mariano Gasparoli</t>
  </si>
  <si>
    <t>Analista de Research</t>
  </si>
  <si>
    <t>mgasparoli@invertironline.com</t>
  </si>
  <si>
    <t>@InvertirOnline</t>
  </si>
  <si>
    <t>InvertirOnline.com</t>
  </si>
  <si>
    <t>invertirOnline</t>
  </si>
  <si>
    <t>invertirOnline.com</t>
  </si>
  <si>
    <t>Grales., Comerc. y Admin.</t>
  </si>
  <si>
    <t>Remuneraciones</t>
  </si>
  <si>
    <t>Marketing y Publicidad</t>
  </si>
  <si>
    <t>Depreciación</t>
  </si>
  <si>
    <t>8 de Marzo  de 2019</t>
  </si>
  <si>
    <t>Apr-18</t>
  </si>
  <si>
    <t>May-18</t>
  </si>
  <si>
    <t>Jun-18</t>
  </si>
  <si>
    <t>Jul-18</t>
  </si>
  <si>
    <t>Aug-18</t>
  </si>
  <si>
    <t>Sep-18</t>
  </si>
  <si>
    <t>Oct-18</t>
  </si>
  <si>
    <t>Nov-18</t>
  </si>
  <si>
    <t>Dec-18</t>
  </si>
  <si>
    <t>Jan-19</t>
  </si>
  <si>
    <t>Feb-19</t>
  </si>
  <si>
    <t>Mar-19</t>
  </si>
  <si>
    <t>-</t>
  </si>
  <si>
    <t>INSUMOS AGROQUIMICOS S.A.</t>
  </si>
  <si>
    <t>UNIPAR INDUPA SOCIEDAD ANONIMA INDUSTRIAL Y COMERCIAL</t>
  </si>
  <si>
    <t>COMPAÑIA INTRODUCTORA DE BUENOS AIRES S.A.</t>
  </si>
  <si>
    <t>INVERSORA JURAMENTO S.A.</t>
  </si>
  <si>
    <t>IRSA PROPIEDADES COMERCIALES S.A.</t>
  </si>
  <si>
    <t>IRSA INVERSIONES Y REPRESENTACIONES S.A.</t>
  </si>
  <si>
    <t>LEDESMA S.A.</t>
  </si>
  <si>
    <t>LOMA NEGRA COMPAÑIA INDUSTRIAL ARGENTINA SOCIEDAD ANONIMA</t>
  </si>
  <si>
    <t>LONGVIE S.A.</t>
  </si>
  <si>
    <t>METROGAS S.A.</t>
  </si>
  <si>
    <t>MIRGOR S.A.</t>
  </si>
  <si>
    <t>MOLINOS AGRO S.A.</t>
  </si>
  <si>
    <t>MOLINOS RIO DE LA PLATA S.A.</t>
  </si>
  <si>
    <t>MORIXE HERMANOS S.A.</t>
  </si>
  <si>
    <t>GRUPO CONCESIONARIO DEL OESTE S.A.</t>
  </si>
  <si>
    <t>PAMPA ENERGIA S.A</t>
  </si>
  <si>
    <t>IMPORTADORA Y EXPORTADORA DE LA PATAGONIA S.A.</t>
  </si>
  <si>
    <t>QUICKFOOD S.A.</t>
  </si>
  <si>
    <t>PHOENIX GLOBAL RESOURCES P.L.C.</t>
  </si>
  <si>
    <t>POLLEDO S.A.</t>
  </si>
  <si>
    <t>PETROLERA DEL CONOSUR S.A.</t>
  </si>
  <si>
    <t>LABORATORIOS RICHMOND S.A.C.I.F.</t>
  </si>
  <si>
    <t>RIGOLLEAU S.A.</t>
  </si>
  <si>
    <t>INSTITUTO ROSENBUSCH S.A.</t>
  </si>
  <si>
    <t>S.A. SAN MIGUEL</t>
  </si>
  <si>
    <t>MOLINOS JUAN SEMINO S.A.</t>
  </si>
  <si>
    <t>TELECOM ARGENTINA S. A.</t>
  </si>
  <si>
    <t>TELEFONICA S.A.</t>
  </si>
  <si>
    <t>TGLT S.A.</t>
  </si>
  <si>
    <t>TRANSPORTADORA DE GAS DEL NORTE S.A.</t>
  </si>
  <si>
    <t>TRANSPORTADORA DE GAS DEL SUR S.A.</t>
  </si>
  <si>
    <t>TRANSENER CIA. DE TRANSP. DE ENERGIA ELECTR. EN ALTA TENSION</t>
  </si>
  <si>
    <t>TENARIS S.A.</t>
  </si>
  <si>
    <t>TERNIUM ARGENTINA S.A.</t>
  </si>
  <si>
    <t>GRUPO FINANCIERO VALORES SOCIEDAD ANONIMA</t>
  </si>
  <si>
    <t>YPF S.A.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</si>
</sst>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_);&quot;&lt;&quot;\-0%"/>
    <numFmt numFmtId="165" formatCode="&quot;&gt;&quot;0%"/>
    <numFmt numFmtId="166" formatCode="0.0%"/>
    <numFmt numFmtId="167" formatCode="_(* #,##0.0_);_(* \(#,##0.0\);_(* &quot;-&quot;??_);_(@_)"/>
    <numFmt numFmtId="168" formatCode="0.0"/>
    <numFmt numFmtId="169" formatCode="_(* #,##0_);_(* \(#,##0\);_(* &quot;-&quot;??_);_(@_)"/>
    <numFmt numFmtId="170" formatCode="m/d/yy;@"/>
    <numFmt numFmtId="171" formatCode="_ * #,##0.00_ ;_ * \-#,##0.00_ ;_ * &quot;-&quot;??_ ;_ @_ "/>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b/>
      <sz val="10.5"/>
      <color theme="1"/>
      <name val="Calibri"/>
      <family val="2"/>
      <scheme val="minor"/>
    </font>
    <font>
      <sz val="10"/>
      <color theme="1"/>
      <name val="Calibri"/>
      <family val="2"/>
      <scheme val="minor"/>
    </font>
    <font>
      <u/>
      <sz val="11"/>
      <color theme="1"/>
      <name val="Calibri"/>
      <family val="2"/>
      <scheme val="minor"/>
    </font>
    <font>
      <b/>
      <sz val="11"/>
      <name val="Calibri"/>
      <family val="2"/>
      <scheme val="minor"/>
    </font>
    <font>
      <sz val="10"/>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color theme="1"/>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
      <sz val="10"/>
      <color theme="1"/>
      <name val="Arial"/>
      <family val="2"/>
    </font>
  </fonts>
  <fills count="8">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30">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theme="0"/>
      </left>
      <right style="thin">
        <color theme="0"/>
      </right>
      <top/>
      <bottom/>
      <diagonal/>
    </border>
    <border>
      <left style="thin">
        <color theme="0"/>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style="thin">
        <color theme="0"/>
      </right>
      <top style="thin">
        <color theme="0"/>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xf numFmtId="171" fontId="9" fillId="0" borderId="0" applyFont="0" applyFill="0" applyBorder="0" applyAlignment="0" applyProtection="0"/>
    <xf numFmtId="0" fontId="44" fillId="0" borderId="0"/>
  </cellStyleXfs>
  <cellXfs count="330">
    <xf numFmtId="0" fontId="0" fillId="0" borderId="0" xfId="0"/>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5" xfId="3" applyFont="1" applyFill="1" applyBorder="1" applyAlignment="1">
      <alignment horizontal="center" vertical="center" wrapText="1"/>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10" xfId="3" applyFont="1" applyFill="1" applyBorder="1" applyAlignment="1">
      <alignment horizontal="center" vertical="center"/>
    </xf>
    <xf numFmtId="0" fontId="10" fillId="2" borderId="10" xfId="3" applyFont="1" applyFill="1" applyBorder="1" applyAlignment="1">
      <alignment horizontal="center" vertical="center" wrapText="1"/>
    </xf>
    <xf numFmtId="0" fontId="10" fillId="2" borderId="11" xfId="3" applyFont="1" applyFill="1" applyBorder="1" applyAlignment="1">
      <alignment horizontal="center" vertical="center" wrapText="1"/>
    </xf>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14" xfId="3" applyFont="1" applyFill="1" applyBorder="1" applyAlignment="1">
      <alignment horizontal="center" vertical="center" wrapText="1"/>
    </xf>
    <xf numFmtId="0" fontId="10" fillId="2" borderId="15" xfId="3" applyFont="1" applyFill="1" applyBorder="1" applyAlignment="1">
      <alignment horizontal="center" vertical="center" wrapText="1"/>
    </xf>
    <xf numFmtId="0" fontId="10" fillId="2" borderId="16" xfId="3" applyFont="1" applyFill="1" applyBorder="1" applyAlignment="1">
      <alignment horizontal="center" vertical="center"/>
    </xf>
    <xf numFmtId="0" fontId="10" fillId="2" borderId="16" xfId="3" applyFont="1" applyFill="1" applyBorder="1" applyAlignment="1">
      <alignment horizontal="center" vertical="center" wrapText="1"/>
    </xf>
    <xf numFmtId="0" fontId="10" fillId="2" borderId="17" xfId="3" applyFont="1" applyFill="1" applyBorder="1" applyAlignment="1">
      <alignment horizontal="center" vertical="center" wrapText="1"/>
    </xf>
    <xf numFmtId="0" fontId="0" fillId="0" borderId="7" xfId="0" applyFill="1" applyBorder="1"/>
    <xf numFmtId="10" fontId="1" fillId="0" borderId="18"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43" fontId="0" fillId="0" borderId="0" xfId="1" applyFont="1"/>
    <xf numFmtId="0" fontId="0" fillId="0" borderId="15" xfId="0" applyFill="1" applyBorder="1"/>
    <xf numFmtId="0" fontId="0" fillId="0" borderId="0" xfId="0" applyBorder="1" applyAlignment="1">
      <alignment horizontal="right"/>
    </xf>
    <xf numFmtId="0" fontId="0" fillId="0" borderId="12" xfId="0" applyFill="1" applyBorder="1"/>
    <xf numFmtId="0" fontId="0" fillId="0" borderId="16" xfId="0" applyFill="1" applyBorder="1" applyAlignment="1">
      <alignment horizontal="right"/>
    </xf>
    <xf numFmtId="0" fontId="0" fillId="0" borderId="16"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9"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1" xfId="3" applyFont="1" applyFill="1" applyBorder="1" applyAlignment="1">
      <alignment horizontal="center" vertical="center"/>
    </xf>
    <xf numFmtId="0" fontId="10" fillId="2" borderId="22" xfId="3" applyFont="1" applyFill="1" applyBorder="1" applyAlignment="1">
      <alignment horizontal="center" vertical="center"/>
    </xf>
    <xf numFmtId="0" fontId="10" fillId="2" borderId="23" xfId="3" applyFont="1" applyFill="1" applyBorder="1" applyAlignment="1">
      <alignment horizontal="center" vertical="center"/>
    </xf>
    <xf numFmtId="0" fontId="10" fillId="2" borderId="24"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25" xfId="3" applyFont="1" applyFill="1" applyBorder="1" applyAlignment="1">
      <alignment horizontal="center" vertical="center"/>
    </xf>
    <xf numFmtId="0" fontId="10" fillId="2" borderId="26"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0" xfId="3" applyFont="1" applyFill="1" applyBorder="1" applyAlignment="1">
      <alignment horizontal="center" vertical="center" wrapText="1"/>
    </xf>
    <xf numFmtId="0" fontId="10" fillId="2" borderId="27" xfId="3" applyFont="1" applyFill="1" applyBorder="1" applyAlignment="1">
      <alignment horizontal="center" vertical="center" wrapText="1"/>
    </xf>
    <xf numFmtId="0" fontId="10" fillId="2" borderId="20" xfId="3" applyFont="1" applyFill="1" applyBorder="1" applyAlignment="1">
      <alignment vertical="center" wrapText="1"/>
    </xf>
    <xf numFmtId="0" fontId="10" fillId="2" borderId="20" xfId="3" applyNumberFormat="1" applyFont="1" applyFill="1" applyBorder="1" applyAlignment="1">
      <alignment horizontal="center" vertical="center" wrapText="1"/>
    </xf>
    <xf numFmtId="0" fontId="10" fillId="2" borderId="28"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43" fontId="0" fillId="0" borderId="0" xfId="1" applyFont="1" applyAlignment="1">
      <alignment horizontal="center" vertical="center"/>
    </xf>
    <xf numFmtId="166"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43" fontId="0" fillId="0" borderId="0" xfId="1" applyFont="1" applyAlignment="1">
      <alignment horizontal="center"/>
    </xf>
    <xf numFmtId="9" fontId="0" fillId="0" borderId="0" xfId="2" applyNumberFormat="1" applyFont="1" applyAlignment="1">
      <alignment horizontal="center"/>
    </xf>
    <xf numFmtId="167" fontId="0" fillId="0" borderId="0" xfId="1" applyNumberFormat="1" applyFont="1" applyAlignment="1">
      <alignment horizontal="center"/>
    </xf>
    <xf numFmtId="0" fontId="0" fillId="0" borderId="0" xfId="0" applyAlignment="1">
      <alignment horizontal="right"/>
    </xf>
    <xf numFmtId="167" fontId="0" fillId="0" borderId="16" xfId="1" applyNumberFormat="1" applyFont="1" applyBorder="1" applyAlignment="1">
      <alignment horizontal="center"/>
    </xf>
    <xf numFmtId="0" fontId="15" fillId="0" borderId="10" xfId="0" applyFont="1" applyBorder="1"/>
    <xf numFmtId="0" fontId="0" fillId="0" borderId="10" xfId="0" applyBorder="1"/>
    <xf numFmtId="166" fontId="0" fillId="0" borderId="10" xfId="0" applyNumberFormat="1" applyFont="1" applyBorder="1" applyAlignment="1">
      <alignment horizontal="center"/>
    </xf>
    <xf numFmtId="9" fontId="0" fillId="0" borderId="10" xfId="0" applyNumberFormat="1" applyFont="1" applyBorder="1" applyAlignment="1">
      <alignment horizontal="center"/>
    </xf>
    <xf numFmtId="43" fontId="0" fillId="0" borderId="10" xfId="1" applyFont="1" applyBorder="1" applyAlignment="1">
      <alignment horizontal="center"/>
    </xf>
    <xf numFmtId="167" fontId="0" fillId="0" borderId="10" xfId="1" applyNumberFormat="1" applyFont="1" applyBorder="1" applyAlignment="1">
      <alignment horizontal="center"/>
    </xf>
    <xf numFmtId="167" fontId="0" fillId="0" borderId="10" xfId="0" applyNumberFormat="1" applyFont="1" applyBorder="1" applyAlignment="1">
      <alignment horizontal="center"/>
    </xf>
    <xf numFmtId="168" fontId="0" fillId="0" borderId="10" xfId="0" applyNumberFormat="1" applyFont="1" applyBorder="1" applyAlignment="1">
      <alignment horizontal="center"/>
    </xf>
    <xf numFmtId="0" fontId="15" fillId="0" borderId="10" xfId="0" applyFont="1" applyBorder="1" applyAlignment="1">
      <alignment horizontal="right"/>
    </xf>
    <xf numFmtId="9" fontId="0" fillId="0" borderId="0" xfId="2" applyNumberFormat="1" applyFont="1"/>
    <xf numFmtId="167" fontId="0" fillId="0" borderId="0" xfId="1" applyNumberFormat="1" applyFont="1"/>
    <xf numFmtId="166" fontId="0" fillId="0" borderId="0" xfId="2" applyNumberFormat="1" applyFont="1"/>
    <xf numFmtId="0" fontId="3" fillId="3" borderId="0" xfId="0" applyFont="1" applyFill="1"/>
    <xf numFmtId="9" fontId="3" fillId="3" borderId="0" xfId="2" applyFont="1" applyFill="1"/>
    <xf numFmtId="43" fontId="3" fillId="3" borderId="0" xfId="1" applyFont="1" applyFill="1"/>
    <xf numFmtId="9" fontId="3" fillId="3" borderId="0" xfId="2" applyNumberFormat="1" applyFont="1" applyFill="1"/>
    <xf numFmtId="167" fontId="3" fillId="3" borderId="0" xfId="1" applyNumberFormat="1" applyFont="1" applyFill="1"/>
    <xf numFmtId="166" fontId="3" fillId="3" borderId="0" xfId="2" applyNumberFormat="1" applyFont="1" applyFill="1"/>
    <xf numFmtId="0" fontId="3" fillId="3" borderId="0" xfId="0" applyFont="1" applyFill="1" applyAlignment="1">
      <alignment horizontal="right"/>
    </xf>
    <xf numFmtId="2" fontId="0" fillId="0" borderId="10" xfId="0" applyNumberFormat="1" applyFont="1" applyBorder="1" applyAlignment="1">
      <alignment horizontal="center"/>
    </xf>
    <xf numFmtId="2" fontId="0" fillId="0" borderId="0" xfId="0" applyNumberFormat="1" applyAlignment="1">
      <alignment horizontal="center"/>
    </xf>
    <xf numFmtId="0" fontId="10" fillId="2" borderId="25" xfId="3" applyFont="1" applyFill="1" applyBorder="1" applyAlignment="1">
      <alignment horizontal="right" vertical="center"/>
    </xf>
    <xf numFmtId="0" fontId="10" fillId="2" borderId="28" xfId="3" applyFont="1" applyFill="1" applyBorder="1" applyAlignment="1">
      <alignment horizontal="right" vertical="center"/>
    </xf>
    <xf numFmtId="43" fontId="0" fillId="0" borderId="10" xfId="1" applyNumberFormat="1" applyFont="1" applyBorder="1" applyAlignment="1">
      <alignment horizontal="center"/>
    </xf>
    <xf numFmtId="2" fontId="0" fillId="0" borderId="10" xfId="1" applyNumberFormat="1" applyFont="1" applyBorder="1" applyAlignment="1">
      <alignment horizontal="center"/>
    </xf>
    <xf numFmtId="166" fontId="0" fillId="0" borderId="10" xfId="2" applyNumberFormat="1" applyFont="1" applyBorder="1" applyAlignment="1">
      <alignment horizontal="center"/>
    </xf>
    <xf numFmtId="43" fontId="0" fillId="0" borderId="0" xfId="1" applyFont="1" applyAlignment="1"/>
    <xf numFmtId="0" fontId="15" fillId="0" borderId="0" xfId="0" applyFont="1" applyBorder="1"/>
    <xf numFmtId="166" fontId="0" fillId="0" borderId="0" xfId="2" applyNumberFormat="1" applyFont="1" applyBorder="1"/>
    <xf numFmtId="9" fontId="0" fillId="0" borderId="0" xfId="2" applyFont="1" applyBorder="1"/>
    <xf numFmtId="43" fontId="0" fillId="0" borderId="0" xfId="1" applyFont="1" applyBorder="1"/>
    <xf numFmtId="9" fontId="0" fillId="0" borderId="0" xfId="2" applyNumberFormat="1" applyFont="1" applyBorder="1"/>
    <xf numFmtId="167" fontId="0" fillId="0" borderId="0" xfId="1" applyNumberFormat="1" applyFont="1" applyBorder="1"/>
    <xf numFmtId="0" fontId="15" fillId="0" borderId="0" xfId="0" applyFont="1" applyBorder="1" applyAlignment="1">
      <alignment horizontal="right"/>
    </xf>
    <xf numFmtId="0" fontId="10" fillId="2" borderId="24" xfId="3" applyFont="1" applyFill="1" applyBorder="1" applyAlignment="1">
      <alignment horizontal="center" vertical="center"/>
    </xf>
    <xf numFmtId="0" fontId="10" fillId="2" borderId="19" xfId="3" applyFont="1" applyFill="1" applyBorder="1" applyAlignment="1">
      <alignment horizontal="right" vertical="center"/>
    </xf>
    <xf numFmtId="0" fontId="10" fillId="2" borderId="27" xfId="3" applyFont="1" applyFill="1" applyBorder="1" applyAlignment="1">
      <alignment horizontal="center" vertical="center"/>
    </xf>
    <xf numFmtId="0" fontId="10" fillId="2" borderId="26" xfId="3" applyFont="1" applyFill="1" applyBorder="1" applyAlignment="1">
      <alignment horizontal="right" vertical="center"/>
    </xf>
    <xf numFmtId="169" fontId="0" fillId="0" borderId="0" xfId="1" applyNumberFormat="1" applyFont="1" applyAlignment="1">
      <alignment horizontal="center"/>
    </xf>
    <xf numFmtId="169" fontId="0" fillId="0" borderId="10" xfId="1" applyNumberFormat="1" applyFont="1" applyBorder="1" applyAlignment="1">
      <alignment horizontal="center"/>
    </xf>
    <xf numFmtId="0" fontId="15" fillId="0" borderId="5" xfId="0" applyFont="1" applyBorder="1"/>
    <xf numFmtId="0" fontId="0" fillId="0" borderId="5" xfId="0" applyBorder="1"/>
    <xf numFmtId="166" fontId="0" fillId="0" borderId="5" xfId="0" applyNumberFormat="1" applyFont="1" applyBorder="1" applyAlignment="1">
      <alignment horizontal="center"/>
    </xf>
    <xf numFmtId="9" fontId="0" fillId="0" borderId="5" xfId="0" applyNumberFormat="1" applyFont="1" applyBorder="1" applyAlignment="1">
      <alignment horizontal="center"/>
    </xf>
    <xf numFmtId="43" fontId="0" fillId="0" borderId="5" xfId="1" applyFont="1" applyBorder="1" applyAlignment="1">
      <alignment horizontal="center"/>
    </xf>
    <xf numFmtId="2" fontId="0" fillId="0" borderId="5" xfId="1" applyNumberFormat="1" applyFont="1" applyBorder="1" applyAlignment="1">
      <alignment horizontal="center"/>
    </xf>
    <xf numFmtId="167" fontId="0" fillId="0" borderId="5" xfId="1" applyNumberFormat="1" applyFont="1" applyBorder="1" applyAlignment="1">
      <alignment horizontal="center"/>
    </xf>
    <xf numFmtId="167" fontId="0" fillId="0" borderId="5" xfId="0" applyNumberFormat="1" applyFont="1" applyBorder="1" applyAlignment="1">
      <alignment horizontal="center"/>
    </xf>
    <xf numFmtId="0" fontId="15" fillId="0" borderId="5"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8" fillId="0" borderId="0" xfId="0" applyFont="1"/>
    <xf numFmtId="0" fontId="10" fillId="4" borderId="19" xfId="3" applyFont="1" applyFill="1" applyBorder="1" applyAlignment="1">
      <alignment horizontal="center" vertical="center"/>
    </xf>
    <xf numFmtId="0" fontId="10" fillId="4" borderId="24" xfId="3" applyFont="1" applyFill="1" applyBorder="1" applyAlignment="1">
      <alignment horizontal="center" vertical="center"/>
    </xf>
    <xf numFmtId="0" fontId="10" fillId="4" borderId="24" xfId="3" applyFont="1" applyFill="1" applyBorder="1" applyAlignment="1">
      <alignment horizontal="center" vertical="center" wrapText="1"/>
    </xf>
    <xf numFmtId="0" fontId="10" fillId="4" borderId="21" xfId="3" applyFont="1" applyFill="1" applyBorder="1" applyAlignment="1">
      <alignment horizontal="center" vertical="center"/>
    </xf>
    <xf numFmtId="0" fontId="10" fillId="4" borderId="22" xfId="3" applyFont="1" applyFill="1" applyBorder="1" applyAlignment="1">
      <alignment horizontal="center" vertical="center"/>
    </xf>
    <xf numFmtId="0" fontId="10" fillId="4" borderId="23" xfId="3" applyFont="1" applyFill="1" applyBorder="1" applyAlignment="1">
      <alignment horizontal="center" vertical="center"/>
    </xf>
    <xf numFmtId="0" fontId="10" fillId="4" borderId="26" xfId="3" applyFont="1" applyFill="1" applyBorder="1" applyAlignment="1">
      <alignment horizontal="center" vertical="center"/>
    </xf>
    <xf numFmtId="0" fontId="10" fillId="4" borderId="27" xfId="3" applyFont="1" applyFill="1" applyBorder="1" applyAlignment="1">
      <alignment horizontal="center" vertical="center"/>
    </xf>
    <xf numFmtId="0" fontId="10" fillId="4" borderId="27" xfId="3" applyFont="1" applyFill="1" applyBorder="1" applyAlignment="1">
      <alignment horizontal="center" vertical="center" wrapText="1"/>
    </xf>
    <xf numFmtId="0" fontId="10" fillId="4" borderId="21" xfId="3" applyFont="1" applyFill="1" applyBorder="1" applyAlignment="1">
      <alignment horizontal="center" vertical="center" wrapText="1"/>
    </xf>
    <xf numFmtId="0" fontId="10" fillId="4" borderId="20" xfId="3" applyFont="1" applyFill="1" applyBorder="1" applyAlignment="1">
      <alignment horizontal="center" vertical="center" wrapText="1"/>
    </xf>
    <xf numFmtId="0" fontId="20" fillId="4" borderId="20" xfId="3" applyFont="1" applyFill="1" applyBorder="1" applyAlignment="1">
      <alignment horizontal="center" vertical="center" wrapText="1"/>
    </xf>
    <xf numFmtId="0" fontId="20" fillId="4" borderId="20" xfId="3" applyNumberFormat="1" applyFont="1" applyFill="1" applyBorder="1" applyAlignment="1">
      <alignment horizontal="center" vertical="center" wrapText="1"/>
    </xf>
    <xf numFmtId="2" fontId="17" fillId="0" borderId="0" xfId="0" applyNumberFormat="1" applyFont="1"/>
    <xf numFmtId="170" fontId="0" fillId="0" borderId="0" xfId="0" applyNumberFormat="1" applyAlignment="1">
      <alignment horizontal="right"/>
    </xf>
    <xf numFmtId="43" fontId="0" fillId="0" borderId="0" xfId="1" applyFont="1" applyAlignment="1">
      <alignment horizontal="right"/>
    </xf>
    <xf numFmtId="9" fontId="0" fillId="0" borderId="0" xfId="2" applyNumberFormat="1" applyFont="1" applyAlignment="1">
      <alignment horizontal="right"/>
    </xf>
    <xf numFmtId="169" fontId="0" fillId="0" borderId="0" xfId="1" applyNumberFormat="1" applyFont="1" applyAlignment="1">
      <alignment horizontal="right"/>
    </xf>
    <xf numFmtId="166" fontId="0" fillId="0" borderId="0" xfId="2" applyNumberFormat="1" applyFont="1" applyAlignment="1">
      <alignment horizontal="right"/>
    </xf>
    <xf numFmtId="43" fontId="0" fillId="0" borderId="0" xfId="1" applyFont="1" applyAlignment="1">
      <alignment horizontal="right" vertical="center"/>
    </xf>
    <xf numFmtId="0" fontId="0" fillId="0" borderId="10" xfId="0" applyBorder="1" applyAlignment="1">
      <alignment horizontal="right"/>
    </xf>
    <xf numFmtId="43" fontId="0" fillId="0" borderId="10" xfId="1" applyFont="1" applyBorder="1" applyAlignment="1">
      <alignment horizontal="right" vertical="center"/>
    </xf>
    <xf numFmtId="43" fontId="0" fillId="0" borderId="10" xfId="1" applyFont="1" applyBorder="1" applyAlignment="1">
      <alignment horizontal="right"/>
    </xf>
    <xf numFmtId="9" fontId="0" fillId="0" borderId="10" xfId="2" applyNumberFormat="1" applyFont="1" applyBorder="1" applyAlignment="1">
      <alignment horizontal="right"/>
    </xf>
    <xf numFmtId="169" fontId="0" fillId="0" borderId="10" xfId="1" applyNumberFormat="1" applyFont="1" applyBorder="1" applyAlignment="1">
      <alignment horizontal="right"/>
    </xf>
    <xf numFmtId="166" fontId="0" fillId="0" borderId="10" xfId="2" applyNumberFormat="1" applyFont="1" applyBorder="1" applyAlignment="1">
      <alignment horizontal="right"/>
    </xf>
    <xf numFmtId="167" fontId="0" fillId="0" borderId="10" xfId="1" applyNumberFormat="1" applyFont="1" applyBorder="1"/>
    <xf numFmtId="43" fontId="3" fillId="3" borderId="0" xfId="1" applyFont="1" applyFill="1" applyAlignment="1">
      <alignment horizontal="right" vertical="center"/>
    </xf>
    <xf numFmtId="43" fontId="3" fillId="3" borderId="0" xfId="1" applyFont="1" applyFill="1" applyAlignment="1">
      <alignment horizontal="right"/>
    </xf>
    <xf numFmtId="9" fontId="3" fillId="3" borderId="0" xfId="2" applyNumberFormat="1" applyFont="1" applyFill="1" applyAlignment="1">
      <alignment horizontal="right"/>
    </xf>
    <xf numFmtId="169" fontId="3" fillId="3" borderId="0" xfId="1" applyNumberFormat="1" applyFont="1" applyFill="1" applyAlignment="1">
      <alignment horizontal="right"/>
    </xf>
    <xf numFmtId="166" fontId="3" fillId="3" borderId="0" xfId="2" applyNumberFormat="1" applyFont="1" applyFill="1" applyAlignment="1">
      <alignment horizontal="right"/>
    </xf>
    <xf numFmtId="167" fontId="0" fillId="0" borderId="0" xfId="1" applyNumberFormat="1" applyFont="1" applyAlignment="1">
      <alignment horizontal="right"/>
    </xf>
    <xf numFmtId="170" fontId="0" fillId="0" borderId="10" xfId="0" applyNumberFormat="1" applyBorder="1" applyAlignment="1">
      <alignment horizontal="right"/>
    </xf>
    <xf numFmtId="170" fontId="3" fillId="3" borderId="0" xfId="0" applyNumberFormat="1" applyFont="1" applyFill="1" applyAlignment="1">
      <alignment horizontal="right"/>
    </xf>
    <xf numFmtId="43" fontId="0" fillId="0" borderId="0" xfId="1" applyFont="1" applyBorder="1" applyAlignment="1">
      <alignment vertical="center"/>
    </xf>
    <xf numFmtId="43" fontId="10" fillId="4" borderId="21" xfId="1" applyFont="1" applyFill="1" applyBorder="1" applyAlignment="1">
      <alignment horizontal="center" vertical="center"/>
    </xf>
    <xf numFmtId="43" fontId="10" fillId="4" borderId="22" xfId="1" applyFont="1" applyFill="1" applyBorder="1" applyAlignment="1">
      <alignment horizontal="center" vertical="center"/>
    </xf>
    <xf numFmtId="0" fontId="10" fillId="4" borderId="25" xfId="3" applyFont="1" applyFill="1" applyBorder="1" applyAlignment="1">
      <alignment horizontal="center" vertical="center"/>
    </xf>
    <xf numFmtId="0" fontId="10" fillId="4" borderId="29" xfId="3" applyFont="1" applyFill="1" applyBorder="1" applyAlignment="1">
      <alignment horizontal="center" vertical="center"/>
    </xf>
    <xf numFmtId="0" fontId="20" fillId="4" borderId="21" xfId="3" applyFont="1" applyFill="1" applyBorder="1" applyAlignment="1">
      <alignment horizontal="center" vertical="center" wrapText="1"/>
    </xf>
    <xf numFmtId="167" fontId="0" fillId="0" borderId="10" xfId="1" applyNumberFormat="1" applyFont="1" applyBorder="1" applyAlignment="1">
      <alignment horizontal="right"/>
    </xf>
    <xf numFmtId="167" fontId="1" fillId="0" borderId="0" xfId="1" applyNumberFormat="1" applyFont="1" applyAlignment="1">
      <alignment horizontal="right"/>
    </xf>
    <xf numFmtId="167" fontId="3" fillId="3" borderId="0" xfId="1" applyNumberFormat="1" applyFont="1" applyFill="1" applyAlignment="1">
      <alignment horizontal="right"/>
    </xf>
    <xf numFmtId="9" fontId="0" fillId="0" borderId="10" xfId="2" applyFont="1" applyBorder="1" applyAlignment="1">
      <alignment horizontal="right"/>
    </xf>
    <xf numFmtId="170" fontId="0" fillId="0" borderId="0" xfId="0" applyNumberFormat="1" applyFill="1" applyAlignment="1">
      <alignment horizontal="right"/>
    </xf>
    <xf numFmtId="43" fontId="10" fillId="4" borderId="21" xfId="1" applyFont="1" applyFill="1" applyBorder="1" applyAlignment="1">
      <alignment horizontal="center" vertical="center" wrapText="1"/>
    </xf>
    <xf numFmtId="43" fontId="0" fillId="0" borderId="5" xfId="1" applyFont="1" applyBorder="1" applyAlignment="1">
      <alignment horizontal="right" vertical="center"/>
    </xf>
    <xf numFmtId="43" fontId="0" fillId="0" borderId="5" xfId="1" applyFont="1" applyBorder="1" applyAlignment="1">
      <alignment horizontal="right"/>
    </xf>
    <xf numFmtId="9" fontId="0" fillId="0" borderId="5" xfId="2" applyNumberFormat="1" applyFont="1" applyBorder="1" applyAlignment="1">
      <alignment horizontal="right"/>
    </xf>
    <xf numFmtId="169" fontId="0" fillId="0" borderId="5" xfId="1" applyNumberFormat="1" applyFont="1" applyBorder="1" applyAlignment="1">
      <alignment horizontal="right"/>
    </xf>
    <xf numFmtId="166" fontId="0" fillId="0" borderId="5" xfId="2" applyNumberFormat="1" applyFont="1" applyBorder="1" applyAlignment="1">
      <alignment horizontal="right"/>
    </xf>
    <xf numFmtId="167" fontId="0" fillId="0" borderId="5" xfId="1" applyNumberFormat="1" applyFont="1" applyBorder="1" applyAlignment="1">
      <alignment horizontal="right"/>
    </xf>
    <xf numFmtId="43" fontId="0" fillId="0" borderId="0" xfId="1" applyFont="1" applyAlignment="1">
      <alignment vertical="center"/>
    </xf>
    <xf numFmtId="0" fontId="21" fillId="0" borderId="0" xfId="0" applyFont="1"/>
    <xf numFmtId="0" fontId="22" fillId="0" borderId="0" xfId="0" applyFont="1"/>
    <xf numFmtId="0" fontId="23" fillId="0" borderId="0" xfId="0" applyFont="1"/>
    <xf numFmtId="0" fontId="23" fillId="0" borderId="0" xfId="0" applyFont="1" applyFill="1"/>
    <xf numFmtId="0" fontId="2" fillId="0" borderId="0" xfId="0" applyFont="1" applyFill="1"/>
    <xf numFmtId="0" fontId="2" fillId="0" borderId="0" xfId="0" applyFont="1" applyAlignment="1">
      <alignment horizontal="right"/>
    </xf>
    <xf numFmtId="0" fontId="10" fillId="5" borderId="19" xfId="3" applyFont="1" applyFill="1" applyBorder="1" applyAlignment="1">
      <alignment horizontal="center" vertical="center"/>
    </xf>
    <xf numFmtId="0" fontId="10" fillId="5" borderId="21" xfId="3" applyFont="1" applyFill="1" applyBorder="1" applyAlignment="1">
      <alignment horizontal="center" vertical="center"/>
    </xf>
    <xf numFmtId="0" fontId="10" fillId="5" borderId="22" xfId="3" applyFont="1" applyFill="1" applyBorder="1" applyAlignment="1">
      <alignment horizontal="center" vertical="center"/>
    </xf>
    <xf numFmtId="0" fontId="10" fillId="5" borderId="23" xfId="3" applyFont="1" applyFill="1" applyBorder="1" applyAlignment="1">
      <alignment horizontal="center" vertical="center"/>
    </xf>
    <xf numFmtId="0" fontId="10" fillId="0" borderId="0" xfId="3" applyFont="1" applyFill="1" applyBorder="1" applyAlignment="1">
      <alignment horizontal="center" vertical="center"/>
    </xf>
    <xf numFmtId="0" fontId="10" fillId="5" borderId="20" xfId="3" applyFont="1" applyFill="1" applyBorder="1" applyAlignment="1">
      <alignment horizontal="center" vertical="center"/>
    </xf>
    <xf numFmtId="0" fontId="10" fillId="5" borderId="24" xfId="3" applyFont="1" applyFill="1" applyBorder="1" applyAlignment="1">
      <alignment horizontal="center" vertical="center"/>
    </xf>
    <xf numFmtId="0" fontId="10" fillId="5" borderId="26" xfId="3" applyFont="1" applyFill="1" applyBorder="1" applyAlignment="1">
      <alignment horizontal="center" vertical="center"/>
    </xf>
    <xf numFmtId="0" fontId="10" fillId="5" borderId="20" xfId="3" applyFont="1" applyFill="1" applyBorder="1" applyAlignment="1">
      <alignment horizontal="center" vertical="center"/>
    </xf>
    <xf numFmtId="0" fontId="10" fillId="5" borderId="24"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5" borderId="27" xfId="3" applyFont="1" applyFill="1" applyBorder="1" applyAlignment="1">
      <alignment horizontal="center" vertical="center"/>
    </xf>
    <xf numFmtId="0" fontId="14" fillId="3" borderId="21" xfId="0" applyFont="1" applyFill="1" applyBorder="1" applyAlignment="1">
      <alignment horizontal="left"/>
    </xf>
    <xf numFmtId="0" fontId="14" fillId="3" borderId="22" xfId="0" applyFont="1" applyFill="1" applyBorder="1" applyAlignment="1">
      <alignment horizontal="left"/>
    </xf>
    <xf numFmtId="0" fontId="14" fillId="3" borderId="23" xfId="0" applyFont="1" applyFill="1" applyBorder="1" applyAlignment="1">
      <alignment horizontal="left"/>
    </xf>
    <xf numFmtId="0" fontId="0" fillId="0" borderId="22" xfId="0" applyFill="1" applyBorder="1"/>
    <xf numFmtId="0" fontId="0" fillId="3" borderId="21" xfId="0" applyFill="1" applyBorder="1"/>
    <xf numFmtId="0" fontId="0" fillId="3" borderId="22" xfId="0" applyFill="1" applyBorder="1"/>
    <xf numFmtId="0" fontId="0" fillId="3" borderId="23" xfId="0" applyFill="1" applyBorder="1"/>
    <xf numFmtId="0" fontId="0" fillId="3" borderId="20" xfId="0" applyFill="1" applyBorder="1" applyAlignment="1">
      <alignment horizontal="right"/>
    </xf>
    <xf numFmtId="169" fontId="24" fillId="0" borderId="0" xfId="1" applyNumberFormat="1" applyFont="1"/>
    <xf numFmtId="169" fontId="24" fillId="0" borderId="0" xfId="1" applyNumberFormat="1" applyFont="1" applyFill="1"/>
    <xf numFmtId="43" fontId="24" fillId="0" borderId="0" xfId="1" applyFont="1" applyAlignment="1">
      <alignment vertical="center"/>
    </xf>
    <xf numFmtId="43" fontId="24" fillId="0" borderId="0" xfId="1" applyFont="1" applyFill="1" applyAlignment="1">
      <alignment vertical="center"/>
    </xf>
    <xf numFmtId="169" fontId="24" fillId="0" borderId="10" xfId="1" applyNumberFormat="1" applyFont="1" applyBorder="1"/>
    <xf numFmtId="43" fontId="24" fillId="0" borderId="10" xfId="1" applyFont="1" applyBorder="1" applyAlignment="1">
      <alignment vertical="center"/>
    </xf>
    <xf numFmtId="0" fontId="0" fillId="0" borderId="10" xfId="0" applyFill="1" applyBorder="1"/>
    <xf numFmtId="169" fontId="25" fillId="3" borderId="0" xfId="1" applyNumberFormat="1" applyFont="1" applyFill="1"/>
    <xf numFmtId="169" fontId="25" fillId="0" borderId="0" xfId="1" applyNumberFormat="1" applyFont="1" applyFill="1"/>
    <xf numFmtId="0" fontId="3" fillId="0" borderId="0" xfId="0" applyFont="1" applyFill="1"/>
    <xf numFmtId="169" fontId="17" fillId="0" borderId="0" xfId="1" applyNumberFormat="1" applyFont="1"/>
    <xf numFmtId="169" fontId="17" fillId="0" borderId="10" xfId="1" applyNumberFormat="1" applyFont="1" applyBorder="1"/>
    <xf numFmtId="43" fontId="24" fillId="0" borderId="10" xfId="1" applyFont="1" applyFill="1" applyBorder="1" applyAlignment="1">
      <alignment vertical="center"/>
    </xf>
    <xf numFmtId="169" fontId="24" fillId="0" borderId="10" xfId="1" applyNumberFormat="1" applyFont="1" applyFill="1" applyBorder="1"/>
    <xf numFmtId="43" fontId="24" fillId="0" borderId="0" xfId="1" applyNumberFormat="1" applyFont="1"/>
    <xf numFmtId="169" fontId="24" fillId="0" borderId="0" xfId="1" applyNumberFormat="1" applyFont="1" applyBorder="1"/>
    <xf numFmtId="43" fontId="24" fillId="0" borderId="0" xfId="1" applyFont="1" applyBorder="1" applyAlignment="1">
      <alignment vertical="center"/>
    </xf>
    <xf numFmtId="43" fontId="24" fillId="0" borderId="0" xfId="1" applyFont="1" applyFill="1" applyBorder="1" applyAlignment="1">
      <alignment vertical="center"/>
    </xf>
    <xf numFmtId="169" fontId="24" fillId="0" borderId="0" xfId="1" applyNumberFormat="1" applyFont="1" applyFill="1" applyBorder="1"/>
    <xf numFmtId="0" fontId="0" fillId="0" borderId="0" xfId="0" applyFill="1" applyBorder="1"/>
    <xf numFmtId="169" fontId="24" fillId="0" borderId="0" xfId="1" applyNumberFormat="1" applyFont="1" applyAlignment="1">
      <alignment horizontal="right"/>
    </xf>
    <xf numFmtId="169" fontId="24" fillId="0" borderId="0" xfId="1" applyNumberFormat="1" applyFont="1" applyFill="1" applyAlignment="1">
      <alignment horizontal="right"/>
    </xf>
    <xf numFmtId="169" fontId="26" fillId="0" borderId="0" xfId="1" applyNumberFormat="1" applyFont="1"/>
    <xf numFmtId="169" fontId="24" fillId="0" borderId="5" xfId="1" applyNumberFormat="1" applyFont="1" applyBorder="1"/>
    <xf numFmtId="43" fontId="24" fillId="0" borderId="5" xfId="1" applyFont="1" applyBorder="1" applyAlignment="1">
      <alignment vertical="center"/>
    </xf>
    <xf numFmtId="0" fontId="0" fillId="0" borderId="5" xfId="0" applyFill="1" applyBorder="1"/>
    <xf numFmtId="0" fontId="27"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43" fontId="0" fillId="0" borderId="0" xfId="1" applyFont="1" applyAlignment="1">
      <alignment horizontal="justify" vertical="center" wrapText="1"/>
    </xf>
    <xf numFmtId="0" fontId="0" fillId="0" borderId="0" xfId="0" applyAlignment="1">
      <alignment horizontal="left" vertical="top" wrapText="1"/>
    </xf>
    <xf numFmtId="43" fontId="0" fillId="0" borderId="0" xfId="1" applyFont="1" applyAlignment="1">
      <alignment horizontal="left" vertical="center" wrapText="1"/>
    </xf>
    <xf numFmtId="43" fontId="0" fillId="0" borderId="0" xfId="1" applyFont="1" applyAlignment="1">
      <alignment horizontal="justify" vertical="center"/>
    </xf>
    <xf numFmtId="0" fontId="0" fillId="0" borderId="0" xfId="0" applyAlignment="1">
      <alignment horizontal="justify" vertical="top"/>
    </xf>
    <xf numFmtId="0" fontId="28"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29" fillId="0" borderId="0" xfId="3" applyFont="1" applyFill="1" applyBorder="1" applyAlignment="1">
      <alignment vertical="center"/>
    </xf>
    <xf numFmtId="0" fontId="29" fillId="0" borderId="0" xfId="3" applyFont="1" applyAlignment="1">
      <alignment vertical="center"/>
    </xf>
    <xf numFmtId="49" fontId="26" fillId="0" borderId="0" xfId="3" applyNumberFormat="1" applyFont="1" applyFill="1" applyBorder="1" applyAlignment="1">
      <alignment vertical="center" wrapText="1"/>
    </xf>
    <xf numFmtId="0" fontId="0" fillId="0" borderId="0" xfId="0" applyFont="1" applyAlignment="1">
      <alignment horizontal="justify" vertical="top" wrapText="1"/>
    </xf>
    <xf numFmtId="0" fontId="26" fillId="0" borderId="0" xfId="0" applyFont="1" applyAlignment="1">
      <alignment horizontal="left" vertical="center"/>
    </xf>
    <xf numFmtId="0" fontId="26" fillId="0" borderId="0" xfId="0" applyFont="1" applyBorder="1" applyAlignment="1">
      <alignment horizontal="left" vertical="center"/>
    </xf>
    <xf numFmtId="0" fontId="30" fillId="0" borderId="0" xfId="0" applyFont="1" applyAlignment="1">
      <alignment horizontal="left" vertical="center"/>
    </xf>
    <xf numFmtId="0" fontId="30" fillId="0" borderId="0" xfId="0" applyFont="1" applyBorder="1" applyAlignment="1">
      <alignment horizontal="left" vertical="center"/>
    </xf>
    <xf numFmtId="0" fontId="26" fillId="0" borderId="0" xfId="0" applyFont="1" applyAlignment="1">
      <alignment vertical="center" wrapText="1"/>
    </xf>
    <xf numFmtId="0" fontId="26" fillId="0" borderId="0" xfId="0" applyFont="1" applyBorder="1" applyAlignment="1">
      <alignment vertical="center" wrapText="1"/>
    </xf>
    <xf numFmtId="0" fontId="0" fillId="0" borderId="0" xfId="0" applyFont="1" applyAlignment="1">
      <alignment horizontal="left" vertical="top" wrapText="1"/>
    </xf>
    <xf numFmtId="0" fontId="26" fillId="0" borderId="0" xfId="0" applyFont="1" applyAlignment="1">
      <alignment vertical="center"/>
    </xf>
    <xf numFmtId="0" fontId="26"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1" fillId="0" borderId="0" xfId="3" applyFont="1" applyFill="1" applyBorder="1" applyAlignment="1">
      <alignment vertical="center"/>
    </xf>
    <xf numFmtId="0" fontId="32" fillId="0" borderId="0" xfId="3" applyFont="1" applyFill="1" applyBorder="1" applyAlignment="1">
      <alignment vertical="center"/>
    </xf>
    <xf numFmtId="0" fontId="33" fillId="0" borderId="0" xfId="3" applyFont="1" applyFill="1" applyBorder="1" applyAlignment="1">
      <alignment vertical="center"/>
    </xf>
    <xf numFmtId="43" fontId="33" fillId="0" borderId="0" xfId="1" applyFont="1" applyFill="1" applyBorder="1" applyAlignment="1">
      <alignment vertical="center"/>
    </xf>
    <xf numFmtId="49" fontId="34" fillId="0" borderId="0" xfId="3" applyNumberFormat="1" applyFont="1" applyFill="1" applyBorder="1" applyAlignment="1">
      <alignment vertical="top" wrapText="1"/>
    </xf>
    <xf numFmtId="0" fontId="35" fillId="0" borderId="0" xfId="3" applyFont="1"/>
    <xf numFmtId="14" fontId="35" fillId="0" borderId="0" xfId="3" applyNumberFormat="1" applyFont="1"/>
    <xf numFmtId="0" fontId="28" fillId="0" borderId="16" xfId="3" applyFont="1" applyFill="1" applyBorder="1" applyAlignment="1">
      <alignment vertical="center"/>
    </xf>
    <xf numFmtId="0" fontId="28" fillId="0" borderId="12" xfId="3" applyFont="1" applyFill="1" applyBorder="1" applyAlignment="1">
      <alignment vertical="center"/>
    </xf>
    <xf numFmtId="43" fontId="0" fillId="0" borderId="16" xfId="1" applyFont="1" applyBorder="1" applyAlignment="1">
      <alignment vertical="center"/>
    </xf>
    <xf numFmtId="43" fontId="36" fillId="0" borderId="0" xfId="1" applyFont="1" applyFill="1" applyBorder="1" applyAlignment="1">
      <alignment vertical="center"/>
    </xf>
    <xf numFmtId="0" fontId="36" fillId="0" borderId="16" xfId="3" applyFont="1" applyFill="1" applyBorder="1" applyAlignment="1">
      <alignment vertical="center"/>
    </xf>
    <xf numFmtId="0" fontId="36" fillId="0" borderId="0" xfId="3" applyFont="1" applyFill="1" applyBorder="1" applyAlignment="1">
      <alignment vertical="center"/>
    </xf>
    <xf numFmtId="0" fontId="36" fillId="0" borderId="0" xfId="3" applyFont="1" applyFill="1" applyBorder="1" applyAlignment="1">
      <alignment horizontal="justify" vertical="center"/>
    </xf>
    <xf numFmtId="0" fontId="37" fillId="0" borderId="0" xfId="3" applyFont="1" applyBorder="1"/>
    <xf numFmtId="0" fontId="35" fillId="0" borderId="0" xfId="3" applyFont="1" applyBorder="1"/>
    <xf numFmtId="14" fontId="35" fillId="0" borderId="0" xfId="3" applyNumberFormat="1" applyFont="1" applyBorder="1"/>
    <xf numFmtId="0" fontId="26" fillId="0" borderId="0" xfId="0" applyFont="1" applyFill="1" applyBorder="1" applyAlignment="1"/>
    <xf numFmtId="0" fontId="26" fillId="0" borderId="15" xfId="0" applyFont="1" applyFill="1" applyBorder="1"/>
    <xf numFmtId="43" fontId="38" fillId="0" borderId="0" xfId="1" applyFont="1" applyFill="1" applyBorder="1" applyAlignment="1">
      <alignment vertical="center"/>
    </xf>
    <xf numFmtId="0" fontId="26" fillId="0" borderId="0" xfId="0" applyFont="1"/>
    <xf numFmtId="0" fontId="26" fillId="0" borderId="7" xfId="0" applyFont="1" applyFill="1" applyBorder="1"/>
    <xf numFmtId="0" fontId="38" fillId="0" borderId="0" xfId="3" applyFont="1" applyFill="1" applyBorder="1" applyAlignment="1">
      <alignment vertical="center"/>
    </xf>
    <xf numFmtId="0" fontId="9" fillId="0" borderId="0" xfId="3" applyFont="1" applyBorder="1"/>
    <xf numFmtId="0" fontId="9" fillId="0" borderId="0" xfId="3" applyFont="1"/>
    <xf numFmtId="49" fontId="39" fillId="0" borderId="0" xfId="3" applyNumberFormat="1" applyFont="1" applyFill="1" applyBorder="1" applyAlignment="1">
      <alignment vertical="top" wrapText="1"/>
    </xf>
    <xf numFmtId="0" fontId="37" fillId="0" borderId="0" xfId="3" applyFont="1"/>
    <xf numFmtId="0" fontId="26" fillId="0" borderId="15" xfId="0" applyFont="1" applyBorder="1"/>
    <xf numFmtId="0" fontId="39" fillId="0" borderId="0" xfId="0" applyFont="1" applyFill="1" applyBorder="1" applyAlignment="1"/>
    <xf numFmtId="0" fontId="29" fillId="0" borderId="0" xfId="0" applyFont="1" applyFill="1" applyBorder="1" applyAlignment="1"/>
    <xf numFmtId="0" fontId="38" fillId="0" borderId="0" xfId="0" applyFont="1" applyFill="1" applyBorder="1" applyAlignment="1"/>
    <xf numFmtId="0" fontId="40" fillId="0" borderId="0" xfId="3" applyFont="1" applyFill="1" applyBorder="1" applyAlignment="1">
      <alignment vertical="center"/>
    </xf>
    <xf numFmtId="0" fontId="9" fillId="0" borderId="0" xfId="3" applyFont="1" applyFill="1" applyBorder="1"/>
    <xf numFmtId="0" fontId="41" fillId="0" borderId="0" xfId="3" applyFont="1"/>
    <xf numFmtId="0" fontId="9" fillId="0" borderId="0" xfId="3" applyFont="1" applyFill="1"/>
    <xf numFmtId="43" fontId="9" fillId="0" borderId="0" xfId="1" applyFont="1" applyAlignment="1">
      <alignment vertical="center"/>
    </xf>
    <xf numFmtId="0" fontId="26" fillId="0" borderId="0" xfId="0" applyFont="1" applyFill="1" applyBorder="1"/>
    <xf numFmtId="0" fontId="39" fillId="0" borderId="0" xfId="0" applyFont="1" applyFill="1" applyAlignment="1">
      <alignment horizontal="center"/>
    </xf>
    <xf numFmtId="0" fontId="39" fillId="0" borderId="0" xfId="0" applyFont="1" applyFill="1"/>
    <xf numFmtId="0" fontId="39" fillId="0" borderId="0" xfId="0" applyFont="1" applyFill="1" applyBorder="1" applyAlignment="1">
      <alignment horizontal="center"/>
    </xf>
    <xf numFmtId="0" fontId="3" fillId="0" borderId="16" xfId="0" applyFont="1" applyFill="1" applyBorder="1" applyAlignment="1">
      <alignment horizontal="center"/>
    </xf>
    <xf numFmtId="0" fontId="0" fillId="0" borderId="0" xfId="0" applyFill="1" applyBorder="1" applyAlignment="1"/>
    <xf numFmtId="0" fontId="0" fillId="6" borderId="0" xfId="0" applyFill="1" applyBorder="1" applyAlignment="1"/>
    <xf numFmtId="0" fontId="12" fillId="0" borderId="0" xfId="3" applyFont="1" applyFill="1" applyBorder="1" applyAlignment="1">
      <alignment vertical="center"/>
    </xf>
    <xf numFmtId="0" fontId="3" fillId="0" borderId="5" xfId="0" applyFont="1" applyBorder="1" applyAlignment="1"/>
    <xf numFmtId="0" fontId="3" fillId="0" borderId="5" xfId="0" applyFont="1" applyBorder="1" applyAlignment="1">
      <alignment horizontal="right"/>
    </xf>
    <xf numFmtId="0" fontId="0" fillId="0" borderId="0" xfId="0" applyBorder="1" applyAlignment="1"/>
    <xf numFmtId="10" fontId="0" fillId="0" borderId="0" xfId="0" applyNumberFormat="1" applyFill="1" applyAlignment="1"/>
    <xf numFmtId="0" fontId="9" fillId="7" borderId="0" xfId="3" applyFont="1" applyFill="1" applyBorder="1"/>
    <xf numFmtId="10" fontId="0" fillId="7" borderId="0" xfId="0" applyNumberFormat="1" applyFill="1" applyBorder="1" applyAlignment="1"/>
    <xf numFmtId="43" fontId="39" fillId="0" borderId="0" xfId="1" applyFont="1" applyFill="1" applyAlignment="1">
      <alignment vertical="center"/>
    </xf>
    <xf numFmtId="43" fontId="0" fillId="0" borderId="0" xfId="1" applyFont="1" applyFill="1" applyAlignment="1">
      <alignment vertical="center"/>
    </xf>
    <xf numFmtId="10" fontId="0" fillId="0" borderId="0" xfId="0" applyNumberFormat="1" applyAlignment="1"/>
    <xf numFmtId="0" fontId="9" fillId="7" borderId="0" xfId="3" applyFont="1" applyFill="1"/>
    <xf numFmtId="10" fontId="0" fillId="7" borderId="0" xfId="0" applyNumberFormat="1" applyFill="1" applyAlignment="1"/>
    <xf numFmtId="10" fontId="0" fillId="0" borderId="0" xfId="0" applyNumberFormat="1" applyBorder="1" applyAlignment="1"/>
    <xf numFmtId="0" fontId="0" fillId="0" borderId="16" xfId="0" applyFill="1" applyBorder="1"/>
    <xf numFmtId="10" fontId="0" fillId="0" borderId="16" xfId="0" applyNumberFormat="1" applyFill="1" applyBorder="1" applyAlignment="1"/>
    <xf numFmtId="0" fontId="39" fillId="0" borderId="0" xfId="0" applyFont="1" applyFill="1" applyAlignment="1"/>
    <xf numFmtId="0" fontId="0" fillId="0" borderId="15" xfId="0" applyBorder="1"/>
    <xf numFmtId="0" fontId="0" fillId="0" borderId="15" xfId="0" applyFont="1" applyBorder="1"/>
    <xf numFmtId="0" fontId="27" fillId="0" borderId="0" xfId="0" applyFont="1" applyBorder="1"/>
    <xf numFmtId="10" fontId="0" fillId="0" borderId="0" xfId="2" applyNumberFormat="1" applyFont="1"/>
    <xf numFmtId="0" fontId="42" fillId="0" borderId="0" xfId="0" applyFont="1" applyBorder="1" applyAlignment="1">
      <alignment horizontal="justify" vertical="center" wrapText="1"/>
    </xf>
    <xf numFmtId="43" fontId="42" fillId="0" borderId="0" xfId="1" applyFont="1" applyBorder="1" applyAlignment="1">
      <alignment horizontal="justify" vertical="center" wrapText="1"/>
    </xf>
    <xf numFmtId="0" fontId="42" fillId="0" borderId="0" xfId="0" applyFont="1" applyBorder="1" applyAlignment="1">
      <alignment horizontal="justify" wrapText="1"/>
    </xf>
    <xf numFmtId="0" fontId="33" fillId="0" borderId="15" xfId="0" applyFont="1" applyBorder="1"/>
    <xf numFmtId="0" fontId="12" fillId="0" borderId="0" xfId="0" applyFont="1" applyBorder="1"/>
    <xf numFmtId="0" fontId="12" fillId="0" borderId="0" xfId="0" applyFont="1"/>
    <xf numFmtId="0" fontId="43" fillId="0" borderId="15" xfId="0" applyFont="1" applyBorder="1" applyAlignment="1">
      <alignment wrapText="1"/>
    </xf>
    <xf numFmtId="0" fontId="29" fillId="0" borderId="0" xfId="0" quotePrefix="1" applyFont="1" applyBorder="1"/>
    <xf numFmtId="0" fontId="29" fillId="0" borderId="0" xfId="0" applyFont="1" applyBorder="1"/>
  </cellXfs>
  <cellStyles count="6">
    <cellStyle name="Millares" xfId="1" builtinId="3"/>
    <cellStyle name="Millares 2" xfId="4"/>
    <cellStyle name="Normal" xfId="0" builtinId="0"/>
    <cellStyle name="Normal 2" xfId="3"/>
    <cellStyle name="Porcentaje" xfId="2" builtinId="5"/>
    <cellStyle name="標準 2" xfId="5"/>
  </cellStyles>
  <dxfs count="36">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3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38100</xdr:colOff>
      <xdr:row>25</xdr:row>
      <xdr:rowOff>104775</xdr:rowOff>
    </xdr:from>
    <xdr:to>
      <xdr:col>12</xdr:col>
      <xdr:colOff>131445</xdr:colOff>
      <xdr:row>26</xdr:row>
      <xdr:rowOff>188595</xdr:rowOff>
    </xdr:to>
    <xdr:sp macro="" textlink="">
      <xdr:nvSpPr>
        <xdr:cNvPr id="2" name="Freeform 286">
          <a:extLst>
            <a:ext uri="{FF2B5EF4-FFF2-40B4-BE49-F238E27FC236}">
              <a16:creationId xmlns:a16="http://schemas.microsoft.com/office/drawing/2014/main" xmlns="" id="{00000000-0008-0000-2400-00000B000000}"/>
            </a:ext>
          </a:extLst>
        </xdr:cNvPr>
        <xdr:cNvSpPr/>
      </xdr:nvSpPr>
      <xdr:spPr>
        <a:xfrm>
          <a:off x="6915150" y="48672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27</xdr:row>
      <xdr:rowOff>104775</xdr:rowOff>
    </xdr:from>
    <xdr:to>
      <xdr:col>12</xdr:col>
      <xdr:colOff>131445</xdr:colOff>
      <xdr:row>28</xdr:row>
      <xdr:rowOff>188595</xdr:rowOff>
    </xdr:to>
    <xdr:sp macro="" textlink="">
      <xdr:nvSpPr>
        <xdr:cNvPr id="3" name="Freeform 126">
          <a:extLst>
            <a:ext uri="{FF2B5EF4-FFF2-40B4-BE49-F238E27FC236}">
              <a16:creationId xmlns:a16="http://schemas.microsoft.com/office/drawing/2014/main" xmlns="" id="{00000000-0008-0000-2400-00000C000000}"/>
            </a:ext>
          </a:extLst>
        </xdr:cNvPr>
        <xdr:cNvSpPr/>
      </xdr:nvSpPr>
      <xdr:spPr>
        <a:xfrm>
          <a:off x="6915150" y="52482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29</xdr:row>
      <xdr:rowOff>104775</xdr:rowOff>
    </xdr:from>
    <xdr:to>
      <xdr:col>12</xdr:col>
      <xdr:colOff>131445</xdr:colOff>
      <xdr:row>30</xdr:row>
      <xdr:rowOff>188595</xdr:rowOff>
    </xdr:to>
    <xdr:sp macro="" textlink="">
      <xdr:nvSpPr>
        <xdr:cNvPr id="4" name="Freeform 490">
          <a:extLst>
            <a:ext uri="{FF2B5EF4-FFF2-40B4-BE49-F238E27FC236}">
              <a16:creationId xmlns:a16="http://schemas.microsoft.com/office/drawing/2014/main" xmlns="" id="{00000000-0008-0000-2400-00000D000000}"/>
            </a:ext>
          </a:extLst>
        </xdr:cNvPr>
        <xdr:cNvSpPr/>
      </xdr:nvSpPr>
      <xdr:spPr>
        <a:xfrm>
          <a:off x="6915150" y="56292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31</xdr:row>
      <xdr:rowOff>104775</xdr:rowOff>
    </xdr:from>
    <xdr:to>
      <xdr:col>12</xdr:col>
      <xdr:colOff>131445</xdr:colOff>
      <xdr:row>32</xdr:row>
      <xdr:rowOff>188595</xdr:rowOff>
    </xdr:to>
    <xdr:sp macro="" textlink="">
      <xdr:nvSpPr>
        <xdr:cNvPr id="5" name="Freeform 335">
          <a:extLst>
            <a:ext uri="{FF2B5EF4-FFF2-40B4-BE49-F238E27FC236}">
              <a16:creationId xmlns:a16="http://schemas.microsoft.com/office/drawing/2014/main" xmlns="" id="{00000000-0008-0000-2400-00000E000000}"/>
            </a:ext>
          </a:extLst>
        </xdr:cNvPr>
        <xdr:cNvSpPr/>
      </xdr:nvSpPr>
      <xdr:spPr>
        <a:xfrm>
          <a:off x="6915150" y="60102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34</xdr:row>
      <xdr:rowOff>0</xdr:rowOff>
    </xdr:from>
    <xdr:to>
      <xdr:col>18</xdr:col>
      <xdr:colOff>190499</xdr:colOff>
      <xdr:row>35</xdr:row>
      <xdr:rowOff>180974</xdr:rowOff>
    </xdr:to>
    <xdr:sp macro="" textlink="">
      <xdr:nvSpPr>
        <xdr:cNvPr id="6" name="5 Rectángulo">
          <a:extLst>
            <a:ext uri="{FF2B5EF4-FFF2-40B4-BE49-F238E27FC236}">
              <a16:creationId xmlns:a16="http://schemas.microsoft.com/office/drawing/2014/main" xmlns="" id="{00000000-0008-0000-2400-000006000000}"/>
            </a:ext>
          </a:extLst>
        </xdr:cNvPr>
        <xdr:cNvSpPr/>
      </xdr:nvSpPr>
      <xdr:spPr>
        <a:xfrm>
          <a:off x="0" y="6477000"/>
          <a:ext cx="833437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Research\RR_Reporte%20de%20Ratios\Sinergia%20SUPV\IOL-SUPV_v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tmap CA"/>
      <sheetName val="Macro"/>
      <sheetName val="NI"/>
      <sheetName val="Datos"/>
      <sheetName val="Mkt cap"/>
      <sheetName val="Heatmap (2)"/>
      <sheetName val="Mkt SUPV"/>
      <sheetName val="Fund SUPV"/>
      <sheetName val="Earn SUPV"/>
      <sheetName val="Glos SUPV"/>
    </sheetNames>
    <definedNames>
      <definedName name="Ordenar"/>
    </definedNames>
    <sheetDataSet>
      <sheetData sheetId="0"/>
      <sheetData sheetId="1"/>
      <sheetData sheetId="2"/>
      <sheetData sheetId="3"/>
      <sheetData sheetId="4"/>
      <sheetData sheetId="5"/>
      <sheetData sheetId="6">
        <row r="2">
          <cell r="P2">
            <v>43220</v>
          </cell>
          <cell r="Q2">
            <v>43251</v>
          </cell>
          <cell r="R2">
            <v>43281</v>
          </cell>
          <cell r="S2">
            <v>43312</v>
          </cell>
          <cell r="T2">
            <v>43343</v>
          </cell>
          <cell r="U2">
            <v>43373</v>
          </cell>
          <cell r="V2">
            <v>43404</v>
          </cell>
          <cell r="W2">
            <v>43434</v>
          </cell>
          <cell r="X2">
            <v>43465</v>
          </cell>
          <cell r="Y2">
            <v>43496</v>
          </cell>
          <cell r="Z2">
            <v>43524</v>
          </cell>
          <cell r="AA2">
            <v>43532</v>
          </cell>
        </row>
        <row r="4">
          <cell r="A4" t="str">
            <v>TEF.BA</v>
          </cell>
          <cell r="B4">
            <v>200</v>
          </cell>
          <cell r="C4">
            <v>208.5</v>
          </cell>
          <cell r="D4">
            <v>218.5</v>
          </cell>
          <cell r="E4">
            <v>245.05</v>
          </cell>
          <cell r="F4">
            <v>255</v>
          </cell>
          <cell r="G4">
            <v>306</v>
          </cell>
          <cell r="H4">
            <v>325</v>
          </cell>
          <cell r="I4">
            <v>297.55</v>
          </cell>
          <cell r="J4">
            <v>327.35000000000002</v>
          </cell>
          <cell r="K4">
            <v>319</v>
          </cell>
          <cell r="L4">
            <v>334</v>
          </cell>
          <cell r="M4">
            <v>339.5</v>
          </cell>
          <cell r="N4">
            <v>358</v>
          </cell>
          <cell r="P4">
            <v>4.2499999999999982E-2</v>
          </cell>
          <cell r="Q4">
            <v>4.7961630695443569E-2</v>
          </cell>
          <cell r="R4">
            <v>0.12151029748283748</v>
          </cell>
          <cell r="S4">
            <v>4.060395837584152E-2</v>
          </cell>
          <cell r="T4">
            <v>0.19999999999999996</v>
          </cell>
          <cell r="U4">
            <v>6.2091503267973858E-2</v>
          </cell>
          <cell r="V4">
            <v>-8.4461538461538477E-2</v>
          </cell>
          <cell r="W4">
            <v>0.10015123508654011</v>
          </cell>
          <cell r="X4">
            <v>-2.5507866198258844E-2</v>
          </cell>
          <cell r="Y4">
            <v>4.7021943573667624E-2</v>
          </cell>
          <cell r="Z4">
            <v>1.646706586826352E-2</v>
          </cell>
          <cell r="AA4">
            <v>5.4491899852724623E-2</v>
          </cell>
        </row>
        <row r="5">
          <cell r="A5" t="str">
            <v>TECO2.BA</v>
          </cell>
          <cell r="B5">
            <v>124.85</v>
          </cell>
          <cell r="C5">
            <v>123</v>
          </cell>
          <cell r="D5">
            <v>109.65</v>
          </cell>
          <cell r="E5">
            <v>102.55</v>
          </cell>
          <cell r="F5">
            <v>110.7</v>
          </cell>
          <cell r="G5">
            <v>124.9</v>
          </cell>
          <cell r="H5">
            <v>143.9</v>
          </cell>
          <cell r="I5">
            <v>129.9</v>
          </cell>
          <cell r="J5">
            <v>129.9</v>
          </cell>
          <cell r="K5">
            <v>119</v>
          </cell>
          <cell r="L5">
            <v>123.8</v>
          </cell>
          <cell r="M5">
            <v>116.95</v>
          </cell>
          <cell r="N5">
            <v>121.4</v>
          </cell>
          <cell r="P5">
            <v>-1.4817781337605029E-2</v>
          </cell>
          <cell r="Q5">
            <v>-0.10853658536585364</v>
          </cell>
          <cell r="R5">
            <v>-6.4751481988144177E-2</v>
          </cell>
          <cell r="S5">
            <v>7.9473427596294499E-2</v>
          </cell>
          <cell r="T5">
            <v>0.12827461607949409</v>
          </cell>
          <cell r="U5">
            <v>0.15212169735788628</v>
          </cell>
          <cell r="V5">
            <v>-9.7289784572619831E-2</v>
          </cell>
          <cell r="W5">
            <v>0</v>
          </cell>
          <cell r="X5">
            <v>-8.391070053887606E-2</v>
          </cell>
          <cell r="Y5">
            <v>4.0336134453781591E-2</v>
          </cell>
          <cell r="Z5">
            <v>-5.5331179321486235E-2</v>
          </cell>
          <cell r="AA5">
            <v>3.8050448909790591E-2</v>
          </cell>
        </row>
        <row r="6">
          <cell r="A6" t="str">
            <v>CVH.BA</v>
          </cell>
          <cell r="B6">
            <v>469.9</v>
          </cell>
          <cell r="C6">
            <v>409.3</v>
          </cell>
          <cell r="D6">
            <v>292.2</v>
          </cell>
          <cell r="E6">
            <v>301.7</v>
          </cell>
          <cell r="F6">
            <v>345</v>
          </cell>
          <cell r="G6">
            <v>289.55</v>
          </cell>
          <cell r="H6">
            <v>337.75</v>
          </cell>
          <cell r="I6">
            <v>288.64999999999998</v>
          </cell>
          <cell r="J6">
            <v>265.64999999999998</v>
          </cell>
          <cell r="K6">
            <v>238.45</v>
          </cell>
          <cell r="L6">
            <v>274</v>
          </cell>
          <cell r="M6">
            <v>258.5</v>
          </cell>
          <cell r="N6">
            <v>240</v>
          </cell>
          <cell r="P6">
            <v>-0.12896360927856987</v>
          </cell>
          <cell r="Q6">
            <v>-0.28609821646713907</v>
          </cell>
          <cell r="R6">
            <v>3.2511978097193639E-2</v>
          </cell>
          <cell r="S6">
            <v>0.14352005303281401</v>
          </cell>
          <cell r="T6">
            <v>-0.16072463768115941</v>
          </cell>
          <cell r="U6">
            <v>0.16646520462787073</v>
          </cell>
          <cell r="V6">
            <v>-0.14537379718726873</v>
          </cell>
          <cell r="W6">
            <v>-7.9681274900398447E-2</v>
          </cell>
          <cell r="X6">
            <v>-0.10239036325992845</v>
          </cell>
          <cell r="Y6">
            <v>0.14908785908995603</v>
          </cell>
          <cell r="Z6">
            <v>-5.6569343065693389E-2</v>
          </cell>
          <cell r="AA6">
            <v>-7.1566731141199269E-2</v>
          </cell>
        </row>
        <row r="7">
          <cell r="A7" t="str">
            <v>GCLA.BA</v>
          </cell>
          <cell r="B7">
            <v>59.5</v>
          </cell>
          <cell r="C7">
            <v>55</v>
          </cell>
          <cell r="D7">
            <v>55</v>
          </cell>
          <cell r="E7">
            <v>53</v>
          </cell>
          <cell r="F7">
            <v>51</v>
          </cell>
          <cell r="G7">
            <v>51</v>
          </cell>
          <cell r="H7">
            <v>68.400000000000006</v>
          </cell>
          <cell r="I7">
            <v>58</v>
          </cell>
          <cell r="J7">
            <v>50</v>
          </cell>
          <cell r="K7">
            <v>49.5</v>
          </cell>
          <cell r="L7">
            <v>49</v>
          </cell>
          <cell r="M7">
            <v>46.5</v>
          </cell>
          <cell r="N7">
            <v>44.95</v>
          </cell>
          <cell r="P7">
            <v>-7.5630252100840289E-2</v>
          </cell>
          <cell r="Q7">
            <v>0</v>
          </cell>
          <cell r="R7">
            <v>-3.6363636363636376E-2</v>
          </cell>
          <cell r="S7">
            <v>-3.7735849056603765E-2</v>
          </cell>
          <cell r="T7">
            <v>0</v>
          </cell>
          <cell r="U7">
            <v>0.34117647058823541</v>
          </cell>
          <cell r="V7">
            <v>-0.1520467836257311</v>
          </cell>
          <cell r="W7">
            <v>-0.13793103448275867</v>
          </cell>
          <cell r="X7">
            <v>-1.0000000000000009E-2</v>
          </cell>
          <cell r="Y7">
            <v>-1.0101010101010055E-2</v>
          </cell>
          <cell r="Z7">
            <v>-5.1020408163265252E-2</v>
          </cell>
          <cell r="AA7">
            <v>-3.3333333333333326E-2</v>
          </cell>
        </row>
        <row r="8">
          <cell r="A8" t="str">
            <v>MIRG.BA</v>
          </cell>
          <cell r="B8">
            <v>581.30888667399995</v>
          </cell>
          <cell r="C8">
            <v>591.33059404400001</v>
          </cell>
          <cell r="D8">
            <v>442.19285400000001</v>
          </cell>
          <cell r="E8">
            <v>337.08471059999999</v>
          </cell>
          <cell r="F8">
            <v>395.1786702</v>
          </cell>
          <cell r="G8">
            <v>346.21803929999999</v>
          </cell>
          <cell r="H8">
            <v>369.92476679999999</v>
          </cell>
          <cell r="I8">
            <v>316</v>
          </cell>
          <cell r="J8">
            <v>306.39999999999998</v>
          </cell>
          <cell r="K8">
            <v>355.5</v>
          </cell>
          <cell r="L8">
            <v>384.5</v>
          </cell>
          <cell r="M8">
            <v>371.5</v>
          </cell>
          <cell r="N8">
            <v>360.5</v>
          </cell>
          <cell r="P8">
            <v>1.7239900506837103E-2</v>
          </cell>
          <cell r="Q8">
            <v>-0.2522070421286251</v>
          </cell>
          <cell r="R8">
            <v>-0.23769751693002261</v>
          </cell>
          <cell r="S8">
            <v>0.17234231566479119</v>
          </cell>
          <cell r="T8">
            <v>-0.12389492296034355</v>
          </cell>
          <cell r="U8">
            <v>6.8473403488539697E-2</v>
          </cell>
          <cell r="V8">
            <v>-0.1457722532786091</v>
          </cell>
          <cell r="W8">
            <v>-3.0379746835443089E-2</v>
          </cell>
          <cell r="X8">
            <v>0.16024804177545704</v>
          </cell>
          <cell r="Y8">
            <v>8.1575246132208123E-2</v>
          </cell>
          <cell r="Z8">
            <v>-3.3810143042912855E-2</v>
          </cell>
          <cell r="AA8">
            <v>-2.9609690444145409E-2</v>
          </cell>
        </row>
        <row r="9">
          <cell r="A9" t="str">
            <v>HAVA.BA</v>
          </cell>
          <cell r="B9">
            <v>57.786235099999999</v>
          </cell>
          <cell r="C9">
            <v>52</v>
          </cell>
          <cell r="D9">
            <v>52.6</v>
          </cell>
          <cell r="E9">
            <v>45</v>
          </cell>
          <cell r="F9">
            <v>48</v>
          </cell>
          <cell r="G9">
            <v>52</v>
          </cell>
          <cell r="H9">
            <v>63</v>
          </cell>
          <cell r="I9">
            <v>48</v>
          </cell>
          <cell r="J9">
            <v>54.6</v>
          </cell>
          <cell r="K9">
            <v>54</v>
          </cell>
          <cell r="L9">
            <v>70</v>
          </cell>
          <cell r="M9">
            <v>74</v>
          </cell>
          <cell r="N9">
            <v>77</v>
          </cell>
          <cell r="P9">
            <v>-0.10013171977698199</v>
          </cell>
          <cell r="Q9">
            <v>1.1538461538461497E-2</v>
          </cell>
          <cell r="R9">
            <v>-0.14448669201520914</v>
          </cell>
          <cell r="S9">
            <v>6.6666666666666652E-2</v>
          </cell>
          <cell r="T9">
            <v>8.3333333333333259E-2</v>
          </cell>
          <cell r="U9">
            <v>0.21153846153846145</v>
          </cell>
          <cell r="V9">
            <v>-0.23809523809523814</v>
          </cell>
          <cell r="W9">
            <v>0.13749999999999996</v>
          </cell>
          <cell r="X9">
            <v>-1.0989010989011061E-2</v>
          </cell>
          <cell r="Y9">
            <v>0.29629629629629628</v>
          </cell>
          <cell r="Z9">
            <v>5.7142857142857162E-2</v>
          </cell>
          <cell r="AA9">
            <v>4.0540540540540571E-2</v>
          </cell>
        </row>
        <row r="10">
          <cell r="A10" t="str">
            <v>GRIM.BA</v>
          </cell>
          <cell r="B10">
            <v>43.875072324000001</v>
          </cell>
          <cell r="C10">
            <v>38.025062681000001</v>
          </cell>
          <cell r="D10">
            <v>37.942752333999998</v>
          </cell>
          <cell r="E10">
            <v>35.204615568000001</v>
          </cell>
          <cell r="F10">
            <v>30.315085627999999</v>
          </cell>
          <cell r="G10">
            <v>27.407902499999999</v>
          </cell>
          <cell r="H10">
            <v>24.417949499999999</v>
          </cell>
          <cell r="I10">
            <v>18.936368999999999</v>
          </cell>
          <cell r="J10">
            <v>18.899999999999999</v>
          </cell>
          <cell r="K10">
            <v>18.55</v>
          </cell>
          <cell r="L10">
            <v>15.5</v>
          </cell>
          <cell r="M10">
            <v>31.9</v>
          </cell>
          <cell r="N10">
            <v>31.9</v>
          </cell>
          <cell r="P10">
            <v>-0.13333333332877495</v>
          </cell>
          <cell r="Q10">
            <v>-2.1646340912182538E-3</v>
          </cell>
          <cell r="R10">
            <v>-7.2164948443826704E-2</v>
          </cell>
          <cell r="S10">
            <v>-0.13888888888888895</v>
          </cell>
          <cell r="T10">
            <v>-9.5898892177788575E-2</v>
          </cell>
          <cell r="U10">
            <v>-0.10909090909090913</v>
          </cell>
          <cell r="V10">
            <v>-0.22448979591836737</v>
          </cell>
          <cell r="W10">
            <v>-1.9205899504810553E-3</v>
          </cell>
          <cell r="X10">
            <v>-1.8518518518518379E-2</v>
          </cell>
          <cell r="Y10">
            <v>-0.16442048517520214</v>
          </cell>
          <cell r="Z10">
            <v>1.0580645161290323</v>
          </cell>
          <cell r="AA10">
            <v>0</v>
          </cell>
        </row>
        <row r="11">
          <cell r="A11" t="str">
            <v>TGLT.BA</v>
          </cell>
          <cell r="B11">
            <v>15.9</v>
          </cell>
          <cell r="C11">
            <v>13.1</v>
          </cell>
          <cell r="D11">
            <v>11.5</v>
          </cell>
          <cell r="E11">
            <v>9.6999999999999993</v>
          </cell>
          <cell r="F11">
            <v>10.1</v>
          </cell>
          <cell r="G11">
            <v>8.4499999999999993</v>
          </cell>
          <cell r="H11">
            <v>11.85</v>
          </cell>
          <cell r="I11">
            <v>8.6</v>
          </cell>
          <cell r="J11">
            <v>7.9</v>
          </cell>
          <cell r="K11">
            <v>7.28</v>
          </cell>
          <cell r="L11">
            <v>6.6</v>
          </cell>
          <cell r="M11">
            <v>5.75</v>
          </cell>
          <cell r="N11">
            <v>5</v>
          </cell>
          <cell r="P11">
            <v>-0.17610062893081768</v>
          </cell>
          <cell r="Q11">
            <v>-0.12213740458015265</v>
          </cell>
          <cell r="R11">
            <v>-0.15652173913043488</v>
          </cell>
          <cell r="S11">
            <v>4.1237113402061931E-2</v>
          </cell>
          <cell r="T11">
            <v>-0.1633663366336634</v>
          </cell>
          <cell r="U11">
            <v>0.4023668639053255</v>
          </cell>
          <cell r="V11">
            <v>-0.27426160337552741</v>
          </cell>
          <cell r="W11">
            <v>-8.1395348837209225E-2</v>
          </cell>
          <cell r="X11">
            <v>-7.8481012658227822E-2</v>
          </cell>
          <cell r="Y11">
            <v>-9.3406593406593519E-2</v>
          </cell>
          <cell r="Z11">
            <v>-0.12878787878787878</v>
          </cell>
          <cell r="AA11">
            <v>-0.13043478260869568</v>
          </cell>
        </row>
        <row r="12">
          <cell r="A12" t="str">
            <v>LONG.BA</v>
          </cell>
          <cell r="B12">
            <v>4.68</v>
          </cell>
          <cell r="C12">
            <v>4.3899999999999997</v>
          </cell>
          <cell r="D12">
            <v>3.85</v>
          </cell>
          <cell r="E12">
            <v>3.6</v>
          </cell>
          <cell r="F12">
            <v>3.21</v>
          </cell>
          <cell r="G12">
            <v>3.19</v>
          </cell>
          <cell r="H12">
            <v>3.45</v>
          </cell>
          <cell r="I12">
            <v>2.65</v>
          </cell>
          <cell r="J12">
            <v>2.5</v>
          </cell>
          <cell r="K12">
            <v>2.19</v>
          </cell>
          <cell r="L12">
            <v>2.4</v>
          </cell>
          <cell r="M12">
            <v>2.5</v>
          </cell>
          <cell r="N12">
            <v>2.31</v>
          </cell>
          <cell r="P12">
            <v>-6.1965811965811968E-2</v>
          </cell>
          <cell r="Q12">
            <v>-0.12300683371298393</v>
          </cell>
          <cell r="R12">
            <v>-6.4935064935064957E-2</v>
          </cell>
          <cell r="S12">
            <v>-0.10833333333333339</v>
          </cell>
          <cell r="T12">
            <v>-6.230529595015577E-3</v>
          </cell>
          <cell r="U12">
            <v>8.1504702194357348E-2</v>
          </cell>
          <cell r="V12">
            <v>-0.23188405797101452</v>
          </cell>
          <cell r="W12">
            <v>-5.6603773584905648E-2</v>
          </cell>
          <cell r="X12">
            <v>-0.124</v>
          </cell>
          <cell r="Y12">
            <v>9.5890410958904049E-2</v>
          </cell>
          <cell r="Z12">
            <v>4.1666666666666741E-2</v>
          </cell>
          <cell r="AA12">
            <v>-7.5999999999999956E-2</v>
          </cell>
        </row>
        <row r="13">
          <cell r="A13" t="str">
            <v>PSUR.BA</v>
          </cell>
          <cell r="B13">
            <v>4.3499999999999996</v>
          </cell>
          <cell r="C13">
            <v>3.6</v>
          </cell>
          <cell r="D13">
            <v>3</v>
          </cell>
          <cell r="E13">
            <v>2.63</v>
          </cell>
          <cell r="F13">
            <v>2.73</v>
          </cell>
          <cell r="G13">
            <v>2.91</v>
          </cell>
          <cell r="H13">
            <v>4.76</v>
          </cell>
          <cell r="I13">
            <v>2.75</v>
          </cell>
          <cell r="J13">
            <v>2.62</v>
          </cell>
          <cell r="K13">
            <v>2.8</v>
          </cell>
          <cell r="L13">
            <v>3.7</v>
          </cell>
          <cell r="M13">
            <v>4.3499999999999996</v>
          </cell>
          <cell r="N13">
            <v>4</v>
          </cell>
          <cell r="P13">
            <v>-0.17241379310344818</v>
          </cell>
          <cell r="Q13">
            <v>-0.16666666666666674</v>
          </cell>
          <cell r="R13">
            <v>-0.12333333333333341</v>
          </cell>
          <cell r="S13">
            <v>3.8022813688213031E-2</v>
          </cell>
          <cell r="T13">
            <v>6.5934065934065922E-2</v>
          </cell>
          <cell r="U13">
            <v>0.63573883161512001</v>
          </cell>
          <cell r="V13">
            <v>-0.42226890756302515</v>
          </cell>
          <cell r="W13">
            <v>-4.7272727272727244E-2</v>
          </cell>
          <cell r="X13">
            <v>6.8702290076335659E-2</v>
          </cell>
          <cell r="Y13">
            <v>0.32142857142857162</v>
          </cell>
          <cell r="Z13">
            <v>0.17567567567567544</v>
          </cell>
          <cell r="AA13">
            <v>-8.045977011494243E-2</v>
          </cell>
        </row>
        <row r="14">
          <cell r="A14" t="str">
            <v>DOME.BA</v>
          </cell>
          <cell r="B14">
            <v>10.3</v>
          </cell>
          <cell r="C14">
            <v>10.9</v>
          </cell>
          <cell r="D14">
            <v>9.6999999999999993</v>
          </cell>
          <cell r="E14">
            <v>9.5</v>
          </cell>
          <cell r="F14">
            <v>9.5</v>
          </cell>
          <cell r="G14">
            <v>9.5</v>
          </cell>
          <cell r="H14">
            <v>10.199999999999999</v>
          </cell>
          <cell r="I14">
            <v>8.5</v>
          </cell>
          <cell r="J14">
            <v>8</v>
          </cell>
          <cell r="K14">
            <v>8</v>
          </cell>
          <cell r="L14">
            <v>8</v>
          </cell>
          <cell r="M14">
            <v>8</v>
          </cell>
          <cell r="N14">
            <v>8</v>
          </cell>
          <cell r="P14">
            <v>5.8252427184465994E-2</v>
          </cell>
          <cell r="Q14">
            <v>-0.11009174311926617</v>
          </cell>
          <cell r="R14">
            <v>-2.0618556701030855E-2</v>
          </cell>
          <cell r="S14">
            <v>0</v>
          </cell>
          <cell r="T14">
            <v>0</v>
          </cell>
          <cell r="U14">
            <v>7.3684210526315796E-2</v>
          </cell>
          <cell r="V14">
            <v>-0.16666666666666663</v>
          </cell>
          <cell r="W14">
            <v>-5.8823529411764719E-2</v>
          </cell>
          <cell r="X14">
            <v>0</v>
          </cell>
          <cell r="Y14">
            <v>0</v>
          </cell>
          <cell r="Z14">
            <v>0</v>
          </cell>
          <cell r="AA14">
            <v>0</v>
          </cell>
        </row>
        <row r="15">
          <cell r="A15" t="str">
            <v>PATA.BA</v>
          </cell>
          <cell r="B15">
            <v>26.5</v>
          </cell>
          <cell r="C15">
            <v>26.5</v>
          </cell>
          <cell r="D15">
            <v>25.7</v>
          </cell>
          <cell r="E15">
            <v>26.7</v>
          </cell>
          <cell r="F15">
            <v>27.3</v>
          </cell>
          <cell r="G15">
            <v>27</v>
          </cell>
          <cell r="H15">
            <v>26</v>
          </cell>
          <cell r="I15">
            <v>27</v>
          </cell>
          <cell r="J15">
            <v>26</v>
          </cell>
          <cell r="K15">
            <v>24.2</v>
          </cell>
          <cell r="L15">
            <v>24.5</v>
          </cell>
          <cell r="M15">
            <v>24.4</v>
          </cell>
          <cell r="N15">
            <v>24.5</v>
          </cell>
          <cell r="P15">
            <v>0</v>
          </cell>
          <cell r="Q15">
            <v>-3.0188679245283012E-2</v>
          </cell>
          <cell r="R15">
            <v>3.8910505836575959E-2</v>
          </cell>
          <cell r="S15">
            <v>2.2471910112359605E-2</v>
          </cell>
          <cell r="T15">
            <v>-1.0989010989011061E-2</v>
          </cell>
          <cell r="U15">
            <v>-3.703703703703709E-2</v>
          </cell>
          <cell r="V15">
            <v>3.8461538461538547E-2</v>
          </cell>
          <cell r="W15">
            <v>-3.703703703703709E-2</v>
          </cell>
          <cell r="X15">
            <v>-6.9230769230769207E-2</v>
          </cell>
          <cell r="Y15">
            <v>1.2396694214876103E-2</v>
          </cell>
          <cell r="Z15">
            <v>-4.0816326530612734E-3</v>
          </cell>
          <cell r="AA15">
            <v>4.098360655737654E-3</v>
          </cell>
        </row>
        <row r="16">
          <cell r="A16" t="str">
            <v>MOLA.BA</v>
          </cell>
          <cell r="B16">
            <v>152.55231800000001</v>
          </cell>
          <cell r="C16">
            <v>136.13846100000001</v>
          </cell>
          <cell r="D16">
            <v>144.82814999999999</v>
          </cell>
          <cell r="E16">
            <v>207.58701500000001</v>
          </cell>
          <cell r="F16">
            <v>239.449208</v>
          </cell>
          <cell r="G16">
            <v>285</v>
          </cell>
          <cell r="H16">
            <v>297</v>
          </cell>
          <cell r="I16">
            <v>235</v>
          </cell>
          <cell r="J16">
            <v>240</v>
          </cell>
          <cell r="K16">
            <v>213</v>
          </cell>
          <cell r="L16">
            <v>245</v>
          </cell>
          <cell r="M16">
            <v>230</v>
          </cell>
          <cell r="N16">
            <v>230</v>
          </cell>
          <cell r="P16">
            <v>-0.10759493670886078</v>
          </cell>
          <cell r="Q16">
            <v>6.3829787234042534E-2</v>
          </cell>
          <cell r="R16">
            <v>0.43333333333333335</v>
          </cell>
          <cell r="S16">
            <v>0.15348837209302313</v>
          </cell>
          <cell r="T16">
            <v>0.19023154171384848</v>
          </cell>
          <cell r="U16">
            <v>4.2105263157894646E-2</v>
          </cell>
          <cell r="V16">
            <v>-0.2087542087542088</v>
          </cell>
          <cell r="W16">
            <v>2.1276595744680771E-2</v>
          </cell>
          <cell r="X16">
            <v>-0.11250000000000004</v>
          </cell>
          <cell r="Y16">
            <v>0.15023474178403751</v>
          </cell>
          <cell r="Z16">
            <v>-6.1224489795918324E-2</v>
          </cell>
          <cell r="AA16">
            <v>0</v>
          </cell>
        </row>
        <row r="17">
          <cell r="A17" t="str">
            <v>MOLI.BA</v>
          </cell>
          <cell r="B17">
            <v>50.9</v>
          </cell>
          <cell r="C17">
            <v>43.8</v>
          </cell>
          <cell r="D17">
            <v>43</v>
          </cell>
          <cell r="E17">
            <v>43</v>
          </cell>
          <cell r="F17">
            <v>45.4</v>
          </cell>
          <cell r="G17">
            <v>43.25</v>
          </cell>
          <cell r="H17">
            <v>50.9</v>
          </cell>
          <cell r="I17">
            <v>43</v>
          </cell>
          <cell r="J17">
            <v>42</v>
          </cell>
          <cell r="K17">
            <v>37</v>
          </cell>
          <cell r="L17">
            <v>43.5</v>
          </cell>
          <cell r="M17">
            <v>39.9</v>
          </cell>
          <cell r="N17">
            <v>40</v>
          </cell>
          <cell r="P17">
            <v>-0.13948919449901775</v>
          </cell>
          <cell r="Q17">
            <v>-1.826484018264829E-2</v>
          </cell>
          <cell r="R17">
            <v>0</v>
          </cell>
          <cell r="S17">
            <v>5.5813953488372148E-2</v>
          </cell>
          <cell r="T17">
            <v>-4.7356828193832579E-2</v>
          </cell>
          <cell r="U17">
            <v>0.17687861271676297</v>
          </cell>
          <cell r="V17">
            <v>-0.15520628683693516</v>
          </cell>
          <cell r="W17">
            <v>-2.3255813953488413E-2</v>
          </cell>
          <cell r="X17">
            <v>-0.11904761904761907</v>
          </cell>
          <cell r="Y17">
            <v>0.17567567567567566</v>
          </cell>
          <cell r="Z17">
            <v>-8.2758620689655227E-2</v>
          </cell>
          <cell r="AA17">
            <v>2.5062656641603454E-3</v>
          </cell>
        </row>
        <row r="18">
          <cell r="A18" t="str">
            <v>ESME.BA</v>
          </cell>
          <cell r="B18">
            <v>92.334399000000005</v>
          </cell>
          <cell r="C18">
            <v>94.320085000000006</v>
          </cell>
          <cell r="D18">
            <v>91.341555999999997</v>
          </cell>
          <cell r="E18">
            <v>99.284300000000002</v>
          </cell>
          <cell r="F18">
            <v>100</v>
          </cell>
          <cell r="G18">
            <v>105</v>
          </cell>
          <cell r="H18">
            <v>123</v>
          </cell>
          <cell r="I18">
            <v>120</v>
          </cell>
          <cell r="J18">
            <v>120</v>
          </cell>
          <cell r="K18">
            <v>127</v>
          </cell>
          <cell r="L18">
            <v>134.75</v>
          </cell>
          <cell r="M18">
            <v>138</v>
          </cell>
          <cell r="N18">
            <v>130</v>
          </cell>
          <cell r="P18">
            <v>2.1505376344086002E-2</v>
          </cell>
          <cell r="Q18">
            <v>-3.1578947368421151E-2</v>
          </cell>
          <cell r="R18">
            <v>8.6956521739130599E-2</v>
          </cell>
          <cell r="S18">
            <v>7.2085918921722669E-3</v>
          </cell>
          <cell r="T18">
            <v>5.0000000000000044E-2</v>
          </cell>
          <cell r="U18">
            <v>0.17142857142857149</v>
          </cell>
          <cell r="V18">
            <v>-2.4390243902439046E-2</v>
          </cell>
          <cell r="W18">
            <v>0</v>
          </cell>
          <cell r="X18">
            <v>5.8333333333333348E-2</v>
          </cell>
          <cell r="Y18">
            <v>6.1023622047243986E-2</v>
          </cell>
          <cell r="Z18">
            <v>2.4118738404452778E-2</v>
          </cell>
          <cell r="AA18">
            <v>-5.7971014492753659E-2</v>
          </cell>
        </row>
        <row r="19">
          <cell r="A19" t="str">
            <v>SAMI.BA</v>
          </cell>
          <cell r="B19">
            <v>98</v>
          </cell>
          <cell r="C19">
            <v>96</v>
          </cell>
          <cell r="D19">
            <v>95.4</v>
          </cell>
          <cell r="E19">
            <v>103.5</v>
          </cell>
          <cell r="F19">
            <v>111</v>
          </cell>
          <cell r="G19">
            <v>108.4</v>
          </cell>
          <cell r="H19">
            <v>124.6</v>
          </cell>
          <cell r="I19">
            <v>105</v>
          </cell>
          <cell r="J19">
            <v>103.5</v>
          </cell>
          <cell r="K19">
            <v>95.5</v>
          </cell>
          <cell r="L19">
            <v>98</v>
          </cell>
          <cell r="M19">
            <v>95</v>
          </cell>
          <cell r="N19">
            <v>94.9</v>
          </cell>
          <cell r="P19">
            <v>-2.0408163265306145E-2</v>
          </cell>
          <cell r="Q19">
            <v>-6.2499999999999778E-3</v>
          </cell>
          <cell r="R19">
            <v>8.4905660377358361E-2</v>
          </cell>
          <cell r="S19">
            <v>7.2463768115942129E-2</v>
          </cell>
          <cell r="T19">
            <v>-2.3423423423423406E-2</v>
          </cell>
          <cell r="U19">
            <v>0.14944649446494451</v>
          </cell>
          <cell r="V19">
            <v>-0.15730337078651679</v>
          </cell>
          <cell r="W19">
            <v>-1.4285714285714235E-2</v>
          </cell>
          <cell r="X19">
            <v>-7.7294685990338174E-2</v>
          </cell>
          <cell r="Y19">
            <v>2.6178010471204161E-2</v>
          </cell>
          <cell r="Z19">
            <v>-3.0612244897959218E-2</v>
          </cell>
          <cell r="AA19">
            <v>-1.0526315789473051E-3</v>
          </cell>
        </row>
        <row r="20">
          <cell r="A20" t="str">
            <v>LEDE.BA</v>
          </cell>
          <cell r="B20">
            <v>14</v>
          </cell>
          <cell r="C20">
            <v>12.5</v>
          </cell>
          <cell r="D20">
            <v>12.5</v>
          </cell>
          <cell r="E20">
            <v>12</v>
          </cell>
          <cell r="F20">
            <v>12.4</v>
          </cell>
          <cell r="G20">
            <v>13.2</v>
          </cell>
          <cell r="H20">
            <v>15.05</v>
          </cell>
          <cell r="I20">
            <v>12.6</v>
          </cell>
          <cell r="J20">
            <v>12.75</v>
          </cell>
          <cell r="K20">
            <v>12.2</v>
          </cell>
          <cell r="L20">
            <v>13.45</v>
          </cell>
          <cell r="M20">
            <v>12.95</v>
          </cell>
          <cell r="N20">
            <v>12.75</v>
          </cell>
          <cell r="P20">
            <v>-0.1071428571428571</v>
          </cell>
          <cell r="Q20">
            <v>0</v>
          </cell>
          <cell r="R20">
            <v>-4.0000000000000036E-2</v>
          </cell>
          <cell r="S20">
            <v>3.3333333333333437E-2</v>
          </cell>
          <cell r="T20">
            <v>6.4516129032258007E-2</v>
          </cell>
          <cell r="U20">
            <v>0.14015151515151536</v>
          </cell>
          <cell r="V20">
            <v>-0.16279069767441867</v>
          </cell>
          <cell r="W20">
            <v>1.1904761904761862E-2</v>
          </cell>
          <cell r="X20">
            <v>-4.3137254901960853E-2</v>
          </cell>
          <cell r="Y20">
            <v>0.10245901639344268</v>
          </cell>
          <cell r="Z20">
            <v>-3.7174721189591087E-2</v>
          </cell>
          <cell r="AA20">
            <v>-1.5444015444015413E-2</v>
          </cell>
        </row>
        <row r="21">
          <cell r="A21" t="str">
            <v>INVJ.BA</v>
          </cell>
          <cell r="B21">
            <v>10.7</v>
          </cell>
          <cell r="C21">
            <v>10.050000000000001</v>
          </cell>
          <cell r="D21">
            <v>9.9</v>
          </cell>
          <cell r="E21">
            <v>9.6</v>
          </cell>
          <cell r="F21">
            <v>10.25</v>
          </cell>
          <cell r="G21">
            <v>10.5</v>
          </cell>
          <cell r="H21">
            <v>9.9499999999999993</v>
          </cell>
          <cell r="I21">
            <v>8.75</v>
          </cell>
          <cell r="J21">
            <v>8.8000000000000007</v>
          </cell>
          <cell r="K21">
            <v>8.6999999999999993</v>
          </cell>
          <cell r="L21">
            <v>9.2899999999999991</v>
          </cell>
          <cell r="M21">
            <v>8.9</v>
          </cell>
          <cell r="N21">
            <v>8.9</v>
          </cell>
          <cell r="P21">
            <v>-6.0747663551401709E-2</v>
          </cell>
          <cell r="Q21">
            <v>-1.4925373134328401E-2</v>
          </cell>
          <cell r="R21">
            <v>-3.0303030303030387E-2</v>
          </cell>
          <cell r="S21">
            <v>6.7708333333333481E-2</v>
          </cell>
          <cell r="T21">
            <v>2.4390243902439046E-2</v>
          </cell>
          <cell r="U21">
            <v>-5.2380952380952417E-2</v>
          </cell>
          <cell r="V21">
            <v>-0.12060301507537685</v>
          </cell>
          <cell r="W21">
            <v>5.7142857142857828E-3</v>
          </cell>
          <cell r="X21">
            <v>-1.1363636363636576E-2</v>
          </cell>
          <cell r="Y21">
            <v>6.7816091954022939E-2</v>
          </cell>
          <cell r="Z21">
            <v>-4.1980624327233484E-2</v>
          </cell>
          <cell r="AA21">
            <v>0</v>
          </cell>
        </row>
        <row r="22">
          <cell r="A22" t="str">
            <v>PATY.BA</v>
          </cell>
          <cell r="B22">
            <v>5.5545478499999996</v>
          </cell>
          <cell r="C22">
            <v>4.7016023000000002</v>
          </cell>
          <cell r="D22">
            <v>4.9928520000000001</v>
          </cell>
          <cell r="E22">
            <v>4.4935668</v>
          </cell>
          <cell r="F22">
            <v>4.6391916499999999</v>
          </cell>
          <cell r="G22">
            <v>3.5366035</v>
          </cell>
          <cell r="H22">
            <v>4.2439242000000004</v>
          </cell>
          <cell r="I22">
            <v>4.25</v>
          </cell>
          <cell r="J22">
            <v>5.55</v>
          </cell>
          <cell r="K22">
            <v>4.4400000000000004</v>
          </cell>
          <cell r="L22">
            <v>4.45</v>
          </cell>
          <cell r="M22">
            <v>4.3</v>
          </cell>
          <cell r="N22">
            <v>4.2</v>
          </cell>
          <cell r="P22">
            <v>-0.15355805243445686</v>
          </cell>
          <cell r="Q22">
            <v>6.1946902654867131E-2</v>
          </cell>
          <cell r="R22">
            <v>-9.9999999999999978E-2</v>
          </cell>
          <cell r="S22">
            <v>3.240740740740744E-2</v>
          </cell>
          <cell r="T22">
            <v>-0.2376681614349776</v>
          </cell>
          <cell r="U22">
            <v>0.20000000000000018</v>
          </cell>
          <cell r="V22">
            <v>1.4316466820967211E-3</v>
          </cell>
          <cell r="W22">
            <v>0.30588235294117649</v>
          </cell>
          <cell r="X22">
            <v>-0.19999999999999996</v>
          </cell>
          <cell r="Y22">
            <v>2.2522522522521182E-3</v>
          </cell>
          <cell r="Z22">
            <v>-3.3707865168539408E-2</v>
          </cell>
          <cell r="AA22">
            <v>-2.3255813953488302E-2</v>
          </cell>
        </row>
        <row r="23">
          <cell r="A23" t="str">
            <v>INTR.BA</v>
          </cell>
          <cell r="B23">
            <v>9.6974432000000004</v>
          </cell>
          <cell r="C23">
            <v>9.6482176000000006</v>
          </cell>
          <cell r="D23">
            <v>9.0082848000000002</v>
          </cell>
          <cell r="E23">
            <v>7.4822911999999997</v>
          </cell>
          <cell r="F23">
            <v>8.7129311999999999</v>
          </cell>
          <cell r="G23">
            <v>8.2699008000000003</v>
          </cell>
          <cell r="H23">
            <v>8.6637056000000001</v>
          </cell>
          <cell r="I23">
            <v>8.8606079999999992</v>
          </cell>
          <cell r="J23">
            <v>8.9</v>
          </cell>
          <cell r="K23">
            <v>8.5</v>
          </cell>
          <cell r="L23">
            <v>8.9</v>
          </cell>
          <cell r="M23">
            <v>9.4</v>
          </cell>
          <cell r="N23">
            <v>9</v>
          </cell>
          <cell r="P23">
            <v>-5.0761421319797106E-3</v>
          </cell>
          <cell r="Q23">
            <v>-6.6326530612244916E-2</v>
          </cell>
          <cell r="R23">
            <v>-0.16939890710382521</v>
          </cell>
          <cell r="S23">
            <v>0.16447368421052633</v>
          </cell>
          <cell r="T23">
            <v>-5.084745762711862E-2</v>
          </cell>
          <cell r="U23">
            <v>4.7619047619047672E-2</v>
          </cell>
          <cell r="V23">
            <v>2.2727272727272707E-2</v>
          </cell>
          <cell r="W23">
            <v>4.4457445809589213E-3</v>
          </cell>
          <cell r="X23">
            <v>-4.49438202247191E-2</v>
          </cell>
          <cell r="Y23">
            <v>4.705882352941182E-2</v>
          </cell>
          <cell r="Z23">
            <v>5.6179775280898792E-2</v>
          </cell>
          <cell r="AA23">
            <v>-4.2553191489361764E-2</v>
          </cell>
        </row>
        <row r="24">
          <cell r="A24" t="str">
            <v>SEMI.BA</v>
          </cell>
          <cell r="B24">
            <v>3.2710831200000001</v>
          </cell>
          <cell r="C24">
            <v>3.1035879</v>
          </cell>
          <cell r="D24">
            <v>3.0444719400000002</v>
          </cell>
          <cell r="E24">
            <v>3.1331458799999998</v>
          </cell>
          <cell r="F24">
            <v>3.0543246000000002</v>
          </cell>
          <cell r="G24">
            <v>3.1429985399999998</v>
          </cell>
          <cell r="H24">
            <v>3.6848948400000001</v>
          </cell>
          <cell r="I24">
            <v>3.5</v>
          </cell>
          <cell r="J24">
            <v>3.22</v>
          </cell>
          <cell r="K24">
            <v>2.96</v>
          </cell>
          <cell r="L24">
            <v>3.13</v>
          </cell>
          <cell r="M24">
            <v>2.95</v>
          </cell>
          <cell r="N24">
            <v>2.8</v>
          </cell>
          <cell r="P24">
            <v>-5.1204819277108515E-2</v>
          </cell>
          <cell r="Q24">
            <v>-1.904761904761898E-2</v>
          </cell>
          <cell r="R24">
            <v>2.9126213592232775E-2</v>
          </cell>
          <cell r="S24">
            <v>-2.5157232704402399E-2</v>
          </cell>
          <cell r="T24">
            <v>2.9032258064515926E-2</v>
          </cell>
          <cell r="U24">
            <v>0.1724137931034484</v>
          </cell>
          <cell r="V24">
            <v>-5.0176422402328336E-2</v>
          </cell>
          <cell r="W24">
            <v>-7.999999999999996E-2</v>
          </cell>
          <cell r="X24">
            <v>-8.0745341614906874E-2</v>
          </cell>
          <cell r="Y24">
            <v>5.7432432432432456E-2</v>
          </cell>
          <cell r="Z24">
            <v>-5.7507987220447143E-2</v>
          </cell>
          <cell r="AA24">
            <v>-5.0847457627118731E-2</v>
          </cell>
        </row>
        <row r="25">
          <cell r="A25" t="str">
            <v>MORI.BA</v>
          </cell>
          <cell r="B25">
            <v>2.3980747999999998</v>
          </cell>
          <cell r="C25">
            <v>2.3435731</v>
          </cell>
          <cell r="D25">
            <v>2.19641851</v>
          </cell>
          <cell r="E25">
            <v>2.2890714000000001</v>
          </cell>
          <cell r="F25">
            <v>2.1255663</v>
          </cell>
          <cell r="G25">
            <v>2.1800000000000002</v>
          </cell>
          <cell r="H25">
            <v>2.25</v>
          </cell>
          <cell r="I25">
            <v>1.99</v>
          </cell>
          <cell r="J25">
            <v>1.95</v>
          </cell>
          <cell r="K25">
            <v>1.87</v>
          </cell>
          <cell r="L25">
            <v>1.9</v>
          </cell>
          <cell r="M25">
            <v>1.84</v>
          </cell>
          <cell r="N25">
            <v>1.8</v>
          </cell>
          <cell r="P25">
            <v>-2.2727272727272707E-2</v>
          </cell>
          <cell r="Q25">
            <v>-6.2790697674418583E-2</v>
          </cell>
          <cell r="R25">
            <v>4.2183622828784184E-2</v>
          </cell>
          <cell r="S25">
            <v>-7.1428571428571508E-2</v>
          </cell>
          <cell r="T25">
            <v>2.560903416656557E-2</v>
          </cell>
          <cell r="U25">
            <v>3.2110091743119185E-2</v>
          </cell>
          <cell r="V25">
            <v>-0.11555555555555552</v>
          </cell>
          <cell r="W25">
            <v>-2.010050251256279E-2</v>
          </cell>
          <cell r="X25">
            <v>-4.1025641025640991E-2</v>
          </cell>
          <cell r="Y25">
            <v>1.6042780748662944E-2</v>
          </cell>
          <cell r="Z25">
            <v>-3.1578947368420929E-2</v>
          </cell>
          <cell r="AA25">
            <v>-2.1739130434782594E-2</v>
          </cell>
        </row>
        <row r="26">
          <cell r="A26" t="str">
            <v>APBR.BA</v>
          </cell>
          <cell r="B26">
            <v>136.97622697599999</v>
          </cell>
          <cell r="C26">
            <v>144.17244179900001</v>
          </cell>
          <cell r="D26">
            <v>149.09341847300001</v>
          </cell>
          <cell r="E26">
            <v>143.42597942399999</v>
          </cell>
          <cell r="F26">
            <v>158.93686524099999</v>
          </cell>
          <cell r="G26">
            <v>203.18266131999999</v>
          </cell>
          <cell r="H26">
            <v>247.62731490900001</v>
          </cell>
          <cell r="I26">
            <v>289.23824897499998</v>
          </cell>
          <cell r="J26">
            <v>268.14432840000001</v>
          </cell>
          <cell r="K26">
            <v>249.65</v>
          </cell>
          <cell r="L26">
            <v>301.95</v>
          </cell>
          <cell r="M26">
            <v>309.39999999999998</v>
          </cell>
          <cell r="N26">
            <v>310.85000000000002</v>
          </cell>
          <cell r="P26">
            <v>5.25362318839524E-2</v>
          </cell>
          <cell r="Q26">
            <v>3.4132574940089144E-2</v>
          </cell>
          <cell r="R26">
            <v>-3.8012670894834732E-2</v>
          </cell>
          <cell r="S26">
            <v>0.10814558059350099</v>
          </cell>
          <cell r="T26">
            <v>0.27838598686282756</v>
          </cell>
          <cell r="U26">
            <v>0.21874235380253459</v>
          </cell>
          <cell r="V26">
            <v>0.16803854647978356</v>
          </cell>
          <cell r="W26">
            <v>-7.2929222361677315E-2</v>
          </cell>
          <cell r="X26">
            <v>-6.8971544206638535E-2</v>
          </cell>
          <cell r="Y26">
            <v>0.20949329060684962</v>
          </cell>
          <cell r="Z26">
            <v>2.4672959099188541E-2</v>
          </cell>
          <cell r="AA26">
            <v>4.6864899806078331E-3</v>
          </cell>
        </row>
        <row r="27">
          <cell r="A27" t="str">
            <v>TS.BA</v>
          </cell>
          <cell r="B27">
            <v>337.9</v>
          </cell>
          <cell r="C27">
            <v>384.45</v>
          </cell>
          <cell r="D27">
            <v>451.1</v>
          </cell>
          <cell r="E27">
            <v>521.95000000000005</v>
          </cell>
          <cell r="F27">
            <v>504.9</v>
          </cell>
          <cell r="G27">
            <v>624.65</v>
          </cell>
          <cell r="H27">
            <v>695.6</v>
          </cell>
          <cell r="I27">
            <v>527.5</v>
          </cell>
          <cell r="J27">
            <v>464.3</v>
          </cell>
          <cell r="K27">
            <v>410.6</v>
          </cell>
          <cell r="L27">
            <v>465.6</v>
          </cell>
          <cell r="M27">
            <v>521.20000000000005</v>
          </cell>
          <cell r="N27">
            <v>531.95000000000005</v>
          </cell>
          <cell r="P27">
            <v>0.13776265167209245</v>
          </cell>
          <cell r="Q27">
            <v>0.17336454675510482</v>
          </cell>
          <cell r="R27">
            <v>0.15706051873198845</v>
          </cell>
          <cell r="S27">
            <v>-3.2665964172813644E-2</v>
          </cell>
          <cell r="T27">
            <v>0.23717567835214903</v>
          </cell>
          <cell r="U27">
            <v>0.11358360681981927</v>
          </cell>
          <cell r="V27">
            <v>-0.24166187464059807</v>
          </cell>
          <cell r="W27">
            <v>-0.11981042654028429</v>
          </cell>
          <cell r="X27">
            <v>-0.11565797975446912</v>
          </cell>
          <cell r="Y27">
            <v>0.13395031660983925</v>
          </cell>
          <cell r="Z27">
            <v>0.11941580756013748</v>
          </cell>
          <cell r="AA27">
            <v>2.0625479662317758E-2</v>
          </cell>
        </row>
        <row r="28">
          <cell r="A28" t="str">
            <v>YPFD.BA</v>
          </cell>
          <cell r="B28">
            <v>429.33888000000002</v>
          </cell>
          <cell r="C28">
            <v>453.73765200000003</v>
          </cell>
          <cell r="D28">
            <v>450.95490000000001</v>
          </cell>
          <cell r="E28">
            <v>387.5976</v>
          </cell>
          <cell r="F28">
            <v>448.32122399999997</v>
          </cell>
          <cell r="G28">
            <v>563.20912799999996</v>
          </cell>
          <cell r="H28">
            <v>640.08265200000005</v>
          </cell>
          <cell r="I28">
            <v>538.512204</v>
          </cell>
          <cell r="J28">
            <v>563.65635599999996</v>
          </cell>
          <cell r="K28">
            <v>502.15</v>
          </cell>
          <cell r="L28">
            <v>606.29999999999995</v>
          </cell>
          <cell r="M28">
            <v>554.20000000000005</v>
          </cell>
          <cell r="N28">
            <v>535.9</v>
          </cell>
          <cell r="P28">
            <v>5.6828703703703631E-2</v>
          </cell>
          <cell r="Q28">
            <v>-6.1329536742963375E-3</v>
          </cell>
          <cell r="R28">
            <v>-0.14049586776859502</v>
          </cell>
          <cell r="S28">
            <v>0.15666666666666651</v>
          </cell>
          <cell r="T28">
            <v>0.25626246951895371</v>
          </cell>
          <cell r="U28">
            <v>0.13649197106052591</v>
          </cell>
          <cell r="V28">
            <v>-0.15868333203943796</v>
          </cell>
          <cell r="W28">
            <v>4.6691888899141665E-2</v>
          </cell>
          <cell r="X28">
            <v>-0.10912030946742302</v>
          </cell>
          <cell r="Y28">
            <v>0.20740814497660054</v>
          </cell>
          <cell r="Z28">
            <v>-8.5931057232393027E-2</v>
          </cell>
          <cell r="AA28">
            <v>-3.3020570191266807E-2</v>
          </cell>
        </row>
        <row r="29">
          <cell r="A29" t="str">
            <v>TGSU2.BA</v>
          </cell>
          <cell r="B29">
            <v>77.838866623000001</v>
          </cell>
          <cell r="C29">
            <v>74.315884280999995</v>
          </cell>
          <cell r="D29">
            <v>80.266867968</v>
          </cell>
          <cell r="E29">
            <v>65.841683510999999</v>
          </cell>
          <cell r="F29">
            <v>87.893384158999993</v>
          </cell>
          <cell r="G29">
            <v>96.865747200000001</v>
          </cell>
          <cell r="H29">
            <v>120.05</v>
          </cell>
          <cell r="I29">
            <v>103.95</v>
          </cell>
          <cell r="J29">
            <v>115.45</v>
          </cell>
          <cell r="K29">
            <v>109.65</v>
          </cell>
          <cell r="L29">
            <v>125.85</v>
          </cell>
          <cell r="M29">
            <v>114.5</v>
          </cell>
          <cell r="N29">
            <v>116.4</v>
          </cell>
          <cell r="P29">
            <v>-4.5259938830597313E-2</v>
          </cell>
          <cell r="Q29">
            <v>8.0076873801277815E-2</v>
          </cell>
          <cell r="R29">
            <v>-0.17971530249256629</v>
          </cell>
          <cell r="S29">
            <v>0.33492006085044701</v>
          </cell>
          <cell r="T29">
            <v>0.1020823481408899</v>
          </cell>
          <cell r="U29">
            <v>0.23934417965239208</v>
          </cell>
          <cell r="V29">
            <v>-0.13411078717201164</v>
          </cell>
          <cell r="W29">
            <v>0.11063011063011063</v>
          </cell>
          <cell r="X29">
            <v>-5.0238198354265906E-2</v>
          </cell>
          <cell r="Y29">
            <v>0.14774281805745537</v>
          </cell>
          <cell r="Z29">
            <v>-9.0186730234406043E-2</v>
          </cell>
          <cell r="AA29">
            <v>1.6593886462882068E-2</v>
          </cell>
        </row>
        <row r="30">
          <cell r="A30" t="str">
            <v>TGNO4.BA</v>
          </cell>
          <cell r="B30">
            <v>64.628587999999993</v>
          </cell>
          <cell r="C30">
            <v>56.9</v>
          </cell>
          <cell r="D30">
            <v>59.25</v>
          </cell>
          <cell r="E30">
            <v>43.95</v>
          </cell>
          <cell r="F30">
            <v>62.2</v>
          </cell>
          <cell r="G30">
            <v>49.05</v>
          </cell>
          <cell r="H30">
            <v>65.2</v>
          </cell>
          <cell r="I30">
            <v>50.3</v>
          </cell>
          <cell r="J30">
            <v>51.4</v>
          </cell>
          <cell r="K30">
            <v>56.55</v>
          </cell>
          <cell r="L30">
            <v>66.7</v>
          </cell>
          <cell r="M30">
            <v>70.8</v>
          </cell>
          <cell r="N30">
            <v>68.7</v>
          </cell>
          <cell r="P30">
            <v>-0.11958466429747772</v>
          </cell>
          <cell r="Q30">
            <v>4.1300527240773377E-2</v>
          </cell>
          <cell r="R30">
            <v>-0.25822784810126576</v>
          </cell>
          <cell r="S30">
            <v>0.41524459613196818</v>
          </cell>
          <cell r="T30">
            <v>-0.21141479099678462</v>
          </cell>
          <cell r="U30">
            <v>0.32925586136595331</v>
          </cell>
          <cell r="V30">
            <v>-0.22852760736196331</v>
          </cell>
          <cell r="W30">
            <v>2.1868787276341894E-2</v>
          </cell>
          <cell r="X30">
            <v>0.10019455252918275</v>
          </cell>
          <cell r="Y30">
            <v>0.17948717948717952</v>
          </cell>
          <cell r="Z30">
            <v>6.1469265367316339E-2</v>
          </cell>
          <cell r="AA30">
            <v>-2.9661016949152463E-2</v>
          </cell>
        </row>
        <row r="31">
          <cell r="A31" t="str">
            <v>PGR.BA</v>
          </cell>
          <cell r="B31">
            <v>8.6199999999999992</v>
          </cell>
          <cell r="C31">
            <v>7.31</v>
          </cell>
          <cell r="D31">
            <v>7.33</v>
          </cell>
          <cell r="E31">
            <v>6.1</v>
          </cell>
          <cell r="F31">
            <v>8.2799999999999994</v>
          </cell>
          <cell r="G31">
            <v>11.3</v>
          </cell>
          <cell r="H31">
            <v>12</v>
          </cell>
          <cell r="I31">
            <v>8.5</v>
          </cell>
          <cell r="J31">
            <v>7.9</v>
          </cell>
          <cell r="K31">
            <v>11.05</v>
          </cell>
          <cell r="L31">
            <v>11.75</v>
          </cell>
          <cell r="M31">
            <v>12.2</v>
          </cell>
          <cell r="N31">
            <v>12.1</v>
          </cell>
          <cell r="P31">
            <v>-0.15197215777262174</v>
          </cell>
          <cell r="Q31">
            <v>2.7359781121751858E-3</v>
          </cell>
          <cell r="R31">
            <v>-0.16780354706684864</v>
          </cell>
          <cell r="S31">
            <v>0.35737704918032787</v>
          </cell>
          <cell r="T31">
            <v>0.3647342995169085</v>
          </cell>
          <cell r="U31">
            <v>6.1946902654867131E-2</v>
          </cell>
          <cell r="V31">
            <v>-0.29166666666666663</v>
          </cell>
          <cell r="W31">
            <v>-7.0588235294117618E-2</v>
          </cell>
          <cell r="X31">
            <v>0.39873417721519</v>
          </cell>
          <cell r="Y31">
            <v>6.3348416289592757E-2</v>
          </cell>
          <cell r="Z31">
            <v>3.8297872340425476E-2</v>
          </cell>
          <cell r="AA31">
            <v>-8.1967213114754189E-3</v>
          </cell>
        </row>
        <row r="32">
          <cell r="A32" t="str">
            <v>COME.BA</v>
          </cell>
          <cell r="B32">
            <v>4.04</v>
          </cell>
          <cell r="C32">
            <v>4.03</v>
          </cell>
          <cell r="D32">
            <v>3.89</v>
          </cell>
          <cell r="E32">
            <v>3.2</v>
          </cell>
          <cell r="F32">
            <v>4.0599999999999996</v>
          </cell>
          <cell r="G32">
            <v>4.22</v>
          </cell>
          <cell r="H32">
            <v>4.49</v>
          </cell>
          <cell r="I32">
            <v>3.56</v>
          </cell>
          <cell r="J32">
            <v>3.46</v>
          </cell>
          <cell r="K32">
            <v>3.34</v>
          </cell>
          <cell r="L32">
            <v>3.47</v>
          </cell>
          <cell r="M32">
            <v>3.29</v>
          </cell>
          <cell r="N32">
            <v>3.19</v>
          </cell>
          <cell r="P32">
            <v>-2.4752475247524774E-3</v>
          </cell>
          <cell r="Q32">
            <v>-3.4739454094292799E-2</v>
          </cell>
          <cell r="R32">
            <v>-0.17737789203084831</v>
          </cell>
          <cell r="S32">
            <v>0.26874999999999982</v>
          </cell>
          <cell r="T32">
            <v>3.9408866995073843E-2</v>
          </cell>
          <cell r="U32">
            <v>6.3981042654028597E-2</v>
          </cell>
          <cell r="V32">
            <v>-0.20712694877505566</v>
          </cell>
          <cell r="W32">
            <v>-2.8089887640449507E-2</v>
          </cell>
          <cell r="X32">
            <v>-3.4682080924855474E-2</v>
          </cell>
          <cell r="Y32">
            <v>3.8922155688622784E-2</v>
          </cell>
          <cell r="Z32">
            <v>-5.187319884726227E-2</v>
          </cell>
          <cell r="AA32">
            <v>-3.0395136778115561E-2</v>
          </cell>
        </row>
        <row r="33">
          <cell r="A33" t="str">
            <v>CARC.BA</v>
          </cell>
          <cell r="B33">
            <v>1.4347025</v>
          </cell>
          <cell r="C33">
            <v>1.1378675</v>
          </cell>
          <cell r="D33">
            <v>1.0587115</v>
          </cell>
          <cell r="E33">
            <v>1.226918</v>
          </cell>
          <cell r="F33">
            <v>1.167551</v>
          </cell>
          <cell r="G33">
            <v>1</v>
          </cell>
          <cell r="H33">
            <v>2.99</v>
          </cell>
          <cell r="I33">
            <v>1.92</v>
          </cell>
          <cell r="J33">
            <v>1.78</v>
          </cell>
          <cell r="K33">
            <v>1.55</v>
          </cell>
          <cell r="L33">
            <v>1.52</v>
          </cell>
          <cell r="M33">
            <v>1.65</v>
          </cell>
          <cell r="N33">
            <v>1.5</v>
          </cell>
          <cell r="P33">
            <v>-0.2068965517241379</v>
          </cell>
          <cell r="Q33">
            <v>-6.956521739130439E-2</v>
          </cell>
          <cell r="R33">
            <v>0.1588785046728971</v>
          </cell>
          <cell r="S33">
            <v>-4.8387096774193505E-2</v>
          </cell>
          <cell r="T33">
            <v>-0.14350636503244829</v>
          </cell>
          <cell r="U33">
            <v>1.9900000000000002</v>
          </cell>
          <cell r="V33">
            <v>-0.35785953177257535</v>
          </cell>
          <cell r="W33">
            <v>-7.291666666666663E-2</v>
          </cell>
          <cell r="X33">
            <v>-0.1292134831460674</v>
          </cell>
          <cell r="Y33">
            <v>-1.9354838709677469E-2</v>
          </cell>
          <cell r="Z33">
            <v>8.5526315789473673E-2</v>
          </cell>
          <cell r="AA33">
            <v>-9.0909090909090828E-2</v>
          </cell>
        </row>
        <row r="34">
          <cell r="A34" t="str">
            <v>GGAL.BA</v>
          </cell>
          <cell r="B34">
            <v>130.34019699999999</v>
          </cell>
          <cell r="C34">
            <v>127.46139599999999</v>
          </cell>
          <cell r="D34">
            <v>105.8</v>
          </cell>
          <cell r="E34">
            <v>95.05</v>
          </cell>
          <cell r="F34">
            <v>97.4</v>
          </cell>
          <cell r="G34">
            <v>86.1</v>
          </cell>
          <cell r="H34">
            <v>105.65</v>
          </cell>
          <cell r="I34">
            <v>83.25</v>
          </cell>
          <cell r="J34">
            <v>101.9</v>
          </cell>
          <cell r="K34">
            <v>103.3</v>
          </cell>
          <cell r="L34">
            <v>135.35</v>
          </cell>
          <cell r="M34">
            <v>120.8</v>
          </cell>
          <cell r="N34">
            <v>110.25</v>
          </cell>
          <cell r="P34">
            <v>-2.2086824067022004E-2</v>
          </cell>
          <cell r="Q34">
            <v>-0.16994475723457481</v>
          </cell>
          <cell r="R34">
            <v>-0.1016068052930057</v>
          </cell>
          <cell r="S34">
            <v>2.4723829563387811E-2</v>
          </cell>
          <cell r="T34">
            <v>-0.11601642710472293</v>
          </cell>
          <cell r="U34">
            <v>0.22706155632984926</v>
          </cell>
          <cell r="V34">
            <v>-0.21202082347373408</v>
          </cell>
          <cell r="W34">
            <v>0.2240240240240241</v>
          </cell>
          <cell r="X34">
            <v>1.3738959764474812E-2</v>
          </cell>
          <cell r="Y34">
            <v>0.31026137463697956</v>
          </cell>
          <cell r="Z34">
            <v>-0.10749907646841517</v>
          </cell>
          <cell r="AA34">
            <v>-8.7334437086092676E-2</v>
          </cell>
        </row>
        <row r="35">
          <cell r="A35" t="str">
            <v>BMA.BA</v>
          </cell>
          <cell r="B35">
            <v>209.33643674999999</v>
          </cell>
          <cell r="C35">
            <v>193.24111490000001</v>
          </cell>
          <cell r="D35">
            <v>196.55</v>
          </cell>
          <cell r="E35">
            <v>167.05</v>
          </cell>
          <cell r="F35">
            <v>187.25</v>
          </cell>
          <cell r="G35">
            <v>163.35</v>
          </cell>
          <cell r="H35">
            <v>172.05</v>
          </cell>
          <cell r="I35">
            <v>159.35</v>
          </cell>
          <cell r="J35">
            <v>169.85</v>
          </cell>
          <cell r="K35">
            <v>163.95</v>
          </cell>
          <cell r="L35">
            <v>214.5</v>
          </cell>
          <cell r="M35">
            <v>196.7</v>
          </cell>
          <cell r="N35">
            <v>183.7</v>
          </cell>
          <cell r="P35">
            <v>-7.6887340301974305E-2</v>
          </cell>
          <cell r="Q35">
            <v>1.712309050644989E-2</v>
          </cell>
          <cell r="R35">
            <v>-0.15008903586873568</v>
          </cell>
          <cell r="S35">
            <v>0.1209218796767435</v>
          </cell>
          <cell r="T35">
            <v>-0.12763684913217621</v>
          </cell>
          <cell r="U35">
            <v>5.3259871441689643E-2</v>
          </cell>
          <cell r="V35">
            <v>-7.3815751235106197E-2</v>
          </cell>
          <cell r="W35">
            <v>6.5892689049262598E-2</v>
          </cell>
          <cell r="X35">
            <v>-3.4736532234324491E-2</v>
          </cell>
          <cell r="Y35">
            <v>0.30832570905763967</v>
          </cell>
          <cell r="Z35">
            <v>-8.2983682983683082E-2</v>
          </cell>
          <cell r="AA35">
            <v>-6.6090493136756523E-2</v>
          </cell>
        </row>
        <row r="36">
          <cell r="A36" t="str">
            <v>FRAN.BA</v>
          </cell>
          <cell r="B36">
            <v>149.39544090000001</v>
          </cell>
          <cell r="C36">
            <v>148.25841405</v>
          </cell>
          <cell r="D36">
            <v>119.9</v>
          </cell>
          <cell r="E36">
            <v>119.4</v>
          </cell>
          <cell r="F36">
            <v>127</v>
          </cell>
          <cell r="G36">
            <v>110</v>
          </cell>
          <cell r="H36">
            <v>160</v>
          </cell>
          <cell r="I36">
            <v>132</v>
          </cell>
          <cell r="J36">
            <v>149.9</v>
          </cell>
          <cell r="K36">
            <v>140.75</v>
          </cell>
          <cell r="L36">
            <v>168</v>
          </cell>
          <cell r="M36">
            <v>144.5</v>
          </cell>
          <cell r="N36">
            <v>145.75</v>
          </cell>
          <cell r="P36">
            <v>-7.6108537392456377E-3</v>
          </cell>
          <cell r="Q36">
            <v>-0.1912769284071536</v>
          </cell>
          <cell r="R36">
            <v>-4.170141784820669E-3</v>
          </cell>
          <cell r="S36">
            <v>6.365159128978215E-2</v>
          </cell>
          <cell r="T36">
            <v>-0.13385826771653542</v>
          </cell>
          <cell r="U36">
            <v>0.45454545454545459</v>
          </cell>
          <cell r="V36">
            <v>-0.17500000000000004</v>
          </cell>
          <cell r="W36">
            <v>0.13560606060606073</v>
          </cell>
          <cell r="X36">
            <v>-6.1040693795863965E-2</v>
          </cell>
          <cell r="Y36">
            <v>0.1936056838365896</v>
          </cell>
          <cell r="Z36">
            <v>-0.13988095238095233</v>
          </cell>
          <cell r="AA36">
            <v>8.65051903114189E-3</v>
          </cell>
        </row>
        <row r="37">
          <cell r="A37" t="str">
            <v>BRIO.BA</v>
          </cell>
          <cell r="B37">
            <v>25.704067999999999</v>
          </cell>
          <cell r="C37">
            <v>25.926507050000001</v>
          </cell>
          <cell r="D37">
            <v>21.5024415</v>
          </cell>
          <cell r="E37">
            <v>20.513823500000001</v>
          </cell>
          <cell r="F37">
            <v>21.749596</v>
          </cell>
          <cell r="G37">
            <v>19.673498200000001</v>
          </cell>
          <cell r="H37">
            <v>24.369433699999998</v>
          </cell>
          <cell r="I37">
            <v>19.722929100000002</v>
          </cell>
          <cell r="J37">
            <v>19.080327400000002</v>
          </cell>
          <cell r="K37">
            <v>17.300815</v>
          </cell>
          <cell r="L37">
            <v>21</v>
          </cell>
          <cell r="M37">
            <v>19.55</v>
          </cell>
          <cell r="N37">
            <v>18.7</v>
          </cell>
          <cell r="P37">
            <v>8.6538461538461231E-3</v>
          </cell>
          <cell r="Q37">
            <v>-0.17063870352716881</v>
          </cell>
          <cell r="R37">
            <v>-4.5977011494252817E-2</v>
          </cell>
          <cell r="S37">
            <v>6.024096385542177E-2</v>
          </cell>
          <cell r="T37">
            <v>-9.5454545454545459E-2</v>
          </cell>
          <cell r="U37">
            <v>0.23869346733668317</v>
          </cell>
          <cell r="V37">
            <v>-0.19066937119675442</v>
          </cell>
          <cell r="W37">
            <v>-3.2581453634085267E-2</v>
          </cell>
          <cell r="X37">
            <v>-9.3264248704663322E-2</v>
          </cell>
          <cell r="Y37">
            <v>0.21381564972517197</v>
          </cell>
          <cell r="Z37">
            <v>-6.9047619047619024E-2</v>
          </cell>
          <cell r="AA37">
            <v>-4.3478260869565299E-2</v>
          </cell>
        </row>
        <row r="38">
          <cell r="A38" t="str">
            <v>BYMA.BA</v>
          </cell>
          <cell r="B38">
            <v>396.12381929999998</v>
          </cell>
          <cell r="C38">
            <v>374.95</v>
          </cell>
          <cell r="D38">
            <v>332.05</v>
          </cell>
          <cell r="E38">
            <v>344.8</v>
          </cell>
          <cell r="F38">
            <v>385.7</v>
          </cell>
          <cell r="G38">
            <v>370.3</v>
          </cell>
          <cell r="H38">
            <v>359.85</v>
          </cell>
          <cell r="I38">
            <v>336.3</v>
          </cell>
          <cell r="J38">
            <v>360.15</v>
          </cell>
          <cell r="K38">
            <v>378.4</v>
          </cell>
          <cell r="L38">
            <v>382.5</v>
          </cell>
          <cell r="M38">
            <v>356</v>
          </cell>
          <cell r="N38">
            <v>339</v>
          </cell>
          <cell r="P38">
            <v>-5.3452527387564674E-2</v>
          </cell>
          <cell r="Q38">
            <v>-0.11441525536738228</v>
          </cell>
          <cell r="R38">
            <v>3.8397831651859615E-2</v>
          </cell>
          <cell r="S38">
            <v>0.11861948955916457</v>
          </cell>
          <cell r="T38">
            <v>-3.9927404718693271E-2</v>
          </cell>
          <cell r="U38">
            <v>-2.8220361868754984E-2</v>
          </cell>
          <cell r="V38">
            <v>-6.544393497290546E-2</v>
          </cell>
          <cell r="W38">
            <v>7.0918822479928423E-2</v>
          </cell>
          <cell r="X38">
            <v>5.0673330556712415E-2</v>
          </cell>
          <cell r="Y38">
            <v>1.0835095137420758E-2</v>
          </cell>
          <cell r="Z38">
            <v>-6.9281045751633963E-2</v>
          </cell>
          <cell r="AA38">
            <v>-4.7752808988763995E-2</v>
          </cell>
        </row>
        <row r="39">
          <cell r="A39" t="str">
            <v>BPAT.BA</v>
          </cell>
          <cell r="B39">
            <v>51.41913125</v>
          </cell>
          <cell r="C39">
            <v>52.136607499999997</v>
          </cell>
          <cell r="D39">
            <v>49</v>
          </cell>
          <cell r="E39">
            <v>43</v>
          </cell>
          <cell r="F39">
            <v>42</v>
          </cell>
          <cell r="G39">
            <v>34.1</v>
          </cell>
          <cell r="H39">
            <v>40.5</v>
          </cell>
          <cell r="I39">
            <v>33.5</v>
          </cell>
          <cell r="J39">
            <v>36.5</v>
          </cell>
          <cell r="K39">
            <v>34.15</v>
          </cell>
          <cell r="L39">
            <v>39.549999999999997</v>
          </cell>
          <cell r="M39">
            <v>41.6</v>
          </cell>
          <cell r="N39">
            <v>41.15</v>
          </cell>
          <cell r="P39">
            <v>1.395348837209287E-2</v>
          </cell>
          <cell r="Q39">
            <v>-6.0161327144271803E-2</v>
          </cell>
          <cell r="R39">
            <v>-0.12244897959183676</v>
          </cell>
          <cell r="S39">
            <v>-2.3255813953488413E-2</v>
          </cell>
          <cell r="T39">
            <v>-0.18809523809523809</v>
          </cell>
          <cell r="U39">
            <v>0.18768328445747806</v>
          </cell>
          <cell r="V39">
            <v>-0.1728395061728395</v>
          </cell>
          <cell r="W39">
            <v>8.9552238805970186E-2</v>
          </cell>
          <cell r="X39">
            <v>-6.438356164383563E-2</v>
          </cell>
          <cell r="Y39">
            <v>0.15812591508052698</v>
          </cell>
          <cell r="Z39">
            <v>5.1833122629582951E-2</v>
          </cell>
          <cell r="AA39">
            <v>-1.0817307692307709E-2</v>
          </cell>
        </row>
        <row r="40">
          <cell r="A40" t="str">
            <v>BHIP.BA</v>
          </cell>
          <cell r="B40">
            <v>17.519990100000001</v>
          </cell>
          <cell r="C40">
            <v>16.850000000000001</v>
          </cell>
          <cell r="D40">
            <v>16.100000000000001</v>
          </cell>
          <cell r="E40">
            <v>13.9</v>
          </cell>
          <cell r="F40">
            <v>13.85</v>
          </cell>
          <cell r="G40">
            <v>10.6</v>
          </cell>
          <cell r="H40">
            <v>12.5</v>
          </cell>
          <cell r="I40">
            <v>11</v>
          </cell>
          <cell r="J40">
            <v>12.5</v>
          </cell>
          <cell r="K40">
            <v>11.75</v>
          </cell>
          <cell r="L40">
            <v>13.55</v>
          </cell>
          <cell r="M40">
            <v>13.85</v>
          </cell>
          <cell r="N40">
            <v>13.1</v>
          </cell>
          <cell r="P40">
            <v>-3.8241465672974262E-2</v>
          </cell>
          <cell r="Q40">
            <v>-4.451038575667654E-2</v>
          </cell>
          <cell r="R40">
            <v>-0.13664596273291929</v>
          </cell>
          <cell r="S40">
            <v>-3.597122302158362E-3</v>
          </cell>
          <cell r="T40">
            <v>-0.23465703971119134</v>
          </cell>
          <cell r="U40">
            <v>0.179245283018868</v>
          </cell>
          <cell r="V40">
            <v>-0.12</v>
          </cell>
          <cell r="W40">
            <v>0.13636363636363646</v>
          </cell>
          <cell r="X40">
            <v>-6.0000000000000053E-2</v>
          </cell>
          <cell r="Y40">
            <v>0.15319148936170213</v>
          </cell>
          <cell r="Z40">
            <v>2.2140221402213944E-2</v>
          </cell>
          <cell r="AA40">
            <v>-5.4151624548736454E-2</v>
          </cell>
        </row>
        <row r="41">
          <cell r="A41" t="str">
            <v>VALO.BA</v>
          </cell>
          <cell r="B41">
            <v>8.1103515799999997</v>
          </cell>
          <cell r="C41">
            <v>7.22</v>
          </cell>
          <cell r="D41">
            <v>6.03</v>
          </cell>
          <cell r="E41">
            <v>5.74</v>
          </cell>
          <cell r="F41">
            <v>5.75</v>
          </cell>
          <cell r="G41">
            <v>5.32</v>
          </cell>
          <cell r="H41">
            <v>6.02</v>
          </cell>
          <cell r="I41">
            <v>5.0599999999999996</v>
          </cell>
          <cell r="J41">
            <v>5.65</v>
          </cell>
          <cell r="K41">
            <v>5.27</v>
          </cell>
          <cell r="L41">
            <v>6.16</v>
          </cell>
          <cell r="M41">
            <v>6.91</v>
          </cell>
          <cell r="N41">
            <v>6.37</v>
          </cell>
          <cell r="P41">
            <v>-0.10977965273362411</v>
          </cell>
          <cell r="Q41">
            <v>-0.16481994459833793</v>
          </cell>
          <cell r="R41">
            <v>-4.809286898839138E-2</v>
          </cell>
          <cell r="S41">
            <v>1.7421602787455193E-3</v>
          </cell>
          <cell r="T41">
            <v>-7.478260869565212E-2</v>
          </cell>
          <cell r="U41">
            <v>0.13157894736842102</v>
          </cell>
          <cell r="V41">
            <v>-0.15946843853820603</v>
          </cell>
          <cell r="W41">
            <v>0.11660079051383421</v>
          </cell>
          <cell r="X41">
            <v>-6.7256637168141675E-2</v>
          </cell>
          <cell r="Y41">
            <v>0.1688804554079697</v>
          </cell>
          <cell r="Z41">
            <v>0.12175324675324672</v>
          </cell>
          <cell r="AA41">
            <v>-7.8147612156295176E-2</v>
          </cell>
        </row>
        <row r="42">
          <cell r="A42" t="str">
            <v>RICH.BA</v>
          </cell>
          <cell r="B42">
            <v>27.780225300000001</v>
          </cell>
          <cell r="C42">
            <v>34.600818250000003</v>
          </cell>
          <cell r="D42">
            <v>28</v>
          </cell>
          <cell r="E42">
            <v>25.6</v>
          </cell>
          <cell r="F42">
            <v>28.5</v>
          </cell>
          <cell r="G42">
            <v>30.8</v>
          </cell>
          <cell r="H42">
            <v>33.200000000000003</v>
          </cell>
          <cell r="I42">
            <v>37.5</v>
          </cell>
          <cell r="J42">
            <v>37.5</v>
          </cell>
          <cell r="K42">
            <v>36.299999999999997</v>
          </cell>
          <cell r="L42">
            <v>41</v>
          </cell>
          <cell r="M42">
            <v>39.25</v>
          </cell>
          <cell r="N42">
            <v>41.9</v>
          </cell>
          <cell r="P42">
            <v>0.2455197132616489</v>
          </cell>
          <cell r="Q42">
            <v>-0.19077058242690559</v>
          </cell>
          <cell r="R42">
            <v>-8.5714285714285632E-2</v>
          </cell>
          <cell r="S42">
            <v>0.11328125</v>
          </cell>
          <cell r="T42">
            <v>8.0701754385964941E-2</v>
          </cell>
          <cell r="U42">
            <v>7.7922077922077948E-2</v>
          </cell>
          <cell r="V42">
            <v>0.12951807228915646</v>
          </cell>
          <cell r="W42">
            <v>0</v>
          </cell>
          <cell r="X42">
            <v>-3.2000000000000028E-2</v>
          </cell>
          <cell r="Y42">
            <v>0.12947658402203865</v>
          </cell>
          <cell r="Z42">
            <v>-4.2682926829268331E-2</v>
          </cell>
          <cell r="AA42">
            <v>6.7515923566878966E-2</v>
          </cell>
        </row>
        <row r="43">
          <cell r="A43" t="str">
            <v>ROSE.BA</v>
          </cell>
          <cell r="B43">
            <v>8.3000000000000007</v>
          </cell>
          <cell r="C43">
            <v>7.6</v>
          </cell>
          <cell r="D43">
            <v>8.39</v>
          </cell>
          <cell r="E43">
            <v>7.1</v>
          </cell>
          <cell r="F43">
            <v>7</v>
          </cell>
          <cell r="G43">
            <v>7.3</v>
          </cell>
          <cell r="H43">
            <v>8</v>
          </cell>
          <cell r="I43">
            <v>6.6</v>
          </cell>
          <cell r="J43">
            <v>6</v>
          </cell>
          <cell r="K43">
            <v>6.3</v>
          </cell>
          <cell r="L43">
            <v>5.7</v>
          </cell>
          <cell r="M43">
            <v>5.9</v>
          </cell>
          <cell r="N43">
            <v>5.75</v>
          </cell>
          <cell r="P43">
            <v>-8.4337349397590522E-2</v>
          </cell>
          <cell r="Q43">
            <v>0.10394736842105279</v>
          </cell>
          <cell r="R43">
            <v>-0.15375446960667472</v>
          </cell>
          <cell r="S43">
            <v>-1.4084507042253502E-2</v>
          </cell>
          <cell r="T43">
            <v>4.2857142857142927E-2</v>
          </cell>
          <cell r="U43">
            <v>9.5890410958904049E-2</v>
          </cell>
          <cell r="V43">
            <v>-0.17500000000000004</v>
          </cell>
          <cell r="W43">
            <v>-9.0909090909090828E-2</v>
          </cell>
          <cell r="X43">
            <v>5.0000000000000044E-2</v>
          </cell>
          <cell r="Y43">
            <v>-9.5238095238095233E-2</v>
          </cell>
          <cell r="Z43">
            <v>3.5087719298245723E-2</v>
          </cell>
          <cell r="AA43">
            <v>-2.5423728813559365E-2</v>
          </cell>
        </row>
        <row r="44">
          <cell r="A44" t="str">
            <v>AUSO.BA</v>
          </cell>
          <cell r="B44">
            <v>97.147559733999998</v>
          </cell>
          <cell r="C44">
            <v>98.441241599999998</v>
          </cell>
          <cell r="D44">
            <v>82.503974400000004</v>
          </cell>
          <cell r="E44">
            <v>86.158099199999995</v>
          </cell>
          <cell r="F44">
            <v>90.604684800000001</v>
          </cell>
          <cell r="G44">
            <v>78.365567999999996</v>
          </cell>
          <cell r="H44">
            <v>95.271398399999995</v>
          </cell>
          <cell r="I44">
            <v>90.076377600000001</v>
          </cell>
          <cell r="J44">
            <v>120.630144</v>
          </cell>
          <cell r="K44">
            <v>119.85</v>
          </cell>
          <cell r="L44">
            <v>128</v>
          </cell>
          <cell r="M44">
            <v>120</v>
          </cell>
          <cell r="N44">
            <v>117</v>
          </cell>
          <cell r="P44">
            <v>1.3316668679503874E-2</v>
          </cell>
          <cell r="Q44">
            <v>-0.16189624329159202</v>
          </cell>
          <cell r="R44">
            <v>4.4290288153681745E-2</v>
          </cell>
          <cell r="S44">
            <v>5.160960654062352E-2</v>
          </cell>
          <cell r="T44">
            <v>-0.13508260447035958</v>
          </cell>
          <cell r="U44">
            <v>0.21573033707865163</v>
          </cell>
          <cell r="V44">
            <v>-5.4528650646950005E-2</v>
          </cell>
          <cell r="W44">
            <v>0.33919843597262944</v>
          </cell>
          <cell r="X44">
            <v>-6.4672392333379181E-3</v>
          </cell>
          <cell r="Y44">
            <v>6.8001668752607491E-2</v>
          </cell>
          <cell r="Z44">
            <v>-6.25E-2</v>
          </cell>
          <cell r="AA44">
            <v>-2.5000000000000022E-2</v>
          </cell>
        </row>
        <row r="45">
          <cell r="A45" t="str">
            <v>OEST.BA</v>
          </cell>
          <cell r="B45">
            <v>25.973350800999999</v>
          </cell>
          <cell r="C45">
            <v>27.473457</v>
          </cell>
          <cell r="D45">
            <v>23.602197149999999</v>
          </cell>
          <cell r="E45">
            <v>22.644788800000001</v>
          </cell>
          <cell r="F45">
            <v>29.554779499999999</v>
          </cell>
          <cell r="G45">
            <v>28.972009199999999</v>
          </cell>
          <cell r="H45">
            <v>33.509292250000001</v>
          </cell>
          <cell r="I45">
            <v>30.054296900000001</v>
          </cell>
          <cell r="J45">
            <v>37.4</v>
          </cell>
          <cell r="K45">
            <v>35</v>
          </cell>
          <cell r="L45">
            <v>37.799999999999997</v>
          </cell>
          <cell r="M45">
            <v>39.299999999999997</v>
          </cell>
          <cell r="N45">
            <v>37.65</v>
          </cell>
          <cell r="P45">
            <v>5.7755589969633148E-2</v>
          </cell>
          <cell r="Q45">
            <v>-0.14090909090909098</v>
          </cell>
          <cell r="R45">
            <v>-4.0564373897707173E-2</v>
          </cell>
          <cell r="S45">
            <v>0.30514705882352922</v>
          </cell>
          <cell r="T45">
            <v>-1.9718309859154903E-2</v>
          </cell>
          <cell r="U45">
            <v>0.15660919540229901</v>
          </cell>
          <cell r="V45">
            <v>-0.10310559006211184</v>
          </cell>
          <cell r="W45">
            <v>0.24441440518277435</v>
          </cell>
          <cell r="X45">
            <v>-6.417112299465233E-2</v>
          </cell>
          <cell r="Y45">
            <v>7.9999999999999849E-2</v>
          </cell>
          <cell r="Z45">
            <v>3.9682539682539764E-2</v>
          </cell>
          <cell r="AA45">
            <v>-4.1984732824427495E-2</v>
          </cell>
        </row>
        <row r="46">
          <cell r="A46" t="str">
            <v>CAPU.BA</v>
          </cell>
          <cell r="B46">
            <v>14.4</v>
          </cell>
          <cell r="C46">
            <v>14.2</v>
          </cell>
          <cell r="D46">
            <v>17.3</v>
          </cell>
          <cell r="E46">
            <v>18.7</v>
          </cell>
          <cell r="F46">
            <v>20.5</v>
          </cell>
          <cell r="G46">
            <v>28.4</v>
          </cell>
          <cell r="H46">
            <v>21.9</v>
          </cell>
          <cell r="I46">
            <v>14.5</v>
          </cell>
          <cell r="J46">
            <v>13.8</v>
          </cell>
          <cell r="K46">
            <v>13.6</v>
          </cell>
          <cell r="L46">
            <v>12</v>
          </cell>
          <cell r="M46">
            <v>10.45</v>
          </cell>
          <cell r="N46">
            <v>9.9499999999999993</v>
          </cell>
          <cell r="P46">
            <v>-1.3888888888888951E-2</v>
          </cell>
          <cell r="Q46">
            <v>0.21830985915492973</v>
          </cell>
          <cell r="R46">
            <v>8.0924855491329328E-2</v>
          </cell>
          <cell r="S46">
            <v>9.625668449197855E-2</v>
          </cell>
          <cell r="T46">
            <v>0.38536585365853648</v>
          </cell>
          <cell r="U46">
            <v>-0.22887323943661975</v>
          </cell>
          <cell r="V46">
            <v>-0.33789954337899542</v>
          </cell>
          <cell r="W46">
            <v>-4.8275862068965503E-2</v>
          </cell>
          <cell r="X46">
            <v>-1.449275362318847E-2</v>
          </cell>
          <cell r="Y46">
            <v>-0.11764705882352944</v>
          </cell>
          <cell r="Z46">
            <v>-0.12916666666666676</v>
          </cell>
          <cell r="AA46">
            <v>-4.7846889952153138E-2</v>
          </cell>
        </row>
        <row r="47">
          <cell r="A47" t="str">
            <v>CADO.BA</v>
          </cell>
          <cell r="B47">
            <v>8.25</v>
          </cell>
          <cell r="C47">
            <v>7.9</v>
          </cell>
          <cell r="D47">
            <v>8.35</v>
          </cell>
          <cell r="E47">
            <v>9.25</v>
          </cell>
          <cell r="F47">
            <v>9.3000000000000007</v>
          </cell>
          <cell r="G47">
            <v>9.3000000000000007</v>
          </cell>
          <cell r="H47">
            <v>11.15</v>
          </cell>
          <cell r="I47">
            <v>11.2</v>
          </cell>
          <cell r="J47">
            <v>11.6</v>
          </cell>
          <cell r="K47">
            <v>12.85</v>
          </cell>
          <cell r="L47">
            <v>12.9</v>
          </cell>
          <cell r="M47">
            <v>12.4</v>
          </cell>
          <cell r="N47">
            <v>12.5</v>
          </cell>
          <cell r="P47">
            <v>-4.2424242424242364E-2</v>
          </cell>
          <cell r="Q47">
            <v>5.6962025316455556E-2</v>
          </cell>
          <cell r="R47">
            <v>0.10778443113772451</v>
          </cell>
          <cell r="S47">
            <v>5.4054054054055722E-3</v>
          </cell>
          <cell r="T47">
            <v>0</v>
          </cell>
          <cell r="U47">
            <v>0.19892473118279574</v>
          </cell>
          <cell r="V47">
            <v>4.484304932735439E-3</v>
          </cell>
          <cell r="W47">
            <v>3.5714285714285809E-2</v>
          </cell>
          <cell r="X47">
            <v>0.10775862068965525</v>
          </cell>
          <cell r="Y47">
            <v>3.8910505836575737E-3</v>
          </cell>
          <cell r="Z47">
            <v>-3.8759689922480578E-2</v>
          </cell>
          <cell r="AA47">
            <v>8.0645161290322509E-3</v>
          </cell>
        </row>
        <row r="48">
          <cell r="A48" t="str">
            <v>FERR.BA</v>
          </cell>
          <cell r="B48">
            <v>6.0033713999999998</v>
          </cell>
          <cell r="C48">
            <v>6.0033713999999998</v>
          </cell>
          <cell r="D48">
            <v>4.8873600499999998</v>
          </cell>
          <cell r="E48">
            <v>4.0022475999999996</v>
          </cell>
          <cell r="F48">
            <v>3.9637644500000002</v>
          </cell>
          <cell r="G48">
            <v>3.4250003499999999</v>
          </cell>
          <cell r="H48">
            <v>4.2716296500000004</v>
          </cell>
          <cell r="I48">
            <v>3.4634835000000002</v>
          </cell>
          <cell r="J48">
            <v>3.50196665</v>
          </cell>
          <cell r="K48">
            <v>3.35</v>
          </cell>
          <cell r="L48">
            <v>3.69</v>
          </cell>
          <cell r="M48">
            <v>3.78</v>
          </cell>
          <cell r="N48">
            <v>3.41</v>
          </cell>
          <cell r="P48">
            <v>0</v>
          </cell>
          <cell r="Q48">
            <v>-0.1858974358974359</v>
          </cell>
          <cell r="R48">
            <v>-0.18110236220472442</v>
          </cell>
          <cell r="S48">
            <v>-9.6153846153844702E-3</v>
          </cell>
          <cell r="T48">
            <v>-0.13592233009708743</v>
          </cell>
          <cell r="U48">
            <v>0.24719101123595522</v>
          </cell>
          <cell r="V48">
            <v>-0.18918918918918926</v>
          </cell>
          <cell r="W48">
            <v>1.1111111111111072E-2</v>
          </cell>
          <cell r="X48">
            <v>-4.3394659398027113E-2</v>
          </cell>
          <cell r="Y48">
            <v>0.10149253731343277</v>
          </cell>
          <cell r="Z48">
            <v>2.4390243902439046E-2</v>
          </cell>
          <cell r="AA48">
            <v>-9.7883597883597795E-2</v>
          </cell>
        </row>
        <row r="49">
          <cell r="A49" t="str">
            <v>DYCA.BA</v>
          </cell>
          <cell r="B49">
            <v>50.1</v>
          </cell>
          <cell r="C49">
            <v>46.75</v>
          </cell>
          <cell r="D49">
            <v>38.5</v>
          </cell>
          <cell r="E49">
            <v>32</v>
          </cell>
          <cell r="F49">
            <v>28.4</v>
          </cell>
          <cell r="G49">
            <v>24</v>
          </cell>
          <cell r="H49">
            <v>38.5</v>
          </cell>
          <cell r="I49">
            <v>38</v>
          </cell>
          <cell r="J49">
            <v>39.25</v>
          </cell>
          <cell r="K49">
            <v>38</v>
          </cell>
          <cell r="L49">
            <v>45</v>
          </cell>
          <cell r="M49">
            <v>43</v>
          </cell>
          <cell r="N49">
            <v>41</v>
          </cell>
          <cell r="P49">
            <v>-6.6866267465069851E-2</v>
          </cell>
          <cell r="Q49">
            <v>-0.17647058823529416</v>
          </cell>
          <cell r="R49">
            <v>-0.16883116883116878</v>
          </cell>
          <cell r="S49">
            <v>-0.11250000000000004</v>
          </cell>
          <cell r="T49">
            <v>-0.15492957746478864</v>
          </cell>
          <cell r="U49">
            <v>0.60416666666666674</v>
          </cell>
          <cell r="V49">
            <v>-1.2987012987012991E-2</v>
          </cell>
          <cell r="W49">
            <v>3.289473684210531E-2</v>
          </cell>
          <cell r="X49">
            <v>-3.1847133757961776E-2</v>
          </cell>
          <cell r="Y49">
            <v>0.18421052631578938</v>
          </cell>
          <cell r="Z49">
            <v>-4.4444444444444398E-2</v>
          </cell>
          <cell r="AA49">
            <v>-4.6511627906976716E-2</v>
          </cell>
        </row>
        <row r="50">
          <cell r="A50" t="str">
            <v>AGRO.BA</v>
          </cell>
          <cell r="B50">
            <v>16.05</v>
          </cell>
          <cell r="C50">
            <v>15.65</v>
          </cell>
          <cell r="D50">
            <v>14.2</v>
          </cell>
          <cell r="E50">
            <v>14.1</v>
          </cell>
          <cell r="F50">
            <v>14.6</v>
          </cell>
          <cell r="G50">
            <v>13.9</v>
          </cell>
          <cell r="H50">
            <v>16.5</v>
          </cell>
          <cell r="I50">
            <v>13.25</v>
          </cell>
          <cell r="J50">
            <v>13.3</v>
          </cell>
          <cell r="K50">
            <v>12</v>
          </cell>
          <cell r="L50">
            <v>12.65</v>
          </cell>
          <cell r="M50">
            <v>12.95</v>
          </cell>
          <cell r="N50">
            <v>11.9</v>
          </cell>
          <cell r="P50">
            <v>-2.4922118380062308E-2</v>
          </cell>
          <cell r="Q50">
            <v>-9.2651757188498496E-2</v>
          </cell>
          <cell r="R50">
            <v>-7.0422535211267512E-3</v>
          </cell>
          <cell r="S50">
            <v>3.5460992907801359E-2</v>
          </cell>
          <cell r="T50">
            <v>-4.7945205479452024E-2</v>
          </cell>
          <cell r="U50">
            <v>0.18705035971223016</v>
          </cell>
          <cell r="V50">
            <v>-0.19696969696969702</v>
          </cell>
          <cell r="W50">
            <v>3.7735849056603765E-3</v>
          </cell>
          <cell r="X50">
            <v>-9.7744360902255689E-2</v>
          </cell>
          <cell r="Y50">
            <v>5.4166666666666696E-2</v>
          </cell>
          <cell r="Z50">
            <v>2.3715415019762709E-2</v>
          </cell>
          <cell r="AA50">
            <v>-8.108108108108103E-2</v>
          </cell>
        </row>
        <row r="51">
          <cell r="A51" t="str">
            <v>GARO.BA</v>
          </cell>
          <cell r="B51">
            <v>12.6</v>
          </cell>
          <cell r="C51">
            <v>12.5</v>
          </cell>
          <cell r="D51">
            <v>9.6</v>
          </cell>
          <cell r="E51">
            <v>7.9</v>
          </cell>
          <cell r="F51">
            <v>7.19</v>
          </cell>
          <cell r="G51">
            <v>5.55</v>
          </cell>
          <cell r="H51">
            <v>6.94</v>
          </cell>
          <cell r="I51">
            <v>5.75</v>
          </cell>
          <cell r="J51">
            <v>5.14</v>
          </cell>
          <cell r="K51">
            <v>4.7300000000000004</v>
          </cell>
          <cell r="L51">
            <v>4.8499999999999996</v>
          </cell>
          <cell r="M51">
            <v>5</v>
          </cell>
          <cell r="N51">
            <v>4.8</v>
          </cell>
          <cell r="P51">
            <v>-7.9365079365079083E-3</v>
          </cell>
          <cell r="Q51">
            <v>-0.23199999999999998</v>
          </cell>
          <cell r="R51">
            <v>-0.17708333333333326</v>
          </cell>
          <cell r="S51">
            <v>-8.9873417721519022E-2</v>
          </cell>
          <cell r="T51">
            <v>-0.22809457579972192</v>
          </cell>
          <cell r="U51">
            <v>0.25045045045045056</v>
          </cell>
          <cell r="V51">
            <v>-0.17146974063400577</v>
          </cell>
          <cell r="W51">
            <v>-0.10608695652173916</v>
          </cell>
          <cell r="X51">
            <v>-7.9766536964980372E-2</v>
          </cell>
          <cell r="Y51">
            <v>2.5369978858350795E-2</v>
          </cell>
          <cell r="Z51">
            <v>3.0927835051546504E-2</v>
          </cell>
          <cell r="AA51">
            <v>-4.0000000000000036E-2</v>
          </cell>
        </row>
        <row r="52">
          <cell r="A52" t="str">
            <v>INAG.BA</v>
          </cell>
          <cell r="B52">
            <v>26.712774</v>
          </cell>
          <cell r="C52">
            <v>27.702135999999999</v>
          </cell>
          <cell r="D52">
            <v>25.723412</v>
          </cell>
          <cell r="E52">
            <v>20.776602</v>
          </cell>
          <cell r="F52">
            <v>20.281921000000001</v>
          </cell>
          <cell r="G52">
            <v>22</v>
          </cell>
          <cell r="H52">
            <v>33</v>
          </cell>
          <cell r="I52">
            <v>35</v>
          </cell>
          <cell r="J52">
            <v>38.85</v>
          </cell>
          <cell r="K52">
            <v>50</v>
          </cell>
          <cell r="L52">
            <v>55</v>
          </cell>
          <cell r="M52">
            <v>65</v>
          </cell>
          <cell r="N52">
            <v>70</v>
          </cell>
          <cell r="P52">
            <v>3.7037037037036979E-2</v>
          </cell>
          <cell r="Q52">
            <v>-7.1428571428571397E-2</v>
          </cell>
          <cell r="R52">
            <v>-0.19230769230769229</v>
          </cell>
          <cell r="S52">
            <v>-2.3809523809523836E-2</v>
          </cell>
          <cell r="T52">
            <v>8.4709875361411724E-2</v>
          </cell>
          <cell r="U52">
            <v>0.5</v>
          </cell>
          <cell r="V52">
            <v>6.0606060606060552E-2</v>
          </cell>
          <cell r="W52">
            <v>0.1100000000000001</v>
          </cell>
          <cell r="X52">
            <v>0.28700128700128702</v>
          </cell>
          <cell r="Y52">
            <v>0.10000000000000009</v>
          </cell>
          <cell r="Z52">
            <v>0.18181818181818188</v>
          </cell>
          <cell r="AA52">
            <v>7.6923076923076872E-2</v>
          </cell>
        </row>
        <row r="53">
          <cell r="A53" t="str">
            <v>POLL.BA</v>
          </cell>
          <cell r="B53">
            <v>8.3000000000000007</v>
          </cell>
          <cell r="C53">
            <v>8.3000000000000007</v>
          </cell>
          <cell r="D53">
            <v>8.35</v>
          </cell>
          <cell r="E53">
            <v>12.5</v>
          </cell>
          <cell r="F53">
            <v>11.8</v>
          </cell>
          <cell r="G53">
            <v>8.85</v>
          </cell>
          <cell r="H53">
            <v>8.5</v>
          </cell>
          <cell r="I53">
            <v>8</v>
          </cell>
          <cell r="J53">
            <v>8</v>
          </cell>
          <cell r="K53">
            <v>9.5</v>
          </cell>
          <cell r="L53">
            <v>9</v>
          </cell>
          <cell r="M53">
            <v>7.6</v>
          </cell>
          <cell r="N53">
            <v>9.1999999999999993</v>
          </cell>
          <cell r="P53">
            <v>0</v>
          </cell>
          <cell r="Q53">
            <v>6.0240963855420215E-3</v>
          </cell>
          <cell r="R53">
            <v>0.49700598802395213</v>
          </cell>
          <cell r="S53">
            <v>-5.5999999999999939E-2</v>
          </cell>
          <cell r="T53">
            <v>-0.25000000000000011</v>
          </cell>
          <cell r="U53">
            <v>-3.9548022598870025E-2</v>
          </cell>
          <cell r="V53">
            <v>-5.8823529411764719E-2</v>
          </cell>
          <cell r="W53">
            <v>0</v>
          </cell>
          <cell r="X53">
            <v>0.1875</v>
          </cell>
          <cell r="Y53">
            <v>-5.2631578947368474E-2</v>
          </cell>
          <cell r="Z53">
            <v>-0.15555555555555556</v>
          </cell>
          <cell r="AA53">
            <v>0.21052631578947367</v>
          </cell>
        </row>
        <row r="54">
          <cell r="A54" t="str">
            <v>BOLT.BA</v>
          </cell>
          <cell r="B54">
            <v>5.1282462469999999</v>
          </cell>
          <cell r="C54">
            <v>4.9756593599999999</v>
          </cell>
          <cell r="D54">
            <v>5.4297870000000001</v>
          </cell>
          <cell r="E54">
            <v>5.2323402000000003</v>
          </cell>
          <cell r="F54">
            <v>5.6568508199999998</v>
          </cell>
          <cell r="G54">
            <v>4.5116593800000002</v>
          </cell>
          <cell r="H54">
            <v>5.4791486999999996</v>
          </cell>
          <cell r="I54">
            <v>4.7782125600000001</v>
          </cell>
          <cell r="J54">
            <v>4.2451062000000004</v>
          </cell>
          <cell r="K54">
            <v>4.0180423799999998</v>
          </cell>
          <cell r="L54">
            <v>4.2352338600000001</v>
          </cell>
          <cell r="M54">
            <v>4.46</v>
          </cell>
          <cell r="N54">
            <v>4.21</v>
          </cell>
          <cell r="P54">
            <v>-2.9754204390879724E-2</v>
          </cell>
          <cell r="Q54">
            <v>9.126984126984139E-2</v>
          </cell>
          <cell r="R54">
            <v>-3.6363636363636376E-2</v>
          </cell>
          <cell r="S54">
            <v>8.1132075471697984E-2</v>
          </cell>
          <cell r="T54">
            <v>-0.20244328097731235</v>
          </cell>
          <cell r="U54">
            <v>0.21444201312910272</v>
          </cell>
          <cell r="V54">
            <v>-0.12792792792792784</v>
          </cell>
          <cell r="W54">
            <v>-0.11157024793388426</v>
          </cell>
          <cell r="X54">
            <v>-5.3488372093023373E-2</v>
          </cell>
          <cell r="Y54">
            <v>5.4054054054054168E-2</v>
          </cell>
          <cell r="Z54">
            <v>5.3070538116636534E-2</v>
          </cell>
          <cell r="AA54">
            <v>-5.6053811659192876E-2</v>
          </cell>
        </row>
        <row r="55">
          <cell r="A55" t="str">
            <v>TXAR.BA</v>
          </cell>
          <cell r="B55">
            <v>13.53387375</v>
          </cell>
          <cell r="C55">
            <v>14.75</v>
          </cell>
          <cell r="D55">
            <v>14.4</v>
          </cell>
          <cell r="E55">
            <v>13.25</v>
          </cell>
          <cell r="F55">
            <v>14.8</v>
          </cell>
          <cell r="G55">
            <v>13.8</v>
          </cell>
          <cell r="H55">
            <v>16.850000000000001</v>
          </cell>
          <cell r="I55">
            <v>15.6</v>
          </cell>
          <cell r="J55">
            <v>14.85</v>
          </cell>
          <cell r="K55">
            <v>13.2</v>
          </cell>
          <cell r="L55">
            <v>15.15</v>
          </cell>
          <cell r="M55">
            <v>14.6</v>
          </cell>
          <cell r="N55">
            <v>13.7</v>
          </cell>
          <cell r="P55">
            <v>8.9857957334647187E-2</v>
          </cell>
          <cell r="Q55">
            <v>-2.3728813559321993E-2</v>
          </cell>
          <cell r="R55">
            <v>-7.986111111111116E-2</v>
          </cell>
          <cell r="S55">
            <v>0.11698113207547167</v>
          </cell>
          <cell r="T55">
            <v>-6.7567567567567544E-2</v>
          </cell>
          <cell r="U55">
            <v>0.22101449275362328</v>
          </cell>
          <cell r="V55">
            <v>-7.4183976261127715E-2</v>
          </cell>
          <cell r="W55">
            <v>-4.8076923076923128E-2</v>
          </cell>
          <cell r="X55">
            <v>-0.11111111111111116</v>
          </cell>
          <cell r="Y55">
            <v>0.14772727272727271</v>
          </cell>
          <cell r="Z55">
            <v>-3.6303630363036299E-2</v>
          </cell>
          <cell r="AA55">
            <v>-6.164383561643838E-2</v>
          </cell>
        </row>
        <row r="56">
          <cell r="A56" t="str">
            <v>LOMA.BA</v>
          </cell>
          <cell r="B56">
            <v>86.4</v>
          </cell>
          <cell r="C56">
            <v>84.4</v>
          </cell>
          <cell r="D56">
            <v>64.150000000000006</v>
          </cell>
          <cell r="E56">
            <v>59.1</v>
          </cell>
          <cell r="F56">
            <v>62.05</v>
          </cell>
          <cell r="G56">
            <v>56.45</v>
          </cell>
          <cell r="H56">
            <v>72.45</v>
          </cell>
          <cell r="I56">
            <v>64</v>
          </cell>
          <cell r="J56">
            <v>78</v>
          </cell>
          <cell r="K56">
            <v>80.5</v>
          </cell>
          <cell r="L56">
            <v>93.8</v>
          </cell>
          <cell r="M56">
            <v>87.6</v>
          </cell>
          <cell r="N56">
            <v>96.95</v>
          </cell>
          <cell r="P56">
            <v>-2.314814814814814E-2</v>
          </cell>
          <cell r="Q56">
            <v>-0.23992890995260663</v>
          </cell>
          <cell r="R56">
            <v>-7.8721745908028162E-2</v>
          </cell>
          <cell r="S56">
            <v>4.9915397631133507E-2</v>
          </cell>
          <cell r="T56">
            <v>-9.0249798549556726E-2</v>
          </cell>
          <cell r="U56">
            <v>0.28343666961913194</v>
          </cell>
          <cell r="V56">
            <v>-0.11663216011042099</v>
          </cell>
          <cell r="W56">
            <v>0.21875</v>
          </cell>
          <cell r="X56">
            <v>3.2051282051282159E-2</v>
          </cell>
          <cell r="Y56">
            <v>0.16521739130434776</v>
          </cell>
          <cell r="Z56">
            <v>-6.6098081023454158E-2</v>
          </cell>
          <cell r="AA56">
            <v>0.1067351598173516</v>
          </cell>
        </row>
        <row r="57">
          <cell r="A57" t="str">
            <v>ALUA.BA</v>
          </cell>
          <cell r="B57">
            <v>12.402584864</v>
          </cell>
          <cell r="C57">
            <v>13.724919279</v>
          </cell>
          <cell r="D57">
            <v>15.001655957000001</v>
          </cell>
          <cell r="E57">
            <v>19.536407449999999</v>
          </cell>
          <cell r="F57">
            <v>18.6376381</v>
          </cell>
          <cell r="G57">
            <v>21.759678999999998</v>
          </cell>
          <cell r="H57">
            <v>21.381249799999999</v>
          </cell>
          <cell r="I57">
            <v>17.455046849999999</v>
          </cell>
          <cell r="J57">
            <v>19</v>
          </cell>
          <cell r="K57">
            <v>17.3</v>
          </cell>
          <cell r="L57">
            <v>19.05</v>
          </cell>
          <cell r="M57">
            <v>18.7</v>
          </cell>
          <cell r="N57">
            <v>17.899999999999999</v>
          </cell>
          <cell r="P57">
            <v>0.10661764700665222</v>
          </cell>
          <cell r="Q57">
            <v>9.3023255878341704E-2</v>
          </cell>
          <cell r="R57">
            <v>0.30228339497973988</v>
          </cell>
          <cell r="S57">
            <v>-4.6004842615012032E-2</v>
          </cell>
          <cell r="T57">
            <v>0.1675126903553299</v>
          </cell>
          <cell r="U57">
            <v>-1.7391304347826098E-2</v>
          </cell>
          <cell r="V57">
            <v>-0.1836283185840708</v>
          </cell>
          <cell r="W57">
            <v>8.8510398355075237E-2</v>
          </cell>
          <cell r="X57">
            <v>-8.9473684210526261E-2</v>
          </cell>
          <cell r="Y57">
            <v>0.10115606936416177</v>
          </cell>
          <cell r="Z57">
            <v>-1.8372703412073532E-2</v>
          </cell>
          <cell r="AA57">
            <v>-4.2780748663101664E-2</v>
          </cell>
        </row>
        <row r="58">
          <cell r="A58" t="str">
            <v>HARG.BA</v>
          </cell>
          <cell r="B58">
            <v>90.574470000000005</v>
          </cell>
          <cell r="C58">
            <v>89.538487500000002</v>
          </cell>
          <cell r="D58">
            <v>58.15</v>
          </cell>
          <cell r="E58">
            <v>55.05</v>
          </cell>
          <cell r="F58">
            <v>57</v>
          </cell>
          <cell r="G58">
            <v>47.5</v>
          </cell>
          <cell r="H58">
            <v>55.25</v>
          </cell>
          <cell r="I58">
            <v>44.2</v>
          </cell>
          <cell r="J58">
            <v>55</v>
          </cell>
          <cell r="K58">
            <v>58.5</v>
          </cell>
          <cell r="L58">
            <v>71.5</v>
          </cell>
          <cell r="M58">
            <v>72</v>
          </cell>
          <cell r="N58">
            <v>69</v>
          </cell>
          <cell r="P58">
            <v>-1.1437908496732097E-2</v>
          </cell>
          <cell r="Q58">
            <v>-0.35055860754851376</v>
          </cell>
          <cell r="R58">
            <v>-5.3310404127257072E-2</v>
          </cell>
          <cell r="S58">
            <v>3.5422343324250649E-2</v>
          </cell>
          <cell r="T58">
            <v>-0.16666666666666663</v>
          </cell>
          <cell r="U58">
            <v>0.16315789473684217</v>
          </cell>
          <cell r="V58">
            <v>-0.19999999999999996</v>
          </cell>
          <cell r="W58">
            <v>0.24434389140271495</v>
          </cell>
          <cell r="X58">
            <v>6.3636363636363713E-2</v>
          </cell>
          <cell r="Y58">
            <v>0.22222222222222232</v>
          </cell>
          <cell r="Z58">
            <v>6.9930069930070893E-3</v>
          </cell>
          <cell r="AA58">
            <v>-4.166666666666663E-2</v>
          </cell>
        </row>
        <row r="59">
          <cell r="A59" t="str">
            <v>INDU.BA</v>
          </cell>
          <cell r="B59">
            <v>15.4</v>
          </cell>
          <cell r="C59">
            <v>14.8</v>
          </cell>
          <cell r="D59">
            <v>15</v>
          </cell>
          <cell r="E59">
            <v>13.2</v>
          </cell>
          <cell r="F59">
            <v>15.35</v>
          </cell>
          <cell r="G59">
            <v>19.5</v>
          </cell>
          <cell r="H59">
            <v>22.4</v>
          </cell>
          <cell r="I59">
            <v>15.05</v>
          </cell>
          <cell r="J59">
            <v>17.05</v>
          </cell>
          <cell r="K59">
            <v>16.3</v>
          </cell>
          <cell r="L59">
            <v>18</v>
          </cell>
          <cell r="M59">
            <v>17.75</v>
          </cell>
          <cell r="N59">
            <v>18.05</v>
          </cell>
          <cell r="P59">
            <v>-3.8961038961038974E-2</v>
          </cell>
          <cell r="Q59">
            <v>1.3513513513513375E-2</v>
          </cell>
          <cell r="R59">
            <v>-0.12</v>
          </cell>
          <cell r="S59">
            <v>0.16287878787878785</v>
          </cell>
          <cell r="T59">
            <v>0.2703583061889252</v>
          </cell>
          <cell r="U59">
            <v>0.14871794871794863</v>
          </cell>
          <cell r="V59">
            <v>-0.32812499999999989</v>
          </cell>
          <cell r="W59">
            <v>0.13289036544850497</v>
          </cell>
          <cell r="X59">
            <v>-4.3988269794721369E-2</v>
          </cell>
          <cell r="Y59">
            <v>0.1042944785276072</v>
          </cell>
          <cell r="Z59">
            <v>-1.388888888888884E-2</v>
          </cell>
          <cell r="AA59">
            <v>1.6901408450704203E-2</v>
          </cell>
        </row>
        <row r="60">
          <cell r="A60" t="str">
            <v>RIGO.BA</v>
          </cell>
          <cell r="B60">
            <v>68.702566934999993</v>
          </cell>
          <cell r="C60">
            <v>68.077446232</v>
          </cell>
          <cell r="D60">
            <v>66.654620292999994</v>
          </cell>
          <cell r="E60">
            <v>71.199632395999998</v>
          </cell>
          <cell r="F60">
            <v>73.759570421999996</v>
          </cell>
          <cell r="G60">
            <v>79.816300698999996</v>
          </cell>
          <cell r="H60">
            <v>86.870070546999997</v>
          </cell>
          <cell r="I60">
            <v>89.932770000000005</v>
          </cell>
          <cell r="J60">
            <v>92</v>
          </cell>
          <cell r="K60">
            <v>91.05</v>
          </cell>
          <cell r="L60">
            <v>94</v>
          </cell>
          <cell r="M60">
            <v>90</v>
          </cell>
          <cell r="N60">
            <v>90</v>
          </cell>
          <cell r="P60">
            <v>-9.0989424542379238E-3</v>
          </cell>
          <cell r="Q60">
            <v>-2.0900107418118763E-2</v>
          </cell>
          <cell r="R60">
            <v>6.8187502727058869E-2</v>
          </cell>
          <cell r="S60">
            <v>3.5954371390038542E-2</v>
          </cell>
          <cell r="T60">
            <v>8.2114500428184245E-2</v>
          </cell>
          <cell r="U60">
            <v>8.8375053544524684E-2</v>
          </cell>
          <cell r="V60">
            <v>3.5256094921011671E-2</v>
          </cell>
          <cell r="W60">
            <v>2.2986393057836452E-2</v>
          </cell>
          <cell r="X60">
            <v>-1.0326086956521818E-2</v>
          </cell>
          <cell r="Y60">
            <v>3.2399780340472306E-2</v>
          </cell>
          <cell r="Z60">
            <v>-4.2553191489361653E-2</v>
          </cell>
          <cell r="AA60">
            <v>0</v>
          </cell>
        </row>
        <row r="61">
          <cell r="A61" t="str">
            <v>CELU.BA</v>
          </cell>
          <cell r="B61">
            <v>13.65</v>
          </cell>
          <cell r="C61">
            <v>12.35</v>
          </cell>
          <cell r="D61">
            <v>9.94</v>
          </cell>
          <cell r="E61">
            <v>9.6999999999999993</v>
          </cell>
          <cell r="F61">
            <v>10.3</v>
          </cell>
          <cell r="G61">
            <v>10.4</v>
          </cell>
          <cell r="H61">
            <v>17.95</v>
          </cell>
          <cell r="I61">
            <v>14.75</v>
          </cell>
          <cell r="J61">
            <v>17.899999999999999</v>
          </cell>
          <cell r="K61">
            <v>18.2</v>
          </cell>
          <cell r="L61">
            <v>18.5</v>
          </cell>
          <cell r="M61">
            <v>18.95</v>
          </cell>
          <cell r="N61">
            <v>18.600000000000001</v>
          </cell>
          <cell r="P61">
            <v>-9.5238095238095233E-2</v>
          </cell>
          <cell r="Q61">
            <v>-0.19514170040485834</v>
          </cell>
          <cell r="R61">
            <v>-2.4144869215291798E-2</v>
          </cell>
          <cell r="S61">
            <v>6.1855670103093008E-2</v>
          </cell>
          <cell r="T61">
            <v>9.7087378640776656E-3</v>
          </cell>
          <cell r="U61">
            <v>0.72596153846153832</v>
          </cell>
          <cell r="V61">
            <v>-0.17827298050139273</v>
          </cell>
          <cell r="W61">
            <v>0.21355932203389827</v>
          </cell>
          <cell r="X61">
            <v>1.6759776536312998E-2</v>
          </cell>
          <cell r="Y61">
            <v>1.6483516483516425E-2</v>
          </cell>
          <cell r="Z61">
            <v>2.4324324324324298E-2</v>
          </cell>
          <cell r="AA61">
            <v>-1.846965699208436E-2</v>
          </cell>
        </row>
        <row r="62">
          <cell r="A62" t="str">
            <v>MERA.BA</v>
          </cell>
          <cell r="B62">
            <v>47</v>
          </cell>
          <cell r="C62">
            <v>47</v>
          </cell>
          <cell r="D62">
            <v>44</v>
          </cell>
          <cell r="E62">
            <v>44</v>
          </cell>
          <cell r="F62">
            <v>43</v>
          </cell>
          <cell r="G62">
            <v>43</v>
          </cell>
          <cell r="H62">
            <v>43</v>
          </cell>
          <cell r="I62">
            <v>44</v>
          </cell>
          <cell r="J62">
            <v>43</v>
          </cell>
          <cell r="K62">
            <v>46</v>
          </cell>
          <cell r="L62">
            <v>46</v>
          </cell>
          <cell r="M62">
            <v>45</v>
          </cell>
          <cell r="N62">
            <v>45</v>
          </cell>
          <cell r="P62">
            <v>0</v>
          </cell>
          <cell r="Q62">
            <v>-6.3829787234042534E-2</v>
          </cell>
          <cell r="R62">
            <v>0</v>
          </cell>
          <cell r="S62">
            <v>-2.2727272727272707E-2</v>
          </cell>
          <cell r="T62">
            <v>0</v>
          </cell>
          <cell r="U62">
            <v>0</v>
          </cell>
          <cell r="V62">
            <v>2.3255813953488413E-2</v>
          </cell>
          <cell r="W62">
            <v>-2.2727272727272707E-2</v>
          </cell>
          <cell r="X62">
            <v>6.9767441860465018E-2</v>
          </cell>
          <cell r="Y62">
            <v>0</v>
          </cell>
          <cell r="Z62">
            <v>-2.1739130434782594E-2</v>
          </cell>
          <cell r="AA62">
            <v>0</v>
          </cell>
        </row>
        <row r="63">
          <cell r="A63" t="str">
            <v>COLO.BA</v>
          </cell>
          <cell r="B63">
            <v>13.45</v>
          </cell>
          <cell r="C63">
            <v>12.9</v>
          </cell>
          <cell r="D63">
            <v>11.7</v>
          </cell>
          <cell r="E63">
            <v>12.6</v>
          </cell>
          <cell r="F63">
            <v>11.55</v>
          </cell>
          <cell r="G63">
            <v>12</v>
          </cell>
          <cell r="H63">
            <v>14</v>
          </cell>
          <cell r="I63">
            <v>15.05</v>
          </cell>
          <cell r="J63">
            <v>14.9</v>
          </cell>
          <cell r="K63">
            <v>14.9</v>
          </cell>
          <cell r="L63">
            <v>10.55</v>
          </cell>
          <cell r="M63">
            <v>11.1</v>
          </cell>
          <cell r="N63">
            <v>10.8</v>
          </cell>
          <cell r="P63">
            <v>-4.0892193308550095E-2</v>
          </cell>
          <cell r="Q63">
            <v>-9.3023255813953543E-2</v>
          </cell>
          <cell r="R63">
            <v>7.6923076923076872E-2</v>
          </cell>
          <cell r="S63">
            <v>-8.3333333333333259E-2</v>
          </cell>
          <cell r="T63">
            <v>3.8961038961038863E-2</v>
          </cell>
          <cell r="U63">
            <v>0.16666666666666674</v>
          </cell>
          <cell r="V63">
            <v>7.4999999999999956E-2</v>
          </cell>
          <cell r="W63">
            <v>-9.966777408637939E-3</v>
          </cell>
          <cell r="X63">
            <v>0</v>
          </cell>
          <cell r="Y63">
            <v>-0.29194630872483218</v>
          </cell>
          <cell r="Z63">
            <v>5.2132701421800931E-2</v>
          </cell>
          <cell r="AA63">
            <v>-2.7027027027026973E-2</v>
          </cell>
        </row>
        <row r="64">
          <cell r="A64" t="str">
            <v>FIPL.BA</v>
          </cell>
          <cell r="B64">
            <v>7.9218081500000004</v>
          </cell>
          <cell r="C64">
            <v>7.7274079499999999</v>
          </cell>
          <cell r="D64">
            <v>5.9486461200000003</v>
          </cell>
          <cell r="E64">
            <v>5.7348058999999996</v>
          </cell>
          <cell r="F64">
            <v>5.0058051499999996</v>
          </cell>
          <cell r="G64">
            <v>5.0544051999999997</v>
          </cell>
          <cell r="H64">
            <v>5.6278857899999997</v>
          </cell>
          <cell r="I64">
            <v>3.9463240599999998</v>
          </cell>
          <cell r="J64">
            <v>3.888004</v>
          </cell>
          <cell r="K64">
            <v>3.3922834900000001</v>
          </cell>
          <cell r="L64">
            <v>3.5</v>
          </cell>
          <cell r="M64">
            <v>3.65</v>
          </cell>
          <cell r="N64">
            <v>3.4</v>
          </cell>
          <cell r="P64">
            <v>-2.4539877300613577E-2</v>
          </cell>
          <cell r="Q64">
            <v>-0.23018867924528297</v>
          </cell>
          <cell r="R64">
            <v>-3.5947712418300748E-2</v>
          </cell>
          <cell r="S64">
            <v>-0.1271186440677966</v>
          </cell>
          <cell r="T64">
            <v>9.7087378640776656E-3</v>
          </cell>
          <cell r="U64">
            <v>0.1134615384615385</v>
          </cell>
          <cell r="V64">
            <v>-0.29879101899827287</v>
          </cell>
          <cell r="W64">
            <v>-1.4778325123152691E-2</v>
          </cell>
          <cell r="X64">
            <v>-0.12749999999999995</v>
          </cell>
          <cell r="Y64">
            <v>3.1753392756688426E-2</v>
          </cell>
          <cell r="Z64">
            <v>4.2857142857142927E-2</v>
          </cell>
          <cell r="AA64">
            <v>-6.8493150684931559E-2</v>
          </cell>
        </row>
        <row r="65">
          <cell r="A65" t="str">
            <v>IRSA.BA</v>
          </cell>
          <cell r="B65">
            <v>44.2212107</v>
          </cell>
          <cell r="C65">
            <v>46.399129000000002</v>
          </cell>
          <cell r="D65">
            <v>45.736284300000001</v>
          </cell>
          <cell r="E65">
            <v>46.9672816</v>
          </cell>
          <cell r="F65">
            <v>48.6717394</v>
          </cell>
          <cell r="G65">
            <v>54.732033800000004</v>
          </cell>
          <cell r="H65">
            <v>63.917167499999998</v>
          </cell>
          <cell r="I65">
            <v>45.49955405</v>
          </cell>
          <cell r="J65">
            <v>50.45</v>
          </cell>
          <cell r="K65">
            <v>48.05</v>
          </cell>
          <cell r="L65">
            <v>55.5</v>
          </cell>
          <cell r="M65">
            <v>52.65</v>
          </cell>
          <cell r="N65">
            <v>52</v>
          </cell>
          <cell r="P65">
            <v>4.9250535331905931E-2</v>
          </cell>
          <cell r="Q65">
            <v>-1.4285714285714346E-2</v>
          </cell>
          <cell r="R65">
            <v>2.6915113871635477E-2</v>
          </cell>
          <cell r="S65">
            <v>3.629032258064524E-2</v>
          </cell>
          <cell r="T65">
            <v>0.1245136186770428</v>
          </cell>
          <cell r="U65">
            <v>0.16782006920415204</v>
          </cell>
          <cell r="V65">
            <v>-0.28814814814814815</v>
          </cell>
          <cell r="W65">
            <v>0.10880207627002014</v>
          </cell>
          <cell r="X65">
            <v>-4.757185332011904E-2</v>
          </cell>
          <cell r="Y65">
            <v>0.15504682622268473</v>
          </cell>
          <cell r="Z65">
            <v>-5.1351351351351382E-2</v>
          </cell>
          <cell r="AA65">
            <v>-1.2345679012345623E-2</v>
          </cell>
        </row>
        <row r="66">
          <cell r="A66" t="str">
            <v>IRCP.BA</v>
          </cell>
          <cell r="B66">
            <v>230.48283000000001</v>
          </cell>
          <cell r="C66">
            <v>229.50205199999999</v>
          </cell>
          <cell r="D66">
            <v>215.77116000000001</v>
          </cell>
          <cell r="E66">
            <v>233.425164</v>
          </cell>
          <cell r="F66">
            <v>213.80960400000001</v>
          </cell>
          <cell r="G66">
            <v>250.09838999999999</v>
          </cell>
          <cell r="H66">
            <v>235.38672</v>
          </cell>
          <cell r="I66">
            <v>214.79038199999999</v>
          </cell>
          <cell r="J66">
            <v>194.3</v>
          </cell>
          <cell r="K66">
            <v>189.5</v>
          </cell>
          <cell r="L66">
            <v>195</v>
          </cell>
          <cell r="M66">
            <v>216.15</v>
          </cell>
          <cell r="N66">
            <v>215</v>
          </cell>
          <cell r="P66">
            <v>-4.2553191489362874E-3</v>
          </cell>
          <cell r="Q66">
            <v>-5.9829059829059728E-2</v>
          </cell>
          <cell r="R66">
            <v>8.181818181818179E-2</v>
          </cell>
          <cell r="S66">
            <v>-8.4033613445378075E-2</v>
          </cell>
          <cell r="T66">
            <v>0.16972477064220182</v>
          </cell>
          <cell r="U66">
            <v>-5.8823529411764719E-2</v>
          </cell>
          <cell r="V66">
            <v>-8.7500000000000022E-2</v>
          </cell>
          <cell r="W66">
            <v>-9.5397111403247026E-2</v>
          </cell>
          <cell r="X66">
            <v>-2.4704065877509063E-2</v>
          </cell>
          <cell r="Y66">
            <v>2.9023746701847042E-2</v>
          </cell>
          <cell r="Z66">
            <v>0.10846153846153839</v>
          </cell>
          <cell r="AA66">
            <v>-5.3203793661809051E-3</v>
          </cell>
        </row>
        <row r="67">
          <cell r="A67" t="str">
            <v>CRES.BA</v>
          </cell>
          <cell r="B67">
            <v>38.928213800000002</v>
          </cell>
          <cell r="C67">
            <v>40.558212900000001</v>
          </cell>
          <cell r="D67">
            <v>40.366448300000002</v>
          </cell>
          <cell r="E67">
            <v>40.510271750000001</v>
          </cell>
          <cell r="F67">
            <v>44.537328350000003</v>
          </cell>
          <cell r="G67">
            <v>52.687323849999999</v>
          </cell>
          <cell r="H67">
            <v>55.27614595</v>
          </cell>
          <cell r="I67">
            <v>40.270566000000002</v>
          </cell>
          <cell r="J67">
            <v>43.8</v>
          </cell>
          <cell r="K67">
            <v>44.9</v>
          </cell>
          <cell r="L67">
            <v>50</v>
          </cell>
          <cell r="M67">
            <v>48.25</v>
          </cell>
          <cell r="N67">
            <v>49.3</v>
          </cell>
          <cell r="P67">
            <v>4.1871921182266014E-2</v>
          </cell>
          <cell r="Q67">
            <v>-4.7281323877068626E-3</v>
          </cell>
          <cell r="R67">
            <v>3.5629453681709222E-3</v>
          </cell>
          <cell r="S67">
            <v>9.9408284023668747E-2</v>
          </cell>
          <cell r="T67">
            <v>0.1829924650161463</v>
          </cell>
          <cell r="U67">
            <v>4.9135577797998264E-2</v>
          </cell>
          <cell r="V67">
            <v>-0.27146574154379877</v>
          </cell>
          <cell r="W67">
            <v>8.7643019469852756E-2</v>
          </cell>
          <cell r="X67">
            <v>2.5114155251141579E-2</v>
          </cell>
          <cell r="Y67">
            <v>0.11358574610244987</v>
          </cell>
          <cell r="Z67">
            <v>-3.5000000000000031E-2</v>
          </cell>
          <cell r="AA67">
            <v>2.1761658031087983E-2</v>
          </cell>
        </row>
        <row r="68">
          <cell r="A68" t="str">
            <v>CTIO.BA</v>
          </cell>
          <cell r="B68">
            <v>47.440729900000001</v>
          </cell>
          <cell r="C68">
            <v>49.255938800000003</v>
          </cell>
          <cell r="D68">
            <v>39.450000000000003</v>
          </cell>
          <cell r="E68">
            <v>37.4</v>
          </cell>
          <cell r="F68">
            <v>43</v>
          </cell>
          <cell r="G68">
            <v>41.65</v>
          </cell>
          <cell r="H68">
            <v>46</v>
          </cell>
          <cell r="I68">
            <v>37.5</v>
          </cell>
          <cell r="J68">
            <v>39.200000000000003</v>
          </cell>
          <cell r="K68">
            <v>37.299999999999997</v>
          </cell>
          <cell r="L68">
            <v>42.5</v>
          </cell>
          <cell r="M68">
            <v>46</v>
          </cell>
          <cell r="N68">
            <v>49.5</v>
          </cell>
          <cell r="P68">
            <v>3.8262668045501602E-2</v>
          </cell>
          <cell r="Q68">
            <v>-0.19908135016604334</v>
          </cell>
          <cell r="R68">
            <v>-5.1964512040557742E-2</v>
          </cell>
          <cell r="S68">
            <v>0.14973262032085577</v>
          </cell>
          <cell r="T68">
            <v>-3.1395348837209291E-2</v>
          </cell>
          <cell r="U68">
            <v>0.10444177671068422</v>
          </cell>
          <cell r="V68">
            <v>-0.18478260869565222</v>
          </cell>
          <cell r="W68">
            <v>4.5333333333333448E-2</v>
          </cell>
          <cell r="X68">
            <v>-4.8469387755102233E-2</v>
          </cell>
          <cell r="Y68">
            <v>0.13941018766756041</v>
          </cell>
          <cell r="Z68">
            <v>8.2352941176470518E-2</v>
          </cell>
          <cell r="AA68">
            <v>7.6086956521739024E-2</v>
          </cell>
        </row>
        <row r="69">
          <cell r="A69" t="str">
            <v>PAMP.BA</v>
          </cell>
          <cell r="B69">
            <v>48.25</v>
          </cell>
          <cell r="C69">
            <v>45.15</v>
          </cell>
          <cell r="D69">
            <v>47.9</v>
          </cell>
          <cell r="E69">
            <v>40.950000000000003</v>
          </cell>
          <cell r="F69">
            <v>46.45</v>
          </cell>
          <cell r="G69">
            <v>46.35</v>
          </cell>
          <cell r="H69">
            <v>50.95</v>
          </cell>
          <cell r="I69">
            <v>47.7</v>
          </cell>
          <cell r="J69">
            <v>53.75</v>
          </cell>
          <cell r="K69">
            <v>46.75</v>
          </cell>
          <cell r="L69">
            <v>53.25</v>
          </cell>
          <cell r="M69">
            <v>50.75</v>
          </cell>
          <cell r="N69">
            <v>49.85</v>
          </cell>
          <cell r="P69">
            <v>-6.4248704663212419E-2</v>
          </cell>
          <cell r="Q69">
            <v>6.0908084163898035E-2</v>
          </cell>
          <cell r="R69">
            <v>-0.14509394572025047</v>
          </cell>
          <cell r="S69">
            <v>0.13431013431013428</v>
          </cell>
          <cell r="T69">
            <v>-2.1528525296017342E-3</v>
          </cell>
          <cell r="U69">
            <v>9.9244875943905075E-2</v>
          </cell>
          <cell r="V69">
            <v>-6.3788027477919562E-2</v>
          </cell>
          <cell r="W69">
            <v>0.12683438155136262</v>
          </cell>
          <cell r="X69">
            <v>-0.13023255813953494</v>
          </cell>
          <cell r="Y69">
            <v>0.1390374331550801</v>
          </cell>
          <cell r="Z69">
            <v>-4.6948356807511749E-2</v>
          </cell>
          <cell r="AA69">
            <v>-1.7733990147783207E-2</v>
          </cell>
        </row>
        <row r="70">
          <cell r="A70" t="str">
            <v>EDN.BA</v>
          </cell>
          <cell r="B70">
            <v>56.8</v>
          </cell>
          <cell r="C70">
            <v>54.05</v>
          </cell>
          <cell r="D70">
            <v>55.35</v>
          </cell>
          <cell r="E70">
            <v>47.25</v>
          </cell>
          <cell r="F70">
            <v>47.55</v>
          </cell>
          <cell r="G70">
            <v>45.4</v>
          </cell>
          <cell r="H70">
            <v>51.3</v>
          </cell>
          <cell r="I70">
            <v>40.5</v>
          </cell>
          <cell r="J70">
            <v>48.15</v>
          </cell>
          <cell r="K70">
            <v>50.95</v>
          </cell>
          <cell r="L70">
            <v>53.5</v>
          </cell>
          <cell r="M70">
            <v>50.25</v>
          </cell>
          <cell r="N70">
            <v>51.3</v>
          </cell>
          <cell r="P70">
            <v>-4.8415492957746498E-2</v>
          </cell>
          <cell r="Q70">
            <v>2.4051803885291489E-2</v>
          </cell>
          <cell r="R70">
            <v>-0.14634146341463417</v>
          </cell>
          <cell r="S70">
            <v>6.3492063492063266E-3</v>
          </cell>
          <cell r="T70">
            <v>-4.5215562565720235E-2</v>
          </cell>
          <cell r="U70">
            <v>0.12995594713656389</v>
          </cell>
          <cell r="V70">
            <v>-0.21052631578947367</v>
          </cell>
          <cell r="W70">
            <v>0.18888888888888888</v>
          </cell>
          <cell r="X70">
            <v>5.8151609553478867E-2</v>
          </cell>
          <cell r="Y70">
            <v>5.0049067713444417E-2</v>
          </cell>
          <cell r="Z70">
            <v>-6.074766355140182E-2</v>
          </cell>
          <cell r="AA70">
            <v>2.0895522388059584E-2</v>
          </cell>
        </row>
        <row r="71">
          <cell r="A71" t="str">
            <v>TRAN.BA</v>
          </cell>
          <cell r="B71">
            <v>52.731056700000003</v>
          </cell>
          <cell r="C71">
            <v>48.964552650000002</v>
          </cell>
          <cell r="D71">
            <v>47.011550550000003</v>
          </cell>
          <cell r="E71">
            <v>38.037040900000001</v>
          </cell>
          <cell r="F71">
            <v>48.732052400000001</v>
          </cell>
          <cell r="G71">
            <v>41.106044199999999</v>
          </cell>
          <cell r="H71">
            <v>45.012048399999998</v>
          </cell>
          <cell r="I71">
            <v>37.618540449999998</v>
          </cell>
          <cell r="J71">
            <v>40.966544050000003</v>
          </cell>
          <cell r="K71">
            <v>45.05</v>
          </cell>
          <cell r="L71">
            <v>57.1</v>
          </cell>
          <cell r="M71">
            <v>55</v>
          </cell>
          <cell r="N71">
            <v>51</v>
          </cell>
          <cell r="P71">
            <v>-7.1428571428571508E-2</v>
          </cell>
          <cell r="Q71">
            <v>-3.9886039886039892E-2</v>
          </cell>
          <cell r="R71">
            <v>-0.19090009891196835</v>
          </cell>
          <cell r="S71">
            <v>0.28117359413202925</v>
          </cell>
          <cell r="T71">
            <v>-0.15648854961832059</v>
          </cell>
          <cell r="U71">
            <v>9.5022624434389025E-2</v>
          </cell>
          <cell r="V71">
            <v>-0.16425619834710747</v>
          </cell>
          <cell r="W71">
            <v>8.8998763906056988E-2</v>
          </cell>
          <cell r="X71">
            <v>9.967782356783883E-2</v>
          </cell>
          <cell r="Y71">
            <v>0.26748057713651519</v>
          </cell>
          <cell r="Z71">
            <v>-3.677758318739055E-2</v>
          </cell>
          <cell r="AA71">
            <v>-7.2727272727272751E-2</v>
          </cell>
        </row>
        <row r="72">
          <cell r="A72" t="str">
            <v>METR.BA</v>
          </cell>
          <cell r="B72">
            <v>60.3</v>
          </cell>
          <cell r="C72">
            <v>45.05</v>
          </cell>
          <cell r="D72">
            <v>39.299999999999997</v>
          </cell>
          <cell r="E72">
            <v>29.85</v>
          </cell>
          <cell r="F72">
            <v>36.9</v>
          </cell>
          <cell r="G72">
            <v>30</v>
          </cell>
          <cell r="H72">
            <v>37.65</v>
          </cell>
          <cell r="I72">
            <v>30.1</v>
          </cell>
          <cell r="J72">
            <v>28.05</v>
          </cell>
          <cell r="K72">
            <v>26.5</v>
          </cell>
          <cell r="L72">
            <v>30.65</v>
          </cell>
          <cell r="M72">
            <v>26.9</v>
          </cell>
          <cell r="N72">
            <v>24.9</v>
          </cell>
          <cell r="P72">
            <v>-0.25290215588723053</v>
          </cell>
          <cell r="Q72">
            <v>-0.12763596004439515</v>
          </cell>
          <cell r="R72">
            <v>-0.24045801526717547</v>
          </cell>
          <cell r="S72">
            <v>0.23618090452261287</v>
          </cell>
          <cell r="T72">
            <v>-0.18699186991869921</v>
          </cell>
          <cell r="U72">
            <v>0.25499999999999989</v>
          </cell>
          <cell r="V72">
            <v>-0.20053120849933592</v>
          </cell>
          <cell r="W72">
            <v>-6.8106312292358862E-2</v>
          </cell>
          <cell r="X72">
            <v>-5.5258467023172941E-2</v>
          </cell>
          <cell r="Y72">
            <v>0.15660377358490551</v>
          </cell>
          <cell r="Z72">
            <v>-0.12234910277324629</v>
          </cell>
          <cell r="AA72">
            <v>-7.4349442379182173E-2</v>
          </cell>
        </row>
        <row r="73">
          <cell r="A73" t="str">
            <v>GBAN.BA</v>
          </cell>
          <cell r="B73">
            <v>72</v>
          </cell>
          <cell r="C73">
            <v>64.099999999999994</v>
          </cell>
          <cell r="D73">
            <v>53.5</v>
          </cell>
          <cell r="E73">
            <v>48</v>
          </cell>
          <cell r="F73">
            <v>48</v>
          </cell>
          <cell r="G73">
            <v>42</v>
          </cell>
          <cell r="H73">
            <v>48</v>
          </cell>
          <cell r="I73">
            <v>42</v>
          </cell>
          <cell r="J73">
            <v>38</v>
          </cell>
          <cell r="K73">
            <v>38.5</v>
          </cell>
          <cell r="L73">
            <v>39</v>
          </cell>
          <cell r="M73">
            <v>35.799999999999997</v>
          </cell>
          <cell r="N73">
            <v>36</v>
          </cell>
          <cell r="P73">
            <v>-0.10972222222222228</v>
          </cell>
          <cell r="Q73">
            <v>-0.16536661466458646</v>
          </cell>
          <cell r="R73">
            <v>-0.10280373831775702</v>
          </cell>
          <cell r="S73">
            <v>0</v>
          </cell>
          <cell r="T73">
            <v>-0.125</v>
          </cell>
          <cell r="U73">
            <v>0.14285714285714279</v>
          </cell>
          <cell r="V73">
            <v>-0.125</v>
          </cell>
          <cell r="W73">
            <v>-9.5238095238095233E-2</v>
          </cell>
          <cell r="X73">
            <v>1.3157894736842035E-2</v>
          </cell>
          <cell r="Y73">
            <v>1.298701298701288E-2</v>
          </cell>
          <cell r="Z73">
            <v>-8.2051282051282093E-2</v>
          </cell>
          <cell r="AA73">
            <v>5.5865921787709993E-3</v>
          </cell>
        </row>
        <row r="74">
          <cell r="A74" t="str">
            <v>CAPX.BA</v>
          </cell>
          <cell r="B74">
            <v>85</v>
          </cell>
          <cell r="C74">
            <v>76.400000000000006</v>
          </cell>
          <cell r="D74">
            <v>66.5</v>
          </cell>
          <cell r="E74">
            <v>49</v>
          </cell>
          <cell r="F74">
            <v>58</v>
          </cell>
          <cell r="G74">
            <v>50</v>
          </cell>
          <cell r="H74">
            <v>74.599999999999994</v>
          </cell>
          <cell r="I74">
            <v>68</v>
          </cell>
          <cell r="J74">
            <v>69.5</v>
          </cell>
          <cell r="K74">
            <v>61.9</v>
          </cell>
          <cell r="L74">
            <v>72</v>
          </cell>
          <cell r="M74">
            <v>63.1</v>
          </cell>
          <cell r="N74">
            <v>60</v>
          </cell>
          <cell r="P74">
            <v>-0.1011764705882352</v>
          </cell>
          <cell r="Q74">
            <v>-0.12958115183246077</v>
          </cell>
          <cell r="R74">
            <v>-0.26315789473684215</v>
          </cell>
          <cell r="S74">
            <v>0.18367346938775508</v>
          </cell>
          <cell r="T74">
            <v>-0.13793103448275867</v>
          </cell>
          <cell r="U74">
            <v>0.49199999999999999</v>
          </cell>
          <cell r="V74">
            <v>-8.8471849865951691E-2</v>
          </cell>
          <cell r="W74">
            <v>2.2058823529411686E-2</v>
          </cell>
          <cell r="X74">
            <v>-0.10935251798561152</v>
          </cell>
          <cell r="Y74">
            <v>0.16316639741518579</v>
          </cell>
          <cell r="Z74">
            <v>-0.12361111111111112</v>
          </cell>
          <cell r="AA74">
            <v>-4.9128367670364548E-2</v>
          </cell>
        </row>
        <row r="75">
          <cell r="A75" t="str">
            <v>CGPA2.BA</v>
          </cell>
          <cell r="B75">
            <v>63.139560000000003</v>
          </cell>
          <cell r="C75">
            <v>56.44294</v>
          </cell>
          <cell r="D75">
            <v>55.007950000000001</v>
          </cell>
          <cell r="E75">
            <v>39.366559000000002</v>
          </cell>
          <cell r="F75">
            <v>44.341191000000002</v>
          </cell>
          <cell r="G75">
            <v>37</v>
          </cell>
          <cell r="H75">
            <v>47.45</v>
          </cell>
          <cell r="I75">
            <v>37.950000000000003</v>
          </cell>
          <cell r="J75">
            <v>34</v>
          </cell>
          <cell r="K75">
            <v>30.35</v>
          </cell>
          <cell r="L75">
            <v>37</v>
          </cell>
          <cell r="M75">
            <v>32.4</v>
          </cell>
          <cell r="N75">
            <v>31.9</v>
          </cell>
          <cell r="P75">
            <v>-0.10606060606060608</v>
          </cell>
          <cell r="Q75">
            <v>-2.5423728813559254E-2</v>
          </cell>
          <cell r="R75">
            <v>-0.28434782608695652</v>
          </cell>
          <cell r="S75">
            <v>0.12636695018225996</v>
          </cell>
          <cell r="T75">
            <v>-0.1655614302286107</v>
          </cell>
          <cell r="U75">
            <v>0.28243243243243255</v>
          </cell>
          <cell r="V75">
            <v>-0.20021074815595363</v>
          </cell>
          <cell r="W75">
            <v>-0.10408432147562585</v>
          </cell>
          <cell r="X75">
            <v>-0.10735294117647054</v>
          </cell>
          <cell r="Y75">
            <v>0.21911037891268537</v>
          </cell>
          <cell r="Z75">
            <v>-0.12432432432432439</v>
          </cell>
          <cell r="AA75">
            <v>-1.5432098765432056E-2</v>
          </cell>
        </row>
        <row r="76">
          <cell r="A76" t="str">
            <v>DGCU2.BA</v>
          </cell>
          <cell r="B76">
            <v>54.665861700000001</v>
          </cell>
          <cell r="C76">
            <v>50.45</v>
          </cell>
          <cell r="D76">
            <v>47.2</v>
          </cell>
          <cell r="E76">
            <v>41.5</v>
          </cell>
          <cell r="F76">
            <v>50</v>
          </cell>
          <cell r="G76">
            <v>46.8</v>
          </cell>
          <cell r="H76">
            <v>50.8</v>
          </cell>
          <cell r="I76">
            <v>43</v>
          </cell>
          <cell r="J76">
            <v>40.549999999999997</v>
          </cell>
          <cell r="K76">
            <v>38.25</v>
          </cell>
          <cell r="L76">
            <v>45.4</v>
          </cell>
          <cell r="M76">
            <v>39.799999999999997</v>
          </cell>
          <cell r="N76">
            <v>39</v>
          </cell>
          <cell r="P76">
            <v>-7.7120556941664309E-2</v>
          </cell>
          <cell r="Q76">
            <v>-6.442021803766107E-2</v>
          </cell>
          <cell r="R76">
            <v>-0.12076271186440679</v>
          </cell>
          <cell r="S76">
            <v>0.20481927710843384</v>
          </cell>
          <cell r="T76">
            <v>-6.4000000000000057E-2</v>
          </cell>
          <cell r="U76">
            <v>8.5470085470085388E-2</v>
          </cell>
          <cell r="V76">
            <v>-0.15354330708661412</v>
          </cell>
          <cell r="W76">
            <v>-5.6976744186046591E-2</v>
          </cell>
          <cell r="X76">
            <v>-5.6720098643649797E-2</v>
          </cell>
          <cell r="Y76">
            <v>0.1869281045751634</v>
          </cell>
          <cell r="Z76">
            <v>-0.12334801762114544</v>
          </cell>
          <cell r="AA76">
            <v>-2.010050251256279E-2</v>
          </cell>
        </row>
        <row r="77">
          <cell r="A77" t="str">
            <v>CEPU.BA</v>
          </cell>
          <cell r="B77">
            <v>34.082956099999997</v>
          </cell>
          <cell r="C77">
            <v>31.0555302</v>
          </cell>
          <cell r="D77">
            <v>33.4</v>
          </cell>
          <cell r="E77">
            <v>28.2</v>
          </cell>
          <cell r="F77">
            <v>31.55</v>
          </cell>
          <cell r="G77">
            <v>35.9</v>
          </cell>
          <cell r="H77">
            <v>41.15</v>
          </cell>
          <cell r="I77">
            <v>34.049999999999997</v>
          </cell>
          <cell r="J77">
            <v>35.299999999999997</v>
          </cell>
          <cell r="K77">
            <v>33.299999999999997</v>
          </cell>
          <cell r="L77">
            <v>38.450000000000003</v>
          </cell>
          <cell r="M77">
            <v>39.799999999999997</v>
          </cell>
          <cell r="N77">
            <v>39.950000000000003</v>
          </cell>
          <cell r="P77">
            <v>-8.8825214899713401E-2</v>
          </cell>
          <cell r="Q77">
            <v>7.5492828005235602E-2</v>
          </cell>
          <cell r="R77">
            <v>-0.15568862275449102</v>
          </cell>
          <cell r="S77">
            <v>0.11879432624113484</v>
          </cell>
          <cell r="T77">
            <v>0.137876386687797</v>
          </cell>
          <cell r="U77">
            <v>0.14623955431754876</v>
          </cell>
          <cell r="V77">
            <v>-0.172539489671932</v>
          </cell>
          <cell r="W77">
            <v>3.6710719530102853E-2</v>
          </cell>
          <cell r="X77">
            <v>-5.6657223796033995E-2</v>
          </cell>
          <cell r="Y77">
            <v>0.15465465465465478</v>
          </cell>
          <cell r="Z77">
            <v>3.5110533159947943E-2</v>
          </cell>
          <cell r="AA77">
            <v>3.7688442211056827E-3</v>
          </cell>
        </row>
        <row r="78">
          <cell r="A78" t="str">
            <v>CECO2.BA</v>
          </cell>
          <cell r="B78">
            <v>15.95</v>
          </cell>
          <cell r="C78">
            <v>13.2</v>
          </cell>
          <cell r="D78">
            <v>12.15</v>
          </cell>
          <cell r="E78">
            <v>8.5</v>
          </cell>
          <cell r="F78">
            <v>10</v>
          </cell>
          <cell r="G78">
            <v>8</v>
          </cell>
          <cell r="H78">
            <v>9.9499999999999993</v>
          </cell>
          <cell r="I78">
            <v>9.6</v>
          </cell>
          <cell r="J78">
            <v>8.75</v>
          </cell>
          <cell r="K78">
            <v>8.24</v>
          </cell>
          <cell r="L78">
            <v>9</v>
          </cell>
          <cell r="M78">
            <v>9.5</v>
          </cell>
          <cell r="N78">
            <v>8.5</v>
          </cell>
          <cell r="P78">
            <v>-0.17241379310344829</v>
          </cell>
          <cell r="Q78">
            <v>-7.9545454545454475E-2</v>
          </cell>
          <cell r="R78">
            <v>-0.30041152263374493</v>
          </cell>
          <cell r="S78">
            <v>0.17647058823529416</v>
          </cell>
          <cell r="T78">
            <v>-0.19999999999999996</v>
          </cell>
          <cell r="U78">
            <v>0.24374999999999991</v>
          </cell>
          <cell r="V78">
            <v>-3.5175879396984855E-2</v>
          </cell>
          <cell r="W78">
            <v>-8.854166666666663E-2</v>
          </cell>
          <cell r="X78">
            <v>-5.8285714285714274E-2</v>
          </cell>
          <cell r="Y78">
            <v>9.2233009708737823E-2</v>
          </cell>
          <cell r="Z78">
            <v>5.555555555555558E-2</v>
          </cell>
          <cell r="AA78">
            <v>-0.10526315789473684</v>
          </cell>
        </row>
      </sheetData>
      <sheetData sheetId="7"/>
      <sheetData sheetId="8"/>
      <sheetData sheetId="9">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1805997308511</v>
          </cell>
        </row>
        <row r="5">
          <cell r="A5" t="str">
            <v>TECO2</v>
          </cell>
          <cell r="B5" t="str">
            <v>TECO2.BA</v>
          </cell>
          <cell r="C5" t="str">
            <v>Communication Services</v>
          </cell>
          <cell r="D5" t="str">
            <v>TELECOM ARGENTINA S. A.</v>
          </cell>
          <cell r="E5">
            <v>273065691445.60001</v>
          </cell>
        </row>
        <row r="6">
          <cell r="A6" t="str">
            <v>CVH</v>
          </cell>
          <cell r="B6" t="str">
            <v>CVH.BA</v>
          </cell>
          <cell r="C6" t="str">
            <v>Communication Services</v>
          </cell>
          <cell r="D6" t="str">
            <v>CABLEVISION HOLDING S.A.</v>
          </cell>
          <cell r="E6">
            <v>44799359840</v>
          </cell>
        </row>
        <row r="7">
          <cell r="A7" t="str">
            <v>GCLA</v>
          </cell>
          <cell r="B7" t="str">
            <v>GCLA.BA</v>
          </cell>
          <cell r="C7" t="str">
            <v>Communication Services</v>
          </cell>
          <cell r="D7" t="str">
            <v>GRUPO CLARIN S.A.</v>
          </cell>
          <cell r="E7">
            <v>4714160576.6000004</v>
          </cell>
        </row>
        <row r="8">
          <cell r="A8" t="str">
            <v>MIRG</v>
          </cell>
          <cell r="B8" t="str">
            <v>MIRG.BA</v>
          </cell>
          <cell r="C8" t="str">
            <v>Consumer Discretionary</v>
          </cell>
          <cell r="D8" t="str">
            <v>MIRGOR S.A.</v>
          </cell>
          <cell r="E8">
            <v>6507000000</v>
          </cell>
        </row>
        <row r="9">
          <cell r="A9" t="str">
            <v>HAVA</v>
          </cell>
          <cell r="B9" t="str">
            <v>HAVA.BA</v>
          </cell>
          <cell r="C9" t="str">
            <v>Consumer Discretionary</v>
          </cell>
          <cell r="D9" t="str">
            <v>HAVANNA HOLDING S.A.</v>
          </cell>
          <cell r="E9">
            <v>3617162395</v>
          </cell>
        </row>
        <row r="10">
          <cell r="A10" t="str">
            <v>GRIM</v>
          </cell>
          <cell r="B10" t="str">
            <v>GRIM.BA</v>
          </cell>
          <cell r="C10" t="str">
            <v>Consumer Discretionary</v>
          </cell>
          <cell r="D10" t="str">
            <v>GRIMOLDI S.A.</v>
          </cell>
          <cell r="E10">
            <v>1395686691</v>
          </cell>
        </row>
        <row r="11">
          <cell r="A11" t="str">
            <v>TGLT</v>
          </cell>
          <cell r="B11" t="str">
            <v>TGLT.BA</v>
          </cell>
          <cell r="C11" t="str">
            <v>Consumer Discretionary</v>
          </cell>
          <cell r="D11" t="str">
            <v>TGLT S.A.</v>
          </cell>
          <cell r="E11">
            <v>363882373.5</v>
          </cell>
        </row>
        <row r="12">
          <cell r="A12" t="str">
            <v>LONG</v>
          </cell>
          <cell r="B12" t="str">
            <v>LONG.BA</v>
          </cell>
          <cell r="C12" t="str">
            <v>Consumer Discretionary</v>
          </cell>
          <cell r="D12" t="str">
            <v>LONGVIE S.A.</v>
          </cell>
          <cell r="E12">
            <v>368739631.19999999</v>
          </cell>
        </row>
        <row r="13">
          <cell r="A13" t="str">
            <v>PSUR</v>
          </cell>
          <cell r="B13" t="str">
            <v>PSUR.BA</v>
          </cell>
          <cell r="C13" t="str">
            <v>Consumer Discretionary</v>
          </cell>
          <cell r="D13" t="str">
            <v>PETROLERA DEL CONOSUR S.A.</v>
          </cell>
          <cell r="E13">
            <v>400472122.47000003</v>
          </cell>
        </row>
        <row r="14">
          <cell r="A14" t="str">
            <v>DOME</v>
          </cell>
          <cell r="B14" t="str">
            <v>DOME.BA</v>
          </cell>
          <cell r="C14" t="str">
            <v>Consumer Discretionary</v>
          </cell>
          <cell r="D14" t="str">
            <v>DOMEC S.A.</v>
          </cell>
          <cell r="E14">
            <v>152000000</v>
          </cell>
        </row>
        <row r="15">
          <cell r="A15" t="str">
            <v>PATA</v>
          </cell>
          <cell r="B15" t="str">
            <v>PATA.BA</v>
          </cell>
          <cell r="C15" t="str">
            <v>Consumer Staples</v>
          </cell>
          <cell r="D15" t="str">
            <v>IMPORTADORA Y EXPORTADORA DE LA PATAGONIA S.A.</v>
          </cell>
          <cell r="E15">
            <v>12250000000</v>
          </cell>
        </row>
        <row r="16">
          <cell r="A16" t="str">
            <v>MOLA</v>
          </cell>
          <cell r="B16" t="str">
            <v>MOLA.BA</v>
          </cell>
          <cell r="C16" t="str">
            <v>Consumer Staples</v>
          </cell>
          <cell r="D16" t="str">
            <v>MOLINOS AGRO S.A.</v>
          </cell>
          <cell r="E16">
            <v>11288865520</v>
          </cell>
        </row>
        <row r="17">
          <cell r="A17" t="str">
            <v>MOLI</v>
          </cell>
          <cell r="B17" t="str">
            <v>MOLI.BA</v>
          </cell>
          <cell r="C17" t="str">
            <v>Consumer Staples</v>
          </cell>
          <cell r="D17" t="str">
            <v>MOLINOS RIO DE LA PLATA S.A.</v>
          </cell>
          <cell r="E17">
            <v>8056605080</v>
          </cell>
        </row>
        <row r="18">
          <cell r="A18" t="str">
            <v>ESME</v>
          </cell>
          <cell r="B18" t="str">
            <v>ESME.BA</v>
          </cell>
          <cell r="C18" t="str">
            <v>Consumer Staples</v>
          </cell>
          <cell r="D18" t="str">
            <v>BODEGAS ESMERALDA S.A.</v>
          </cell>
          <cell r="E18">
            <v>7661797520</v>
          </cell>
        </row>
        <row r="19">
          <cell r="A19" t="str">
            <v>SAMI</v>
          </cell>
          <cell r="B19" t="str">
            <v>SAMI.BA</v>
          </cell>
          <cell r="C19" t="str">
            <v>Consumer Staples</v>
          </cell>
          <cell r="D19" t="str">
            <v>S.A. SAN MIGUEL</v>
          </cell>
          <cell r="E19">
            <v>6794919354</v>
          </cell>
        </row>
        <row r="20">
          <cell r="A20" t="str">
            <v>LEDE</v>
          </cell>
          <cell r="B20" t="str">
            <v>LEDE.BA</v>
          </cell>
          <cell r="C20" t="str">
            <v>Consumer Staples</v>
          </cell>
          <cell r="D20" t="str">
            <v>LEDESMA S.A.</v>
          </cell>
          <cell r="E20">
            <v>5610000000</v>
          </cell>
        </row>
        <row r="21">
          <cell r="A21" t="str">
            <v>INVJ</v>
          </cell>
          <cell r="B21" t="str">
            <v>INVJ.BA</v>
          </cell>
          <cell r="C21" t="str">
            <v>Consumer Staples</v>
          </cell>
          <cell r="D21" t="str">
            <v>INVERSORA JURAMENTO S.A.</v>
          </cell>
          <cell r="E21">
            <v>4812936867.1999998</v>
          </cell>
        </row>
        <row r="22">
          <cell r="A22" t="str">
            <v>PATY</v>
          </cell>
          <cell r="B22" t="str">
            <v>PATY.BA</v>
          </cell>
          <cell r="C22" t="str">
            <v>Consumer Staples</v>
          </cell>
          <cell r="D22" t="str">
            <v>QUICKFOOD S.A.</v>
          </cell>
          <cell r="E22">
            <v>2420753979.8000002</v>
          </cell>
        </row>
        <row r="23">
          <cell r="A23" t="str">
            <v>INTR</v>
          </cell>
          <cell r="B23" t="str">
            <v>INTR.BA</v>
          </cell>
          <cell r="C23" t="str">
            <v>Consumer Staples</v>
          </cell>
          <cell r="D23" t="str">
            <v>COMPAÑIA INTRODUCTORA DE BUENOS AIRES S.A.</v>
          </cell>
          <cell r="E23">
            <v>774772263</v>
          </cell>
        </row>
        <row r="24">
          <cell r="A24" t="str">
            <v>SEMI</v>
          </cell>
          <cell r="B24" t="str">
            <v>SEMI.BA</v>
          </cell>
          <cell r="C24" t="str">
            <v>Consumer Staples</v>
          </cell>
          <cell r="D24" t="str">
            <v>MOLINOS JUAN SEMINO S.A.</v>
          </cell>
          <cell r="E24">
            <v>463404000</v>
          </cell>
        </row>
        <row r="25">
          <cell r="A25" t="str">
            <v>MORI</v>
          </cell>
          <cell r="B25" t="str">
            <v>MORI.BA</v>
          </cell>
          <cell r="C25" t="str">
            <v>Consumer Staples</v>
          </cell>
          <cell r="D25" t="str">
            <v>MORIXE HERMANOS S.A.</v>
          </cell>
          <cell r="E25">
            <v>392766571.86000001</v>
          </cell>
        </row>
        <row r="26">
          <cell r="A26" t="str">
            <v>APBR</v>
          </cell>
          <cell r="B26" t="str">
            <v>APBR.BA</v>
          </cell>
          <cell r="C26" t="str">
            <v>Energy</v>
          </cell>
          <cell r="D26" t="str">
            <v>PETROLEO BRASILEIRO S.A. - PETROBRAS (Sociedad de Economía Mixta)</v>
          </cell>
          <cell r="E26">
            <v>3768842059449.4399</v>
          </cell>
        </row>
        <row r="27">
          <cell r="A27" t="str">
            <v>TS</v>
          </cell>
          <cell r="B27" t="str">
            <v>TS.BA</v>
          </cell>
          <cell r="C27" t="str">
            <v>Energy</v>
          </cell>
          <cell r="D27" t="str">
            <v>TENARIS S.A.</v>
          </cell>
          <cell r="E27">
            <v>657145826419.5</v>
          </cell>
        </row>
        <row r="28">
          <cell r="A28" t="str">
            <v>YPFD</v>
          </cell>
          <cell r="B28" t="str">
            <v>YPFD.BA</v>
          </cell>
          <cell r="C28" t="str">
            <v>Energy</v>
          </cell>
          <cell r="D28" t="str">
            <v>YPF S.A.</v>
          </cell>
          <cell r="E28">
            <v>213155868166.35001</v>
          </cell>
        </row>
        <row r="29">
          <cell r="A29" t="str">
            <v>TGSU2</v>
          </cell>
          <cell r="B29" t="str">
            <v>TGSU2.BA</v>
          </cell>
          <cell r="C29" t="str">
            <v>Energy</v>
          </cell>
          <cell r="D29" t="str">
            <v>TRANSPORTADORA DE GAS DEL SUR S.A.</v>
          </cell>
          <cell r="E29">
            <v>88586224054.5</v>
          </cell>
        </row>
        <row r="30">
          <cell r="A30" t="str">
            <v>TGNO4</v>
          </cell>
          <cell r="B30" t="str">
            <v>TGNO4.BA</v>
          </cell>
          <cell r="C30" t="str">
            <v>Energy</v>
          </cell>
          <cell r="D30" t="str">
            <v>TRANSPORTADORA DE GAS DEL NORTE S.A.</v>
          </cell>
          <cell r="E30">
            <v>30536488760.5</v>
          </cell>
        </row>
        <row r="31">
          <cell r="A31" t="str">
            <v>PGR</v>
          </cell>
          <cell r="B31" t="str">
            <v>PGR.BA</v>
          </cell>
          <cell r="C31" t="str">
            <v>Energy</v>
          </cell>
          <cell r="D31" t="str">
            <v>PHOENIX GLOBAL RESOURCES P.L.C.</v>
          </cell>
          <cell r="E31">
            <v>7266448464</v>
          </cell>
        </row>
        <row r="32">
          <cell r="A32" t="str">
            <v>COME</v>
          </cell>
          <cell r="B32" t="str">
            <v>COME.BA</v>
          </cell>
          <cell r="C32" t="str">
            <v>Energy</v>
          </cell>
          <cell r="D32" t="str">
            <v>SOCIEDAD COMERCIAL DEL PLATA S.A.</v>
          </cell>
          <cell r="E32">
            <v>4802004601.1999998</v>
          </cell>
        </row>
        <row r="33">
          <cell r="A33" t="str">
            <v>CARC</v>
          </cell>
          <cell r="B33" t="str">
            <v>CARC.BA</v>
          </cell>
          <cell r="C33" t="str">
            <v>Energy</v>
          </cell>
          <cell r="D33" t="str">
            <v>CARBOCLOR S. A.</v>
          </cell>
          <cell r="E33">
            <v>719299357.49000001</v>
          </cell>
        </row>
        <row r="34">
          <cell r="A34" t="str">
            <v>GGAL</v>
          </cell>
          <cell r="B34" t="str">
            <v>GGAL.BA</v>
          </cell>
          <cell r="C34" t="str">
            <v>Financials</v>
          </cell>
          <cell r="D34" t="str">
            <v>GRUPO FINANCIERO GALICIA S.A.</v>
          </cell>
          <cell r="E34">
            <v>155660017532.70001</v>
          </cell>
        </row>
        <row r="35">
          <cell r="A35" t="str">
            <v>BMA</v>
          </cell>
          <cell r="B35" t="str">
            <v>BMA.BA</v>
          </cell>
          <cell r="C35" t="str">
            <v>Financials</v>
          </cell>
          <cell r="D35" t="str">
            <v>BANCO MACRO S.A.</v>
          </cell>
          <cell r="E35">
            <v>123854175733.95</v>
          </cell>
        </row>
        <row r="36">
          <cell r="A36" t="str">
            <v>FRAN</v>
          </cell>
          <cell r="B36" t="str">
            <v>FRAN.BA</v>
          </cell>
          <cell r="C36" t="str">
            <v>Financials</v>
          </cell>
          <cell r="D36" t="str">
            <v>BBVA BANCO FRANCES S. A.</v>
          </cell>
          <cell r="E36">
            <v>88682482600.5</v>
          </cell>
        </row>
        <row r="37">
          <cell r="A37" t="str">
            <v>BRIO</v>
          </cell>
          <cell r="B37" t="str">
            <v>BRIO.BA</v>
          </cell>
          <cell r="C37" t="str">
            <v>Financials</v>
          </cell>
          <cell r="D37" t="str">
            <v>BANCO SANTANDER RIO S.A.</v>
          </cell>
          <cell r="E37">
            <v>41318217859.5</v>
          </cell>
        </row>
        <row r="38">
          <cell r="A38" t="str">
            <v>BYMA</v>
          </cell>
          <cell r="B38" t="str">
            <v>BYMA.BA</v>
          </cell>
          <cell r="C38" t="str">
            <v>Financials</v>
          </cell>
          <cell r="D38" t="str">
            <v>BOLSAS Y MERCADOS ARGENTINOS S.A. (BYMA)</v>
          </cell>
          <cell r="E38">
            <v>25048125000</v>
          </cell>
        </row>
        <row r="39">
          <cell r="A39" t="str">
            <v>BPAT</v>
          </cell>
          <cell r="B39" t="str">
            <v>BPAT.BA</v>
          </cell>
          <cell r="C39" t="str">
            <v>Financials</v>
          </cell>
          <cell r="D39" t="str">
            <v>BANCO PATAGONIA S.A.</v>
          </cell>
          <cell r="E39">
            <v>29772612811.799999</v>
          </cell>
        </row>
        <row r="40">
          <cell r="A40" t="str">
            <v>BHIP</v>
          </cell>
          <cell r="B40" t="str">
            <v>BHIP.BA</v>
          </cell>
          <cell r="C40" t="str">
            <v>Financials</v>
          </cell>
          <cell r="D40" t="str">
            <v>BANCO HIPOTECARIO S.A.</v>
          </cell>
          <cell r="E40">
            <v>19650000000</v>
          </cell>
        </row>
        <row r="41">
          <cell r="A41" t="str">
            <v>VALO</v>
          </cell>
          <cell r="B41" t="str">
            <v>VALO.BA</v>
          </cell>
          <cell r="C41" t="str">
            <v>Financials</v>
          </cell>
          <cell r="D41" t="str">
            <v>GRUPO FINANCIERO VALORES SOCIEDAD ANONIMA</v>
          </cell>
          <cell r="E41">
            <v>5356746720</v>
          </cell>
        </row>
        <row r="42">
          <cell r="A42" t="str">
            <v>RICH</v>
          </cell>
          <cell r="B42" t="str">
            <v>RICH.BA</v>
          </cell>
          <cell r="C42" t="str">
            <v>Health Care</v>
          </cell>
          <cell r="D42" t="str">
            <v>LABORATORIOS RICHMOND S.A.C.I.F.</v>
          </cell>
          <cell r="E42">
            <v>3387524879.6500001</v>
          </cell>
        </row>
        <row r="43">
          <cell r="A43" t="str">
            <v>ROSE</v>
          </cell>
          <cell r="B43" t="str">
            <v>ROSE.BA</v>
          </cell>
          <cell r="C43" t="str">
            <v>Health Care</v>
          </cell>
          <cell r="D43" t="str">
            <v>INSTITUTO ROSENBUSCH S.A.</v>
          </cell>
          <cell r="E43">
            <v>236371530.75</v>
          </cell>
        </row>
        <row r="44">
          <cell r="A44" t="str">
            <v>AUSO</v>
          </cell>
          <cell r="B44" t="str">
            <v>AUSO.BA</v>
          </cell>
          <cell r="C44" t="str">
            <v>Industrials</v>
          </cell>
          <cell r="D44" t="str">
            <v>AUTOPISTAS DEL SOL S.A.</v>
          </cell>
          <cell r="E44">
            <v>10498995325</v>
          </cell>
        </row>
        <row r="45">
          <cell r="A45" t="str">
            <v>OEST</v>
          </cell>
          <cell r="B45" t="str">
            <v>OEST.BA</v>
          </cell>
          <cell r="C45" t="str">
            <v>Industrials</v>
          </cell>
          <cell r="D45" t="str">
            <v>GRUPO CONCESIONARIO DEL OESTE S.A.</v>
          </cell>
          <cell r="E45">
            <v>6032000000</v>
          </cell>
        </row>
        <row r="46">
          <cell r="A46" t="str">
            <v>CAPU</v>
          </cell>
          <cell r="B46" t="str">
            <v>CAPU.BA</v>
          </cell>
          <cell r="C46" t="str">
            <v>Industrials</v>
          </cell>
          <cell r="D46" t="str">
            <v>CAPUTO S.A.</v>
          </cell>
          <cell r="E46">
            <v>1511631720</v>
          </cell>
        </row>
        <row r="47">
          <cell r="A47" t="str">
            <v>CADO</v>
          </cell>
          <cell r="B47" t="str">
            <v>CADO.BA</v>
          </cell>
          <cell r="C47" t="str">
            <v>Industrials</v>
          </cell>
          <cell r="D47" t="str">
            <v>CARLOS CASADO S.A.</v>
          </cell>
          <cell r="E47">
            <v>1533840000</v>
          </cell>
        </row>
        <row r="48">
          <cell r="A48" t="str">
            <v>FERR</v>
          </cell>
          <cell r="B48" t="str">
            <v>FERR.BA</v>
          </cell>
          <cell r="C48" t="str">
            <v>Industrials</v>
          </cell>
          <cell r="D48" t="str">
            <v>FERRUM S.A.</v>
          </cell>
          <cell r="E48">
            <v>1397400000</v>
          </cell>
        </row>
        <row r="49">
          <cell r="A49" t="str">
            <v>DYCA</v>
          </cell>
          <cell r="B49" t="str">
            <v>DYCA.BA</v>
          </cell>
          <cell r="C49" t="str">
            <v>Industrials</v>
          </cell>
          <cell r="D49" t="str">
            <v>DYCASA SOCIEDAD ANONIMA</v>
          </cell>
          <cell r="E49">
            <v>1209000000</v>
          </cell>
        </row>
        <row r="50">
          <cell r="A50" t="str">
            <v>AGRO</v>
          </cell>
          <cell r="B50" t="str">
            <v>AGRO.BA</v>
          </cell>
          <cell r="C50" t="str">
            <v>Industrials</v>
          </cell>
          <cell r="D50" t="str">
            <v>AGROMETAL S.A.</v>
          </cell>
          <cell r="E50">
            <v>918750000</v>
          </cell>
        </row>
        <row r="51">
          <cell r="A51" t="str">
            <v>GARO</v>
          </cell>
          <cell r="B51" t="str">
            <v>GARO.BA</v>
          </cell>
          <cell r="C51" t="str">
            <v>Industrials</v>
          </cell>
          <cell r="D51" t="str">
            <v>GAROVAGLIO Y ZORRAQUIN S. A.</v>
          </cell>
          <cell r="E51">
            <v>211640000</v>
          </cell>
        </row>
        <row r="52">
          <cell r="A52" t="str">
            <v>INAG</v>
          </cell>
          <cell r="B52" t="str">
            <v>INAG.BA</v>
          </cell>
          <cell r="C52" t="str">
            <v>Industrials</v>
          </cell>
          <cell r="D52" t="str">
            <v>INSUMOS AGROQUIMICOS S.A.</v>
          </cell>
          <cell r="E52">
            <v>154000000</v>
          </cell>
        </row>
        <row r="53">
          <cell r="A53" t="str">
            <v>POLL</v>
          </cell>
          <cell r="B53" t="str">
            <v>POLL.BA</v>
          </cell>
          <cell r="C53" t="str">
            <v>Industrials</v>
          </cell>
          <cell r="D53" t="str">
            <v>POLLEDO S.A.</v>
          </cell>
          <cell r="E53">
            <v>52005191.399999999</v>
          </cell>
        </row>
        <row r="54">
          <cell r="A54" t="str">
            <v>BOLT</v>
          </cell>
          <cell r="B54" t="str">
            <v>BOLT.BA</v>
          </cell>
          <cell r="C54" t="str">
            <v>Information Technology</v>
          </cell>
          <cell r="D54" t="str">
            <v>BOLDT S.A.</v>
          </cell>
          <cell r="E54">
            <v>5312500000</v>
          </cell>
        </row>
        <row r="55">
          <cell r="A55" t="str">
            <v>TXAR</v>
          </cell>
          <cell r="B55" t="str">
            <v>TXAR.BA</v>
          </cell>
          <cell r="C55" t="str">
            <v>Materials</v>
          </cell>
          <cell r="D55" t="str">
            <v>TERNIUM ARGENTINA S.A.</v>
          </cell>
          <cell r="E55">
            <v>65273206682.827599</v>
          </cell>
        </row>
        <row r="56">
          <cell r="A56" t="str">
            <v>LOMA</v>
          </cell>
          <cell r="B56" t="str">
            <v>LOMA.BA</v>
          </cell>
          <cell r="C56" t="str">
            <v>Materials</v>
          </cell>
          <cell r="D56" t="str">
            <v>LOMA NEGRA COMPAÑIA INDUSTRIAL ARGENTINA SOCIEDAD ANONIMA</v>
          </cell>
          <cell r="E56">
            <v>53850993371.5</v>
          </cell>
        </row>
        <row r="57">
          <cell r="A57" t="str">
            <v>ALUA</v>
          </cell>
          <cell r="B57" t="str">
            <v>ALUA.BA</v>
          </cell>
          <cell r="C57" t="str">
            <v>Materials</v>
          </cell>
          <cell r="D57" t="str">
            <v>ALUAR ALUMINIO ARGENTINO S.A.</v>
          </cell>
          <cell r="E57">
            <v>51800000000</v>
          </cell>
        </row>
        <row r="58">
          <cell r="A58" t="str">
            <v>HARG</v>
          </cell>
          <cell r="B58" t="str">
            <v>HARG.BA</v>
          </cell>
          <cell r="C58" t="str">
            <v>Materials</v>
          </cell>
          <cell r="D58" t="str">
            <v>HOLCIM (Argentina) S.A.</v>
          </cell>
          <cell r="E58">
            <v>24573571550.200001</v>
          </cell>
        </row>
        <row r="59">
          <cell r="A59" t="str">
            <v>INDU</v>
          </cell>
          <cell r="B59" t="str">
            <v>INDU.BA</v>
          </cell>
          <cell r="C59" t="str">
            <v>Materials</v>
          </cell>
          <cell r="D59" t="str">
            <v>UNIPAR INDUPA SOCIEDAD ANONIMA INDUSTRIAL Y COMERCIAL</v>
          </cell>
          <cell r="E59">
            <v>7332812392.1999998</v>
          </cell>
        </row>
        <row r="60">
          <cell r="A60" t="str">
            <v>RIGO</v>
          </cell>
          <cell r="B60" t="str">
            <v>RIGO.BA</v>
          </cell>
          <cell r="C60" t="str">
            <v>Materials</v>
          </cell>
          <cell r="D60" t="str">
            <v>RIGOLLEAU S.A.</v>
          </cell>
          <cell r="E60">
            <v>6527894490</v>
          </cell>
        </row>
        <row r="61">
          <cell r="A61" t="str">
            <v>CELU</v>
          </cell>
          <cell r="B61" t="str">
            <v>CELU.BA</v>
          </cell>
          <cell r="C61" t="str">
            <v>Materials</v>
          </cell>
          <cell r="D61" t="str">
            <v>CELULOSA ARGENTINA S.A.</v>
          </cell>
          <cell r="E61">
            <v>1867423452.71</v>
          </cell>
        </row>
        <row r="62">
          <cell r="A62" t="str">
            <v>MERA</v>
          </cell>
          <cell r="B62" t="str">
            <v>MERA.BA</v>
          </cell>
          <cell r="C62" t="str">
            <v>Materials</v>
          </cell>
          <cell r="E62">
            <v>882296819.53143406</v>
          </cell>
        </row>
        <row r="63">
          <cell r="A63" t="str">
            <v>COLO</v>
          </cell>
          <cell r="B63" t="str">
            <v>COLO.BA</v>
          </cell>
          <cell r="C63" t="str">
            <v>Materials</v>
          </cell>
          <cell r="D63" t="str">
            <v>COLORIN S.A.</v>
          </cell>
          <cell r="E63">
            <v>190461705</v>
          </cell>
        </row>
        <row r="64">
          <cell r="A64" t="str">
            <v>FIPL</v>
          </cell>
          <cell r="B64" t="str">
            <v>FIPL.BA</v>
          </cell>
          <cell r="C64" t="str">
            <v>Materials</v>
          </cell>
          <cell r="D64" t="str">
            <v>FIPLASTO S.A.</v>
          </cell>
          <cell r="E64">
            <v>229119000</v>
          </cell>
        </row>
        <row r="65">
          <cell r="A65" t="str">
            <v>IRSA</v>
          </cell>
          <cell r="B65" t="str">
            <v>IRSA.BA</v>
          </cell>
          <cell r="C65" t="str">
            <v>Real Estate</v>
          </cell>
          <cell r="D65" t="str">
            <v>IRSA INVERSIONES Y REPRESENTACIONES S.A.</v>
          </cell>
          <cell r="E65">
            <v>30120109743</v>
          </cell>
        </row>
        <row r="66">
          <cell r="A66" t="str">
            <v>IRCP</v>
          </cell>
          <cell r="B66" t="str">
            <v>IRCP.BA</v>
          </cell>
          <cell r="C66" t="str">
            <v>Real Estate</v>
          </cell>
          <cell r="D66" t="str">
            <v>IRSA PROPIEDADES COMERCIALES S.A.</v>
          </cell>
          <cell r="E66">
            <v>30523062900</v>
          </cell>
        </row>
        <row r="67">
          <cell r="A67" t="str">
            <v>CRES</v>
          </cell>
          <cell r="B67" t="str">
            <v>CRES.BA</v>
          </cell>
          <cell r="C67" t="str">
            <v>Real Estate</v>
          </cell>
          <cell r="D67" t="str">
            <v>CRESUD S.A.</v>
          </cell>
          <cell r="E67">
            <v>25006893779.400002</v>
          </cell>
        </row>
        <row r="68">
          <cell r="A68" t="str">
            <v>CTIO</v>
          </cell>
          <cell r="B68" t="str">
            <v>CTIO.BA</v>
          </cell>
          <cell r="C68" t="str">
            <v>Real Estate</v>
          </cell>
          <cell r="D68" t="str">
            <v>CONSULTATIO S.A.</v>
          </cell>
          <cell r="E68">
            <v>19675522992</v>
          </cell>
        </row>
        <row r="69">
          <cell r="A69" t="str">
            <v>PAMP</v>
          </cell>
          <cell r="B69" t="str">
            <v>PAMP.BA</v>
          </cell>
          <cell r="C69" t="str">
            <v>Utilities</v>
          </cell>
          <cell r="D69" t="str">
            <v>PAMPA ENERGIA S.A</v>
          </cell>
          <cell r="E69">
            <v>97112258393.100006</v>
          </cell>
        </row>
        <row r="70">
          <cell r="A70" t="str">
            <v>EDN</v>
          </cell>
          <cell r="B70" t="str">
            <v>EDN.BA</v>
          </cell>
          <cell r="C70" t="str">
            <v>Utilities</v>
          </cell>
          <cell r="D70" t="str">
            <v>EMPRESA DISTRIB. Y COMERCIALZADORA NORTE S.A. (EDENOR S.A.)</v>
          </cell>
          <cell r="E70">
            <v>46455823875</v>
          </cell>
        </row>
        <row r="71">
          <cell r="A71" t="str">
            <v>TRAN</v>
          </cell>
          <cell r="B71" t="str">
            <v>TRAN.BA</v>
          </cell>
          <cell r="C71" t="str">
            <v>Utilities</v>
          </cell>
          <cell r="D71" t="str">
            <v>TRANSENER CIA. DE TRANSP. DE ENERGIA ELECTR. EN ALTA TENSION</v>
          </cell>
          <cell r="E71">
            <v>22500494027</v>
          </cell>
        </row>
        <row r="72">
          <cell r="A72" t="str">
            <v>METR</v>
          </cell>
          <cell r="B72" t="str">
            <v>METR.BA</v>
          </cell>
          <cell r="C72" t="str">
            <v>Utilities</v>
          </cell>
          <cell r="D72" t="str">
            <v>METROGAS S.A.</v>
          </cell>
          <cell r="E72">
            <v>13103718793.200001</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10608334638</v>
          </cell>
        </row>
        <row r="75">
          <cell r="A75" t="str">
            <v>CGPA2</v>
          </cell>
          <cell r="B75" t="str">
            <v>CGPA2.BA</v>
          </cell>
          <cell r="C75" t="str">
            <v>Utilities</v>
          </cell>
          <cell r="D75" t="str">
            <v>CAMUZZI GAS PAMPEANA S.A.</v>
          </cell>
          <cell r="E75">
            <v>10664993568</v>
          </cell>
        </row>
        <row r="76">
          <cell r="A76" t="str">
            <v>DGCU2</v>
          </cell>
          <cell r="B76" t="str">
            <v>DGCU2.BA</v>
          </cell>
          <cell r="C76" t="str">
            <v>Utilities</v>
          </cell>
          <cell r="D76" t="str">
            <v>DISTRIBUIDORA DE GAS CUYANA S.A.</v>
          </cell>
          <cell r="E76">
            <v>7689348944</v>
          </cell>
        </row>
        <row r="77">
          <cell r="A77" t="str">
            <v>CEPU</v>
          </cell>
          <cell r="B77" t="str">
            <v>CEPU.BA</v>
          </cell>
          <cell r="C77" t="str">
            <v>Utilities</v>
          </cell>
          <cell r="D77" t="str">
            <v>CENTRAL PUERTO S.A.</v>
          </cell>
          <cell r="E77">
            <v>7999673427.8999996</v>
          </cell>
        </row>
        <row r="78">
          <cell r="A78" t="str">
            <v>CECO2</v>
          </cell>
          <cell r="B78" t="str">
            <v>CECO2.BA</v>
          </cell>
          <cell r="C78" t="str">
            <v>Utilities</v>
          </cell>
          <cell r="D78" t="str">
            <v>ENEL GENERACION COSTANERA S.A.</v>
          </cell>
          <cell r="E78">
            <v>6247696564.1999998</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29001867447</v>
          </cell>
        </row>
      </sheetData>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A1:AD107"/>
  <sheetViews>
    <sheetView tabSelected="1" zoomScale="80" zoomScaleNormal="80" zoomScaleSheetLayoutView="70" workbookViewId="0">
      <selection activeCell="R14" sqref="R14"/>
    </sheetView>
  </sheetViews>
  <sheetFormatPr baseColWidth="10" defaultRowHeight="15" x14ac:dyDescent="0.25"/>
  <cols>
    <col min="1" max="1" width="8.5703125" bestFit="1" customWidth="1"/>
    <col min="2" max="2" width="10.28515625" bestFit="1" customWidth="1"/>
    <col min="3" max="3" width="10.7109375" bestFit="1" customWidth="1"/>
    <col min="4" max="4" width="10.28515625" bestFit="1" customWidth="1"/>
    <col min="5" max="5" width="10.7109375" bestFit="1" customWidth="1"/>
    <col min="6" max="7" width="10.28515625" bestFit="1" customWidth="1"/>
    <col min="8" max="8" width="10.7109375" bestFit="1" customWidth="1"/>
    <col min="9" max="11" width="11.140625" bestFit="1" customWidth="1"/>
    <col min="12" max="12" width="10" bestFit="1" customWidth="1"/>
    <col min="13" max="13" width="2.85546875" customWidth="1"/>
    <col min="15" max="15" width="9.42578125" bestFit="1" customWidth="1"/>
    <col min="16" max="16" width="24.140625" customWidth="1"/>
    <col min="17" max="17" width="13" customWidth="1"/>
    <col min="19" max="19" width="12.7109375" bestFit="1" customWidth="1"/>
  </cols>
  <sheetData>
    <row r="1" spans="1:30" ht="35.25" customHeight="1" x14ac:dyDescent="0.6">
      <c r="A1" s="1" t="s">
        <v>0</v>
      </c>
    </row>
    <row r="2" spans="1:30" x14ac:dyDescent="0.25">
      <c r="A2" t="s">
        <v>390</v>
      </c>
    </row>
    <row r="4" spans="1:30" ht="28.5" x14ac:dyDescent="0.45">
      <c r="A4" s="2" t="s">
        <v>1</v>
      </c>
    </row>
    <row r="5" spans="1:30" ht="18.75" x14ac:dyDescent="0.25">
      <c r="A5" s="3" t="s">
        <v>2</v>
      </c>
    </row>
    <row r="6" spans="1:30" ht="15.75" thickBot="1" x14ac:dyDescent="0.3">
      <c r="A6" s="4"/>
    </row>
    <row r="7" spans="1:30" ht="27" thickBot="1" x14ac:dyDescent="0.45">
      <c r="A7" s="5"/>
      <c r="B7" s="6">
        <v>-0.2</v>
      </c>
      <c r="C7" s="7">
        <v>-0.15000000000000002</v>
      </c>
      <c r="D7" s="7">
        <v>-0.1</v>
      </c>
      <c r="E7" s="7">
        <v>-0.05</v>
      </c>
      <c r="F7" s="7">
        <v>0</v>
      </c>
      <c r="G7" s="7">
        <v>5.0000000000000017E-2</v>
      </c>
      <c r="H7" s="7">
        <v>0.10000000000000002</v>
      </c>
      <c r="I7" s="7">
        <v>0.15000000000000002</v>
      </c>
      <c r="J7" s="8">
        <v>0.2</v>
      </c>
    </row>
    <row r="8" spans="1:30" ht="11.25" customHeight="1" x14ac:dyDescent="0.25"/>
    <row r="9" spans="1:30" ht="12" customHeight="1" x14ac:dyDescent="0.25">
      <c r="B9" s="9" t="s">
        <v>3</v>
      </c>
      <c r="C9" s="10"/>
      <c r="D9" s="10"/>
      <c r="E9" s="10"/>
      <c r="F9" s="10"/>
      <c r="G9" s="10"/>
      <c r="H9" s="10"/>
      <c r="I9" s="10"/>
      <c r="J9" s="10"/>
      <c r="K9" s="10"/>
      <c r="L9" s="11"/>
    </row>
    <row r="10" spans="1:30" x14ac:dyDescent="0.25">
      <c r="A10" s="12" t="s">
        <v>4</v>
      </c>
      <c r="B10" s="13" t="s">
        <v>391</v>
      </c>
      <c r="C10" s="13" t="s">
        <v>392</v>
      </c>
      <c r="D10" s="13" t="s">
        <v>393</v>
      </c>
      <c r="E10" s="13" t="s">
        <v>394</v>
      </c>
      <c r="F10" s="13" t="s">
        <v>395</v>
      </c>
      <c r="G10" s="13" t="s">
        <v>396</v>
      </c>
      <c r="H10" s="13" t="s">
        <v>397</v>
      </c>
      <c r="I10" s="13" t="s">
        <v>398</v>
      </c>
      <c r="J10" s="13" t="s">
        <v>399</v>
      </c>
      <c r="K10" s="13" t="s">
        <v>400</v>
      </c>
      <c r="L10" s="14" t="s">
        <v>401</v>
      </c>
      <c r="N10" s="15" t="s">
        <v>402</v>
      </c>
      <c r="O10" s="16" t="s">
        <v>4</v>
      </c>
      <c r="P10" s="17" t="s">
        <v>5</v>
      </c>
      <c r="Q10" s="18" t="s">
        <v>6</v>
      </c>
    </row>
    <row r="11" spans="1:30" x14ac:dyDescent="0.25">
      <c r="A11" s="19"/>
      <c r="B11" s="20"/>
      <c r="C11" s="20"/>
      <c r="D11" s="20"/>
      <c r="E11" s="20"/>
      <c r="F11" s="20"/>
      <c r="G11" s="20"/>
      <c r="H11" s="20"/>
      <c r="I11" s="20"/>
      <c r="J11" s="20"/>
      <c r="K11" s="20"/>
      <c r="L11" s="21"/>
      <c r="N11" s="22"/>
      <c r="O11" s="23"/>
      <c r="P11" s="24"/>
      <c r="Q11" s="25"/>
    </row>
    <row r="12" spans="1:30" x14ac:dyDescent="0.25">
      <c r="A12" s="26" t="s">
        <v>7</v>
      </c>
      <c r="B12" s="27">
        <v>0</v>
      </c>
      <c r="C12" s="27">
        <v>6.0240963855420215E-3</v>
      </c>
      <c r="D12" s="27">
        <v>0.49700598802395213</v>
      </c>
      <c r="E12" s="27">
        <v>-5.5999999999999939E-2</v>
      </c>
      <c r="F12" s="27">
        <v>-0.25000000000000011</v>
      </c>
      <c r="G12" s="27">
        <v>-3.9548022598870025E-2</v>
      </c>
      <c r="H12" s="27">
        <v>-5.8823529411764719E-2</v>
      </c>
      <c r="I12" s="27">
        <v>0</v>
      </c>
      <c r="J12" s="27">
        <v>0.1875</v>
      </c>
      <c r="K12" s="27">
        <v>-5.2631578947368474E-2</v>
      </c>
      <c r="L12" s="27">
        <v>-0.15555555555555556</v>
      </c>
      <c r="M12" s="28"/>
      <c r="N12" s="27">
        <v>0.21052631578947367</v>
      </c>
      <c r="O12" s="29" t="s">
        <v>7</v>
      </c>
      <c r="P12" s="30"/>
      <c r="Q12" s="27">
        <v>0.10843373493975861</v>
      </c>
      <c r="S12" s="31"/>
      <c r="T12" s="31"/>
      <c r="U12" s="31"/>
      <c r="V12" s="31"/>
      <c r="W12" s="31"/>
      <c r="X12" s="31"/>
      <c r="Y12" s="31"/>
      <c r="Z12" s="31"/>
      <c r="AA12" s="31"/>
      <c r="AB12" s="31"/>
      <c r="AC12" s="31"/>
      <c r="AD12" s="31"/>
    </row>
    <row r="13" spans="1:30" x14ac:dyDescent="0.25">
      <c r="A13" s="32" t="s">
        <v>8</v>
      </c>
      <c r="B13" s="27">
        <v>-2.314814814814814E-2</v>
      </c>
      <c r="C13" s="27">
        <v>-0.23992890995260663</v>
      </c>
      <c r="D13" s="27">
        <v>-7.8721745908028162E-2</v>
      </c>
      <c r="E13" s="27">
        <v>4.9915397631133507E-2</v>
      </c>
      <c r="F13" s="27">
        <v>-9.0249798549556726E-2</v>
      </c>
      <c r="G13" s="27">
        <v>0.28343666961913194</v>
      </c>
      <c r="H13" s="27">
        <v>-0.11663216011042099</v>
      </c>
      <c r="I13" s="27">
        <v>0.21875</v>
      </c>
      <c r="J13" s="27">
        <v>3.2051282051282159E-2</v>
      </c>
      <c r="K13" s="27">
        <v>0.16521739130434776</v>
      </c>
      <c r="L13" s="27">
        <v>-6.6098081023454158E-2</v>
      </c>
      <c r="M13" s="28"/>
      <c r="N13" s="27">
        <v>0.1067351598173516</v>
      </c>
      <c r="O13" s="29" t="s">
        <v>8</v>
      </c>
      <c r="P13" s="30"/>
      <c r="Q13" s="27">
        <v>0.12210648148148096</v>
      </c>
      <c r="S13" s="31"/>
      <c r="T13" s="31"/>
      <c r="U13" s="31"/>
      <c r="V13" s="31"/>
      <c r="W13" s="31"/>
      <c r="X13" s="31"/>
      <c r="Y13" s="31"/>
      <c r="Z13" s="31"/>
      <c r="AA13" s="31"/>
      <c r="AB13" s="31"/>
      <c r="AC13" s="31"/>
      <c r="AD13" s="31"/>
    </row>
    <row r="14" spans="1:30" x14ac:dyDescent="0.25">
      <c r="A14" s="32" t="s">
        <v>9</v>
      </c>
      <c r="B14" s="27">
        <v>3.7037037037036979E-2</v>
      </c>
      <c r="C14" s="27">
        <v>-7.1428571428571397E-2</v>
      </c>
      <c r="D14" s="27">
        <v>-0.19230769230769229</v>
      </c>
      <c r="E14" s="27">
        <v>-2.3809523809523836E-2</v>
      </c>
      <c r="F14" s="27">
        <v>8.4709875361411724E-2</v>
      </c>
      <c r="G14" s="27">
        <v>0.5</v>
      </c>
      <c r="H14" s="27">
        <v>6.0606060606060552E-2</v>
      </c>
      <c r="I14" s="27">
        <v>0.1100000000000001</v>
      </c>
      <c r="J14" s="27">
        <v>0.28700128700128702</v>
      </c>
      <c r="K14" s="27">
        <v>0.10000000000000009</v>
      </c>
      <c r="L14" s="27">
        <v>0.18181818181818188</v>
      </c>
      <c r="M14" s="28"/>
      <c r="N14" s="27">
        <v>7.6923076923076872E-2</v>
      </c>
      <c r="O14" s="29" t="s">
        <v>9</v>
      </c>
      <c r="P14" s="30"/>
      <c r="Q14" s="27">
        <v>1.620469143339438</v>
      </c>
      <c r="S14" s="31"/>
      <c r="T14" s="31"/>
      <c r="U14" s="31"/>
      <c r="V14" s="31"/>
      <c r="W14" s="31"/>
      <c r="X14" s="31"/>
      <c r="Y14" s="31"/>
      <c r="Z14" s="31"/>
      <c r="AA14" s="31"/>
      <c r="AB14" s="31"/>
      <c r="AC14" s="31"/>
      <c r="AD14" s="31"/>
    </row>
    <row r="15" spans="1:30" x14ac:dyDescent="0.25">
      <c r="A15" s="32" t="s">
        <v>10</v>
      </c>
      <c r="B15" s="27">
        <v>3.8262668045501602E-2</v>
      </c>
      <c r="C15" s="27">
        <v>-0.19908135016604334</v>
      </c>
      <c r="D15" s="27">
        <v>-5.1964512040557742E-2</v>
      </c>
      <c r="E15" s="27">
        <v>0.14973262032085577</v>
      </c>
      <c r="F15" s="27">
        <v>-3.1395348837209291E-2</v>
      </c>
      <c r="G15" s="27">
        <v>0.10444177671068422</v>
      </c>
      <c r="H15" s="27">
        <v>-0.18478260869565222</v>
      </c>
      <c r="I15" s="27">
        <v>4.5333333333333448E-2</v>
      </c>
      <c r="J15" s="27">
        <v>-4.8469387755102233E-2</v>
      </c>
      <c r="K15" s="27">
        <v>0.13941018766756041</v>
      </c>
      <c r="L15" s="27">
        <v>8.2352941176470518E-2</v>
      </c>
      <c r="M15" s="28"/>
      <c r="N15" s="27">
        <v>7.6086956521739024E-2</v>
      </c>
      <c r="O15" s="29" t="s">
        <v>10</v>
      </c>
      <c r="P15" s="30"/>
      <c r="Q15" s="27">
        <v>4.3407217897800221E-2</v>
      </c>
      <c r="S15" s="31"/>
      <c r="T15" s="31"/>
      <c r="U15" s="31"/>
      <c r="V15" s="31"/>
      <c r="W15" s="31"/>
      <c r="X15" s="31"/>
      <c r="Y15" s="31"/>
      <c r="Z15" s="31"/>
      <c r="AA15" s="31"/>
      <c r="AB15" s="31"/>
      <c r="AC15" s="31"/>
      <c r="AD15" s="31"/>
    </row>
    <row r="16" spans="1:30" x14ac:dyDescent="0.25">
      <c r="A16" s="32" t="s">
        <v>11</v>
      </c>
      <c r="B16" s="27">
        <v>0.2455197132616489</v>
      </c>
      <c r="C16" s="27">
        <v>-0.19077058242690559</v>
      </c>
      <c r="D16" s="27">
        <v>-8.5714285714285632E-2</v>
      </c>
      <c r="E16" s="27">
        <v>0.11328125</v>
      </c>
      <c r="F16" s="27">
        <v>8.0701754385964941E-2</v>
      </c>
      <c r="G16" s="27">
        <v>7.7922077922077948E-2</v>
      </c>
      <c r="H16" s="27">
        <v>0.12951807228915646</v>
      </c>
      <c r="I16" s="27">
        <v>0</v>
      </c>
      <c r="J16" s="27">
        <v>-3.2000000000000028E-2</v>
      </c>
      <c r="K16" s="27">
        <v>0.12947658402203865</v>
      </c>
      <c r="L16" s="27">
        <v>-4.2682926829268331E-2</v>
      </c>
      <c r="M16" s="28"/>
      <c r="N16" s="27">
        <v>6.7515923566878966E-2</v>
      </c>
      <c r="O16" s="29" t="s">
        <v>11</v>
      </c>
      <c r="P16" s="30"/>
      <c r="Q16" s="27">
        <v>0.50826710537873132</v>
      </c>
      <c r="S16" s="31"/>
      <c r="T16" s="31"/>
      <c r="U16" s="31"/>
      <c r="V16" s="31"/>
      <c r="W16" s="31"/>
      <c r="X16" s="31"/>
      <c r="Y16" s="31"/>
      <c r="Z16" s="31"/>
      <c r="AA16" s="31"/>
      <c r="AB16" s="31"/>
      <c r="AC16" s="31"/>
      <c r="AD16" s="31"/>
    </row>
    <row r="17" spans="1:30" x14ac:dyDescent="0.25">
      <c r="A17" s="32" t="s">
        <v>12</v>
      </c>
      <c r="B17" s="27">
        <v>4.2499999999999982E-2</v>
      </c>
      <c r="C17" s="27">
        <v>4.7961630695443569E-2</v>
      </c>
      <c r="D17" s="27">
        <v>0.12151029748283748</v>
      </c>
      <c r="E17" s="27">
        <v>4.060395837584152E-2</v>
      </c>
      <c r="F17" s="27">
        <v>0.19999999999999996</v>
      </c>
      <c r="G17" s="27">
        <v>6.2091503267973858E-2</v>
      </c>
      <c r="H17" s="27">
        <v>-8.4461538461538477E-2</v>
      </c>
      <c r="I17" s="27">
        <v>0.10015123508654011</v>
      </c>
      <c r="J17" s="27">
        <v>-2.5507866198258844E-2</v>
      </c>
      <c r="K17" s="27">
        <v>4.7021943573667624E-2</v>
      </c>
      <c r="L17" s="27">
        <v>1.646706586826352E-2</v>
      </c>
      <c r="M17" s="28"/>
      <c r="N17" s="27">
        <v>5.4491899852724623E-2</v>
      </c>
      <c r="O17" s="33" t="s">
        <v>12</v>
      </c>
      <c r="P17" s="30"/>
      <c r="Q17" s="27">
        <v>0.78999999999999915</v>
      </c>
      <c r="S17" s="31"/>
      <c r="T17" s="31"/>
      <c r="U17" s="31"/>
      <c r="V17" s="31"/>
      <c r="W17" s="31"/>
      <c r="X17" s="31"/>
      <c r="Y17" s="31"/>
      <c r="Z17" s="31"/>
      <c r="AA17" s="31"/>
      <c r="AB17" s="31"/>
      <c r="AC17" s="31"/>
      <c r="AD17" s="31"/>
    </row>
    <row r="18" spans="1:30" x14ac:dyDescent="0.25">
      <c r="A18" s="32" t="s">
        <v>13</v>
      </c>
      <c r="B18" s="27">
        <v>-0.10013171977698199</v>
      </c>
      <c r="C18" s="27">
        <v>1.1538461538461497E-2</v>
      </c>
      <c r="D18" s="27">
        <v>-0.14448669201520914</v>
      </c>
      <c r="E18" s="27">
        <v>6.6666666666666652E-2</v>
      </c>
      <c r="F18" s="27">
        <v>8.3333333333333259E-2</v>
      </c>
      <c r="G18" s="27">
        <v>0.21153846153846145</v>
      </c>
      <c r="H18" s="27">
        <v>-0.23809523809523814</v>
      </c>
      <c r="I18" s="27">
        <v>0.13749999999999996</v>
      </c>
      <c r="J18" s="27">
        <v>-1.0989010989011061E-2</v>
      </c>
      <c r="K18" s="27">
        <v>0.29629629629629628</v>
      </c>
      <c r="L18" s="27">
        <v>5.7142857142857162E-2</v>
      </c>
      <c r="M18" s="28"/>
      <c r="N18" s="27">
        <v>4.0540540540540571E-2</v>
      </c>
      <c r="O18" s="29" t="s">
        <v>13</v>
      </c>
      <c r="P18" s="30"/>
      <c r="Q18" s="27">
        <v>0.33249726109946875</v>
      </c>
      <c r="S18" s="31"/>
      <c r="T18" s="31"/>
      <c r="U18" s="31"/>
      <c r="V18" s="31"/>
      <c r="W18" s="31"/>
      <c r="X18" s="31"/>
      <c r="Y18" s="31"/>
      <c r="Z18" s="31"/>
      <c r="AA18" s="31"/>
      <c r="AB18" s="31"/>
      <c r="AC18" s="31"/>
      <c r="AD18" s="31"/>
    </row>
    <row r="19" spans="1:30" x14ac:dyDescent="0.25">
      <c r="A19" s="32" t="s">
        <v>14</v>
      </c>
      <c r="B19" s="27">
        <v>-1.4817781337605029E-2</v>
      </c>
      <c r="C19" s="27">
        <v>-0.10853658536585364</v>
      </c>
      <c r="D19" s="27">
        <v>-6.4751481988144177E-2</v>
      </c>
      <c r="E19" s="27">
        <v>7.9473427596294499E-2</v>
      </c>
      <c r="F19" s="27">
        <v>0.12827461607949409</v>
      </c>
      <c r="G19" s="27">
        <v>0.15212169735788628</v>
      </c>
      <c r="H19" s="27">
        <v>-9.7289784572619831E-2</v>
      </c>
      <c r="I19" s="27">
        <v>0</v>
      </c>
      <c r="J19" s="27">
        <v>-8.391070053887606E-2</v>
      </c>
      <c r="K19" s="27">
        <v>4.0336134453781591E-2</v>
      </c>
      <c r="L19" s="27">
        <v>-5.5331179321486235E-2</v>
      </c>
      <c r="M19" s="28"/>
      <c r="N19" s="27">
        <v>3.8050448909790591E-2</v>
      </c>
      <c r="O19" s="33" t="s">
        <v>14</v>
      </c>
      <c r="P19" s="30"/>
      <c r="Q19" s="27">
        <v>-2.7633159791749962E-2</v>
      </c>
      <c r="S19" s="31"/>
      <c r="T19" s="31"/>
      <c r="U19" s="31"/>
      <c r="V19" s="31"/>
      <c r="W19" s="31"/>
      <c r="X19" s="31"/>
      <c r="Y19" s="31"/>
      <c r="Z19" s="31"/>
      <c r="AA19" s="31"/>
      <c r="AB19" s="31"/>
      <c r="AC19" s="31"/>
      <c r="AD19" s="31"/>
    </row>
    <row r="20" spans="1:30" x14ac:dyDescent="0.25">
      <c r="A20" s="32" t="s">
        <v>15</v>
      </c>
      <c r="B20" s="27">
        <v>4.1871921182266014E-2</v>
      </c>
      <c r="C20" s="27">
        <v>-4.7281323877068626E-3</v>
      </c>
      <c r="D20" s="27">
        <v>3.5629453681709222E-3</v>
      </c>
      <c r="E20" s="27">
        <v>9.9408284023668747E-2</v>
      </c>
      <c r="F20" s="27">
        <v>0.1829924650161463</v>
      </c>
      <c r="G20" s="27">
        <v>4.9135577797998264E-2</v>
      </c>
      <c r="H20" s="27">
        <v>-0.27146574154379877</v>
      </c>
      <c r="I20" s="27">
        <v>8.7643019469852756E-2</v>
      </c>
      <c r="J20" s="27">
        <v>2.5114155251141579E-2</v>
      </c>
      <c r="K20" s="27">
        <v>0.11358574610244987</v>
      </c>
      <c r="L20" s="27">
        <v>-3.5000000000000031E-2</v>
      </c>
      <c r="M20" s="28"/>
      <c r="N20" s="27">
        <v>2.1761658031087983E-2</v>
      </c>
      <c r="O20" s="29" t="s">
        <v>15</v>
      </c>
      <c r="P20" s="30"/>
      <c r="Q20" s="27">
        <v>0.26643365280736231</v>
      </c>
      <c r="S20" s="31"/>
      <c r="T20" s="31"/>
      <c r="U20" s="31"/>
      <c r="V20" s="31"/>
      <c r="W20" s="31"/>
      <c r="X20" s="31"/>
      <c r="Y20" s="31"/>
      <c r="Z20" s="31"/>
      <c r="AA20" s="31"/>
      <c r="AB20" s="31"/>
      <c r="AC20" s="31"/>
      <c r="AD20" s="31"/>
    </row>
    <row r="21" spans="1:30" x14ac:dyDescent="0.25">
      <c r="A21" s="32" t="s">
        <v>16</v>
      </c>
      <c r="B21" s="27">
        <v>-4.8415492957746498E-2</v>
      </c>
      <c r="C21" s="27">
        <v>2.4051803885291489E-2</v>
      </c>
      <c r="D21" s="27">
        <v>-0.14634146341463417</v>
      </c>
      <c r="E21" s="27">
        <v>6.3492063492063266E-3</v>
      </c>
      <c r="F21" s="27">
        <v>-4.5215562565720235E-2</v>
      </c>
      <c r="G21" s="27">
        <v>0.12995594713656389</v>
      </c>
      <c r="H21" s="27">
        <v>-0.21052631578947367</v>
      </c>
      <c r="I21" s="27">
        <v>0.18888888888888888</v>
      </c>
      <c r="J21" s="27">
        <v>5.8151609553478867E-2</v>
      </c>
      <c r="K21" s="27">
        <v>5.0049067713444417E-2</v>
      </c>
      <c r="L21" s="27">
        <v>-6.074766355140182E-2</v>
      </c>
      <c r="M21" s="28"/>
      <c r="N21" s="27">
        <v>2.0895522388059584E-2</v>
      </c>
      <c r="O21" s="29" t="s">
        <v>16</v>
      </c>
      <c r="P21" s="30"/>
      <c r="Q21" s="27">
        <v>-9.6830985915492773E-2</v>
      </c>
      <c r="S21" s="31"/>
      <c r="T21" s="31"/>
      <c r="U21" s="31"/>
      <c r="V21" s="31"/>
      <c r="W21" s="31"/>
      <c r="X21" s="31"/>
      <c r="Y21" s="31"/>
      <c r="Z21" s="31"/>
      <c r="AA21" s="31"/>
      <c r="AB21" s="31"/>
      <c r="AC21" s="31"/>
      <c r="AD21" s="31"/>
    </row>
    <row r="22" spans="1:30" x14ac:dyDescent="0.25">
      <c r="A22" s="32" t="s">
        <v>17</v>
      </c>
      <c r="B22" s="27">
        <v>0.13776265167209245</v>
      </c>
      <c r="C22" s="27">
        <v>0.17336454675510482</v>
      </c>
      <c r="D22" s="27">
        <v>0.15706051873198845</v>
      </c>
      <c r="E22" s="27">
        <v>-3.2665964172813644E-2</v>
      </c>
      <c r="F22" s="27">
        <v>0.23717567835214903</v>
      </c>
      <c r="G22" s="27">
        <v>0.11358360681981927</v>
      </c>
      <c r="H22" s="27">
        <v>-0.24166187464059807</v>
      </c>
      <c r="I22" s="27">
        <v>-0.11981042654028429</v>
      </c>
      <c r="J22" s="27">
        <v>-0.11565797975446912</v>
      </c>
      <c r="K22" s="27">
        <v>0.13395031660983925</v>
      </c>
      <c r="L22" s="27">
        <v>0.11941580756013748</v>
      </c>
      <c r="M22" s="28"/>
      <c r="N22" s="27">
        <v>2.0625479662317758E-2</v>
      </c>
      <c r="O22" s="29" t="s">
        <v>17</v>
      </c>
      <c r="P22" s="30"/>
      <c r="Q22" s="27">
        <v>0.57428233205090295</v>
      </c>
      <c r="S22" s="31"/>
      <c r="T22" s="31"/>
      <c r="U22" s="31"/>
      <c r="V22" s="31"/>
      <c r="W22" s="31"/>
      <c r="X22" s="31"/>
      <c r="Y22" s="31"/>
      <c r="Z22" s="31"/>
      <c r="AA22" s="31"/>
      <c r="AB22" s="31"/>
      <c r="AC22" s="31"/>
      <c r="AD22" s="31"/>
    </row>
    <row r="23" spans="1:30" x14ac:dyDescent="0.25">
      <c r="A23" s="32" t="s">
        <v>18</v>
      </c>
      <c r="B23" s="27">
        <v>-3.8961038961038974E-2</v>
      </c>
      <c r="C23" s="27">
        <v>1.3513513513513375E-2</v>
      </c>
      <c r="D23" s="27">
        <v>-0.12</v>
      </c>
      <c r="E23" s="27">
        <v>0.16287878787878785</v>
      </c>
      <c r="F23" s="27">
        <v>0.2703583061889252</v>
      </c>
      <c r="G23" s="27">
        <v>0.14871794871794863</v>
      </c>
      <c r="H23" s="27">
        <v>-0.32812499999999989</v>
      </c>
      <c r="I23" s="27">
        <v>0.13289036544850497</v>
      </c>
      <c r="J23" s="27">
        <v>-4.3988269794721369E-2</v>
      </c>
      <c r="K23" s="27">
        <v>0.1042944785276072</v>
      </c>
      <c r="L23" s="27">
        <v>-1.388888888888884E-2</v>
      </c>
      <c r="M23" s="28"/>
      <c r="N23" s="27">
        <v>1.6901408450704203E-2</v>
      </c>
      <c r="O23" s="29" t="s">
        <v>18</v>
      </c>
      <c r="P23" s="30"/>
      <c r="Q23" s="27">
        <v>0.17207792207792227</v>
      </c>
      <c r="S23" s="31"/>
      <c r="T23" s="31"/>
      <c r="U23" s="31"/>
      <c r="V23" s="31"/>
      <c r="W23" s="31"/>
      <c r="X23" s="31"/>
      <c r="Y23" s="31"/>
      <c r="Z23" s="31"/>
      <c r="AA23" s="31"/>
      <c r="AB23" s="31"/>
      <c r="AC23" s="31"/>
      <c r="AD23" s="31"/>
    </row>
    <row r="24" spans="1:30" x14ac:dyDescent="0.25">
      <c r="A24" s="32" t="s">
        <v>19</v>
      </c>
      <c r="B24" s="27">
        <v>-4.5259938830597313E-2</v>
      </c>
      <c r="C24" s="27">
        <v>8.0076873801277815E-2</v>
      </c>
      <c r="D24" s="27">
        <v>-0.17971530249256629</v>
      </c>
      <c r="E24" s="27">
        <v>0.33492006085044701</v>
      </c>
      <c r="F24" s="27">
        <v>0.1020823481408899</v>
      </c>
      <c r="G24" s="27">
        <v>0.23934417965239208</v>
      </c>
      <c r="H24" s="27">
        <v>-0.13411078717201164</v>
      </c>
      <c r="I24" s="27">
        <v>0.11063011063011063</v>
      </c>
      <c r="J24" s="27">
        <v>-5.0238198354265906E-2</v>
      </c>
      <c r="K24" s="27">
        <v>0.14774281805745537</v>
      </c>
      <c r="L24" s="27">
        <v>-9.0186730234406043E-2</v>
      </c>
      <c r="M24" s="28"/>
      <c r="N24" s="27">
        <v>1.6593886462882068E-2</v>
      </c>
      <c r="O24" s="29" t="s">
        <v>19</v>
      </c>
      <c r="P24" s="30"/>
      <c r="Q24" s="27">
        <v>0.49539690195856267</v>
      </c>
      <c r="S24" s="31"/>
      <c r="T24" s="31"/>
      <c r="U24" s="31"/>
      <c r="V24" s="31"/>
      <c r="W24" s="31"/>
      <c r="X24" s="31"/>
      <c r="Y24" s="31"/>
      <c r="Z24" s="31"/>
      <c r="AA24" s="31"/>
      <c r="AB24" s="31"/>
      <c r="AC24" s="31"/>
      <c r="AD24" s="31"/>
    </row>
    <row r="25" spans="1:30" x14ac:dyDescent="0.25">
      <c r="A25" s="32" t="s">
        <v>20</v>
      </c>
      <c r="B25" s="27">
        <v>-7.6108537392456377E-3</v>
      </c>
      <c r="C25" s="27">
        <v>-0.1912769284071536</v>
      </c>
      <c r="D25" s="27">
        <v>-4.170141784820669E-3</v>
      </c>
      <c r="E25" s="27">
        <v>6.365159128978215E-2</v>
      </c>
      <c r="F25" s="27">
        <v>-0.13385826771653542</v>
      </c>
      <c r="G25" s="27">
        <v>0.45454545454545459</v>
      </c>
      <c r="H25" s="27">
        <v>-0.17500000000000004</v>
      </c>
      <c r="I25" s="27">
        <v>0.13560606060606073</v>
      </c>
      <c r="J25" s="27">
        <v>-6.1040693795863965E-2</v>
      </c>
      <c r="K25" s="27">
        <v>0.1936056838365896</v>
      </c>
      <c r="L25" s="27">
        <v>-0.13988095238095233</v>
      </c>
      <c r="M25" s="28"/>
      <c r="N25" s="27">
        <v>8.65051903114189E-3</v>
      </c>
      <c r="O25" s="29" t="s">
        <v>20</v>
      </c>
      <c r="P25" s="30"/>
      <c r="Q25" s="27">
        <v>-2.4401286130546151E-2</v>
      </c>
      <c r="S25" s="31"/>
      <c r="T25" s="31"/>
      <c r="U25" s="31"/>
      <c r="V25" s="31"/>
      <c r="W25" s="31"/>
      <c r="X25" s="31"/>
      <c r="Y25" s="31"/>
      <c r="Z25" s="31"/>
      <c r="AA25" s="31"/>
      <c r="AB25" s="31"/>
      <c r="AC25" s="31"/>
      <c r="AD25" s="31"/>
    </row>
    <row r="26" spans="1:30" x14ac:dyDescent="0.25">
      <c r="A26" s="32" t="s">
        <v>21</v>
      </c>
      <c r="B26" s="27">
        <v>-4.2424242424242364E-2</v>
      </c>
      <c r="C26" s="27">
        <v>5.6962025316455556E-2</v>
      </c>
      <c r="D26" s="27">
        <v>0.10778443113772451</v>
      </c>
      <c r="E26" s="27">
        <v>5.4054054054055722E-3</v>
      </c>
      <c r="F26" s="27">
        <v>0</v>
      </c>
      <c r="G26" s="27">
        <v>0.19892473118279574</v>
      </c>
      <c r="H26" s="27">
        <v>4.484304932735439E-3</v>
      </c>
      <c r="I26" s="27">
        <v>3.5714285714285809E-2</v>
      </c>
      <c r="J26" s="27">
        <v>0.10775862068965525</v>
      </c>
      <c r="K26" s="27">
        <v>3.8910505836575737E-3</v>
      </c>
      <c r="L26" s="27">
        <v>-3.8759689922480578E-2</v>
      </c>
      <c r="M26" s="28"/>
      <c r="N26" s="27">
        <v>8.0645161290322509E-3</v>
      </c>
      <c r="O26" s="29" t="s">
        <v>21</v>
      </c>
      <c r="P26" s="30"/>
      <c r="Q26" s="27">
        <v>0.5151515151515158</v>
      </c>
      <c r="S26" s="31"/>
      <c r="T26" s="31"/>
      <c r="U26" s="31"/>
      <c r="V26" s="31"/>
      <c r="W26" s="31"/>
      <c r="X26" s="31"/>
      <c r="Y26" s="31"/>
      <c r="Z26" s="31"/>
      <c r="AA26" s="31"/>
      <c r="AB26" s="31"/>
      <c r="AC26" s="31"/>
      <c r="AD26" s="31"/>
    </row>
    <row r="27" spans="1:30" x14ac:dyDescent="0.25">
      <c r="A27" s="32" t="s">
        <v>22</v>
      </c>
      <c r="B27" s="27">
        <v>-0.10972222222222228</v>
      </c>
      <c r="C27" s="27">
        <v>-0.16536661466458646</v>
      </c>
      <c r="D27" s="27">
        <v>-0.10280373831775702</v>
      </c>
      <c r="E27" s="27">
        <v>0</v>
      </c>
      <c r="F27" s="27">
        <v>-0.125</v>
      </c>
      <c r="G27" s="27">
        <v>0.14285714285714279</v>
      </c>
      <c r="H27" s="27">
        <v>-0.125</v>
      </c>
      <c r="I27" s="27">
        <v>-9.5238095238095233E-2</v>
      </c>
      <c r="J27" s="27">
        <v>1.3157894736842035E-2</v>
      </c>
      <c r="K27" s="27">
        <v>1.298701298701288E-2</v>
      </c>
      <c r="L27" s="27">
        <v>-8.2051282051282093E-2</v>
      </c>
      <c r="M27" s="28"/>
      <c r="N27" s="27">
        <v>5.5865921787709993E-3</v>
      </c>
      <c r="O27" s="29" t="s">
        <v>22</v>
      </c>
      <c r="P27" s="30"/>
      <c r="Q27" s="27">
        <v>-0.50000000000000011</v>
      </c>
      <c r="S27" s="31"/>
      <c r="T27" s="31"/>
      <c r="U27" s="31"/>
      <c r="V27" s="31"/>
      <c r="W27" s="31"/>
      <c r="X27" s="31"/>
      <c r="Y27" s="31"/>
      <c r="Z27" s="31"/>
      <c r="AA27" s="31"/>
      <c r="AB27" s="31"/>
      <c r="AC27" s="31"/>
      <c r="AD27" s="31"/>
    </row>
    <row r="28" spans="1:30" x14ac:dyDescent="0.25">
      <c r="A28" s="32" t="s">
        <v>23</v>
      </c>
      <c r="B28" s="27">
        <v>5.25362318839524E-2</v>
      </c>
      <c r="C28" s="27">
        <v>3.4132574940089144E-2</v>
      </c>
      <c r="D28" s="27">
        <v>-3.8012670894834732E-2</v>
      </c>
      <c r="E28" s="27">
        <v>0.10814558059350099</v>
      </c>
      <c r="F28" s="27">
        <v>0.27838598686282756</v>
      </c>
      <c r="G28" s="27">
        <v>0.21874235380253459</v>
      </c>
      <c r="H28" s="27">
        <v>0.16803854647978356</v>
      </c>
      <c r="I28" s="27">
        <v>-7.2929222361677315E-2</v>
      </c>
      <c r="J28" s="27">
        <v>-6.8971544206638535E-2</v>
      </c>
      <c r="K28" s="27">
        <v>0.20949329060684962</v>
      </c>
      <c r="L28" s="27">
        <v>2.4672959099188541E-2</v>
      </c>
      <c r="M28" s="28"/>
      <c r="N28" s="27">
        <v>4.6864899806078331E-3</v>
      </c>
      <c r="O28" s="29" t="s">
        <v>23</v>
      </c>
      <c r="P28" s="30"/>
      <c r="Q28" s="27">
        <v>1.2693718965880487</v>
      </c>
      <c r="S28" s="31"/>
      <c r="T28" s="31"/>
      <c r="U28" s="31"/>
      <c r="V28" s="31"/>
      <c r="W28" s="31"/>
      <c r="X28" s="31"/>
      <c r="Y28" s="31"/>
      <c r="Z28" s="31"/>
      <c r="AA28" s="31"/>
      <c r="AB28" s="31"/>
      <c r="AC28" s="31"/>
      <c r="AD28" s="31"/>
    </row>
    <row r="29" spans="1:30" x14ac:dyDescent="0.25">
      <c r="A29" s="32" t="s">
        <v>24</v>
      </c>
      <c r="B29" s="27">
        <v>0</v>
      </c>
      <c r="C29" s="27">
        <v>-3.0188679245283012E-2</v>
      </c>
      <c r="D29" s="27">
        <v>3.8910505836575959E-2</v>
      </c>
      <c r="E29" s="27">
        <v>2.2471910112359605E-2</v>
      </c>
      <c r="F29" s="27">
        <v>-1.0989010989011061E-2</v>
      </c>
      <c r="G29" s="27">
        <v>-3.703703703703709E-2</v>
      </c>
      <c r="H29" s="27">
        <v>3.8461538461538547E-2</v>
      </c>
      <c r="I29" s="27">
        <v>-3.703703703703709E-2</v>
      </c>
      <c r="J29" s="27">
        <v>-6.9230769230769207E-2</v>
      </c>
      <c r="K29" s="27">
        <v>1.2396694214876103E-2</v>
      </c>
      <c r="L29" s="27">
        <v>-4.0816326530612734E-3</v>
      </c>
      <c r="M29" s="28"/>
      <c r="N29" s="27">
        <v>4.098360655737654E-3</v>
      </c>
      <c r="O29" s="29" t="s">
        <v>24</v>
      </c>
      <c r="P29" s="30"/>
      <c r="Q29" s="27">
        <v>-7.547169811320753E-2</v>
      </c>
      <c r="S29" s="31"/>
      <c r="T29" s="31"/>
      <c r="U29" s="31"/>
      <c r="V29" s="31"/>
      <c r="W29" s="31"/>
      <c r="X29" s="31"/>
      <c r="Y29" s="31"/>
      <c r="Z29" s="31"/>
      <c r="AA29" s="31"/>
      <c r="AB29" s="31"/>
      <c r="AC29" s="31"/>
      <c r="AD29" s="31"/>
    </row>
    <row r="30" spans="1:30" x14ac:dyDescent="0.25">
      <c r="A30" s="32" t="s">
        <v>25</v>
      </c>
      <c r="B30" s="27">
        <v>-8.8825214899713401E-2</v>
      </c>
      <c r="C30" s="27">
        <v>7.5492828005235602E-2</v>
      </c>
      <c r="D30" s="27">
        <v>-0.15568862275449102</v>
      </c>
      <c r="E30" s="27">
        <v>0.11879432624113484</v>
      </c>
      <c r="F30" s="27">
        <v>0.137876386687797</v>
      </c>
      <c r="G30" s="27">
        <v>0.14623955431754876</v>
      </c>
      <c r="H30" s="27">
        <v>-0.172539489671932</v>
      </c>
      <c r="I30" s="27">
        <v>3.6710719530102853E-2</v>
      </c>
      <c r="J30" s="27">
        <v>-5.6657223796033995E-2</v>
      </c>
      <c r="K30" s="27">
        <v>0.15465465465465478</v>
      </c>
      <c r="L30" s="27">
        <v>3.5110533159947943E-2</v>
      </c>
      <c r="M30" s="28"/>
      <c r="N30" s="27">
        <v>3.7688442211056827E-3</v>
      </c>
      <c r="O30" s="29" t="s">
        <v>25</v>
      </c>
      <c r="P30" s="30"/>
      <c r="Q30" s="27">
        <v>0.17214011257667927</v>
      </c>
      <c r="S30" s="31"/>
      <c r="T30" s="31"/>
      <c r="U30" s="31"/>
      <c r="V30" s="31"/>
      <c r="W30" s="31"/>
      <c r="X30" s="31"/>
      <c r="Y30" s="31"/>
      <c r="Z30" s="31"/>
      <c r="AA30" s="31"/>
      <c r="AB30" s="31"/>
      <c r="AC30" s="31"/>
      <c r="AD30" s="31"/>
    </row>
    <row r="31" spans="1:30" x14ac:dyDescent="0.25">
      <c r="A31" s="32" t="s">
        <v>26</v>
      </c>
      <c r="B31" s="27">
        <v>-0.13948919449901775</v>
      </c>
      <c r="C31" s="27">
        <v>-1.826484018264829E-2</v>
      </c>
      <c r="D31" s="27">
        <v>0</v>
      </c>
      <c r="E31" s="27">
        <v>5.5813953488372148E-2</v>
      </c>
      <c r="F31" s="27">
        <v>-4.7356828193832579E-2</v>
      </c>
      <c r="G31" s="27">
        <v>0.17687861271676297</v>
      </c>
      <c r="H31" s="27">
        <v>-0.15520628683693516</v>
      </c>
      <c r="I31" s="27">
        <v>-2.3255813953488413E-2</v>
      </c>
      <c r="J31" s="27">
        <v>-0.11904761904761907</v>
      </c>
      <c r="K31" s="27">
        <v>0.17567567567567566</v>
      </c>
      <c r="L31" s="27">
        <v>-8.2758620689655227E-2</v>
      </c>
      <c r="M31" s="28"/>
      <c r="N31" s="27">
        <v>2.5062656641603454E-3</v>
      </c>
      <c r="O31" s="29" t="s">
        <v>26</v>
      </c>
      <c r="P31" s="30"/>
      <c r="Q31" s="27">
        <v>-0.21414538310412579</v>
      </c>
      <c r="S31" s="31"/>
      <c r="T31" s="31"/>
      <c r="U31" s="31"/>
      <c r="V31" s="31"/>
      <c r="W31" s="31"/>
      <c r="X31" s="31"/>
      <c r="Y31" s="31"/>
      <c r="Z31" s="31"/>
      <c r="AA31" s="31"/>
      <c r="AB31" s="31"/>
      <c r="AC31" s="31"/>
      <c r="AD31" s="31"/>
    </row>
    <row r="32" spans="1:30" x14ac:dyDescent="0.25">
      <c r="A32" s="32" t="s">
        <v>27</v>
      </c>
      <c r="B32" s="27">
        <v>5.8252427184465994E-2</v>
      </c>
      <c r="C32" s="27">
        <v>-0.11009174311926617</v>
      </c>
      <c r="D32" s="27">
        <v>-2.0618556701030855E-2</v>
      </c>
      <c r="E32" s="27">
        <v>0</v>
      </c>
      <c r="F32" s="27">
        <v>0</v>
      </c>
      <c r="G32" s="27">
        <v>7.3684210526315796E-2</v>
      </c>
      <c r="H32" s="27">
        <v>-0.16666666666666663</v>
      </c>
      <c r="I32" s="27">
        <v>-5.8823529411764719E-2</v>
      </c>
      <c r="J32" s="27">
        <v>0</v>
      </c>
      <c r="K32" s="27">
        <v>0</v>
      </c>
      <c r="L32" s="27">
        <v>0</v>
      </c>
      <c r="M32" s="28"/>
      <c r="N32" s="27">
        <v>0</v>
      </c>
      <c r="O32" s="29" t="s">
        <v>27</v>
      </c>
      <c r="P32" s="30"/>
      <c r="Q32" s="27">
        <v>-0.22330097087378642</v>
      </c>
      <c r="S32" s="31"/>
      <c r="T32" s="31"/>
      <c r="U32" s="31"/>
      <c r="V32" s="31"/>
      <c r="W32" s="31"/>
      <c r="X32" s="31"/>
      <c r="Y32" s="31"/>
      <c r="Z32" s="31"/>
      <c r="AA32" s="31"/>
      <c r="AB32" s="31"/>
      <c r="AC32" s="31"/>
      <c r="AD32" s="31"/>
    </row>
    <row r="33" spans="1:30" x14ac:dyDescent="0.25">
      <c r="A33" s="32" t="s">
        <v>28</v>
      </c>
      <c r="B33" s="27">
        <v>0</v>
      </c>
      <c r="C33" s="27">
        <v>-6.3829787234042534E-2</v>
      </c>
      <c r="D33" s="27">
        <v>0</v>
      </c>
      <c r="E33" s="27">
        <v>-2.2727272727272707E-2</v>
      </c>
      <c r="F33" s="27">
        <v>0</v>
      </c>
      <c r="G33" s="27">
        <v>0</v>
      </c>
      <c r="H33" s="27">
        <v>2.3255813953488413E-2</v>
      </c>
      <c r="I33" s="27">
        <v>-2.2727272727272707E-2</v>
      </c>
      <c r="J33" s="27">
        <v>6.9767441860465018E-2</v>
      </c>
      <c r="K33" s="27">
        <v>0</v>
      </c>
      <c r="L33" s="27">
        <v>-2.1739130434782594E-2</v>
      </c>
      <c r="M33" s="28"/>
      <c r="N33" s="27">
        <v>0</v>
      </c>
      <c r="O33" s="29" t="s">
        <v>28</v>
      </c>
      <c r="P33" s="30"/>
      <c r="Q33" s="27">
        <v>-4.2553191489361875E-2</v>
      </c>
      <c r="S33" s="31"/>
      <c r="T33" s="31"/>
      <c r="U33" s="31"/>
      <c r="V33" s="31"/>
      <c r="W33" s="31"/>
      <c r="X33" s="31"/>
      <c r="Y33" s="31"/>
      <c r="Z33" s="31"/>
      <c r="AA33" s="31"/>
      <c r="AB33" s="31"/>
      <c r="AC33" s="31"/>
      <c r="AD33" s="31"/>
    </row>
    <row r="34" spans="1:30" x14ac:dyDescent="0.25">
      <c r="A34" s="32" t="s">
        <v>29</v>
      </c>
      <c r="B34" s="27">
        <v>-9.0989424542379238E-3</v>
      </c>
      <c r="C34" s="27">
        <v>-2.0900107418118763E-2</v>
      </c>
      <c r="D34" s="27">
        <v>6.8187502727058869E-2</v>
      </c>
      <c r="E34" s="27">
        <v>3.5954371390038542E-2</v>
      </c>
      <c r="F34" s="27">
        <v>8.2114500428184245E-2</v>
      </c>
      <c r="G34" s="27">
        <v>8.8375053544524684E-2</v>
      </c>
      <c r="H34" s="27">
        <v>3.5256094921011671E-2</v>
      </c>
      <c r="I34" s="27">
        <v>2.2986393057836452E-2</v>
      </c>
      <c r="J34" s="27">
        <v>-1.0326086956521818E-2</v>
      </c>
      <c r="K34" s="27">
        <v>3.2399780340472306E-2</v>
      </c>
      <c r="L34" s="27">
        <v>-4.2553191489361653E-2</v>
      </c>
      <c r="M34" s="28"/>
      <c r="N34" s="27">
        <v>0</v>
      </c>
      <c r="O34" s="29" t="s">
        <v>29</v>
      </c>
      <c r="P34" s="30"/>
      <c r="Q34" s="27">
        <v>0.30999472094179104</v>
      </c>
      <c r="S34" s="31"/>
      <c r="T34" s="31"/>
      <c r="U34" s="31"/>
      <c r="V34" s="31"/>
      <c r="W34" s="31"/>
      <c r="X34" s="31"/>
      <c r="Y34" s="31"/>
      <c r="Z34" s="31"/>
      <c r="AA34" s="31"/>
      <c r="AB34" s="31"/>
      <c r="AC34" s="31"/>
      <c r="AD34" s="31"/>
    </row>
    <row r="35" spans="1:30" x14ac:dyDescent="0.25">
      <c r="A35" s="32" t="s">
        <v>30</v>
      </c>
      <c r="B35" s="27">
        <v>-0.10759493670886078</v>
      </c>
      <c r="C35" s="27">
        <v>6.3829787234042534E-2</v>
      </c>
      <c r="D35" s="27">
        <v>0.43333333333333335</v>
      </c>
      <c r="E35" s="27">
        <v>0.15348837209302313</v>
      </c>
      <c r="F35" s="27">
        <v>0.19023154171384848</v>
      </c>
      <c r="G35" s="27">
        <v>4.2105263157894646E-2</v>
      </c>
      <c r="H35" s="27">
        <v>-0.2087542087542088</v>
      </c>
      <c r="I35" s="27">
        <v>2.1276595744680771E-2</v>
      </c>
      <c r="J35" s="27">
        <v>-0.11250000000000004</v>
      </c>
      <c r="K35" s="27">
        <v>0.15023474178403751</v>
      </c>
      <c r="L35" s="27">
        <v>-6.1224489795918324E-2</v>
      </c>
      <c r="M35" s="28"/>
      <c r="N35" s="27">
        <v>0</v>
      </c>
      <c r="O35" s="29" t="s">
        <v>30</v>
      </c>
      <c r="P35" s="30"/>
      <c r="Q35" s="27">
        <v>0.50767948344121439</v>
      </c>
      <c r="S35" s="31"/>
      <c r="T35" s="31"/>
      <c r="U35" s="31"/>
      <c r="V35" s="31"/>
      <c r="W35" s="31"/>
      <c r="X35" s="31"/>
      <c r="Y35" s="31"/>
      <c r="Z35" s="31"/>
      <c r="AA35" s="31"/>
      <c r="AB35" s="31"/>
      <c r="AC35" s="31"/>
      <c r="AD35" s="31"/>
    </row>
    <row r="36" spans="1:30" x14ac:dyDescent="0.25">
      <c r="A36" s="32" t="s">
        <v>31</v>
      </c>
      <c r="B36" s="27">
        <v>-6.0747663551401709E-2</v>
      </c>
      <c r="C36" s="27">
        <v>-1.4925373134328401E-2</v>
      </c>
      <c r="D36" s="27">
        <v>-3.0303030303030387E-2</v>
      </c>
      <c r="E36" s="27">
        <v>6.7708333333333481E-2</v>
      </c>
      <c r="F36" s="27">
        <v>2.4390243902439046E-2</v>
      </c>
      <c r="G36" s="27">
        <v>-5.2380952380952417E-2</v>
      </c>
      <c r="H36" s="27">
        <v>-0.12060301507537685</v>
      </c>
      <c r="I36" s="27">
        <v>5.7142857142857828E-3</v>
      </c>
      <c r="J36" s="27">
        <v>-1.1363636363636576E-2</v>
      </c>
      <c r="K36" s="27">
        <v>6.7816091954022939E-2</v>
      </c>
      <c r="L36" s="27">
        <v>-4.1980624327233484E-2</v>
      </c>
      <c r="M36" s="28"/>
      <c r="N36" s="27">
        <v>0</v>
      </c>
      <c r="O36" s="29" t="s">
        <v>31</v>
      </c>
      <c r="P36" s="30"/>
      <c r="Q36" s="27">
        <v>-0.16822429906542047</v>
      </c>
      <c r="S36" s="31"/>
      <c r="T36" s="31"/>
      <c r="U36" s="31"/>
      <c r="V36" s="31"/>
      <c r="W36" s="31"/>
      <c r="X36" s="31"/>
      <c r="Y36" s="31"/>
      <c r="Z36" s="31"/>
      <c r="AA36" s="31"/>
      <c r="AB36" s="31"/>
      <c r="AC36" s="31"/>
      <c r="AD36" s="31"/>
    </row>
    <row r="37" spans="1:30" x14ac:dyDescent="0.25">
      <c r="A37" s="32" t="s">
        <v>32</v>
      </c>
      <c r="B37" s="27">
        <v>-0.13333333332877495</v>
      </c>
      <c r="C37" s="27">
        <v>-2.1646340912182538E-3</v>
      </c>
      <c r="D37" s="27">
        <v>-7.2164948443826704E-2</v>
      </c>
      <c r="E37" s="27">
        <v>-0.13888888888888895</v>
      </c>
      <c r="F37" s="27">
        <v>-9.5898892177788575E-2</v>
      </c>
      <c r="G37" s="27">
        <v>-0.10909090909090913</v>
      </c>
      <c r="H37" s="27">
        <v>-0.22448979591836737</v>
      </c>
      <c r="I37" s="27">
        <v>-1.9205899504810553E-3</v>
      </c>
      <c r="J37" s="27">
        <v>-1.8518518518518379E-2</v>
      </c>
      <c r="K37" s="27">
        <v>-0.16442048517520214</v>
      </c>
      <c r="L37" s="27">
        <v>1.0580645161290323</v>
      </c>
      <c r="M37" s="28"/>
      <c r="N37" s="27">
        <v>0</v>
      </c>
      <c r="O37" s="29" t="s">
        <v>32</v>
      </c>
      <c r="P37" s="30"/>
      <c r="Q37" s="27">
        <v>-0.27293567143476927</v>
      </c>
      <c r="S37" s="31"/>
      <c r="T37" s="31"/>
      <c r="U37" s="31"/>
      <c r="V37" s="31"/>
      <c r="W37" s="31"/>
      <c r="X37" s="31"/>
      <c r="Y37" s="31"/>
      <c r="Z37" s="31"/>
      <c r="AA37" s="31"/>
      <c r="AB37" s="31"/>
      <c r="AC37" s="31"/>
      <c r="AD37" s="31"/>
    </row>
    <row r="38" spans="1:30" x14ac:dyDescent="0.25">
      <c r="A38" s="32" t="s">
        <v>33</v>
      </c>
      <c r="B38" s="27">
        <v>-2.0408163265306145E-2</v>
      </c>
      <c r="C38" s="27">
        <v>-6.2499999999999778E-3</v>
      </c>
      <c r="D38" s="27">
        <v>8.4905660377358361E-2</v>
      </c>
      <c r="E38" s="27">
        <v>7.2463768115942129E-2</v>
      </c>
      <c r="F38" s="27">
        <v>-2.3423423423423406E-2</v>
      </c>
      <c r="G38" s="27">
        <v>0.14944649446494451</v>
      </c>
      <c r="H38" s="27">
        <v>-0.15730337078651679</v>
      </c>
      <c r="I38" s="27">
        <v>-1.4285714285714235E-2</v>
      </c>
      <c r="J38" s="27">
        <v>-7.7294685990338174E-2</v>
      </c>
      <c r="K38" s="27">
        <v>2.6178010471204161E-2</v>
      </c>
      <c r="L38" s="27">
        <v>-3.0612244897959218E-2</v>
      </c>
      <c r="M38" s="28"/>
      <c r="N38" s="27">
        <v>-1.0526315789473051E-3</v>
      </c>
      <c r="O38" s="29" t="s">
        <v>33</v>
      </c>
      <c r="P38" s="30"/>
      <c r="Q38" s="27">
        <v>-3.1632653061224203E-2</v>
      </c>
      <c r="S38" s="31"/>
      <c r="T38" s="31"/>
      <c r="U38" s="31"/>
      <c r="V38" s="31"/>
      <c r="W38" s="31"/>
      <c r="X38" s="31"/>
      <c r="Y38" s="31"/>
      <c r="Z38" s="31"/>
      <c r="AA38" s="31"/>
      <c r="AB38" s="31"/>
      <c r="AC38" s="31"/>
      <c r="AD38" s="31"/>
    </row>
    <row r="39" spans="1:30" x14ac:dyDescent="0.25">
      <c r="A39" s="32" t="s">
        <v>34</v>
      </c>
      <c r="B39" s="27">
        <v>-4.2553191489362874E-3</v>
      </c>
      <c r="C39" s="27">
        <v>-5.9829059829059728E-2</v>
      </c>
      <c r="D39" s="27">
        <v>8.181818181818179E-2</v>
      </c>
      <c r="E39" s="27">
        <v>-8.4033613445378075E-2</v>
      </c>
      <c r="F39" s="27">
        <v>0.16972477064220182</v>
      </c>
      <c r="G39" s="27">
        <v>-5.8823529411764719E-2</v>
      </c>
      <c r="H39" s="27">
        <v>-8.7500000000000022E-2</v>
      </c>
      <c r="I39" s="27">
        <v>-9.5397111403247026E-2</v>
      </c>
      <c r="J39" s="27">
        <v>-2.4704065877509063E-2</v>
      </c>
      <c r="K39" s="27">
        <v>2.9023746701847042E-2</v>
      </c>
      <c r="L39" s="27">
        <v>0.10846153846153839</v>
      </c>
      <c r="M39" s="28"/>
      <c r="N39" s="27">
        <v>-5.3203793661809051E-3</v>
      </c>
      <c r="O39" s="29" t="s">
        <v>34</v>
      </c>
      <c r="P39" s="30"/>
      <c r="Q39" s="27">
        <v>-6.7175632996176016E-2</v>
      </c>
      <c r="S39" s="31"/>
      <c r="T39" s="31"/>
      <c r="U39" s="31"/>
      <c r="V39" s="31"/>
      <c r="W39" s="31"/>
      <c r="X39" s="31"/>
      <c r="Y39" s="31"/>
      <c r="Z39" s="31"/>
      <c r="AA39" s="31"/>
      <c r="AB39" s="31"/>
      <c r="AC39" s="31"/>
      <c r="AD39" s="31"/>
    </row>
    <row r="40" spans="1:30" x14ac:dyDescent="0.25">
      <c r="A40" s="32" t="s">
        <v>35</v>
      </c>
      <c r="B40" s="27">
        <v>-0.15197215777262174</v>
      </c>
      <c r="C40" s="27">
        <v>2.7359781121751858E-3</v>
      </c>
      <c r="D40" s="27">
        <v>-0.16780354706684864</v>
      </c>
      <c r="E40" s="27">
        <v>0.35737704918032787</v>
      </c>
      <c r="F40" s="27">
        <v>0.3647342995169085</v>
      </c>
      <c r="G40" s="27">
        <v>6.1946902654867131E-2</v>
      </c>
      <c r="H40" s="27">
        <v>-0.29166666666666663</v>
      </c>
      <c r="I40" s="27">
        <v>-7.0588235294117618E-2</v>
      </c>
      <c r="J40" s="27">
        <v>0.39873417721519</v>
      </c>
      <c r="K40" s="27">
        <v>6.3348416289592757E-2</v>
      </c>
      <c r="L40" s="27">
        <v>3.8297872340425476E-2</v>
      </c>
      <c r="M40" s="28"/>
      <c r="N40" s="27">
        <v>-8.1967213114754189E-3</v>
      </c>
      <c r="O40" s="29" t="s">
        <v>35</v>
      </c>
      <c r="P40" s="30"/>
      <c r="Q40" s="27">
        <v>0.40371229698375943</v>
      </c>
      <c r="S40" s="31"/>
      <c r="T40" s="31"/>
      <c r="U40" s="31"/>
      <c r="V40" s="31"/>
      <c r="W40" s="31"/>
      <c r="X40" s="31"/>
      <c r="Y40" s="31"/>
      <c r="Z40" s="31"/>
      <c r="AA40" s="31"/>
      <c r="AB40" s="31"/>
      <c r="AC40" s="31"/>
      <c r="AD40" s="31"/>
    </row>
    <row r="41" spans="1:30" x14ac:dyDescent="0.25">
      <c r="A41" s="32" t="s">
        <v>36</v>
      </c>
      <c r="B41" s="27">
        <v>1.395348837209287E-2</v>
      </c>
      <c r="C41" s="27">
        <v>-6.0161327144271803E-2</v>
      </c>
      <c r="D41" s="27">
        <v>-0.12244897959183676</v>
      </c>
      <c r="E41" s="27">
        <v>-2.3255813953488413E-2</v>
      </c>
      <c r="F41" s="27">
        <v>-0.18809523809523809</v>
      </c>
      <c r="G41" s="27">
        <v>0.18768328445747806</v>
      </c>
      <c r="H41" s="27">
        <v>-0.1728395061728395</v>
      </c>
      <c r="I41" s="27">
        <v>8.9552238805970186E-2</v>
      </c>
      <c r="J41" s="27">
        <v>-6.438356164383563E-2</v>
      </c>
      <c r="K41" s="27">
        <v>0.15812591508052698</v>
      </c>
      <c r="L41" s="27">
        <v>5.1833122629582951E-2</v>
      </c>
      <c r="M41" s="28"/>
      <c r="N41" s="27">
        <v>-1.0817307692307709E-2</v>
      </c>
      <c r="O41" s="29" t="s">
        <v>36</v>
      </c>
      <c r="P41" s="30"/>
      <c r="Q41" s="27">
        <v>-0.19971421142981682</v>
      </c>
      <c r="S41" s="31"/>
      <c r="T41" s="31"/>
      <c r="U41" s="31"/>
      <c r="V41" s="31"/>
      <c r="W41" s="31"/>
      <c r="X41" s="31"/>
      <c r="Y41" s="31"/>
      <c r="Z41" s="31"/>
      <c r="AA41" s="31"/>
      <c r="AB41" s="31"/>
      <c r="AC41" s="31"/>
      <c r="AD41" s="31"/>
    </row>
    <row r="42" spans="1:30" x14ac:dyDescent="0.25">
      <c r="A42" s="32" t="s">
        <v>37</v>
      </c>
      <c r="B42" s="27">
        <v>4.9250535331905931E-2</v>
      </c>
      <c r="C42" s="27">
        <v>-1.4285714285714346E-2</v>
      </c>
      <c r="D42" s="27">
        <v>2.6915113871635477E-2</v>
      </c>
      <c r="E42" s="27">
        <v>3.629032258064524E-2</v>
      </c>
      <c r="F42" s="27">
        <v>0.1245136186770428</v>
      </c>
      <c r="G42" s="27">
        <v>0.16782006920415204</v>
      </c>
      <c r="H42" s="27">
        <v>-0.28814814814814815</v>
      </c>
      <c r="I42" s="27">
        <v>0.10880207627002014</v>
      </c>
      <c r="J42" s="27">
        <v>-4.757185332011904E-2</v>
      </c>
      <c r="K42" s="27">
        <v>0.15504682622268473</v>
      </c>
      <c r="L42" s="27">
        <v>-5.1351351351351382E-2</v>
      </c>
      <c r="M42" s="28"/>
      <c r="N42" s="27">
        <v>-1.2345679012345623E-2</v>
      </c>
      <c r="O42" s="29" t="s">
        <v>37</v>
      </c>
      <c r="P42" s="30"/>
      <c r="Q42" s="27">
        <v>0.17590629421640869</v>
      </c>
      <c r="S42" s="31"/>
      <c r="T42" s="31"/>
      <c r="U42" s="31"/>
      <c r="V42" s="31"/>
      <c r="W42" s="31"/>
      <c r="X42" s="31"/>
      <c r="Y42" s="31"/>
      <c r="Z42" s="31"/>
      <c r="AA42" s="31"/>
      <c r="AB42" s="31"/>
      <c r="AC42" s="31"/>
      <c r="AD42" s="31"/>
    </row>
    <row r="43" spans="1:30" x14ac:dyDescent="0.25">
      <c r="A43" s="32" t="s">
        <v>38</v>
      </c>
      <c r="B43" s="27">
        <v>-0.10606060606060608</v>
      </c>
      <c r="C43" s="27">
        <v>-2.5423728813559254E-2</v>
      </c>
      <c r="D43" s="27">
        <v>-0.28434782608695652</v>
      </c>
      <c r="E43" s="27">
        <v>0.12636695018225996</v>
      </c>
      <c r="F43" s="27">
        <v>-0.1655614302286107</v>
      </c>
      <c r="G43" s="27">
        <v>0.28243243243243255</v>
      </c>
      <c r="H43" s="27">
        <v>-0.20021074815595363</v>
      </c>
      <c r="I43" s="27">
        <v>-0.10408432147562585</v>
      </c>
      <c r="J43" s="27">
        <v>-0.10735294117647054</v>
      </c>
      <c r="K43" s="27">
        <v>0.21911037891268537</v>
      </c>
      <c r="L43" s="27">
        <v>-0.12432432432432439</v>
      </c>
      <c r="M43" s="28"/>
      <c r="N43" s="27">
        <v>-1.5432098765432056E-2</v>
      </c>
      <c r="O43" s="29" t="s">
        <v>38</v>
      </c>
      <c r="P43" s="30"/>
      <c r="Q43" s="27">
        <v>-0.49476999839720137</v>
      </c>
      <c r="S43" s="31"/>
      <c r="T43" s="31"/>
      <c r="U43" s="31"/>
      <c r="V43" s="31"/>
      <c r="W43" s="31"/>
      <c r="X43" s="31"/>
      <c r="Y43" s="31"/>
      <c r="Z43" s="31"/>
      <c r="AA43" s="31"/>
      <c r="AB43" s="31"/>
      <c r="AC43" s="31"/>
      <c r="AD43" s="31"/>
    </row>
    <row r="44" spans="1:30" x14ac:dyDescent="0.25">
      <c r="A44" s="32" t="s">
        <v>39</v>
      </c>
      <c r="B44" s="27">
        <v>-0.1071428571428571</v>
      </c>
      <c r="C44" s="27">
        <v>0</v>
      </c>
      <c r="D44" s="27">
        <v>-4.0000000000000036E-2</v>
      </c>
      <c r="E44" s="27">
        <v>3.3333333333333437E-2</v>
      </c>
      <c r="F44" s="27">
        <v>6.4516129032258007E-2</v>
      </c>
      <c r="G44" s="27">
        <v>0.14015151515151536</v>
      </c>
      <c r="H44" s="27">
        <v>-0.16279069767441867</v>
      </c>
      <c r="I44" s="27">
        <v>1.1904761904761862E-2</v>
      </c>
      <c r="J44" s="27">
        <v>-4.3137254901960853E-2</v>
      </c>
      <c r="K44" s="27">
        <v>0.10245901639344268</v>
      </c>
      <c r="L44" s="27">
        <v>-3.7174721189591087E-2</v>
      </c>
      <c r="M44" s="28"/>
      <c r="N44" s="27">
        <v>-1.5444015444015413E-2</v>
      </c>
      <c r="O44" s="29" t="s">
        <v>39</v>
      </c>
      <c r="P44" s="30"/>
      <c r="Q44" s="27">
        <v>-8.928571428571408E-2</v>
      </c>
      <c r="S44" s="31"/>
      <c r="T44" s="31"/>
      <c r="U44" s="31"/>
      <c r="V44" s="31"/>
      <c r="W44" s="31"/>
      <c r="X44" s="31"/>
      <c r="Y44" s="31"/>
      <c r="Z44" s="31"/>
      <c r="AA44" s="31"/>
      <c r="AB44" s="31"/>
      <c r="AC44" s="31"/>
      <c r="AD44" s="31"/>
    </row>
    <row r="45" spans="1:30" x14ac:dyDescent="0.25">
      <c r="A45" s="32" t="s">
        <v>40</v>
      </c>
      <c r="B45" s="27">
        <v>-6.4248704663212419E-2</v>
      </c>
      <c r="C45" s="27">
        <v>6.0908084163898035E-2</v>
      </c>
      <c r="D45" s="27">
        <v>-0.14509394572025047</v>
      </c>
      <c r="E45" s="27">
        <v>0.13431013431013428</v>
      </c>
      <c r="F45" s="27">
        <v>-2.1528525296017342E-3</v>
      </c>
      <c r="G45" s="27">
        <v>9.9244875943905075E-2</v>
      </c>
      <c r="H45" s="27">
        <v>-6.3788027477919562E-2</v>
      </c>
      <c r="I45" s="27">
        <v>0.12683438155136262</v>
      </c>
      <c r="J45" s="27">
        <v>-0.13023255813953494</v>
      </c>
      <c r="K45" s="27">
        <v>0.1390374331550801</v>
      </c>
      <c r="L45" s="27">
        <v>-4.6948356807511749E-2</v>
      </c>
      <c r="M45" s="28"/>
      <c r="N45" s="27">
        <v>-1.7733990147783207E-2</v>
      </c>
      <c r="O45" s="29" t="s">
        <v>40</v>
      </c>
      <c r="P45" s="30"/>
      <c r="Q45" s="27">
        <v>3.3160621761657572E-2</v>
      </c>
      <c r="S45" s="31"/>
      <c r="T45" s="31"/>
      <c r="U45" s="31"/>
      <c r="V45" s="31"/>
      <c r="W45" s="31"/>
      <c r="X45" s="31"/>
      <c r="Y45" s="31"/>
      <c r="Z45" s="31"/>
      <c r="AA45" s="31"/>
      <c r="AB45" s="31"/>
      <c r="AC45" s="31"/>
      <c r="AD45" s="31"/>
    </row>
    <row r="46" spans="1:30" x14ac:dyDescent="0.25">
      <c r="A46" s="32" t="s">
        <v>41</v>
      </c>
      <c r="B46" s="27">
        <v>-9.5238095238095233E-2</v>
      </c>
      <c r="C46" s="27">
        <v>-0.19514170040485834</v>
      </c>
      <c r="D46" s="27">
        <v>-2.4144869215291798E-2</v>
      </c>
      <c r="E46" s="27">
        <v>6.1855670103093008E-2</v>
      </c>
      <c r="F46" s="27">
        <v>9.7087378640776656E-3</v>
      </c>
      <c r="G46" s="27">
        <v>0.72596153846153832</v>
      </c>
      <c r="H46" s="27">
        <v>-0.17827298050139273</v>
      </c>
      <c r="I46" s="27">
        <v>0.21355932203389827</v>
      </c>
      <c r="J46" s="27">
        <v>1.6759776536312998E-2</v>
      </c>
      <c r="K46" s="27">
        <v>1.6483516483516425E-2</v>
      </c>
      <c r="L46" s="27">
        <v>2.4324324324324298E-2</v>
      </c>
      <c r="M46" s="28"/>
      <c r="N46" s="27">
        <v>-1.846965699208436E-2</v>
      </c>
      <c r="O46" s="29" t="s">
        <v>41</v>
      </c>
      <c r="P46" s="30"/>
      <c r="Q46" s="27">
        <v>0.36263736263736246</v>
      </c>
      <c r="S46" s="31"/>
      <c r="T46" s="31"/>
      <c r="U46" s="31"/>
      <c r="V46" s="31"/>
      <c r="W46" s="31"/>
      <c r="X46" s="31"/>
      <c r="Y46" s="31"/>
      <c r="Z46" s="31"/>
      <c r="AA46" s="31"/>
      <c r="AB46" s="31"/>
      <c r="AC46" s="31"/>
      <c r="AD46" s="31"/>
    </row>
    <row r="47" spans="1:30" x14ac:dyDescent="0.25">
      <c r="A47" s="32" t="s">
        <v>42</v>
      </c>
      <c r="B47" s="27">
        <v>-7.7120556941664309E-2</v>
      </c>
      <c r="C47" s="27">
        <v>-6.442021803766107E-2</v>
      </c>
      <c r="D47" s="27">
        <v>-0.12076271186440679</v>
      </c>
      <c r="E47" s="27">
        <v>0.20481927710843384</v>
      </c>
      <c r="F47" s="27">
        <v>-6.4000000000000057E-2</v>
      </c>
      <c r="G47" s="27">
        <v>8.5470085470085388E-2</v>
      </c>
      <c r="H47" s="27">
        <v>-0.15354330708661412</v>
      </c>
      <c r="I47" s="27">
        <v>-5.6976744186046591E-2</v>
      </c>
      <c r="J47" s="27">
        <v>-5.6720098643649797E-2</v>
      </c>
      <c r="K47" s="27">
        <v>0.1869281045751634</v>
      </c>
      <c r="L47" s="27">
        <v>-0.12334801762114544</v>
      </c>
      <c r="M47" s="28"/>
      <c r="N47" s="27">
        <v>-2.010050251256279E-2</v>
      </c>
      <c r="O47" s="29" t="s">
        <v>42</v>
      </c>
      <c r="P47" s="30"/>
      <c r="Q47" s="27">
        <v>-0.28657486066848181</v>
      </c>
      <c r="S47" s="31"/>
      <c r="T47" s="31"/>
      <c r="U47" s="31"/>
      <c r="V47" s="31"/>
      <c r="W47" s="31"/>
      <c r="X47" s="31"/>
      <c r="Y47" s="31"/>
      <c r="Z47" s="31"/>
      <c r="AA47" s="31"/>
      <c r="AB47" s="31"/>
      <c r="AC47" s="31"/>
      <c r="AD47" s="31"/>
    </row>
    <row r="48" spans="1:30" x14ac:dyDescent="0.25">
      <c r="A48" s="32" t="s">
        <v>43</v>
      </c>
      <c r="B48" s="27">
        <v>-2.2727272727272707E-2</v>
      </c>
      <c r="C48" s="27">
        <v>-6.2790697674418583E-2</v>
      </c>
      <c r="D48" s="27">
        <v>4.2183622828784184E-2</v>
      </c>
      <c r="E48" s="27">
        <v>-7.1428571428571508E-2</v>
      </c>
      <c r="F48" s="27">
        <v>2.560903416656557E-2</v>
      </c>
      <c r="G48" s="27">
        <v>3.2110091743119185E-2</v>
      </c>
      <c r="H48" s="27">
        <v>-0.11555555555555552</v>
      </c>
      <c r="I48" s="27">
        <v>-2.010050251256279E-2</v>
      </c>
      <c r="J48" s="27">
        <v>-4.1025641025640991E-2</v>
      </c>
      <c r="K48" s="27">
        <v>1.6042780748662944E-2</v>
      </c>
      <c r="L48" s="27">
        <v>-3.1578947368420929E-2</v>
      </c>
      <c r="M48" s="28"/>
      <c r="N48" s="27">
        <v>-2.1739130434782594E-2</v>
      </c>
      <c r="O48" s="29" t="s">
        <v>43</v>
      </c>
      <c r="P48" s="30"/>
      <c r="Q48" s="27">
        <v>-0.24939789200903983</v>
      </c>
      <c r="S48" s="31"/>
      <c r="T48" s="31"/>
      <c r="U48" s="31"/>
      <c r="V48" s="31"/>
      <c r="W48" s="31"/>
      <c r="X48" s="31"/>
      <c r="Y48" s="31"/>
      <c r="Z48" s="31"/>
      <c r="AA48" s="31"/>
      <c r="AB48" s="31"/>
      <c r="AC48" s="31"/>
      <c r="AD48" s="31"/>
    </row>
    <row r="49" spans="1:30" x14ac:dyDescent="0.25">
      <c r="A49" s="32" t="s">
        <v>44</v>
      </c>
      <c r="B49" s="27">
        <v>-0.15355805243445686</v>
      </c>
      <c r="C49" s="27">
        <v>6.1946902654867131E-2</v>
      </c>
      <c r="D49" s="27">
        <v>-9.9999999999999978E-2</v>
      </c>
      <c r="E49" s="27">
        <v>3.240740740740744E-2</v>
      </c>
      <c r="F49" s="27">
        <v>-0.2376681614349776</v>
      </c>
      <c r="G49" s="27">
        <v>0.20000000000000018</v>
      </c>
      <c r="H49" s="27">
        <v>1.4316466820967211E-3</v>
      </c>
      <c r="I49" s="27">
        <v>0.30588235294117649</v>
      </c>
      <c r="J49" s="27">
        <v>-0.19999999999999996</v>
      </c>
      <c r="K49" s="27">
        <v>2.2522522522521182E-3</v>
      </c>
      <c r="L49" s="27">
        <v>-3.3707865168539408E-2</v>
      </c>
      <c r="M49" s="28"/>
      <c r="N49" s="27">
        <v>-2.3255813953488302E-2</v>
      </c>
      <c r="O49" s="29" t="s">
        <v>44</v>
      </c>
      <c r="P49" s="30"/>
      <c r="Q49" s="27">
        <v>-0.24386284655014723</v>
      </c>
      <c r="S49" s="31"/>
      <c r="T49" s="31"/>
      <c r="U49" s="31"/>
      <c r="V49" s="31"/>
      <c r="W49" s="31"/>
      <c r="X49" s="31"/>
      <c r="Y49" s="31"/>
      <c r="Z49" s="31"/>
      <c r="AA49" s="31"/>
      <c r="AB49" s="31"/>
      <c r="AC49" s="31"/>
      <c r="AD49" s="31"/>
    </row>
    <row r="50" spans="1:30" x14ac:dyDescent="0.25">
      <c r="A50" s="32" t="s">
        <v>45</v>
      </c>
      <c r="B50" s="27">
        <v>1.3316668679503874E-2</v>
      </c>
      <c r="C50" s="27">
        <v>-0.16189624329159202</v>
      </c>
      <c r="D50" s="27">
        <v>4.4290288153681745E-2</v>
      </c>
      <c r="E50" s="27">
        <v>5.160960654062352E-2</v>
      </c>
      <c r="F50" s="27">
        <v>-0.13508260447035958</v>
      </c>
      <c r="G50" s="27">
        <v>0.21573033707865163</v>
      </c>
      <c r="H50" s="27">
        <v>-5.4528650646950005E-2</v>
      </c>
      <c r="I50" s="27">
        <v>0.33919843597262944</v>
      </c>
      <c r="J50" s="27">
        <v>-6.4672392333379181E-3</v>
      </c>
      <c r="K50" s="27">
        <v>6.8001668752607491E-2</v>
      </c>
      <c r="L50" s="27">
        <v>-6.25E-2</v>
      </c>
      <c r="M50" s="28"/>
      <c r="N50" s="27">
        <v>-2.5000000000000022E-2</v>
      </c>
      <c r="O50" s="29" t="s">
        <v>45</v>
      </c>
      <c r="P50" s="30"/>
      <c r="Q50" s="27">
        <v>0.2043534631272057</v>
      </c>
      <c r="S50" s="31"/>
      <c r="T50" s="31"/>
      <c r="U50" s="31"/>
      <c r="V50" s="31"/>
      <c r="W50" s="31"/>
      <c r="X50" s="31"/>
      <c r="Y50" s="31"/>
      <c r="Z50" s="31"/>
      <c r="AA50" s="31"/>
      <c r="AB50" s="31"/>
      <c r="AC50" s="31"/>
      <c r="AD50" s="31"/>
    </row>
    <row r="51" spans="1:30" x14ac:dyDescent="0.25">
      <c r="A51" s="32" t="s">
        <v>46</v>
      </c>
      <c r="B51" s="27">
        <v>-8.4337349397590522E-2</v>
      </c>
      <c r="C51" s="27">
        <v>0.10394736842105279</v>
      </c>
      <c r="D51" s="27">
        <v>-0.15375446960667472</v>
      </c>
      <c r="E51" s="27">
        <v>-1.4084507042253502E-2</v>
      </c>
      <c r="F51" s="27">
        <v>4.2857142857142927E-2</v>
      </c>
      <c r="G51" s="27">
        <v>9.5890410958904049E-2</v>
      </c>
      <c r="H51" s="27">
        <v>-0.17500000000000004</v>
      </c>
      <c r="I51" s="27">
        <v>-9.0909090909090828E-2</v>
      </c>
      <c r="J51" s="27">
        <v>5.0000000000000044E-2</v>
      </c>
      <c r="K51" s="27">
        <v>-9.5238095238095233E-2</v>
      </c>
      <c r="L51" s="27">
        <v>3.5087719298245723E-2</v>
      </c>
      <c r="M51" s="28"/>
      <c r="N51" s="27">
        <v>-2.5423728813559365E-2</v>
      </c>
      <c r="O51" s="29" t="s">
        <v>46</v>
      </c>
      <c r="P51" s="30"/>
      <c r="Q51" s="27">
        <v>-0.30722891566265054</v>
      </c>
      <c r="S51" s="31"/>
      <c r="T51" s="31"/>
      <c r="U51" s="31"/>
      <c r="V51" s="31"/>
      <c r="W51" s="31"/>
      <c r="X51" s="31"/>
      <c r="Y51" s="31"/>
      <c r="Z51" s="31"/>
      <c r="AA51" s="31"/>
      <c r="AB51" s="31"/>
      <c r="AC51" s="31"/>
      <c r="AD51" s="31"/>
    </row>
    <row r="52" spans="1:30" x14ac:dyDescent="0.25">
      <c r="A52" s="32" t="s">
        <v>47</v>
      </c>
      <c r="B52" s="27">
        <v>-4.0892193308550095E-2</v>
      </c>
      <c r="C52" s="27">
        <v>-9.3023255813953543E-2</v>
      </c>
      <c r="D52" s="27">
        <v>7.6923076923076872E-2</v>
      </c>
      <c r="E52" s="27">
        <v>-8.3333333333333259E-2</v>
      </c>
      <c r="F52" s="27">
        <v>3.8961038961038863E-2</v>
      </c>
      <c r="G52" s="27">
        <v>0.16666666666666674</v>
      </c>
      <c r="H52" s="27">
        <v>7.4999999999999956E-2</v>
      </c>
      <c r="I52" s="27">
        <v>-9.966777408637939E-3</v>
      </c>
      <c r="J52" s="27">
        <v>0</v>
      </c>
      <c r="K52" s="27">
        <v>-0.29194630872483218</v>
      </c>
      <c r="L52" s="27">
        <v>5.2132701421800931E-2</v>
      </c>
      <c r="M52" s="28"/>
      <c r="N52" s="27">
        <v>-2.7027027027026973E-2</v>
      </c>
      <c r="O52" s="29" t="s">
        <v>47</v>
      </c>
      <c r="P52" s="30"/>
      <c r="Q52" s="27">
        <v>-0.19702602230483279</v>
      </c>
      <c r="S52" s="31"/>
      <c r="T52" s="31"/>
      <c r="U52" s="31"/>
      <c r="V52" s="31"/>
      <c r="W52" s="31"/>
      <c r="X52" s="31"/>
      <c r="Y52" s="31"/>
      <c r="Z52" s="31"/>
      <c r="AA52" s="31"/>
      <c r="AB52" s="31"/>
      <c r="AC52" s="31"/>
      <c r="AD52" s="31"/>
    </row>
    <row r="53" spans="1:30" x14ac:dyDescent="0.25">
      <c r="A53" s="32" t="s">
        <v>48</v>
      </c>
      <c r="B53" s="27">
        <v>1.7239900506837103E-2</v>
      </c>
      <c r="C53" s="27">
        <v>-0.2522070421286251</v>
      </c>
      <c r="D53" s="27">
        <v>-0.23769751693002261</v>
      </c>
      <c r="E53" s="27">
        <v>0.17234231566479119</v>
      </c>
      <c r="F53" s="27">
        <v>-0.12389492296034355</v>
      </c>
      <c r="G53" s="27">
        <v>6.8473403488539697E-2</v>
      </c>
      <c r="H53" s="27">
        <v>-0.1457722532786091</v>
      </c>
      <c r="I53" s="27">
        <v>-3.0379746835443089E-2</v>
      </c>
      <c r="J53" s="27">
        <v>0.16024804177545704</v>
      </c>
      <c r="K53" s="27">
        <v>8.1575246132208123E-2</v>
      </c>
      <c r="L53" s="27">
        <v>-3.3810143042912855E-2</v>
      </c>
      <c r="M53" s="28"/>
      <c r="N53" s="27">
        <v>-2.9609690444145409E-2</v>
      </c>
      <c r="O53" s="29" t="s">
        <v>48</v>
      </c>
      <c r="P53" s="30"/>
      <c r="Q53" s="27">
        <v>-0.37984777411089277</v>
      </c>
      <c r="S53" s="31"/>
      <c r="T53" s="31"/>
      <c r="U53" s="31"/>
      <c r="V53" s="31"/>
      <c r="W53" s="31"/>
      <c r="X53" s="31"/>
      <c r="Y53" s="31"/>
      <c r="Z53" s="31"/>
      <c r="AA53" s="31"/>
      <c r="AB53" s="31"/>
      <c r="AC53" s="31"/>
      <c r="AD53" s="31"/>
    </row>
    <row r="54" spans="1:30" x14ac:dyDescent="0.25">
      <c r="A54" s="32" t="s">
        <v>49</v>
      </c>
      <c r="B54" s="27">
        <v>-0.11958466429747772</v>
      </c>
      <c r="C54" s="27">
        <v>4.1300527240773377E-2</v>
      </c>
      <c r="D54" s="27">
        <v>-0.25822784810126576</v>
      </c>
      <c r="E54" s="27">
        <v>0.41524459613196818</v>
      </c>
      <c r="F54" s="27">
        <v>-0.21141479099678462</v>
      </c>
      <c r="G54" s="27">
        <v>0.32925586136595331</v>
      </c>
      <c r="H54" s="27">
        <v>-0.22852760736196331</v>
      </c>
      <c r="I54" s="27">
        <v>2.1868787276341894E-2</v>
      </c>
      <c r="J54" s="27">
        <v>0.10019455252918275</v>
      </c>
      <c r="K54" s="27">
        <v>0.17948717948717952</v>
      </c>
      <c r="L54" s="27">
        <v>6.1469265367316339E-2</v>
      </c>
      <c r="M54" s="28"/>
      <c r="N54" s="27">
        <v>-2.9661016949152463E-2</v>
      </c>
      <c r="O54" s="29" t="s">
        <v>49</v>
      </c>
      <c r="P54" s="30"/>
      <c r="Q54" s="27">
        <v>6.2997074916753659E-2</v>
      </c>
      <c r="S54" s="31"/>
      <c r="T54" s="31"/>
      <c r="U54" s="31"/>
      <c r="V54" s="31"/>
      <c r="W54" s="31"/>
      <c r="X54" s="31"/>
      <c r="Y54" s="31"/>
      <c r="Z54" s="31"/>
      <c r="AA54" s="31"/>
      <c r="AB54" s="31"/>
      <c r="AC54" s="31"/>
      <c r="AD54" s="31"/>
    </row>
    <row r="55" spans="1:30" x14ac:dyDescent="0.25">
      <c r="A55" s="32" t="s">
        <v>50</v>
      </c>
      <c r="B55" s="27">
        <v>-2.4752475247524774E-3</v>
      </c>
      <c r="C55" s="27">
        <v>-3.4739454094292799E-2</v>
      </c>
      <c r="D55" s="27">
        <v>-0.17737789203084831</v>
      </c>
      <c r="E55" s="27">
        <v>0.26874999999999982</v>
      </c>
      <c r="F55" s="27">
        <v>3.9408866995073843E-2</v>
      </c>
      <c r="G55" s="27">
        <v>6.3981042654028597E-2</v>
      </c>
      <c r="H55" s="27">
        <v>-0.20712694877505566</v>
      </c>
      <c r="I55" s="27">
        <v>-2.8089887640449507E-2</v>
      </c>
      <c r="J55" s="27">
        <v>-3.4682080924855474E-2</v>
      </c>
      <c r="K55" s="27">
        <v>3.8922155688622784E-2</v>
      </c>
      <c r="L55" s="27">
        <v>-5.187319884726227E-2</v>
      </c>
      <c r="M55" s="28"/>
      <c r="N55" s="27">
        <v>-3.0395136778115561E-2</v>
      </c>
      <c r="O55" s="29" t="s">
        <v>50</v>
      </c>
      <c r="P55" s="30"/>
      <c r="Q55" s="27">
        <v>-0.21039603960396025</v>
      </c>
      <c r="S55" s="31"/>
      <c r="T55" s="31"/>
      <c r="U55" s="31"/>
      <c r="V55" s="31"/>
      <c r="W55" s="31"/>
      <c r="X55" s="31"/>
      <c r="Y55" s="31"/>
      <c r="Z55" s="31"/>
      <c r="AA55" s="31"/>
      <c r="AB55" s="31"/>
      <c r="AC55" s="31"/>
      <c r="AD55" s="31"/>
    </row>
    <row r="56" spans="1:30" x14ac:dyDescent="0.25">
      <c r="A56" s="32" t="s">
        <v>51</v>
      </c>
      <c r="B56" s="27">
        <v>5.6828703703703631E-2</v>
      </c>
      <c r="C56" s="27">
        <v>-6.1329536742963375E-3</v>
      </c>
      <c r="D56" s="27">
        <v>-0.14049586776859502</v>
      </c>
      <c r="E56" s="27">
        <v>0.15666666666666651</v>
      </c>
      <c r="F56" s="27">
        <v>0.25626246951895371</v>
      </c>
      <c r="G56" s="27">
        <v>0.13649197106052591</v>
      </c>
      <c r="H56" s="27">
        <v>-0.15868333203943796</v>
      </c>
      <c r="I56" s="27">
        <v>4.6691888899141665E-2</v>
      </c>
      <c r="J56" s="27">
        <v>-0.10912030946742302</v>
      </c>
      <c r="K56" s="27">
        <v>0.20740814497660054</v>
      </c>
      <c r="L56" s="27">
        <v>-8.5931057232393027E-2</v>
      </c>
      <c r="M56" s="28"/>
      <c r="N56" s="27">
        <v>-3.3020570191266807E-2</v>
      </c>
      <c r="O56" s="29" t="s">
        <v>51</v>
      </c>
      <c r="P56" s="30"/>
      <c r="Q56" s="27">
        <v>0.24819815992439276</v>
      </c>
      <c r="S56" s="31"/>
      <c r="T56" s="31"/>
      <c r="U56" s="31"/>
      <c r="V56" s="31"/>
      <c r="W56" s="31"/>
      <c r="X56" s="31"/>
      <c r="Y56" s="31"/>
      <c r="Z56" s="31"/>
      <c r="AA56" s="31"/>
      <c r="AB56" s="31"/>
      <c r="AC56" s="31"/>
      <c r="AD56" s="31"/>
    </row>
    <row r="57" spans="1:30" x14ac:dyDescent="0.25">
      <c r="A57" s="32" t="s">
        <v>52</v>
      </c>
      <c r="B57" s="27">
        <v>-7.5630252100840289E-2</v>
      </c>
      <c r="C57" s="27">
        <v>0</v>
      </c>
      <c r="D57" s="27">
        <v>-3.6363636363636376E-2</v>
      </c>
      <c r="E57" s="27">
        <v>-3.7735849056603765E-2</v>
      </c>
      <c r="F57" s="27">
        <v>0</v>
      </c>
      <c r="G57" s="27">
        <v>0.34117647058823541</v>
      </c>
      <c r="H57" s="27">
        <v>-0.1520467836257311</v>
      </c>
      <c r="I57" s="27">
        <v>-0.13793103448275867</v>
      </c>
      <c r="J57" s="27">
        <v>-1.0000000000000009E-2</v>
      </c>
      <c r="K57" s="27">
        <v>-1.0101010101010055E-2</v>
      </c>
      <c r="L57" s="27">
        <v>-5.1020408163265252E-2</v>
      </c>
      <c r="M57" s="28"/>
      <c r="N57" s="27">
        <v>-3.3333333333333326E-2</v>
      </c>
      <c r="O57" s="29" t="s">
        <v>52</v>
      </c>
      <c r="P57" s="30"/>
      <c r="Q57" s="27">
        <v>-0.24453781512605044</v>
      </c>
      <c r="S57" s="31"/>
      <c r="T57" s="31"/>
      <c r="U57" s="31"/>
      <c r="V57" s="31"/>
      <c r="W57" s="31"/>
      <c r="X57" s="31"/>
      <c r="Y57" s="31"/>
      <c r="Z57" s="31"/>
      <c r="AA57" s="31"/>
      <c r="AB57" s="31"/>
      <c r="AC57" s="31"/>
      <c r="AD57" s="31"/>
    </row>
    <row r="58" spans="1:30" x14ac:dyDescent="0.25">
      <c r="A58" s="32" t="s">
        <v>53</v>
      </c>
      <c r="B58" s="27">
        <v>-7.9365079365079083E-3</v>
      </c>
      <c r="C58" s="27">
        <v>-0.23199999999999998</v>
      </c>
      <c r="D58" s="27">
        <v>-0.17708333333333326</v>
      </c>
      <c r="E58" s="27">
        <v>-8.9873417721519022E-2</v>
      </c>
      <c r="F58" s="27">
        <v>-0.22809457579972192</v>
      </c>
      <c r="G58" s="27">
        <v>0.25045045045045056</v>
      </c>
      <c r="H58" s="27">
        <v>-0.17146974063400577</v>
      </c>
      <c r="I58" s="27">
        <v>-0.10608695652173916</v>
      </c>
      <c r="J58" s="27">
        <v>-7.9766536964980372E-2</v>
      </c>
      <c r="K58" s="27">
        <v>2.5369978858350795E-2</v>
      </c>
      <c r="L58" s="27">
        <v>3.0927835051546504E-2</v>
      </c>
      <c r="M58" s="28"/>
      <c r="N58" s="27">
        <v>-4.0000000000000036E-2</v>
      </c>
      <c r="O58" s="29" t="s">
        <v>53</v>
      </c>
      <c r="P58" s="30"/>
      <c r="Q58" s="27">
        <v>-0.61904761904761885</v>
      </c>
      <c r="S58" s="31"/>
      <c r="T58" s="31"/>
      <c r="U58" s="31"/>
      <c r="V58" s="31"/>
      <c r="W58" s="31"/>
      <c r="X58" s="31"/>
      <c r="Y58" s="31"/>
      <c r="Z58" s="31"/>
      <c r="AA58" s="31"/>
      <c r="AB58" s="31"/>
      <c r="AC58" s="31"/>
      <c r="AD58" s="31"/>
    </row>
    <row r="59" spans="1:30" x14ac:dyDescent="0.25">
      <c r="A59" s="32" t="s">
        <v>54</v>
      </c>
      <c r="B59" s="27">
        <v>-1.1437908496732097E-2</v>
      </c>
      <c r="C59" s="27">
        <v>-0.35055860754851376</v>
      </c>
      <c r="D59" s="27">
        <v>-5.3310404127257072E-2</v>
      </c>
      <c r="E59" s="27">
        <v>3.5422343324250649E-2</v>
      </c>
      <c r="F59" s="27">
        <v>-0.16666666666666663</v>
      </c>
      <c r="G59" s="27">
        <v>0.16315789473684217</v>
      </c>
      <c r="H59" s="27">
        <v>-0.19999999999999996</v>
      </c>
      <c r="I59" s="27">
        <v>0.24434389140271495</v>
      </c>
      <c r="J59" s="27">
        <v>6.3636363636363713E-2</v>
      </c>
      <c r="K59" s="27">
        <v>0.22222222222222232</v>
      </c>
      <c r="L59" s="27">
        <v>6.9930069930070893E-3</v>
      </c>
      <c r="M59" s="28"/>
      <c r="N59" s="27">
        <v>-4.166666666666663E-2</v>
      </c>
      <c r="O59" s="29" t="s">
        <v>54</v>
      </c>
      <c r="P59" s="30"/>
      <c r="Q59" s="27">
        <v>-0.23819592872031137</v>
      </c>
      <c r="S59" s="31"/>
      <c r="T59" s="31"/>
      <c r="U59" s="31"/>
      <c r="V59" s="31"/>
      <c r="W59" s="31"/>
      <c r="X59" s="31"/>
      <c r="Y59" s="31"/>
      <c r="Z59" s="31"/>
      <c r="AA59" s="31"/>
      <c r="AB59" s="31"/>
      <c r="AC59" s="31"/>
      <c r="AD59" s="31"/>
    </row>
    <row r="60" spans="1:30" x14ac:dyDescent="0.25">
      <c r="A60" s="32" t="s">
        <v>55</v>
      </c>
      <c r="B60" s="27">
        <v>5.7755589969633148E-2</v>
      </c>
      <c r="C60" s="27">
        <v>-0.14090909090909098</v>
      </c>
      <c r="D60" s="27">
        <v>-4.0564373897707173E-2</v>
      </c>
      <c r="E60" s="27">
        <v>0.30514705882352922</v>
      </c>
      <c r="F60" s="27">
        <v>-1.9718309859154903E-2</v>
      </c>
      <c r="G60" s="27">
        <v>0.15660919540229901</v>
      </c>
      <c r="H60" s="27">
        <v>-0.10310559006211184</v>
      </c>
      <c r="I60" s="27">
        <v>0.24441440518277435</v>
      </c>
      <c r="J60" s="27">
        <v>-6.417112299465233E-2</v>
      </c>
      <c r="K60" s="27">
        <v>7.9999999999999849E-2</v>
      </c>
      <c r="L60" s="27">
        <v>3.9682539682539764E-2</v>
      </c>
      <c r="M60" s="28"/>
      <c r="N60" s="27">
        <v>-4.1984732824427495E-2</v>
      </c>
      <c r="O60" s="29" t="s">
        <v>55</v>
      </c>
      <c r="P60" s="30"/>
      <c r="Q60" s="27">
        <v>0.44956268016641232</v>
      </c>
      <c r="S60" s="31"/>
      <c r="T60" s="31"/>
      <c r="U60" s="31"/>
      <c r="V60" s="31"/>
      <c r="W60" s="31"/>
      <c r="X60" s="31"/>
      <c r="Y60" s="31"/>
      <c r="Z60" s="31"/>
      <c r="AA60" s="31"/>
      <c r="AB60" s="31"/>
      <c r="AC60" s="31"/>
      <c r="AD60" s="31"/>
    </row>
    <row r="61" spans="1:30" x14ac:dyDescent="0.25">
      <c r="A61" s="32" t="s">
        <v>56</v>
      </c>
      <c r="B61" s="27">
        <v>-5.0761421319797106E-3</v>
      </c>
      <c r="C61" s="27">
        <v>-6.6326530612244916E-2</v>
      </c>
      <c r="D61" s="27">
        <v>-0.16939890710382521</v>
      </c>
      <c r="E61" s="27">
        <v>0.16447368421052633</v>
      </c>
      <c r="F61" s="27">
        <v>-5.084745762711862E-2</v>
      </c>
      <c r="G61" s="27">
        <v>4.7619047619047672E-2</v>
      </c>
      <c r="H61" s="27">
        <v>2.2727272727272707E-2</v>
      </c>
      <c r="I61" s="27">
        <v>4.4457445809589213E-3</v>
      </c>
      <c r="J61" s="27">
        <v>-4.49438202247191E-2</v>
      </c>
      <c r="K61" s="27">
        <v>4.705882352941182E-2</v>
      </c>
      <c r="L61" s="27">
        <v>5.6179775280898792E-2</v>
      </c>
      <c r="M61" s="28"/>
      <c r="N61" s="27">
        <v>-4.2553191489361764E-2</v>
      </c>
      <c r="O61" s="29" t="s">
        <v>56</v>
      </c>
      <c r="P61" s="30"/>
      <c r="Q61" s="27">
        <v>-7.1920318130865635E-2</v>
      </c>
      <c r="S61" s="31"/>
      <c r="T61" s="31"/>
      <c r="U61" s="31"/>
      <c r="V61" s="31"/>
      <c r="W61" s="31"/>
      <c r="X61" s="31"/>
      <c r="Y61" s="31"/>
      <c r="Z61" s="31"/>
      <c r="AA61" s="31"/>
      <c r="AB61" s="31"/>
      <c r="AC61" s="31"/>
      <c r="AD61" s="31"/>
    </row>
    <row r="62" spans="1:30" x14ac:dyDescent="0.25">
      <c r="A62" s="32" t="s">
        <v>57</v>
      </c>
      <c r="B62" s="27">
        <v>0.10661764700665222</v>
      </c>
      <c r="C62" s="27">
        <v>9.3023255878341704E-2</v>
      </c>
      <c r="D62" s="27">
        <v>0.30228339497973988</v>
      </c>
      <c r="E62" s="27">
        <v>-4.6004842615012032E-2</v>
      </c>
      <c r="F62" s="27">
        <v>0.1675126903553299</v>
      </c>
      <c r="G62" s="27">
        <v>-1.7391304347826098E-2</v>
      </c>
      <c r="H62" s="27">
        <v>-0.1836283185840708</v>
      </c>
      <c r="I62" s="27">
        <v>8.8510398355075237E-2</v>
      </c>
      <c r="J62" s="27">
        <v>-8.9473684210526261E-2</v>
      </c>
      <c r="K62" s="27">
        <v>0.10115606936416177</v>
      </c>
      <c r="L62" s="27">
        <v>-1.8372703412073532E-2</v>
      </c>
      <c r="M62" s="28"/>
      <c r="N62" s="27">
        <v>-4.2780748663101664E-2</v>
      </c>
      <c r="O62" s="29" t="s">
        <v>57</v>
      </c>
      <c r="P62" s="30"/>
      <c r="Q62" s="27">
        <v>0.44324753237181325</v>
      </c>
      <c r="S62" s="31"/>
      <c r="T62" s="31"/>
      <c r="U62" s="31"/>
      <c r="V62" s="31"/>
      <c r="W62" s="31"/>
      <c r="X62" s="31"/>
      <c r="Y62" s="31"/>
      <c r="Z62" s="31"/>
      <c r="AA62" s="31"/>
      <c r="AB62" s="31"/>
      <c r="AC62" s="31"/>
      <c r="AD62" s="31"/>
    </row>
    <row r="63" spans="1:30" x14ac:dyDescent="0.25">
      <c r="A63" s="32" t="s">
        <v>58</v>
      </c>
      <c r="B63" s="27">
        <v>8.6538461538461231E-3</v>
      </c>
      <c r="C63" s="27">
        <v>-0.17063870352716881</v>
      </c>
      <c r="D63" s="27">
        <v>-4.5977011494252817E-2</v>
      </c>
      <c r="E63" s="27">
        <v>6.024096385542177E-2</v>
      </c>
      <c r="F63" s="27">
        <v>-9.5454545454545459E-2</v>
      </c>
      <c r="G63" s="27">
        <v>0.23869346733668317</v>
      </c>
      <c r="H63" s="27">
        <v>-0.19066937119675442</v>
      </c>
      <c r="I63" s="27">
        <v>-3.2581453634085267E-2</v>
      </c>
      <c r="J63" s="27">
        <v>-9.3264248704663322E-2</v>
      </c>
      <c r="K63" s="27">
        <v>0.21381564972517197</v>
      </c>
      <c r="L63" s="27">
        <v>-6.9047619047619024E-2</v>
      </c>
      <c r="M63" s="28"/>
      <c r="N63" s="27">
        <v>-4.3478260869565299E-2</v>
      </c>
      <c r="O63" s="29" t="s">
        <v>58</v>
      </c>
      <c r="P63" s="30"/>
      <c r="Q63" s="27">
        <v>-0.27248869711984902</v>
      </c>
      <c r="S63" s="31"/>
      <c r="T63" s="31"/>
      <c r="U63" s="31"/>
      <c r="V63" s="31"/>
      <c r="W63" s="31"/>
      <c r="X63" s="31"/>
      <c r="Y63" s="31"/>
      <c r="Z63" s="31"/>
      <c r="AA63" s="31"/>
      <c r="AB63" s="31"/>
      <c r="AC63" s="31"/>
      <c r="AD63" s="31"/>
    </row>
    <row r="64" spans="1:30" x14ac:dyDescent="0.25">
      <c r="A64" s="32" t="s">
        <v>59</v>
      </c>
      <c r="B64" s="27">
        <v>-6.6866267465069851E-2</v>
      </c>
      <c r="C64" s="27">
        <v>-0.17647058823529416</v>
      </c>
      <c r="D64" s="27">
        <v>-0.16883116883116878</v>
      </c>
      <c r="E64" s="27">
        <v>-0.11250000000000004</v>
      </c>
      <c r="F64" s="27">
        <v>-0.15492957746478864</v>
      </c>
      <c r="G64" s="27">
        <v>0.60416666666666674</v>
      </c>
      <c r="H64" s="27">
        <v>-1.2987012987012991E-2</v>
      </c>
      <c r="I64" s="27">
        <v>3.289473684210531E-2</v>
      </c>
      <c r="J64" s="27">
        <v>-3.1847133757961776E-2</v>
      </c>
      <c r="K64" s="27">
        <v>0.18421052631578938</v>
      </c>
      <c r="L64" s="27">
        <v>-4.4444444444444398E-2</v>
      </c>
      <c r="M64" s="28"/>
      <c r="N64" s="27">
        <v>-4.6511627906976716E-2</v>
      </c>
      <c r="O64" s="29" t="s">
        <v>59</v>
      </c>
      <c r="P64" s="30"/>
      <c r="Q64" s="27">
        <v>-0.1816367265469061</v>
      </c>
      <c r="S64" s="31"/>
      <c r="T64" s="31"/>
      <c r="U64" s="31"/>
      <c r="V64" s="31"/>
      <c r="W64" s="31"/>
      <c r="X64" s="31"/>
      <c r="Y64" s="31"/>
      <c r="Z64" s="31"/>
      <c r="AA64" s="31"/>
      <c r="AB64" s="31"/>
      <c r="AC64" s="31"/>
      <c r="AD64" s="31"/>
    </row>
    <row r="65" spans="1:30" x14ac:dyDescent="0.25">
      <c r="A65" s="32" t="s">
        <v>60</v>
      </c>
      <c r="B65" s="27">
        <v>-5.3452527387564674E-2</v>
      </c>
      <c r="C65" s="27">
        <v>-0.11441525536738228</v>
      </c>
      <c r="D65" s="27">
        <v>3.8397831651859615E-2</v>
      </c>
      <c r="E65" s="27">
        <v>0.11861948955916457</v>
      </c>
      <c r="F65" s="27">
        <v>-3.9927404718693271E-2</v>
      </c>
      <c r="G65" s="27">
        <v>-2.8220361868754984E-2</v>
      </c>
      <c r="H65" s="27">
        <v>-6.544393497290546E-2</v>
      </c>
      <c r="I65" s="27">
        <v>7.0918822479928423E-2</v>
      </c>
      <c r="J65" s="27">
        <v>5.0673330556712415E-2</v>
      </c>
      <c r="K65" s="27">
        <v>1.0835095137420758E-2</v>
      </c>
      <c r="L65" s="27">
        <v>-6.9281045751633963E-2</v>
      </c>
      <c r="M65" s="28"/>
      <c r="N65" s="27">
        <v>-4.7752808988763995E-2</v>
      </c>
      <c r="O65" s="29" t="s">
        <v>60</v>
      </c>
      <c r="P65" s="30"/>
      <c r="Q65" s="27">
        <v>-0.14420697902222845</v>
      </c>
      <c r="S65" s="31"/>
      <c r="T65" s="31"/>
      <c r="U65" s="31"/>
      <c r="V65" s="31"/>
      <c r="W65" s="31"/>
      <c r="X65" s="31"/>
      <c r="Y65" s="31"/>
      <c r="Z65" s="31"/>
      <c r="AA65" s="31"/>
      <c r="AB65" s="31"/>
      <c r="AC65" s="31"/>
      <c r="AD65" s="31"/>
    </row>
    <row r="66" spans="1:30" x14ac:dyDescent="0.25">
      <c r="A66" s="32" t="s">
        <v>61</v>
      </c>
      <c r="B66" s="27">
        <v>-1.3888888888888951E-2</v>
      </c>
      <c r="C66" s="27">
        <v>0.21830985915492973</v>
      </c>
      <c r="D66" s="27">
        <v>8.0924855491329328E-2</v>
      </c>
      <c r="E66" s="27">
        <v>9.625668449197855E-2</v>
      </c>
      <c r="F66" s="27">
        <v>0.38536585365853648</v>
      </c>
      <c r="G66" s="27">
        <v>-0.22887323943661975</v>
      </c>
      <c r="H66" s="27">
        <v>-0.33789954337899542</v>
      </c>
      <c r="I66" s="27">
        <v>-4.8275862068965503E-2</v>
      </c>
      <c r="J66" s="27">
        <v>-1.449275362318847E-2</v>
      </c>
      <c r="K66" s="27">
        <v>-0.11764705882352944</v>
      </c>
      <c r="L66" s="27">
        <v>-0.12916666666666676</v>
      </c>
      <c r="M66" s="28"/>
      <c r="N66" s="27">
        <v>-4.7846889952153138E-2</v>
      </c>
      <c r="O66" s="29" t="s">
        <v>61</v>
      </c>
      <c r="P66" s="30"/>
      <c r="Q66" s="27">
        <v>-0.3090277777777779</v>
      </c>
      <c r="S66" s="31"/>
      <c r="T66" s="31"/>
      <c r="U66" s="31"/>
      <c r="V66" s="31"/>
      <c r="W66" s="31"/>
      <c r="X66" s="31"/>
      <c r="Y66" s="31"/>
      <c r="Z66" s="31"/>
      <c r="AA66" s="31"/>
      <c r="AB66" s="31"/>
      <c r="AC66" s="31"/>
      <c r="AD66" s="31"/>
    </row>
    <row r="67" spans="1:30" x14ac:dyDescent="0.25">
      <c r="A67" s="32" t="s">
        <v>62</v>
      </c>
      <c r="B67" s="27">
        <v>-0.1011764705882352</v>
      </c>
      <c r="C67" s="27">
        <v>-0.12958115183246077</v>
      </c>
      <c r="D67" s="27">
        <v>-0.26315789473684215</v>
      </c>
      <c r="E67" s="27">
        <v>0.18367346938775508</v>
      </c>
      <c r="F67" s="27">
        <v>-0.13793103448275867</v>
      </c>
      <c r="G67" s="27">
        <v>0.49199999999999999</v>
      </c>
      <c r="H67" s="27">
        <v>-8.8471849865951691E-2</v>
      </c>
      <c r="I67" s="27">
        <v>2.2058823529411686E-2</v>
      </c>
      <c r="J67" s="27">
        <v>-0.10935251798561152</v>
      </c>
      <c r="K67" s="27">
        <v>0.16316639741518579</v>
      </c>
      <c r="L67" s="27">
        <v>-0.12361111111111112</v>
      </c>
      <c r="M67" s="28"/>
      <c r="N67" s="27">
        <v>-4.9128367670364548E-2</v>
      </c>
      <c r="O67" s="29" t="s">
        <v>62</v>
      </c>
      <c r="P67" s="30"/>
      <c r="Q67" s="27">
        <v>-0.29411764705882382</v>
      </c>
      <c r="S67" s="31"/>
      <c r="T67" s="31"/>
      <c r="U67" s="31"/>
      <c r="V67" s="31"/>
      <c r="W67" s="31"/>
      <c r="X67" s="31"/>
      <c r="Y67" s="31"/>
      <c r="Z67" s="31"/>
      <c r="AA67" s="31"/>
      <c r="AB67" s="31"/>
      <c r="AC67" s="31"/>
      <c r="AD67" s="31"/>
    </row>
    <row r="68" spans="1:30" x14ac:dyDescent="0.25">
      <c r="A68" s="32" t="s">
        <v>63</v>
      </c>
      <c r="B68" s="27">
        <v>-5.1204819277108515E-2</v>
      </c>
      <c r="C68" s="27">
        <v>-1.904761904761898E-2</v>
      </c>
      <c r="D68" s="27">
        <v>2.9126213592232775E-2</v>
      </c>
      <c r="E68" s="27">
        <v>-2.5157232704402399E-2</v>
      </c>
      <c r="F68" s="27">
        <v>2.9032258064515926E-2</v>
      </c>
      <c r="G68" s="27">
        <v>0.1724137931034484</v>
      </c>
      <c r="H68" s="27">
        <v>-5.0176422402328336E-2</v>
      </c>
      <c r="I68" s="27">
        <v>-7.999999999999996E-2</v>
      </c>
      <c r="J68" s="27">
        <v>-8.0745341614906874E-2</v>
      </c>
      <c r="K68" s="27">
        <v>5.7432432432432456E-2</v>
      </c>
      <c r="L68" s="27">
        <v>-5.7507987220447143E-2</v>
      </c>
      <c r="M68" s="28"/>
      <c r="N68" s="27">
        <v>-5.0847457627118731E-2</v>
      </c>
      <c r="O68" s="29" t="s">
        <v>63</v>
      </c>
      <c r="P68" s="30"/>
      <c r="Q68" s="27">
        <v>-0.14401441440595386</v>
      </c>
      <c r="S68" s="31"/>
      <c r="T68" s="31"/>
      <c r="U68" s="31"/>
      <c r="V68" s="31"/>
      <c r="W68" s="31"/>
      <c r="X68" s="31"/>
      <c r="Y68" s="31"/>
      <c r="Z68" s="31"/>
      <c r="AA68" s="31"/>
      <c r="AB68" s="31"/>
      <c r="AC68" s="31"/>
      <c r="AD68" s="31"/>
    </row>
    <row r="69" spans="1:30" x14ac:dyDescent="0.25">
      <c r="A69" s="32" t="s">
        <v>64</v>
      </c>
      <c r="B69" s="27">
        <v>-3.8241465672974262E-2</v>
      </c>
      <c r="C69" s="27">
        <v>-4.451038575667654E-2</v>
      </c>
      <c r="D69" s="27">
        <v>-0.13664596273291929</v>
      </c>
      <c r="E69" s="27">
        <v>-3.597122302158362E-3</v>
      </c>
      <c r="F69" s="27">
        <v>-0.23465703971119134</v>
      </c>
      <c r="G69" s="27">
        <v>0.179245283018868</v>
      </c>
      <c r="H69" s="27">
        <v>-0.12</v>
      </c>
      <c r="I69" s="27">
        <v>0.13636363636363646</v>
      </c>
      <c r="J69" s="27">
        <v>-6.0000000000000053E-2</v>
      </c>
      <c r="K69" s="27">
        <v>0.15319148936170213</v>
      </c>
      <c r="L69" s="27">
        <v>2.2140221402213944E-2</v>
      </c>
      <c r="M69" s="28"/>
      <c r="N69" s="27">
        <v>-5.4151624548736454E-2</v>
      </c>
      <c r="O69" s="29" t="s">
        <v>64</v>
      </c>
      <c r="P69" s="30"/>
      <c r="Q69" s="27">
        <v>-0.25228268251133312</v>
      </c>
      <c r="S69" s="31"/>
      <c r="T69" s="31"/>
      <c r="U69" s="31"/>
      <c r="V69" s="31"/>
      <c r="W69" s="31"/>
      <c r="X69" s="31"/>
      <c r="Y69" s="31"/>
      <c r="Z69" s="31"/>
      <c r="AA69" s="31"/>
      <c r="AB69" s="31"/>
      <c r="AC69" s="31"/>
      <c r="AD69" s="31"/>
    </row>
    <row r="70" spans="1:30" x14ac:dyDescent="0.25">
      <c r="A70" s="32" t="s">
        <v>65</v>
      </c>
      <c r="B70" s="27">
        <v>-2.9754204390879724E-2</v>
      </c>
      <c r="C70" s="27">
        <v>9.126984126984139E-2</v>
      </c>
      <c r="D70" s="27">
        <v>-3.6363636363636376E-2</v>
      </c>
      <c r="E70" s="27">
        <v>8.1132075471697984E-2</v>
      </c>
      <c r="F70" s="27">
        <v>-0.20244328097731235</v>
      </c>
      <c r="G70" s="27">
        <v>0.21444201312910272</v>
      </c>
      <c r="H70" s="27">
        <v>-0.12792792792792784</v>
      </c>
      <c r="I70" s="27">
        <v>-0.11157024793388426</v>
      </c>
      <c r="J70" s="27">
        <v>-5.3488372093023373E-2</v>
      </c>
      <c r="K70" s="27">
        <v>5.4054054054054168E-2</v>
      </c>
      <c r="L70" s="27">
        <v>5.3070538116636534E-2</v>
      </c>
      <c r="M70" s="28"/>
      <c r="N70" s="27">
        <v>-5.6053811659192876E-2</v>
      </c>
      <c r="O70" s="29" t="s">
        <v>65</v>
      </c>
      <c r="P70" s="30"/>
      <c r="Q70" s="27">
        <v>-0.17905658245977751</v>
      </c>
      <c r="S70" s="31"/>
      <c r="T70" s="31"/>
      <c r="U70" s="31"/>
      <c r="V70" s="31"/>
      <c r="W70" s="31"/>
      <c r="X70" s="31"/>
      <c r="Y70" s="31"/>
      <c r="Z70" s="31"/>
      <c r="AA70" s="31"/>
      <c r="AB70" s="31"/>
      <c r="AC70" s="31"/>
      <c r="AD70" s="31"/>
    </row>
    <row r="71" spans="1:30" x14ac:dyDescent="0.25">
      <c r="A71" s="32" t="s">
        <v>66</v>
      </c>
      <c r="B71" s="27">
        <v>2.1505376344086002E-2</v>
      </c>
      <c r="C71" s="27">
        <v>-3.1578947368421151E-2</v>
      </c>
      <c r="D71" s="27">
        <v>8.6956521739130599E-2</v>
      </c>
      <c r="E71" s="27">
        <v>7.2085918921722669E-3</v>
      </c>
      <c r="F71" s="27">
        <v>5.0000000000000044E-2</v>
      </c>
      <c r="G71" s="27">
        <v>0.17142857142857149</v>
      </c>
      <c r="H71" s="27">
        <v>-2.4390243902439046E-2</v>
      </c>
      <c r="I71" s="27">
        <v>0</v>
      </c>
      <c r="J71" s="27">
        <v>5.8333333333333348E-2</v>
      </c>
      <c r="K71" s="27">
        <v>6.1023622047243986E-2</v>
      </c>
      <c r="L71" s="27">
        <v>2.4118738404452778E-2</v>
      </c>
      <c r="M71" s="28"/>
      <c r="N71" s="27">
        <v>-5.7971014492753659E-2</v>
      </c>
      <c r="O71" s="29" t="s">
        <v>66</v>
      </c>
      <c r="P71" s="30"/>
      <c r="Q71" s="27">
        <v>0.40792598866647745</v>
      </c>
      <c r="S71" s="31"/>
      <c r="T71" s="31"/>
      <c r="U71" s="31"/>
      <c r="V71" s="31"/>
      <c r="W71" s="31"/>
      <c r="X71" s="31"/>
      <c r="Y71" s="31"/>
      <c r="Z71" s="31"/>
      <c r="AA71" s="31"/>
      <c r="AB71" s="31"/>
      <c r="AC71" s="31"/>
      <c r="AD71" s="31"/>
    </row>
    <row r="72" spans="1:30" x14ac:dyDescent="0.25">
      <c r="A72" s="32" t="s">
        <v>67</v>
      </c>
      <c r="B72" s="27">
        <v>8.9857957334647187E-2</v>
      </c>
      <c r="C72" s="27">
        <v>-2.3728813559321993E-2</v>
      </c>
      <c r="D72" s="27">
        <v>-7.986111111111116E-2</v>
      </c>
      <c r="E72" s="27">
        <v>0.11698113207547167</v>
      </c>
      <c r="F72" s="27">
        <v>-6.7567567567567544E-2</v>
      </c>
      <c r="G72" s="27">
        <v>0.22101449275362328</v>
      </c>
      <c r="H72" s="27">
        <v>-7.4183976261127715E-2</v>
      </c>
      <c r="I72" s="27">
        <v>-4.8076923076923128E-2</v>
      </c>
      <c r="J72" s="27">
        <v>-0.11111111111111116</v>
      </c>
      <c r="K72" s="27">
        <v>0.14772727272727271</v>
      </c>
      <c r="L72" s="27">
        <v>-3.6303630363036299E-2</v>
      </c>
      <c r="M72" s="28"/>
      <c r="N72" s="27">
        <v>-6.164383561643838E-2</v>
      </c>
      <c r="O72" s="29" t="s">
        <v>67</v>
      </c>
      <c r="P72" s="30"/>
      <c r="Q72" s="27">
        <v>1.2274848507434877E-2</v>
      </c>
      <c r="S72" s="31"/>
      <c r="T72" s="31"/>
      <c r="U72" s="31"/>
      <c r="V72" s="31"/>
      <c r="W72" s="31"/>
      <c r="X72" s="31"/>
      <c r="Y72" s="31"/>
      <c r="Z72" s="31"/>
      <c r="AA72" s="31"/>
      <c r="AB72" s="31"/>
      <c r="AC72" s="31"/>
      <c r="AD72" s="31"/>
    </row>
    <row r="73" spans="1:30" x14ac:dyDescent="0.25">
      <c r="A73" s="32" t="s">
        <v>68</v>
      </c>
      <c r="B73" s="27">
        <v>-7.6887340301974305E-2</v>
      </c>
      <c r="C73" s="27">
        <v>1.712309050644989E-2</v>
      </c>
      <c r="D73" s="27">
        <v>-0.15008903586873568</v>
      </c>
      <c r="E73" s="27">
        <v>0.1209218796767435</v>
      </c>
      <c r="F73" s="27">
        <v>-0.12763684913217621</v>
      </c>
      <c r="G73" s="27">
        <v>5.3259871441689643E-2</v>
      </c>
      <c r="H73" s="27">
        <v>-7.3815751235106197E-2</v>
      </c>
      <c r="I73" s="27">
        <v>6.5892689049262598E-2</v>
      </c>
      <c r="J73" s="27">
        <v>-3.4736532234324491E-2</v>
      </c>
      <c r="K73" s="27">
        <v>0.30832570905763967</v>
      </c>
      <c r="L73" s="27">
        <v>-8.2983682983683082E-2</v>
      </c>
      <c r="M73" s="28"/>
      <c r="N73" s="27">
        <v>-6.6090493136756523E-2</v>
      </c>
      <c r="O73" s="29" t="s">
        <v>68</v>
      </c>
      <c r="P73" s="30"/>
      <c r="Q73" s="27">
        <v>-0.12246523896179784</v>
      </c>
      <c r="S73" s="31"/>
      <c r="T73" s="31"/>
      <c r="U73" s="31"/>
      <c r="V73" s="31"/>
      <c r="W73" s="31"/>
      <c r="X73" s="31"/>
      <c r="Y73" s="31"/>
      <c r="Z73" s="31"/>
      <c r="AA73" s="31"/>
      <c r="AB73" s="31"/>
      <c r="AC73" s="31"/>
      <c r="AD73" s="31"/>
    </row>
    <row r="74" spans="1:30" x14ac:dyDescent="0.25">
      <c r="A74" s="32" t="s">
        <v>69</v>
      </c>
      <c r="B74" s="27">
        <v>-2.4539877300613577E-2</v>
      </c>
      <c r="C74" s="27">
        <v>-0.23018867924528297</v>
      </c>
      <c r="D74" s="27">
        <v>-3.5947712418300748E-2</v>
      </c>
      <c r="E74" s="27">
        <v>-0.1271186440677966</v>
      </c>
      <c r="F74" s="27">
        <v>9.7087378640776656E-3</v>
      </c>
      <c r="G74" s="27">
        <v>0.1134615384615385</v>
      </c>
      <c r="H74" s="27">
        <v>-0.29879101899827287</v>
      </c>
      <c r="I74" s="27">
        <v>-1.4778325123152691E-2</v>
      </c>
      <c r="J74" s="27">
        <v>-0.12749999999999995</v>
      </c>
      <c r="K74" s="27">
        <v>3.1753392756688426E-2</v>
      </c>
      <c r="L74" s="27">
        <v>4.2857142857142927E-2</v>
      </c>
      <c r="M74" s="28"/>
      <c r="N74" s="27">
        <v>-6.8493150684931559E-2</v>
      </c>
      <c r="O74" s="29" t="s">
        <v>69</v>
      </c>
      <c r="P74" s="30"/>
      <c r="Q74" s="27">
        <v>-0.57080505667131054</v>
      </c>
      <c r="S74" s="31"/>
      <c r="T74" s="31"/>
      <c r="U74" s="31"/>
      <c r="V74" s="31"/>
      <c r="W74" s="31"/>
      <c r="X74" s="31"/>
      <c r="Y74" s="31"/>
      <c r="Z74" s="31"/>
      <c r="AA74" s="31"/>
      <c r="AB74" s="31"/>
      <c r="AC74" s="31"/>
      <c r="AD74" s="31"/>
    </row>
    <row r="75" spans="1:30" x14ac:dyDescent="0.25">
      <c r="A75" s="32" t="s">
        <v>70</v>
      </c>
      <c r="B75" s="27">
        <v>-0.12896360927856987</v>
      </c>
      <c r="C75" s="27">
        <v>-0.28609821646713907</v>
      </c>
      <c r="D75" s="27">
        <v>3.2511978097193639E-2</v>
      </c>
      <c r="E75" s="27">
        <v>0.14352005303281401</v>
      </c>
      <c r="F75" s="27">
        <v>-0.16072463768115941</v>
      </c>
      <c r="G75" s="27">
        <v>0.16646520462787073</v>
      </c>
      <c r="H75" s="27">
        <v>-0.14537379718726873</v>
      </c>
      <c r="I75" s="27">
        <v>-7.9681274900398447E-2</v>
      </c>
      <c r="J75" s="27">
        <v>-0.10239036325992845</v>
      </c>
      <c r="K75" s="27">
        <v>0.14908785908995603</v>
      </c>
      <c r="L75" s="27">
        <v>-5.6569343065693389E-2</v>
      </c>
      <c r="M75" s="28"/>
      <c r="N75" s="27">
        <v>-7.1566731141199269E-2</v>
      </c>
      <c r="O75" s="33" t="s">
        <v>70</v>
      </c>
      <c r="P75" s="30"/>
      <c r="Q75" s="27">
        <v>-0.48925303256011932</v>
      </c>
      <c r="S75" s="31"/>
      <c r="T75" s="31"/>
      <c r="U75" s="31"/>
      <c r="V75" s="31"/>
      <c r="W75" s="31"/>
      <c r="X75" s="31"/>
      <c r="Y75" s="31"/>
      <c r="Z75" s="31"/>
      <c r="AA75" s="31"/>
      <c r="AB75" s="31"/>
      <c r="AC75" s="31"/>
      <c r="AD75" s="31"/>
    </row>
    <row r="76" spans="1:30" x14ac:dyDescent="0.25">
      <c r="A76" s="32" t="s">
        <v>71</v>
      </c>
      <c r="B76" s="27">
        <v>-7.1428571428571508E-2</v>
      </c>
      <c r="C76" s="27">
        <v>-3.9886039886039892E-2</v>
      </c>
      <c r="D76" s="27">
        <v>-0.19090009891196835</v>
      </c>
      <c r="E76" s="27">
        <v>0.28117359413202925</v>
      </c>
      <c r="F76" s="27">
        <v>-0.15648854961832059</v>
      </c>
      <c r="G76" s="27">
        <v>9.5022624434389025E-2</v>
      </c>
      <c r="H76" s="27">
        <v>-0.16425619834710747</v>
      </c>
      <c r="I76" s="27">
        <v>8.8998763906056988E-2</v>
      </c>
      <c r="J76" s="27">
        <v>9.967782356783883E-2</v>
      </c>
      <c r="K76" s="27">
        <v>0.26748057713651519</v>
      </c>
      <c r="L76" s="27">
        <v>-3.677758318739055E-2</v>
      </c>
      <c r="M76" s="28"/>
      <c r="N76" s="27">
        <v>-7.2727272727272751E-2</v>
      </c>
      <c r="O76" s="29" t="s">
        <v>71</v>
      </c>
      <c r="P76" s="30"/>
      <c r="Q76" s="27">
        <v>-3.2828029786097779E-2</v>
      </c>
      <c r="S76" s="31"/>
      <c r="T76" s="31"/>
      <c r="U76" s="31"/>
      <c r="V76" s="31"/>
      <c r="W76" s="31"/>
      <c r="X76" s="31"/>
      <c r="Y76" s="31"/>
      <c r="Z76" s="31"/>
      <c r="AA76" s="31"/>
      <c r="AB76" s="31"/>
      <c r="AC76" s="31"/>
      <c r="AD76" s="31"/>
    </row>
    <row r="77" spans="1:30" x14ac:dyDescent="0.25">
      <c r="A77" s="32" t="s">
        <v>72</v>
      </c>
      <c r="B77" s="27">
        <v>-0.25290215588723053</v>
      </c>
      <c r="C77" s="27">
        <v>-0.12763596004439515</v>
      </c>
      <c r="D77" s="27">
        <v>-0.24045801526717547</v>
      </c>
      <c r="E77" s="27">
        <v>0.23618090452261287</v>
      </c>
      <c r="F77" s="27">
        <v>-0.18699186991869921</v>
      </c>
      <c r="G77" s="27">
        <v>0.25499999999999989</v>
      </c>
      <c r="H77" s="27">
        <v>-0.20053120849933592</v>
      </c>
      <c r="I77" s="27">
        <v>-6.8106312292358862E-2</v>
      </c>
      <c r="J77" s="27">
        <v>-5.5258467023172941E-2</v>
      </c>
      <c r="K77" s="27">
        <v>0.15660377358490551</v>
      </c>
      <c r="L77" s="27">
        <v>-0.12234910277324629</v>
      </c>
      <c r="M77" s="28"/>
      <c r="N77" s="27">
        <v>-7.4349442379182173E-2</v>
      </c>
      <c r="O77" s="29" t="s">
        <v>72</v>
      </c>
      <c r="P77" s="30"/>
      <c r="Q77" s="27">
        <v>-0.58706467661691564</v>
      </c>
      <c r="S77" s="31"/>
      <c r="T77" s="31"/>
      <c r="U77" s="31"/>
      <c r="V77" s="31"/>
      <c r="W77" s="31"/>
      <c r="X77" s="31"/>
      <c r="Y77" s="31"/>
      <c r="Z77" s="31"/>
      <c r="AA77" s="31"/>
      <c r="AB77" s="31"/>
      <c r="AC77" s="31"/>
      <c r="AD77" s="31"/>
    </row>
    <row r="78" spans="1:30" x14ac:dyDescent="0.25">
      <c r="A78" s="32" t="s">
        <v>73</v>
      </c>
      <c r="B78" s="27">
        <v>-6.1965811965811968E-2</v>
      </c>
      <c r="C78" s="27">
        <v>-0.12300683371298393</v>
      </c>
      <c r="D78" s="27">
        <v>-6.4935064935064957E-2</v>
      </c>
      <c r="E78" s="27">
        <v>-0.10833333333333339</v>
      </c>
      <c r="F78" s="27">
        <v>-6.230529595015577E-3</v>
      </c>
      <c r="G78" s="27">
        <v>8.1504702194357348E-2</v>
      </c>
      <c r="H78" s="27">
        <v>-0.23188405797101452</v>
      </c>
      <c r="I78" s="27">
        <v>-5.6603773584905648E-2</v>
      </c>
      <c r="J78" s="27">
        <v>-0.124</v>
      </c>
      <c r="K78" s="27">
        <v>9.5890410958904049E-2</v>
      </c>
      <c r="L78" s="27">
        <v>4.1666666666666741E-2</v>
      </c>
      <c r="M78" s="28"/>
      <c r="N78" s="27">
        <v>-7.5999999999999956E-2</v>
      </c>
      <c r="O78" s="29" t="s">
        <v>73</v>
      </c>
      <c r="P78" s="30"/>
      <c r="Q78" s="27">
        <v>-0.50641025641025639</v>
      </c>
      <c r="S78" s="31"/>
      <c r="T78" s="31"/>
      <c r="U78" s="31"/>
      <c r="V78" s="31"/>
      <c r="W78" s="31"/>
      <c r="X78" s="31"/>
      <c r="Y78" s="31"/>
      <c r="Z78" s="31"/>
      <c r="AA78" s="31"/>
      <c r="AB78" s="31"/>
      <c r="AC78" s="31"/>
      <c r="AD78" s="31"/>
    </row>
    <row r="79" spans="1:30" x14ac:dyDescent="0.25">
      <c r="A79" s="32" t="s">
        <v>74</v>
      </c>
      <c r="B79" s="27">
        <v>-0.10977965273362411</v>
      </c>
      <c r="C79" s="27">
        <v>-0.16481994459833793</v>
      </c>
      <c r="D79" s="27">
        <v>-4.809286898839138E-2</v>
      </c>
      <c r="E79" s="27">
        <v>1.7421602787455193E-3</v>
      </c>
      <c r="F79" s="27">
        <v>-7.478260869565212E-2</v>
      </c>
      <c r="G79" s="27">
        <v>0.13157894736842102</v>
      </c>
      <c r="H79" s="27">
        <v>-0.15946843853820603</v>
      </c>
      <c r="I79" s="27">
        <v>0.11660079051383421</v>
      </c>
      <c r="J79" s="27">
        <v>-6.7256637168141675E-2</v>
      </c>
      <c r="K79" s="27">
        <v>0.1688804554079697</v>
      </c>
      <c r="L79" s="27">
        <v>0.12175324675324672</v>
      </c>
      <c r="M79" s="28"/>
      <c r="N79" s="27">
        <v>-7.8147612156295176E-2</v>
      </c>
      <c r="O79" s="29" t="s">
        <v>74</v>
      </c>
      <c r="P79" s="30"/>
      <c r="Q79" s="27">
        <v>-0.21458398724559347</v>
      </c>
      <c r="S79" s="31"/>
      <c r="T79" s="31"/>
      <c r="U79" s="31"/>
      <c r="V79" s="31"/>
      <c r="W79" s="31"/>
      <c r="X79" s="31"/>
      <c r="Y79" s="31"/>
      <c r="Z79" s="31"/>
      <c r="AA79" s="31"/>
      <c r="AB79" s="31"/>
      <c r="AC79" s="31"/>
      <c r="AD79" s="31"/>
    </row>
    <row r="80" spans="1:30" x14ac:dyDescent="0.25">
      <c r="A80" s="32" t="s">
        <v>75</v>
      </c>
      <c r="B80" s="27">
        <v>-0.17241379310344818</v>
      </c>
      <c r="C80" s="27">
        <v>-0.16666666666666674</v>
      </c>
      <c r="D80" s="27">
        <v>-0.12333333333333341</v>
      </c>
      <c r="E80" s="27">
        <v>3.8022813688213031E-2</v>
      </c>
      <c r="F80" s="27">
        <v>6.5934065934065922E-2</v>
      </c>
      <c r="G80" s="27">
        <v>0.63573883161512001</v>
      </c>
      <c r="H80" s="27">
        <v>-0.42226890756302515</v>
      </c>
      <c r="I80" s="27">
        <v>-4.7272727272727244E-2</v>
      </c>
      <c r="J80" s="27">
        <v>6.8702290076335659E-2</v>
      </c>
      <c r="K80" s="27">
        <v>0.32142857142857162</v>
      </c>
      <c r="L80" s="27">
        <v>0.17567567567567544</v>
      </c>
      <c r="M80" s="28"/>
      <c r="N80" s="27">
        <v>-8.045977011494243E-2</v>
      </c>
      <c r="O80" s="29" t="s">
        <v>75</v>
      </c>
      <c r="P80" s="30"/>
      <c r="Q80" s="27">
        <v>-8.0459770114942653E-2</v>
      </c>
      <c r="S80" s="31"/>
      <c r="T80" s="31"/>
      <c r="U80" s="31"/>
      <c r="V80" s="31"/>
      <c r="W80" s="31"/>
      <c r="X80" s="31"/>
      <c r="Y80" s="31"/>
      <c r="Z80" s="31"/>
      <c r="AA80" s="31"/>
      <c r="AB80" s="31"/>
      <c r="AC80" s="31"/>
      <c r="AD80" s="31"/>
    </row>
    <row r="81" spans="1:30" x14ac:dyDescent="0.25">
      <c r="A81" s="32" t="s">
        <v>76</v>
      </c>
      <c r="B81" s="27">
        <v>-2.4922118380062308E-2</v>
      </c>
      <c r="C81" s="27">
        <v>-9.2651757188498496E-2</v>
      </c>
      <c r="D81" s="27">
        <v>-7.0422535211267512E-3</v>
      </c>
      <c r="E81" s="27">
        <v>3.5460992907801359E-2</v>
      </c>
      <c r="F81" s="27">
        <v>-4.7945205479452024E-2</v>
      </c>
      <c r="G81" s="27">
        <v>0.18705035971223016</v>
      </c>
      <c r="H81" s="27">
        <v>-0.19696969696969702</v>
      </c>
      <c r="I81" s="27">
        <v>3.7735849056603765E-3</v>
      </c>
      <c r="J81" s="27">
        <v>-9.7744360902255689E-2</v>
      </c>
      <c r="K81" s="27">
        <v>5.4166666666666696E-2</v>
      </c>
      <c r="L81" s="27">
        <v>2.3715415019762709E-2</v>
      </c>
      <c r="M81" s="28"/>
      <c r="N81" s="27">
        <v>-8.108108108108103E-2</v>
      </c>
      <c r="O81" s="29" t="s">
        <v>76</v>
      </c>
      <c r="P81" s="30"/>
      <c r="Q81" s="27">
        <v>-0.25856697819314678</v>
      </c>
      <c r="S81" s="31"/>
      <c r="T81" s="31"/>
      <c r="U81" s="31"/>
      <c r="V81" s="31"/>
      <c r="W81" s="31"/>
      <c r="X81" s="31"/>
      <c r="Y81" s="31"/>
      <c r="Z81" s="31"/>
      <c r="AA81" s="31"/>
      <c r="AB81" s="31"/>
      <c r="AC81" s="31"/>
      <c r="AD81" s="31"/>
    </row>
    <row r="82" spans="1:30" x14ac:dyDescent="0.25">
      <c r="A82" s="32" t="s">
        <v>77</v>
      </c>
      <c r="B82" s="27">
        <v>-2.2086824067022004E-2</v>
      </c>
      <c r="C82" s="27">
        <v>-0.16994475723457481</v>
      </c>
      <c r="D82" s="27">
        <v>-0.1016068052930057</v>
      </c>
      <c r="E82" s="27">
        <v>2.4723829563387811E-2</v>
      </c>
      <c r="F82" s="27">
        <v>-0.11601642710472293</v>
      </c>
      <c r="G82" s="27">
        <v>0.22706155632984926</v>
      </c>
      <c r="H82" s="27">
        <v>-0.21202082347373408</v>
      </c>
      <c r="I82" s="27">
        <v>0.2240240240240241</v>
      </c>
      <c r="J82" s="27">
        <v>1.3738959764474812E-2</v>
      </c>
      <c r="K82" s="27">
        <v>0.31026137463697956</v>
      </c>
      <c r="L82" s="27">
        <v>-0.10749907646841517</v>
      </c>
      <c r="M82" s="28"/>
      <c r="N82" s="27">
        <v>-8.7334437086092676E-2</v>
      </c>
      <c r="O82" s="29" t="s">
        <v>77</v>
      </c>
      <c r="P82" s="30"/>
      <c r="Q82" s="27">
        <v>-0.15413661681054525</v>
      </c>
      <c r="S82" s="31"/>
      <c r="T82" s="31"/>
      <c r="U82" s="31"/>
      <c r="V82" s="31"/>
      <c r="W82" s="31"/>
      <c r="X82" s="31"/>
      <c r="Y82" s="31"/>
      <c r="Z82" s="31"/>
      <c r="AA82" s="31"/>
      <c r="AB82" s="31"/>
      <c r="AC82" s="31"/>
      <c r="AD82" s="31"/>
    </row>
    <row r="83" spans="1:30" x14ac:dyDescent="0.25">
      <c r="A83" s="32" t="s">
        <v>78</v>
      </c>
      <c r="B83" s="27">
        <v>-0.2068965517241379</v>
      </c>
      <c r="C83" s="27">
        <v>-6.956521739130439E-2</v>
      </c>
      <c r="D83" s="27">
        <v>0.1588785046728971</v>
      </c>
      <c r="E83" s="27">
        <v>-4.8387096774193505E-2</v>
      </c>
      <c r="F83" s="27">
        <v>-0.14350636503244829</v>
      </c>
      <c r="G83" s="27">
        <v>1.9900000000000002</v>
      </c>
      <c r="H83" s="27">
        <v>-0.35785953177257535</v>
      </c>
      <c r="I83" s="27">
        <v>-7.291666666666663E-2</v>
      </c>
      <c r="J83" s="27">
        <v>-0.1292134831460674</v>
      </c>
      <c r="K83" s="27">
        <v>-1.9354838709677469E-2</v>
      </c>
      <c r="L83" s="27">
        <v>8.5526315789473673E-2</v>
      </c>
      <c r="M83" s="28"/>
      <c r="N83" s="27">
        <v>-9.0909090909090828E-2</v>
      </c>
      <c r="O83" s="29" t="s">
        <v>78</v>
      </c>
      <c r="P83" s="30"/>
      <c r="Q83" s="27">
        <v>4.5512919925907891E-2</v>
      </c>
      <c r="S83" s="31"/>
      <c r="T83" s="31"/>
      <c r="U83" s="31"/>
      <c r="V83" s="31"/>
      <c r="W83" s="31"/>
      <c r="X83" s="31"/>
      <c r="Y83" s="31"/>
      <c r="Z83" s="31"/>
      <c r="AA83" s="31"/>
      <c r="AB83" s="31"/>
      <c r="AC83" s="31"/>
      <c r="AD83" s="31"/>
    </row>
    <row r="84" spans="1:30" x14ac:dyDescent="0.25">
      <c r="A84" s="32" t="s">
        <v>79</v>
      </c>
      <c r="B84" s="27">
        <v>0</v>
      </c>
      <c r="C84" s="27">
        <v>-0.1858974358974359</v>
      </c>
      <c r="D84" s="27">
        <v>-0.18110236220472442</v>
      </c>
      <c r="E84" s="27">
        <v>-9.6153846153844702E-3</v>
      </c>
      <c r="F84" s="27">
        <v>-0.13592233009708743</v>
      </c>
      <c r="G84" s="27">
        <v>0.24719101123595522</v>
      </c>
      <c r="H84" s="27">
        <v>-0.18918918918918926</v>
      </c>
      <c r="I84" s="27">
        <v>1.1111111111111072E-2</v>
      </c>
      <c r="J84" s="27">
        <v>-4.3394659398027113E-2</v>
      </c>
      <c r="K84" s="27">
        <v>0.10149253731343277</v>
      </c>
      <c r="L84" s="27">
        <v>2.4390243902439046E-2</v>
      </c>
      <c r="M84" s="28"/>
      <c r="N84" s="27">
        <v>-9.7883597883597795E-2</v>
      </c>
      <c r="O84" s="29" t="s">
        <v>79</v>
      </c>
      <c r="P84" s="30"/>
      <c r="Q84" s="27">
        <v>-0.43198583382663935</v>
      </c>
      <c r="S84" s="31"/>
      <c r="T84" s="31"/>
      <c r="U84" s="31"/>
      <c r="V84" s="31"/>
      <c r="W84" s="31"/>
      <c r="X84" s="31"/>
      <c r="Y84" s="31"/>
      <c r="Z84" s="31"/>
      <c r="AA84" s="31"/>
      <c r="AB84" s="31"/>
      <c r="AC84" s="31"/>
      <c r="AD84" s="31"/>
    </row>
    <row r="85" spans="1:30" x14ac:dyDescent="0.25">
      <c r="A85" s="32" t="s">
        <v>80</v>
      </c>
      <c r="B85" s="27">
        <v>-0.17241379310344829</v>
      </c>
      <c r="C85" s="27">
        <v>-7.9545454545454475E-2</v>
      </c>
      <c r="D85" s="27">
        <v>-0.30041152263374493</v>
      </c>
      <c r="E85" s="27">
        <v>0.17647058823529416</v>
      </c>
      <c r="F85" s="27">
        <v>-0.19999999999999996</v>
      </c>
      <c r="G85" s="27">
        <v>0.24374999999999991</v>
      </c>
      <c r="H85" s="27">
        <v>-3.5175879396984855E-2</v>
      </c>
      <c r="I85" s="27">
        <v>-8.854166666666663E-2</v>
      </c>
      <c r="J85" s="27">
        <v>-5.8285714285714274E-2</v>
      </c>
      <c r="K85" s="27">
        <v>9.2233009708737823E-2</v>
      </c>
      <c r="L85" s="27">
        <v>5.555555555555558E-2</v>
      </c>
      <c r="M85" s="28"/>
      <c r="N85" s="27">
        <v>-0.10526315789473684</v>
      </c>
      <c r="O85" s="29" t="s">
        <v>80</v>
      </c>
      <c r="P85" s="30"/>
      <c r="Q85" s="27">
        <v>-0.46708463949843249</v>
      </c>
      <c r="S85" s="31"/>
      <c r="T85" s="31"/>
      <c r="U85" s="31"/>
      <c r="V85" s="31"/>
      <c r="W85" s="31"/>
      <c r="X85" s="31"/>
      <c r="Y85" s="31"/>
      <c r="Z85" s="31"/>
      <c r="AA85" s="31"/>
      <c r="AB85" s="31"/>
      <c r="AC85" s="31"/>
      <c r="AD85" s="31"/>
    </row>
    <row r="86" spans="1:30" x14ac:dyDescent="0.25">
      <c r="A86" s="34" t="s">
        <v>81</v>
      </c>
      <c r="B86" s="27">
        <v>-0.17610062893081768</v>
      </c>
      <c r="C86" s="27">
        <v>-0.12213740458015265</v>
      </c>
      <c r="D86" s="27">
        <v>-0.15652173913043488</v>
      </c>
      <c r="E86" s="27">
        <v>4.1237113402061931E-2</v>
      </c>
      <c r="F86" s="27">
        <v>-0.1633663366336634</v>
      </c>
      <c r="G86" s="27">
        <v>0.4023668639053255</v>
      </c>
      <c r="H86" s="27">
        <v>-0.27426160337552741</v>
      </c>
      <c r="I86" s="27">
        <v>-8.1395348837209225E-2</v>
      </c>
      <c r="J86" s="27">
        <v>-7.8481012658227822E-2</v>
      </c>
      <c r="K86" s="27">
        <v>-9.3406593406593519E-2</v>
      </c>
      <c r="L86" s="27">
        <v>-0.12878787878787878</v>
      </c>
      <c r="M86" s="28"/>
      <c r="N86" s="27">
        <v>-0.13043478260869568</v>
      </c>
      <c r="O86" s="35" t="s">
        <v>81</v>
      </c>
      <c r="P86" s="36"/>
      <c r="Q86" s="27">
        <v>-0.68553459119496862</v>
      </c>
      <c r="S86" s="31"/>
      <c r="T86" s="31"/>
      <c r="U86" s="31"/>
      <c r="V86" s="31"/>
      <c r="W86" s="31"/>
      <c r="X86" s="31"/>
      <c r="Y86" s="31"/>
      <c r="Z86" s="31"/>
      <c r="AA86" s="31"/>
      <c r="AB86" s="31"/>
      <c r="AC86" s="31"/>
      <c r="AD86" s="31"/>
    </row>
    <row r="87" spans="1:30" x14ac:dyDescent="0.25">
      <c r="A87" s="37"/>
      <c r="N87" s="38"/>
      <c r="O87" s="29"/>
    </row>
    <row r="88" spans="1:30" x14ac:dyDescent="0.25">
      <c r="A88" s="37"/>
      <c r="N88" s="30"/>
      <c r="O88" s="29"/>
    </row>
    <row r="89" spans="1:30" x14ac:dyDescent="0.25">
      <c r="N89" s="30"/>
      <c r="O89" s="29"/>
    </row>
    <row r="90" spans="1:30" x14ac:dyDescent="0.25">
      <c r="L90" s="39"/>
    </row>
    <row r="91" spans="1:30" x14ac:dyDescent="0.25">
      <c r="L91" s="39"/>
    </row>
    <row r="92" spans="1:30" x14ac:dyDescent="0.25">
      <c r="L92" s="39"/>
    </row>
    <row r="93" spans="1:30" x14ac:dyDescent="0.25">
      <c r="L93" s="39"/>
    </row>
    <row r="94" spans="1:30" x14ac:dyDescent="0.25">
      <c r="L94" s="39"/>
    </row>
    <row r="95" spans="1:30" x14ac:dyDescent="0.25">
      <c r="L95" s="39"/>
    </row>
    <row r="96" spans="1:30" x14ac:dyDescent="0.25">
      <c r="L96" s="39"/>
    </row>
    <row r="97" spans="4:12" x14ac:dyDescent="0.25">
      <c r="L97" s="39"/>
    </row>
    <row r="98" spans="4:12" x14ac:dyDescent="0.25">
      <c r="L98" s="39"/>
    </row>
    <row r="99" spans="4:12" x14ac:dyDescent="0.25">
      <c r="D99" s="39">
        <v>0.2</v>
      </c>
      <c r="E99" t="s">
        <v>82</v>
      </c>
      <c r="G99" t="s">
        <v>83</v>
      </c>
    </row>
    <row r="100" spans="4:12" x14ac:dyDescent="0.25">
      <c r="D100" s="39">
        <v>0.15000000000000002</v>
      </c>
      <c r="E100" t="s">
        <v>84</v>
      </c>
      <c r="G100" t="s">
        <v>85</v>
      </c>
    </row>
    <row r="101" spans="4:12" x14ac:dyDescent="0.25">
      <c r="D101" s="39">
        <v>0.10000000000000002</v>
      </c>
      <c r="E101" t="s">
        <v>86</v>
      </c>
      <c r="G101" t="s">
        <v>87</v>
      </c>
    </row>
    <row r="102" spans="4:12" x14ac:dyDescent="0.25">
      <c r="D102" s="39">
        <v>5.0000000000000017E-2</v>
      </c>
      <c r="E102" t="s">
        <v>88</v>
      </c>
      <c r="G102" t="s">
        <v>89</v>
      </c>
    </row>
    <row r="103" spans="4:12" x14ac:dyDescent="0.25">
      <c r="D103" s="39">
        <v>-0.05</v>
      </c>
      <c r="E103" t="s">
        <v>90</v>
      </c>
      <c r="G103" t="s">
        <v>91</v>
      </c>
    </row>
    <row r="104" spans="4:12" x14ac:dyDescent="0.25">
      <c r="D104" s="39">
        <v>-0.1</v>
      </c>
      <c r="E104" t="s">
        <v>92</v>
      </c>
    </row>
    <row r="105" spans="4:12" x14ac:dyDescent="0.25">
      <c r="D105" s="39">
        <v>-0.15000000000000002</v>
      </c>
      <c r="E105" t="s">
        <v>93</v>
      </c>
    </row>
    <row r="106" spans="4:12" x14ac:dyDescent="0.25">
      <c r="D106" s="39">
        <v>-0.2</v>
      </c>
      <c r="E106" t="s">
        <v>94</v>
      </c>
    </row>
    <row r="107" spans="4:12" x14ac:dyDescent="0.25">
      <c r="D107" s="39"/>
    </row>
  </sheetData>
  <mergeCells count="17">
    <mergeCell ref="Q10:Q11"/>
    <mergeCell ref="J10:J11"/>
    <mergeCell ref="K10:K11"/>
    <mergeCell ref="L10:L11"/>
    <mergeCell ref="N10:N11"/>
    <mergeCell ref="O10:O11"/>
    <mergeCell ref="P10:P11"/>
    <mergeCell ref="B9:L9"/>
    <mergeCell ref="A10:A11"/>
    <mergeCell ref="B10:B11"/>
    <mergeCell ref="C10:C11"/>
    <mergeCell ref="D10:D11"/>
    <mergeCell ref="E10:E11"/>
    <mergeCell ref="F10:F11"/>
    <mergeCell ref="G10:G11"/>
    <mergeCell ref="H10:H11"/>
    <mergeCell ref="I10:I11"/>
  </mergeCells>
  <conditionalFormatting sqref="B7:J7">
    <cfRule type="expression" dxfId="35" priority="28">
      <formula>B7&lt;-0.175</formula>
    </cfRule>
    <cfRule type="expression" dxfId="34" priority="29">
      <formula>AND(B7&lt;-0.125,B7&gt;=-0.175)</formula>
    </cfRule>
    <cfRule type="expression" dxfId="33" priority="30">
      <formula>AND(B7&lt;-0.075,B7&gt;=-0.125)</formula>
    </cfRule>
    <cfRule type="expression" dxfId="32" priority="31">
      <formula>AND(B7&lt;-0.025,B7&gt;=-0.075)</formula>
    </cfRule>
    <cfRule type="expression" dxfId="31" priority="32">
      <formula>B7&gt;0.175</formula>
    </cfRule>
    <cfRule type="expression" dxfId="30" priority="33">
      <formula>AND(B7&lt;0.175,B7&gt;=0.125)</formula>
    </cfRule>
    <cfRule type="expression" dxfId="29" priority="34">
      <formula>AND(B7&lt;0.125,B7&gt;=0.075)</formula>
    </cfRule>
    <cfRule type="expression" dxfId="28" priority="35">
      <formula>AND(B7&lt;0.075,B7&gt;=0.025)</formula>
    </cfRule>
    <cfRule type="expression" dxfId="27" priority="36">
      <formula>AND(B7&lt;0.025,B7&gt;-0.025)</formula>
    </cfRule>
  </conditionalFormatting>
  <conditionalFormatting sqref="B12:L86">
    <cfRule type="expression" dxfId="26" priority="19">
      <formula>B12&lt;-0.175</formula>
    </cfRule>
    <cfRule type="expression" dxfId="25" priority="20">
      <formula>AND(B12&lt;-0.125,B12&gt;=-0.175)</formula>
    </cfRule>
    <cfRule type="expression" dxfId="24" priority="21">
      <formula>AND(B12&lt;-0.075,B12&gt;=-0.125)</formula>
    </cfRule>
    <cfRule type="expression" dxfId="23" priority="22">
      <formula>AND(B12&lt;-0.025,B12&gt;=-0.075)</formula>
    </cfRule>
    <cfRule type="expression" dxfId="22" priority="23">
      <formula>B12&gt;0.175</formula>
    </cfRule>
    <cfRule type="expression" dxfId="21" priority="24">
      <formula>AND(B12&lt;0.175,B12&gt;=0.125)</formula>
    </cfRule>
    <cfRule type="expression" dxfId="20" priority="25">
      <formula>AND(B12&lt;0.125,B12&gt;=0.075)</formula>
    </cfRule>
    <cfRule type="expression" dxfId="19" priority="26">
      <formula>AND(B12&lt;0.075,B12&gt;=0.025)</formula>
    </cfRule>
    <cfRule type="expression" dxfId="18" priority="27">
      <formula>AND(B12&lt;0.025,B12&gt;-0.025)</formula>
    </cfRule>
  </conditionalFormatting>
  <conditionalFormatting sqref="Q12:Q86">
    <cfRule type="expression" dxfId="17" priority="1">
      <formula>Q12&lt;-0.175</formula>
    </cfRule>
    <cfRule type="expression" dxfId="16" priority="2">
      <formula>AND(Q12&lt;-0.125,Q12&gt;=-0.175)</formula>
    </cfRule>
    <cfRule type="expression" dxfId="15" priority="3">
      <formula>AND(Q12&lt;-0.075,Q12&gt;=-0.125)</formula>
    </cfRule>
    <cfRule type="expression" dxfId="14" priority="4">
      <formula>AND(Q12&lt;-0.025,Q12&gt;=-0.075)</formula>
    </cfRule>
    <cfRule type="expression" dxfId="13" priority="5">
      <formula>Q12&gt;0.175</formula>
    </cfRule>
    <cfRule type="expression" dxfId="12" priority="6">
      <formula>AND(Q12&lt;0.175,Q12&gt;=0.125)</formula>
    </cfRule>
    <cfRule type="expression" dxfId="11" priority="7">
      <formula>AND(Q12&lt;0.125,Q12&gt;=0.075)</formula>
    </cfRule>
    <cfRule type="expression" dxfId="10" priority="8">
      <formula>AND(Q12&lt;0.075,Q12&gt;=0.025)</formula>
    </cfRule>
    <cfRule type="expression" dxfId="9" priority="9">
      <formula>AND(Q12&lt;0.025,Q12&gt;-0.025)</formula>
    </cfRule>
  </conditionalFormatting>
  <conditionalFormatting sqref="N12:N86">
    <cfRule type="expression" dxfId="8" priority="10">
      <formula>N12&lt;-0.175</formula>
    </cfRule>
    <cfRule type="expression" dxfId="7" priority="11">
      <formula>AND(N12&lt;-0.125,N12&gt;=-0.175)</formula>
    </cfRule>
    <cfRule type="expression" dxfId="6" priority="12">
      <formula>AND(N12&lt;-0.075,N12&gt;=-0.125)</formula>
    </cfRule>
    <cfRule type="expression" dxfId="5" priority="13">
      <formula>AND(N12&lt;-0.025,N12&gt;=-0.075)</formula>
    </cfRule>
    <cfRule type="expression" dxfId="4" priority="14">
      <formula>N12&gt;0.175</formula>
    </cfRule>
    <cfRule type="expression" dxfId="3" priority="15">
      <formula>AND(N12&lt;0.175,N12&gt;=0.125)</formula>
    </cfRule>
    <cfRule type="expression" dxfId="2" priority="16">
      <formula>AND(N12&lt;0.125,N12&gt;=0.075)</formula>
    </cfRule>
    <cfRule type="expression" dxfId="1" priority="17">
      <formula>AND(N12&lt;0.075,N12&gt;=0.025)</formula>
    </cfRule>
    <cfRule type="expression" dxfId="0" priority="18">
      <formula>AND(N12&lt;0.025,N12&gt;-0.025)</formula>
    </cfRule>
  </conditionalFormatting>
  <printOptions horizontalCentered="1" verticalCentered="1"/>
  <pageMargins left="0" right="0" top="0.3" bottom="0" header="0.25" footer="0.5"/>
  <pageSetup scale="55"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Heatmap!S12:AD12</xm:f>
              <xm:sqref>P12</xm:sqref>
            </x14:sparkline>
            <x14:sparkline>
              <xm:f>Heatmap!S13:AD13</xm:f>
              <xm:sqref>P13</xm:sqref>
            </x14:sparkline>
            <x14:sparkline>
              <xm:f>Heatmap!S14:AD14</xm:f>
              <xm:sqref>P14</xm:sqref>
            </x14:sparkline>
            <x14:sparkline>
              <xm:f>Heatmap!S15:AD15</xm:f>
              <xm:sqref>P15</xm:sqref>
            </x14:sparkline>
            <x14:sparkline>
              <xm:f>Heatmap!S16:AD16</xm:f>
              <xm:sqref>P16</xm:sqref>
            </x14:sparkline>
            <x14:sparkline>
              <xm:f>Heatmap!S17:AD17</xm:f>
              <xm:sqref>P17</xm:sqref>
            </x14:sparkline>
            <x14:sparkline>
              <xm:f>Heatmap!S18:AD18</xm:f>
              <xm:sqref>P18</xm:sqref>
            </x14:sparkline>
            <x14:sparkline>
              <xm:f>Heatmap!S19:AD19</xm:f>
              <xm:sqref>P19</xm:sqref>
            </x14:sparkline>
            <x14:sparkline>
              <xm:f>Heatmap!S20:AD20</xm:f>
              <xm:sqref>P20</xm:sqref>
            </x14:sparkline>
            <x14:sparkline>
              <xm:f>Heatmap!S21:AD21</xm:f>
              <xm:sqref>P21</xm:sqref>
            </x14:sparkline>
            <x14:sparkline>
              <xm:f>Heatmap!S22:AD22</xm:f>
              <xm:sqref>P22</xm:sqref>
            </x14:sparkline>
            <x14:sparkline>
              <xm:f>Heatmap!S23:AD23</xm:f>
              <xm:sqref>P23</xm:sqref>
            </x14:sparkline>
            <x14:sparkline>
              <xm:f>Heatmap!S24:AD24</xm:f>
              <xm:sqref>P24</xm:sqref>
            </x14:sparkline>
            <x14:sparkline>
              <xm:f>Heatmap!S25:AD25</xm:f>
              <xm:sqref>P25</xm:sqref>
            </x14:sparkline>
            <x14:sparkline>
              <xm:f>Heatmap!S26:AD26</xm:f>
              <xm:sqref>P26</xm:sqref>
            </x14:sparkline>
            <x14:sparkline>
              <xm:f>Heatmap!S27:AD27</xm:f>
              <xm:sqref>P27</xm:sqref>
            </x14:sparkline>
            <x14:sparkline>
              <xm:f>Heatmap!S28:AD28</xm:f>
              <xm:sqref>P28</xm:sqref>
            </x14:sparkline>
            <x14:sparkline>
              <xm:f>Heatmap!S29:AD29</xm:f>
              <xm:sqref>P29</xm:sqref>
            </x14:sparkline>
            <x14:sparkline>
              <xm:f>Heatmap!S30:AD30</xm:f>
              <xm:sqref>P30</xm:sqref>
            </x14:sparkline>
            <x14:sparkline>
              <xm:f>Heatmap!S31:AD31</xm:f>
              <xm:sqref>P31</xm:sqref>
            </x14:sparkline>
            <x14:sparkline>
              <xm:f>Heatmap!S32:AD32</xm:f>
              <xm:sqref>P32</xm:sqref>
            </x14:sparkline>
            <x14:sparkline>
              <xm:f>Heatmap!S33:AD33</xm:f>
              <xm:sqref>P33</xm:sqref>
            </x14:sparkline>
            <x14:sparkline>
              <xm:f>Heatmap!S34:AD34</xm:f>
              <xm:sqref>P34</xm:sqref>
            </x14:sparkline>
            <x14:sparkline>
              <xm:f>Heatmap!S35:AD35</xm:f>
              <xm:sqref>P35</xm:sqref>
            </x14:sparkline>
            <x14:sparkline>
              <xm:f>Heatmap!S36:AD36</xm:f>
              <xm:sqref>P36</xm:sqref>
            </x14:sparkline>
            <x14:sparkline>
              <xm:f>Heatmap!S37:AD37</xm:f>
              <xm:sqref>P37</xm:sqref>
            </x14:sparkline>
            <x14:sparkline>
              <xm:f>Heatmap!S38:AD38</xm:f>
              <xm:sqref>P38</xm:sqref>
            </x14:sparkline>
            <x14:sparkline>
              <xm:f>Heatmap!S39:AD39</xm:f>
              <xm:sqref>P39</xm:sqref>
            </x14:sparkline>
            <x14:sparkline>
              <xm:f>Heatmap!S40:AD40</xm:f>
              <xm:sqref>P40</xm:sqref>
            </x14:sparkline>
            <x14:sparkline>
              <xm:f>Heatmap!S41:AD41</xm:f>
              <xm:sqref>P41</xm:sqref>
            </x14:sparkline>
            <x14:sparkline>
              <xm:f>Heatmap!S42:AD42</xm:f>
              <xm:sqref>P42</xm:sqref>
            </x14:sparkline>
            <x14:sparkline>
              <xm:f>Heatmap!S43:AD43</xm:f>
              <xm:sqref>P43</xm:sqref>
            </x14:sparkline>
            <x14:sparkline>
              <xm:f>Heatmap!S44:AD44</xm:f>
              <xm:sqref>P44</xm:sqref>
            </x14:sparkline>
            <x14:sparkline>
              <xm:f>Heatmap!S45:AD45</xm:f>
              <xm:sqref>P45</xm:sqref>
            </x14:sparkline>
            <x14:sparkline>
              <xm:f>Heatmap!S46:AD46</xm:f>
              <xm:sqref>P46</xm:sqref>
            </x14:sparkline>
            <x14:sparkline>
              <xm:f>Heatmap!S47:AD47</xm:f>
              <xm:sqref>P47</xm:sqref>
            </x14:sparkline>
            <x14:sparkline>
              <xm:f>Heatmap!S48:AD48</xm:f>
              <xm:sqref>P48</xm:sqref>
            </x14:sparkline>
            <x14:sparkline>
              <xm:f>Heatmap!S49:AD49</xm:f>
              <xm:sqref>P49</xm:sqref>
            </x14:sparkline>
            <x14:sparkline>
              <xm:f>Heatmap!S50:AD50</xm:f>
              <xm:sqref>P50</xm:sqref>
            </x14:sparkline>
            <x14:sparkline>
              <xm:f>Heatmap!S51:AD51</xm:f>
              <xm:sqref>P51</xm:sqref>
            </x14:sparkline>
            <x14:sparkline>
              <xm:f>Heatmap!S52:AD52</xm:f>
              <xm:sqref>P52</xm:sqref>
            </x14:sparkline>
            <x14:sparkline>
              <xm:f>Heatmap!S53:AD53</xm:f>
              <xm:sqref>P53</xm:sqref>
            </x14:sparkline>
            <x14:sparkline>
              <xm:f>Heatmap!S54:AD54</xm:f>
              <xm:sqref>P54</xm:sqref>
            </x14:sparkline>
            <x14:sparkline>
              <xm:f>Heatmap!S55:AD55</xm:f>
              <xm:sqref>P55</xm:sqref>
            </x14:sparkline>
            <x14:sparkline>
              <xm:f>Heatmap!S56:AD56</xm:f>
              <xm:sqref>P56</xm:sqref>
            </x14:sparkline>
            <x14:sparkline>
              <xm:f>Heatmap!S57:AD57</xm:f>
              <xm:sqref>P57</xm:sqref>
            </x14:sparkline>
            <x14:sparkline>
              <xm:f>Heatmap!S58:AD58</xm:f>
              <xm:sqref>P58</xm:sqref>
            </x14:sparkline>
            <x14:sparkline>
              <xm:f>Heatmap!S59:AD59</xm:f>
              <xm:sqref>P59</xm:sqref>
            </x14:sparkline>
            <x14:sparkline>
              <xm:f>Heatmap!S60:AD60</xm:f>
              <xm:sqref>P60</xm:sqref>
            </x14:sparkline>
            <x14:sparkline>
              <xm:f>Heatmap!S61:AD61</xm:f>
              <xm:sqref>P61</xm:sqref>
            </x14:sparkline>
            <x14:sparkline>
              <xm:f>Heatmap!S62:AD62</xm:f>
              <xm:sqref>P62</xm:sqref>
            </x14:sparkline>
            <x14:sparkline>
              <xm:f>Heatmap!S63:AD63</xm:f>
              <xm:sqref>P63</xm:sqref>
            </x14:sparkline>
            <x14:sparkline>
              <xm:f>Heatmap!S64:AD64</xm:f>
              <xm:sqref>P64</xm:sqref>
            </x14:sparkline>
            <x14:sparkline>
              <xm:f>Heatmap!S65:AD65</xm:f>
              <xm:sqref>P65</xm:sqref>
            </x14:sparkline>
            <x14:sparkline>
              <xm:f>Heatmap!S66:AD66</xm:f>
              <xm:sqref>P66</xm:sqref>
            </x14:sparkline>
            <x14:sparkline>
              <xm:f>Heatmap!S67:AD67</xm:f>
              <xm:sqref>P67</xm:sqref>
            </x14:sparkline>
            <x14:sparkline>
              <xm:f>Heatmap!S68:AD68</xm:f>
              <xm:sqref>P68</xm:sqref>
            </x14:sparkline>
            <x14:sparkline>
              <xm:f>Heatmap!S69:AD69</xm:f>
              <xm:sqref>P69</xm:sqref>
            </x14:sparkline>
            <x14:sparkline>
              <xm:f>Heatmap!S70:AD70</xm:f>
              <xm:sqref>P70</xm:sqref>
            </x14:sparkline>
            <x14:sparkline>
              <xm:f>Heatmap!S71:AD71</xm:f>
              <xm:sqref>P71</xm:sqref>
            </x14:sparkline>
            <x14:sparkline>
              <xm:f>Heatmap!S72:AD72</xm:f>
              <xm:sqref>P72</xm:sqref>
            </x14:sparkline>
            <x14:sparkline>
              <xm:f>Heatmap!S73:AD73</xm:f>
              <xm:sqref>P73</xm:sqref>
            </x14:sparkline>
            <x14:sparkline>
              <xm:f>Heatmap!S74:AD74</xm:f>
              <xm:sqref>P74</xm:sqref>
            </x14:sparkline>
            <x14:sparkline>
              <xm:f>Heatmap!S75:AD75</xm:f>
              <xm:sqref>P75</xm:sqref>
            </x14:sparkline>
            <x14:sparkline>
              <xm:f>Heatmap!S76:AD76</xm:f>
              <xm:sqref>P76</xm:sqref>
            </x14:sparkline>
            <x14:sparkline>
              <xm:f>Heatmap!S77:AD77</xm:f>
              <xm:sqref>P77</xm:sqref>
            </x14:sparkline>
            <x14:sparkline>
              <xm:f>Heatmap!S78:AD78</xm:f>
              <xm:sqref>P78</xm:sqref>
            </x14:sparkline>
            <x14:sparkline>
              <xm:f>Heatmap!S79:AD79</xm:f>
              <xm:sqref>P79</xm:sqref>
            </x14:sparkline>
            <x14:sparkline>
              <xm:f>Heatmap!S80:AD80</xm:f>
              <xm:sqref>P80</xm:sqref>
            </x14:sparkline>
            <x14:sparkline>
              <xm:f>Heatmap!S81:AD81</xm:f>
              <xm:sqref>P81</xm:sqref>
            </x14:sparkline>
            <x14:sparkline>
              <xm:f>Heatmap!S82:AD82</xm:f>
              <xm:sqref>P82</xm:sqref>
            </x14:sparkline>
            <x14:sparkline>
              <xm:f>Heatmap!S83:AD83</xm:f>
              <xm:sqref>P83</xm:sqref>
            </x14:sparkline>
            <x14:sparkline>
              <xm:f>Heatmap!S84:AD84</xm:f>
              <xm:sqref>P84</xm:sqref>
            </x14:sparkline>
            <x14:sparkline>
              <xm:f>Heatmap!S85:AD85</xm:f>
              <xm:sqref>P85</xm:sqref>
            </x14:sparkline>
            <x14:sparkline>
              <xm:f>Heatmap!S86:AD86</xm:f>
              <xm:sqref>P86</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564585"/>
  </sheetPr>
  <dimension ref="A1:X124"/>
  <sheetViews>
    <sheetView topLeftCell="A4" zoomScaleNormal="100" zoomScaleSheetLayoutView="100" workbookViewId="0">
      <selection activeCell="A4" sqref="A1:A1048576"/>
    </sheetView>
  </sheetViews>
  <sheetFormatPr baseColWidth="10" defaultRowHeight="15" x14ac:dyDescent="0.25"/>
  <cols>
    <col min="1" max="1" width="7" customWidth="1"/>
    <col min="2" max="2" width="9" bestFit="1" customWidth="1"/>
    <col min="3" max="3" width="9.7109375" customWidth="1"/>
    <col min="4" max="4" width="10.140625" customWidth="1"/>
    <col min="5" max="5" width="6.85546875" bestFit="1" customWidth="1"/>
    <col min="6" max="6" width="7.140625" bestFit="1" customWidth="1"/>
    <col min="7" max="7" width="6.85546875" bestFit="1" customWidth="1"/>
    <col min="8" max="9" width="6.42578125" bestFit="1" customWidth="1"/>
    <col min="10" max="10" width="12.85546875" bestFit="1" customWidth="1"/>
    <col min="11" max="11" width="11.42578125" bestFit="1" customWidth="1"/>
    <col min="12" max="12" width="6.7109375" bestFit="1" customWidth="1"/>
    <col min="13" max="13" width="5.85546875" bestFit="1" customWidth="1"/>
    <col min="14" max="14" width="6.85546875" bestFit="1" customWidth="1"/>
    <col min="15" max="16" width="8" bestFit="1" customWidth="1"/>
    <col min="17" max="17" width="7" bestFit="1" customWidth="1"/>
    <col min="18" max="18" width="8.140625" bestFit="1" customWidth="1"/>
    <col min="19" max="19" width="6" bestFit="1" customWidth="1"/>
    <col min="20" max="20" width="7" customWidth="1"/>
    <col min="21" max="21" width="6" bestFit="1" customWidth="1"/>
    <col min="22" max="22" width="7" bestFit="1" customWidth="1"/>
    <col min="23" max="23" width="7" customWidth="1"/>
    <col min="24" max="24" width="8.85546875" style="66" customWidth="1"/>
  </cols>
  <sheetData>
    <row r="1" spans="1:24" ht="10.5" customHeight="1" x14ac:dyDescent="0.5">
      <c r="A1" s="40"/>
      <c r="X1"/>
    </row>
    <row r="2" spans="1:24" ht="10.5" customHeight="1" x14ac:dyDescent="0.25">
      <c r="X2"/>
    </row>
    <row r="3" spans="1:24" ht="9.75" customHeight="1" x14ac:dyDescent="0.25">
      <c r="X3"/>
    </row>
    <row r="4" spans="1:24" ht="26.25" x14ac:dyDescent="0.4">
      <c r="A4" s="5" t="s">
        <v>95</v>
      </c>
      <c r="X4"/>
    </row>
    <row r="5" spans="1:24" ht="26.25" customHeight="1" x14ac:dyDescent="0.25">
      <c r="X5"/>
    </row>
    <row r="6" spans="1:24" ht="20.25" customHeight="1" x14ac:dyDescent="0.25">
      <c r="A6" s="41" t="s">
        <v>4</v>
      </c>
      <c r="B6" s="41" t="s">
        <v>96</v>
      </c>
      <c r="C6" s="42" t="s">
        <v>97</v>
      </c>
      <c r="D6" s="42"/>
      <c r="E6" s="43" t="s">
        <v>98</v>
      </c>
      <c r="F6" s="44"/>
      <c r="G6" s="45"/>
      <c r="H6" s="42" t="s">
        <v>99</v>
      </c>
      <c r="I6" s="42"/>
      <c r="J6" s="46" t="s">
        <v>100</v>
      </c>
      <c r="K6" s="46" t="s">
        <v>101</v>
      </c>
      <c r="L6" s="47" t="s">
        <v>102</v>
      </c>
      <c r="M6" s="42" t="s">
        <v>103</v>
      </c>
      <c r="N6" s="42"/>
      <c r="O6" s="42" t="s">
        <v>104</v>
      </c>
      <c r="P6" s="42"/>
      <c r="Q6" s="42"/>
      <c r="R6" s="47" t="s">
        <v>105</v>
      </c>
      <c r="S6" s="42" t="s">
        <v>106</v>
      </c>
      <c r="T6" s="42"/>
      <c r="U6" s="42"/>
      <c r="V6" s="42"/>
      <c r="W6" s="42"/>
      <c r="X6" s="48" t="s">
        <v>4</v>
      </c>
    </row>
    <row r="7" spans="1:24" ht="30.75" customHeight="1" x14ac:dyDescent="0.25">
      <c r="A7" s="49"/>
      <c r="B7" s="49"/>
      <c r="C7" s="50" t="s">
        <v>107</v>
      </c>
      <c r="D7" s="50" t="s">
        <v>108</v>
      </c>
      <c r="E7" s="51" t="s">
        <v>109</v>
      </c>
      <c r="F7" s="51" t="s">
        <v>110</v>
      </c>
      <c r="G7" s="51">
        <v>2019</v>
      </c>
      <c r="H7" s="51" t="s">
        <v>111</v>
      </c>
      <c r="I7" s="51" t="s">
        <v>112</v>
      </c>
      <c r="J7" s="52"/>
      <c r="K7" s="52"/>
      <c r="L7" s="47"/>
      <c r="M7" s="51" t="s">
        <v>110</v>
      </c>
      <c r="N7" s="51">
        <v>2019</v>
      </c>
      <c r="O7" s="53" t="s">
        <v>113</v>
      </c>
      <c r="P7" s="51" t="s">
        <v>114</v>
      </c>
      <c r="Q7" s="51" t="s">
        <v>115</v>
      </c>
      <c r="R7" s="47"/>
      <c r="S7" s="54" t="s">
        <v>116</v>
      </c>
      <c r="T7" s="51" t="s">
        <v>117</v>
      </c>
      <c r="U7" s="51" t="s">
        <v>118</v>
      </c>
      <c r="V7" s="51" t="s">
        <v>119</v>
      </c>
      <c r="W7" s="51" t="s">
        <v>120</v>
      </c>
      <c r="X7" s="55"/>
    </row>
    <row r="8" spans="1:24" x14ac:dyDescent="0.25">
      <c r="A8" s="56" t="s">
        <v>121</v>
      </c>
      <c r="B8" s="57"/>
      <c r="C8" s="57"/>
      <c r="D8" s="57"/>
      <c r="E8" s="57"/>
      <c r="F8" s="57"/>
      <c r="G8" s="57"/>
      <c r="H8" s="57"/>
      <c r="I8" s="57"/>
      <c r="J8" s="57"/>
      <c r="K8" s="57"/>
      <c r="L8" s="57"/>
      <c r="M8" s="57"/>
      <c r="N8" s="57"/>
      <c r="O8" s="57"/>
      <c r="P8" s="57"/>
      <c r="Q8" s="57"/>
      <c r="R8" s="57"/>
      <c r="S8" s="57"/>
      <c r="T8" s="57"/>
      <c r="U8" s="57"/>
      <c r="V8" s="57"/>
      <c r="W8" s="57"/>
      <c r="X8" s="57"/>
    </row>
    <row r="9" spans="1:24" x14ac:dyDescent="0.25">
      <c r="A9" t="s">
        <v>24</v>
      </c>
      <c r="B9" s="58">
        <v>24.5</v>
      </c>
      <c r="C9" s="59">
        <v>28</v>
      </c>
      <c r="D9" s="59">
        <v>23.5</v>
      </c>
      <c r="E9" s="60">
        <v>0</v>
      </c>
      <c r="F9" s="60">
        <v>4.098360655737654E-3</v>
      </c>
      <c r="G9" s="60">
        <v>1.2396694214876103E-2</v>
      </c>
      <c r="H9" s="61">
        <v>0.42208256801252403</v>
      </c>
      <c r="I9" s="61">
        <v>0.29545364530641399</v>
      </c>
      <c r="J9" s="62">
        <v>0.32115683528380073</v>
      </c>
      <c r="K9" s="62">
        <v>8.0668723266062781E-2</v>
      </c>
      <c r="L9" s="63">
        <v>5.4052750848039999E-3</v>
      </c>
      <c r="M9" s="60">
        <v>4.1675856320619986E-2</v>
      </c>
      <c r="N9" s="64">
        <v>-8.3249301108924589E-2</v>
      </c>
      <c r="O9" s="63">
        <v>12.25</v>
      </c>
      <c r="P9" s="63">
        <v>15.208923</v>
      </c>
      <c r="Q9" s="65">
        <v>12.9853505311051</v>
      </c>
      <c r="R9" s="60">
        <v>5.6326530612244895E-3</v>
      </c>
      <c r="S9" s="65">
        <v>0.26606992865068801</v>
      </c>
      <c r="T9" s="65">
        <v>111.272595149423</v>
      </c>
      <c r="U9" s="65" t="s">
        <v>403</v>
      </c>
      <c r="V9" s="65">
        <v>1.3657670108511</v>
      </c>
      <c r="W9" s="65">
        <v>6.4585485084443697</v>
      </c>
      <c r="X9" s="66" t="s">
        <v>24</v>
      </c>
    </row>
    <row r="10" spans="1:24" x14ac:dyDescent="0.25">
      <c r="A10" t="s">
        <v>30</v>
      </c>
      <c r="B10" s="58">
        <v>230</v>
      </c>
      <c r="C10" s="59">
        <v>322</v>
      </c>
      <c r="D10" s="59">
        <v>127.49704805</v>
      </c>
      <c r="E10" s="60">
        <v>0</v>
      </c>
      <c r="F10" s="60">
        <v>0</v>
      </c>
      <c r="G10" s="60">
        <v>7.9812206572769995E-2</v>
      </c>
      <c r="H10" s="61">
        <v>0.307244768423513</v>
      </c>
      <c r="I10" s="61">
        <v>0.51641654006606597</v>
      </c>
      <c r="J10" s="61" t="s">
        <v>403</v>
      </c>
      <c r="K10" s="61" t="s">
        <v>403</v>
      </c>
      <c r="L10" s="63">
        <v>0.54712375694341098</v>
      </c>
      <c r="M10" s="60">
        <v>3.7577495664882332E-2</v>
      </c>
      <c r="N10" s="64">
        <v>-1.5833788751030697E-2</v>
      </c>
      <c r="O10" s="63">
        <v>11.28886552</v>
      </c>
      <c r="P10" s="63">
        <v>9.7975255200000095</v>
      </c>
      <c r="Q10" s="65">
        <v>6.3248199036835304</v>
      </c>
      <c r="R10" s="60">
        <v>3.89764586391304E-2</v>
      </c>
      <c r="S10" s="65">
        <v>0.222035898925868</v>
      </c>
      <c r="T10" s="65">
        <v>12.2277790684878</v>
      </c>
      <c r="U10" s="65" t="s">
        <v>403</v>
      </c>
      <c r="V10" s="65">
        <v>3.6083306803499098</v>
      </c>
      <c r="W10" s="65">
        <v>29.014402047918399</v>
      </c>
      <c r="X10" s="66" t="s">
        <v>30</v>
      </c>
    </row>
    <row r="11" spans="1:24" x14ac:dyDescent="0.25">
      <c r="A11" t="s">
        <v>26</v>
      </c>
      <c r="B11" s="58">
        <v>40</v>
      </c>
      <c r="C11" s="59">
        <v>58</v>
      </c>
      <c r="D11" s="59">
        <v>36</v>
      </c>
      <c r="E11" s="60">
        <v>0</v>
      </c>
      <c r="F11" s="60">
        <v>2.5062656641603454E-3</v>
      </c>
      <c r="G11" s="60">
        <v>8.1081081081081141E-2</v>
      </c>
      <c r="H11" s="61">
        <v>0.29913139736387101</v>
      </c>
      <c r="I11" s="61">
        <v>0.41909686762450399</v>
      </c>
      <c r="J11" s="62">
        <v>0.43278233049935272</v>
      </c>
      <c r="K11" s="62">
        <v>-5.8503450452621064E-2</v>
      </c>
      <c r="L11" s="63">
        <v>0.47705065809779701</v>
      </c>
      <c r="M11" s="60">
        <v>4.0083761329042678E-2</v>
      </c>
      <c r="N11" s="64">
        <v>-1.4564914242719551E-2</v>
      </c>
      <c r="O11" s="63">
        <v>8.0566050800000006</v>
      </c>
      <c r="P11" s="63">
        <v>14.510802079999999</v>
      </c>
      <c r="Q11" s="65">
        <v>11.370800895822301</v>
      </c>
      <c r="R11" s="60" t="s">
        <v>403</v>
      </c>
      <c r="S11" s="65">
        <v>0.50760733724817697</v>
      </c>
      <c r="T11" s="65" t="s">
        <v>403</v>
      </c>
      <c r="U11" s="65" t="s">
        <v>403</v>
      </c>
      <c r="V11" s="65">
        <v>14.3648629325768</v>
      </c>
      <c r="W11" s="65" t="s">
        <v>403</v>
      </c>
      <c r="X11" s="66" t="s">
        <v>26</v>
      </c>
    </row>
    <row r="12" spans="1:24" x14ac:dyDescent="0.25">
      <c r="A12" t="s">
        <v>66</v>
      </c>
      <c r="B12" s="58">
        <v>130</v>
      </c>
      <c r="C12" s="59">
        <v>138</v>
      </c>
      <c r="D12" s="59">
        <v>89.355869999999996</v>
      </c>
      <c r="E12" s="60">
        <v>0</v>
      </c>
      <c r="F12" s="60">
        <v>-5.7971014492753659E-2</v>
      </c>
      <c r="G12" s="60">
        <v>2.3622047244094446E-2</v>
      </c>
      <c r="H12" s="61">
        <v>0.44505152090526601</v>
      </c>
      <c r="I12" s="61">
        <v>0.410857713689256</v>
      </c>
      <c r="J12" s="61">
        <v>0.35876238337885646</v>
      </c>
      <c r="K12" s="61">
        <v>0.12041496538084195</v>
      </c>
      <c r="L12" s="63" t="s">
        <v>403</v>
      </c>
      <c r="M12" s="60">
        <v>-2.0393518827871326E-2</v>
      </c>
      <c r="N12" s="64">
        <v>-7.2023948079706246E-2</v>
      </c>
      <c r="O12" s="63">
        <v>7.6617975200000004</v>
      </c>
      <c r="P12" s="63">
        <v>6.9458083400000197</v>
      </c>
      <c r="Q12" s="65">
        <v>8.7065067402957297</v>
      </c>
      <c r="R12" s="60">
        <v>5.6152619392307703E-3</v>
      </c>
      <c r="S12" s="65">
        <v>1.94570877533912</v>
      </c>
      <c r="T12" s="65">
        <v>892.18310342460995</v>
      </c>
      <c r="U12" s="65" t="s">
        <v>403</v>
      </c>
      <c r="V12" s="65">
        <v>319.17312727315198</v>
      </c>
      <c r="W12" s="65">
        <v>34.936214052754501</v>
      </c>
      <c r="X12" s="66" t="s">
        <v>66</v>
      </c>
    </row>
    <row r="13" spans="1:24" x14ac:dyDescent="0.25">
      <c r="A13" t="s">
        <v>33</v>
      </c>
      <c r="B13" s="58">
        <v>94.9</v>
      </c>
      <c r="C13" s="59">
        <v>131</v>
      </c>
      <c r="D13" s="59">
        <v>78</v>
      </c>
      <c r="E13" s="60">
        <v>-6.282722513088923E-3</v>
      </c>
      <c r="F13" s="60">
        <v>-1.0526315789473051E-3</v>
      </c>
      <c r="G13" s="60">
        <v>-6.282722513088923E-3</v>
      </c>
      <c r="H13" s="61">
        <v>0.15352492365648199</v>
      </c>
      <c r="I13" s="61">
        <v>0.30019716047294298</v>
      </c>
      <c r="J13" s="61">
        <v>0.60615299698685299</v>
      </c>
      <c r="K13" s="61">
        <v>0.261991228116639</v>
      </c>
      <c r="L13" s="63">
        <v>0.6949139943639</v>
      </c>
      <c r="M13" s="60">
        <v>3.6524864085935027E-2</v>
      </c>
      <c r="N13" s="64">
        <v>-0.10192871783688962</v>
      </c>
      <c r="O13" s="63">
        <v>6.7949193540000001</v>
      </c>
      <c r="P13" s="63">
        <v>14.291229997</v>
      </c>
      <c r="Q13" s="65">
        <v>53.375674130152298</v>
      </c>
      <c r="R13" s="60" t="s">
        <v>403</v>
      </c>
      <c r="S13" s="65">
        <v>0.71060050131941599</v>
      </c>
      <c r="T13" s="65" t="s">
        <v>403</v>
      </c>
      <c r="U13" s="65" t="s">
        <v>403</v>
      </c>
      <c r="V13" s="65">
        <v>21.884288673403699</v>
      </c>
      <c r="W13" s="65" t="s">
        <v>403</v>
      </c>
      <c r="X13" s="66" t="s">
        <v>33</v>
      </c>
    </row>
    <row r="14" spans="1:24" x14ac:dyDescent="0.25">
      <c r="A14" t="s">
        <v>39</v>
      </c>
      <c r="B14" s="58">
        <v>12.75</v>
      </c>
      <c r="C14" s="59">
        <v>16</v>
      </c>
      <c r="D14" s="59">
        <v>10.4</v>
      </c>
      <c r="E14" s="60">
        <v>0</v>
      </c>
      <c r="F14" s="60">
        <v>-1.5444015444015413E-2</v>
      </c>
      <c r="G14" s="60">
        <v>4.508196721311486E-2</v>
      </c>
      <c r="H14" s="61">
        <v>0.30356827563584099</v>
      </c>
      <c r="I14" s="61">
        <v>0.239091283913824</v>
      </c>
      <c r="J14" s="61">
        <v>0.4043112554355503</v>
      </c>
      <c r="K14" s="61">
        <v>-7.0187839525701623E-2</v>
      </c>
      <c r="L14" s="63">
        <v>0.48277397578833597</v>
      </c>
      <c r="M14" s="60">
        <v>2.2133480220866919E-2</v>
      </c>
      <c r="N14" s="64">
        <v>-5.0564028110685832E-2</v>
      </c>
      <c r="O14" s="63">
        <v>5.61</v>
      </c>
      <c r="P14" s="63">
        <v>13.738303999999999</v>
      </c>
      <c r="Q14" s="65">
        <v>7.2977332800720696</v>
      </c>
      <c r="R14" s="60" t="s">
        <v>403</v>
      </c>
      <c r="S14" s="65">
        <v>0.492891381675581</v>
      </c>
      <c r="T14" s="65" t="s">
        <v>403</v>
      </c>
      <c r="U14" s="65" t="s">
        <v>403</v>
      </c>
      <c r="V14" s="65">
        <v>7.25080242322956</v>
      </c>
      <c r="W14" s="65" t="s">
        <v>403</v>
      </c>
      <c r="X14" s="66" t="s">
        <v>39</v>
      </c>
    </row>
    <row r="15" spans="1:24" x14ac:dyDescent="0.25">
      <c r="A15" t="s">
        <v>31</v>
      </c>
      <c r="B15" s="58">
        <v>8.9</v>
      </c>
      <c r="C15" s="59">
        <v>11.5</v>
      </c>
      <c r="D15" s="59">
        <v>7.5</v>
      </c>
      <c r="E15" s="60">
        <v>1.1363636363636243E-2</v>
      </c>
      <c r="F15" s="60">
        <v>0</v>
      </c>
      <c r="G15" s="60">
        <v>2.2988505747126631E-2</v>
      </c>
      <c r="H15" s="61">
        <v>0.20636453908944499</v>
      </c>
      <c r="I15" s="61">
        <v>0.27154637423389799</v>
      </c>
      <c r="J15" s="61" t="s">
        <v>403</v>
      </c>
      <c r="K15" s="61" t="s">
        <v>403</v>
      </c>
      <c r="L15" s="63">
        <v>0.43038824917694501</v>
      </c>
      <c r="M15" s="60">
        <v>3.7577495664882332E-2</v>
      </c>
      <c r="N15" s="64">
        <v>-7.2657489576674061E-2</v>
      </c>
      <c r="O15" s="63">
        <v>4.8129368671999995</v>
      </c>
      <c r="P15" s="63">
        <v>4.9690743488000093</v>
      </c>
      <c r="Q15" s="65">
        <v>9.0426289406092</v>
      </c>
      <c r="R15" s="60" t="s">
        <v>403</v>
      </c>
      <c r="S15" s="65">
        <v>1.3518445244480399</v>
      </c>
      <c r="T15" s="65">
        <v>89.2946724189826</v>
      </c>
      <c r="U15" s="65" t="s">
        <v>403</v>
      </c>
      <c r="V15" s="65">
        <v>0.60854355831100204</v>
      </c>
      <c r="W15" s="65" t="s">
        <v>403</v>
      </c>
      <c r="X15" s="66" t="s">
        <v>31</v>
      </c>
    </row>
    <row r="16" spans="1:24" x14ac:dyDescent="0.25">
      <c r="A16" t="s">
        <v>44</v>
      </c>
      <c r="B16" s="58">
        <v>4.2</v>
      </c>
      <c r="C16" s="59">
        <v>7.4</v>
      </c>
      <c r="D16" s="59">
        <v>3.2453538000000002</v>
      </c>
      <c r="E16" s="60">
        <v>1.2048192771084265E-2</v>
      </c>
      <c r="F16" s="60">
        <v>-2.3255813953488302E-2</v>
      </c>
      <c r="G16" s="60">
        <v>-5.4054054054054057E-2</v>
      </c>
      <c r="H16" s="61">
        <v>0.26108002439488398</v>
      </c>
      <c r="I16" s="61">
        <v>0.48480950064765405</v>
      </c>
      <c r="J16" s="61">
        <v>0.54633673750394196</v>
      </c>
      <c r="K16" s="61">
        <v>-0.14336573829229626</v>
      </c>
      <c r="L16" s="63">
        <v>0.38291340141473501</v>
      </c>
      <c r="M16" s="60">
        <v>1.432168171139403E-2</v>
      </c>
      <c r="N16" s="64">
        <v>-0.14970004937785475</v>
      </c>
      <c r="O16" s="63">
        <v>2.4207539798000002</v>
      </c>
      <c r="P16" s="63">
        <v>2.5868601930000001</v>
      </c>
      <c r="Q16" s="65">
        <v>6.5419412255612404</v>
      </c>
      <c r="R16" s="60" t="s">
        <v>403</v>
      </c>
      <c r="S16" s="65">
        <v>0.33344118409141799</v>
      </c>
      <c r="T16" s="65" t="s">
        <v>403</v>
      </c>
      <c r="U16" s="65" t="s">
        <v>403</v>
      </c>
      <c r="V16" s="65">
        <v>0.95673143603961597</v>
      </c>
      <c r="W16" s="65" t="s">
        <v>403</v>
      </c>
      <c r="X16" s="66" t="s">
        <v>44</v>
      </c>
    </row>
    <row r="17" spans="1:24" x14ac:dyDescent="0.25">
      <c r="A17" t="s">
        <v>56</v>
      </c>
      <c r="B17" s="58">
        <v>9</v>
      </c>
      <c r="C17" s="59">
        <v>10.4358272</v>
      </c>
      <c r="D17" s="59">
        <v>7.0884863999999999</v>
      </c>
      <c r="E17" s="60">
        <v>0</v>
      </c>
      <c r="F17" s="60">
        <v>-4.2553191489361764E-2</v>
      </c>
      <c r="G17" s="60">
        <v>5.8823529411764719E-2</v>
      </c>
      <c r="H17" s="61">
        <v>0.424471027511647</v>
      </c>
      <c r="I17" s="61">
        <v>0.42368881360492205</v>
      </c>
      <c r="J17" s="61">
        <v>0.42282328026926902</v>
      </c>
      <c r="K17" s="61">
        <v>8.8449171339914701E-2</v>
      </c>
      <c r="L17" s="63">
        <v>0.243500195195581</v>
      </c>
      <c r="M17" s="60">
        <v>-4.9756958244794314E-3</v>
      </c>
      <c r="N17" s="64">
        <v>-3.6822465912035973E-2</v>
      </c>
      <c r="O17" s="63">
        <v>0.77477226300000002</v>
      </c>
      <c r="P17" s="63">
        <v>0.79240372300000095</v>
      </c>
      <c r="Q17" s="65">
        <v>3.3569585581515602</v>
      </c>
      <c r="R17" s="60">
        <v>1.54884223333333E-2</v>
      </c>
      <c r="S17" s="65">
        <v>0.50457535458286795</v>
      </c>
      <c r="T17" s="65">
        <v>8.9855332914008503</v>
      </c>
      <c r="U17" s="65" t="s">
        <v>403</v>
      </c>
      <c r="V17" s="65">
        <v>1.17133937411</v>
      </c>
      <c r="W17" s="65">
        <v>11.508676349372999</v>
      </c>
      <c r="X17" s="66" t="s">
        <v>56</v>
      </c>
    </row>
    <row r="18" spans="1:24" x14ac:dyDescent="0.25">
      <c r="A18" t="s">
        <v>63</v>
      </c>
      <c r="B18" s="58">
        <v>2.8</v>
      </c>
      <c r="C18" s="59">
        <v>3.85</v>
      </c>
      <c r="D18" s="59">
        <v>2.5616916000000001</v>
      </c>
      <c r="E18" s="60">
        <v>1.449275362318847E-2</v>
      </c>
      <c r="F18" s="60">
        <v>-5.0847457627118731E-2</v>
      </c>
      <c r="G18" s="60">
        <v>-5.4054054054054057E-2</v>
      </c>
      <c r="H18" s="61">
        <v>0.289278931599877</v>
      </c>
      <c r="I18" s="61">
        <v>0.28609765102345902</v>
      </c>
      <c r="J18" s="61">
        <v>0.47467467542332509</v>
      </c>
      <c r="K18" s="61">
        <v>-7.6572158888918551E-2</v>
      </c>
      <c r="L18" s="63">
        <v>0.64359044905507201</v>
      </c>
      <c r="M18" s="60">
        <v>-1.3269961962236398E-2</v>
      </c>
      <c r="N18" s="64">
        <v>-0.14970004937785475</v>
      </c>
      <c r="O18" s="63">
        <v>0.46340399999999998</v>
      </c>
      <c r="P18" s="63">
        <v>0.69801716000000091</v>
      </c>
      <c r="Q18" s="65">
        <v>4.1645254988880502</v>
      </c>
      <c r="R18" s="60">
        <v>1.82568405797102E-2</v>
      </c>
      <c r="S18" s="65">
        <v>0.36221265271234698</v>
      </c>
      <c r="T18" s="65">
        <v>5.2282700028008602</v>
      </c>
      <c r="U18" s="65" t="s">
        <v>403</v>
      </c>
      <c r="V18" s="65">
        <v>1.99922727281191</v>
      </c>
      <c r="W18" s="65" t="s">
        <v>403</v>
      </c>
      <c r="X18" s="66" t="s">
        <v>63</v>
      </c>
    </row>
    <row r="19" spans="1:24" x14ac:dyDescent="0.25">
      <c r="A19" t="s">
        <v>43</v>
      </c>
      <c r="B19" s="58">
        <v>1.8</v>
      </c>
      <c r="C19" s="59">
        <v>2.8</v>
      </c>
      <c r="D19" s="59">
        <v>1.61</v>
      </c>
      <c r="E19" s="60">
        <v>1.6949152542372836E-2</v>
      </c>
      <c r="F19" s="60">
        <v>-2.1739130434782594E-2</v>
      </c>
      <c r="G19" s="60">
        <v>-3.7433155080213942E-2</v>
      </c>
      <c r="H19" s="61">
        <v>0.24950494068631202</v>
      </c>
      <c r="I19" s="61">
        <v>0.27325889004500303</v>
      </c>
      <c r="J19" s="61">
        <v>0.55297452279980197</v>
      </c>
      <c r="K19" s="61">
        <v>-0.11290971486174373</v>
      </c>
      <c r="L19" s="63">
        <v>0.54314938252978895</v>
      </c>
      <c r="M19" s="60">
        <v>1.5838365230099738E-2</v>
      </c>
      <c r="N19" s="64">
        <v>-0.13307915040401463</v>
      </c>
      <c r="O19" s="63">
        <v>0.39276657186000002</v>
      </c>
      <c r="P19" s="63">
        <v>0.46370130240000101</v>
      </c>
      <c r="Q19" s="65">
        <v>10.893665772842001</v>
      </c>
      <c r="R19" s="60" t="s">
        <v>403</v>
      </c>
      <c r="S19" s="65">
        <v>0.49605251427299302</v>
      </c>
      <c r="T19" s="67" t="s">
        <v>403</v>
      </c>
      <c r="U19" s="65" t="s">
        <v>403</v>
      </c>
      <c r="V19" s="65">
        <v>1.0438388626594901</v>
      </c>
      <c r="W19" s="65" t="s">
        <v>403</v>
      </c>
      <c r="X19" s="66" t="s">
        <v>43</v>
      </c>
    </row>
    <row r="20" spans="1:24" x14ac:dyDescent="0.25">
      <c r="A20" s="68" t="s">
        <v>122</v>
      </c>
      <c r="B20" s="69"/>
      <c r="C20" s="69"/>
      <c r="D20" s="69"/>
      <c r="E20" s="70">
        <v>4.4155466170175354E-3</v>
      </c>
      <c r="F20" s="70">
        <v>-1.8750784427324526E-2</v>
      </c>
      <c r="G20" s="70">
        <v>1.5634731434856084E-2</v>
      </c>
      <c r="H20" s="71">
        <v>0.30557299247996927</v>
      </c>
      <c r="I20" s="71">
        <v>0.35641040369344934</v>
      </c>
      <c r="J20" s="71">
        <v>0.4577750019534168</v>
      </c>
      <c r="K20" s="71">
        <v>9.9983540091308012E-3</v>
      </c>
      <c r="L20" s="72">
        <v>0.44508093376503705</v>
      </c>
      <c r="M20" s="70">
        <v>1.8826711237557806E-2</v>
      </c>
      <c r="N20" s="70">
        <v>-8.0011263888944611E-2</v>
      </c>
      <c r="O20" s="72">
        <v>5.5024382868963642</v>
      </c>
      <c r="P20" s="72">
        <v>7.6366045149272788</v>
      </c>
      <c r="Q20" s="73">
        <v>12.187327770653008</v>
      </c>
      <c r="R20" s="71">
        <v>1.6793927310525831E-2</v>
      </c>
      <c r="S20" s="73">
        <v>0.6539127321151379</v>
      </c>
      <c r="T20" s="65">
        <v>186.53199222595083</v>
      </c>
      <c r="U20" s="71" t="s">
        <v>403</v>
      </c>
      <c r="V20" s="74">
        <v>33.947896317954097</v>
      </c>
      <c r="W20" s="75">
        <v>20.479460239622568</v>
      </c>
      <c r="X20" s="76" t="s">
        <v>123</v>
      </c>
    </row>
    <row r="21" spans="1:24" ht="9.75" customHeight="1" x14ac:dyDescent="0.25">
      <c r="H21" s="39"/>
      <c r="I21" s="39"/>
      <c r="J21" s="39"/>
      <c r="K21" s="39"/>
      <c r="L21" s="31"/>
      <c r="M21" s="77"/>
      <c r="N21" s="77"/>
      <c r="P21" s="31"/>
      <c r="Q21" s="78"/>
      <c r="R21" s="79"/>
      <c r="S21" s="78"/>
      <c r="T21" s="78"/>
      <c r="U21" s="78"/>
      <c r="V21" s="78"/>
      <c r="W21" s="78"/>
    </row>
    <row r="22" spans="1:24" x14ac:dyDescent="0.25">
      <c r="A22" s="56" t="s">
        <v>124</v>
      </c>
      <c r="B22" s="80"/>
      <c r="C22" s="80"/>
      <c r="D22" s="80"/>
      <c r="E22" s="80"/>
      <c r="F22" s="80"/>
      <c r="G22" s="80"/>
      <c r="H22" s="81"/>
      <c r="I22" s="81"/>
      <c r="J22" s="81"/>
      <c r="K22" s="81"/>
      <c r="L22" s="82"/>
      <c r="M22" s="83"/>
      <c r="N22" s="83"/>
      <c r="O22" s="80"/>
      <c r="P22" s="82"/>
      <c r="Q22" s="84"/>
      <c r="R22" s="85"/>
      <c r="S22" s="84"/>
      <c r="T22" s="84"/>
      <c r="U22" s="84"/>
      <c r="V22" s="84"/>
      <c r="W22" s="84"/>
      <c r="X22" s="86"/>
    </row>
    <row r="23" spans="1:24" x14ac:dyDescent="0.25">
      <c r="A23" t="s">
        <v>48</v>
      </c>
      <c r="B23" s="58">
        <v>360.5</v>
      </c>
      <c r="C23" s="59">
        <v>663.12790057184998</v>
      </c>
      <c r="D23" s="59">
        <v>284.63045670000002</v>
      </c>
      <c r="E23" s="60">
        <v>-2.7662517289073207E-3</v>
      </c>
      <c r="F23" s="60">
        <v>-2.9609690444145409E-2</v>
      </c>
      <c r="G23" s="60">
        <v>1.4064697609001309E-2</v>
      </c>
      <c r="H23" s="61">
        <v>0.261318658992931</v>
      </c>
      <c r="I23" s="61">
        <v>0.42651716372980303</v>
      </c>
      <c r="J23" s="61">
        <v>0.50075532136805223</v>
      </c>
      <c r="K23" s="61">
        <v>0.25176395919447669</v>
      </c>
      <c r="L23" s="63">
        <v>1.0437819378700599</v>
      </c>
      <c r="M23" s="60">
        <v>7.9678052207369232E-3</v>
      </c>
      <c r="N23" s="64">
        <v>-8.1581297714799383E-2</v>
      </c>
      <c r="O23" s="63">
        <v>6.5069999999999997</v>
      </c>
      <c r="P23" s="63">
        <v>6.0421100000000001</v>
      </c>
      <c r="Q23" s="65">
        <v>0.95413296916289603</v>
      </c>
      <c r="R23" s="60">
        <v>2.4332769593361E-3</v>
      </c>
      <c r="S23" s="65">
        <v>0.24971401607174701</v>
      </c>
      <c r="T23" s="65" t="s">
        <v>403</v>
      </c>
      <c r="U23" s="65" t="s">
        <v>403</v>
      </c>
      <c r="V23" s="65">
        <v>38.131357797228802</v>
      </c>
      <c r="W23" s="65">
        <v>4.0370394794962703</v>
      </c>
      <c r="X23" s="66" t="s">
        <v>48</v>
      </c>
    </row>
    <row r="24" spans="1:24" x14ac:dyDescent="0.25">
      <c r="A24" t="s">
        <v>13</v>
      </c>
      <c r="B24" s="58">
        <v>77</v>
      </c>
      <c r="C24" s="59">
        <v>77</v>
      </c>
      <c r="D24" s="59">
        <v>40</v>
      </c>
      <c r="E24" s="60">
        <v>0</v>
      </c>
      <c r="F24" s="60">
        <v>4.0540540540540571E-2</v>
      </c>
      <c r="G24" s="60">
        <v>0.42592592592592582</v>
      </c>
      <c r="H24" s="61">
        <v>0.406731495897038</v>
      </c>
      <c r="I24" s="61">
        <v>0.41957740966791801</v>
      </c>
      <c r="J24" s="61" t="s">
        <v>403</v>
      </c>
      <c r="K24" s="61" t="s">
        <v>403</v>
      </c>
      <c r="L24" s="63">
        <v>0.47397087669653998</v>
      </c>
      <c r="M24" s="60">
        <v>7.8118036205422903E-2</v>
      </c>
      <c r="N24" s="64">
        <v>0.33027993060212513</v>
      </c>
      <c r="O24" s="63">
        <v>3.6171623949999998</v>
      </c>
      <c r="P24" s="63">
        <v>1.174302341</v>
      </c>
      <c r="Q24" s="65">
        <v>4.6829566916498298</v>
      </c>
      <c r="R24" s="60">
        <v>2.4969063906493498E-2</v>
      </c>
      <c r="S24" s="65">
        <v>0.63363974021060798</v>
      </c>
      <c r="T24" s="65">
        <v>33.468802295003599</v>
      </c>
      <c r="U24" s="65" t="s">
        <v>403</v>
      </c>
      <c r="V24" s="65">
        <v>11.67013839545</v>
      </c>
      <c r="W24" s="65">
        <v>7.6921863356197404</v>
      </c>
      <c r="X24" s="66" t="s">
        <v>13</v>
      </c>
    </row>
    <row r="25" spans="1:24" x14ac:dyDescent="0.25">
      <c r="A25" t="s">
        <v>32</v>
      </c>
      <c r="B25" s="58">
        <v>31.9</v>
      </c>
      <c r="C25" s="59">
        <v>48.652580199662403</v>
      </c>
      <c r="D25" s="59">
        <v>14.5</v>
      </c>
      <c r="E25" s="60">
        <v>1.2698412698412653E-2</v>
      </c>
      <c r="F25" s="60">
        <v>0</v>
      </c>
      <c r="G25" s="60" t="s">
        <v>403</v>
      </c>
      <c r="H25" s="61">
        <v>0.91244316918913104</v>
      </c>
      <c r="I25" s="61">
        <v>0.66055606290072899</v>
      </c>
      <c r="J25" s="61">
        <v>0.50855620495593901</v>
      </c>
      <c r="K25" s="61">
        <v>0.23058122688813465</v>
      </c>
      <c r="L25" s="63">
        <v>0.27966158873362201</v>
      </c>
      <c r="M25" s="60">
        <v>3.7577495664882332E-2</v>
      </c>
      <c r="N25" s="64" t="s">
        <v>403</v>
      </c>
      <c r="O25" s="63">
        <v>1.3956866910000001</v>
      </c>
      <c r="P25" s="63">
        <v>1.8212471565999999</v>
      </c>
      <c r="Q25" s="65">
        <v>2.5585970661805302</v>
      </c>
      <c r="R25" s="60">
        <v>2.3286028765079399E-2</v>
      </c>
      <c r="S25" s="65">
        <v>0.32831782399593601</v>
      </c>
      <c r="T25" s="65" t="s">
        <v>403</v>
      </c>
      <c r="U25" s="65" t="s">
        <v>403</v>
      </c>
      <c r="V25" s="65">
        <v>2.6808254583930902</v>
      </c>
      <c r="W25" s="65" t="s">
        <v>403</v>
      </c>
      <c r="X25" s="66" t="s">
        <v>32</v>
      </c>
    </row>
    <row r="26" spans="1:24" x14ac:dyDescent="0.25">
      <c r="A26" t="s">
        <v>81</v>
      </c>
      <c r="B26" s="58">
        <v>5</v>
      </c>
      <c r="C26" s="59">
        <v>19</v>
      </c>
      <c r="D26" s="59">
        <v>4.9000000000000004</v>
      </c>
      <c r="E26" s="60">
        <v>-1.9607843137254832E-2</v>
      </c>
      <c r="F26" s="60">
        <v>-0.13043478260869568</v>
      </c>
      <c r="G26" s="60">
        <v>-0.31318681318681318</v>
      </c>
      <c r="H26" s="61">
        <v>0.51944470097017004</v>
      </c>
      <c r="I26" s="61">
        <v>0.43201237465103198</v>
      </c>
      <c r="J26" s="61" t="s">
        <v>403</v>
      </c>
      <c r="K26" s="61" t="s">
        <v>403</v>
      </c>
      <c r="L26" s="63">
        <v>0.70027212621736301</v>
      </c>
      <c r="M26" s="60">
        <v>-9.2857286943813344E-2</v>
      </c>
      <c r="N26" s="64">
        <v>-0.40883280851061388</v>
      </c>
      <c r="O26" s="63">
        <v>0.36388237350000002</v>
      </c>
      <c r="P26" s="63">
        <v>1.097562425</v>
      </c>
      <c r="Q26" s="65" t="s">
        <v>403</v>
      </c>
      <c r="R26" s="60" t="s">
        <v>403</v>
      </c>
      <c r="S26" s="65">
        <v>0.122098405458786</v>
      </c>
      <c r="T26" s="65" t="s">
        <v>403</v>
      </c>
      <c r="U26" s="65" t="s">
        <v>403</v>
      </c>
      <c r="V26" s="65">
        <v>-0.19281632637732599</v>
      </c>
      <c r="W26" s="65" t="s">
        <v>403</v>
      </c>
      <c r="X26" s="66" t="s">
        <v>81</v>
      </c>
    </row>
    <row r="27" spans="1:24" x14ac:dyDescent="0.25">
      <c r="A27" t="s">
        <v>73</v>
      </c>
      <c r="B27" s="58">
        <v>2.31</v>
      </c>
      <c r="C27" s="59">
        <v>5.83</v>
      </c>
      <c r="D27" s="59">
        <v>2</v>
      </c>
      <c r="E27" s="60">
        <v>-3.7499999999999978E-2</v>
      </c>
      <c r="F27" s="60">
        <v>-7.5999999999999956E-2</v>
      </c>
      <c r="G27" s="60">
        <v>5.4794520547945202E-2</v>
      </c>
      <c r="H27" s="61">
        <v>0.47922092186368198</v>
      </c>
      <c r="I27" s="61">
        <v>0.54452452998371403</v>
      </c>
      <c r="J27" s="61">
        <v>0.4630939265385482</v>
      </c>
      <c r="K27" s="61">
        <v>-8.217773068038059E-3</v>
      </c>
      <c r="L27" s="63">
        <v>0.65566732323224297</v>
      </c>
      <c r="M27" s="60">
        <v>-3.8422504335117624E-2</v>
      </c>
      <c r="N27" s="64">
        <v>-4.085147477585549E-2</v>
      </c>
      <c r="O27" s="63">
        <v>0.36873963119999997</v>
      </c>
      <c r="P27" s="63">
        <v>0.62301577502999994</v>
      </c>
      <c r="Q27" s="65">
        <v>10.483682217348701</v>
      </c>
      <c r="R27" s="60" t="s">
        <v>403</v>
      </c>
      <c r="S27" s="65">
        <v>0.28119408025723203</v>
      </c>
      <c r="T27" s="65" t="s">
        <v>403</v>
      </c>
      <c r="U27" s="65" t="s">
        <v>403</v>
      </c>
      <c r="V27" s="65">
        <v>1.21413861394787</v>
      </c>
      <c r="W27" s="65" t="s">
        <v>403</v>
      </c>
      <c r="X27" s="66" t="s">
        <v>73</v>
      </c>
    </row>
    <row r="28" spans="1:24" x14ac:dyDescent="0.25">
      <c r="A28" t="s">
        <v>75</v>
      </c>
      <c r="B28" s="58">
        <v>4</v>
      </c>
      <c r="C28" s="59">
        <v>5.5</v>
      </c>
      <c r="D28" s="59">
        <v>2.42</v>
      </c>
      <c r="E28" s="60">
        <v>2.5062656641603454E-3</v>
      </c>
      <c r="F28" s="60">
        <v>-8.045977011494243E-2</v>
      </c>
      <c r="G28" s="60">
        <v>0.4285714285714286</v>
      </c>
      <c r="H28" s="61">
        <v>1.3306151488248501</v>
      </c>
      <c r="I28" s="61">
        <v>0.93965727917273401</v>
      </c>
      <c r="J28" s="61">
        <v>0.85650543577678906</v>
      </c>
      <c r="K28" s="61">
        <v>-2.611562864193806E-2</v>
      </c>
      <c r="L28" s="63">
        <v>0.57148290591166695</v>
      </c>
      <c r="M28" s="60">
        <v>-4.2882274450060098E-2</v>
      </c>
      <c r="N28" s="64">
        <v>0.33292543324762791</v>
      </c>
      <c r="O28" s="63">
        <v>0.40047212247000002</v>
      </c>
      <c r="P28" s="63">
        <v>0.399503942000001</v>
      </c>
      <c r="Q28" s="65" t="s">
        <v>403</v>
      </c>
      <c r="R28" s="60" t="s">
        <v>403</v>
      </c>
      <c r="S28" s="65">
        <v>1.34675341421721</v>
      </c>
      <c r="T28" s="65" t="s">
        <v>403</v>
      </c>
      <c r="U28" s="65" t="s">
        <v>403</v>
      </c>
      <c r="V28" s="65">
        <v>-2.3559496419823298</v>
      </c>
      <c r="W28" s="65" t="s">
        <v>403</v>
      </c>
      <c r="X28" s="66" t="s">
        <v>75</v>
      </c>
    </row>
    <row r="29" spans="1:24" x14ac:dyDescent="0.25">
      <c r="A29" s="37" t="s">
        <v>27</v>
      </c>
      <c r="B29" s="58" t="s">
        <v>403</v>
      </c>
      <c r="C29" s="59">
        <v>11.2</v>
      </c>
      <c r="D29" s="59">
        <v>8</v>
      </c>
      <c r="E29" s="60" t="s">
        <v>403</v>
      </c>
      <c r="F29" s="60" t="s">
        <v>403</v>
      </c>
      <c r="G29" s="60" t="s">
        <v>403</v>
      </c>
      <c r="H29" s="61">
        <v>0</v>
      </c>
      <c r="I29" s="61">
        <v>0.20667124210790402</v>
      </c>
      <c r="J29" s="61">
        <v>0.40780731141194199</v>
      </c>
      <c r="K29" s="61">
        <v>-8.1122649503520106E-2</v>
      </c>
      <c r="L29" s="63" t="s">
        <v>403</v>
      </c>
      <c r="M29" s="60" t="s">
        <v>403</v>
      </c>
      <c r="N29" s="64" t="s">
        <v>403</v>
      </c>
      <c r="O29" s="63">
        <v>0.152</v>
      </c>
      <c r="P29" s="63">
        <v>0.15916950999999999</v>
      </c>
      <c r="Q29" s="65">
        <v>3.21971372232984</v>
      </c>
      <c r="R29" s="60" t="s">
        <v>403</v>
      </c>
      <c r="S29" s="65">
        <v>0.39440336436448897</v>
      </c>
      <c r="T29" s="67" t="s">
        <v>403</v>
      </c>
      <c r="U29" s="65" t="s">
        <v>403</v>
      </c>
      <c r="V29" s="65">
        <v>2.7780900082784199</v>
      </c>
      <c r="W29" s="65" t="s">
        <v>403</v>
      </c>
      <c r="X29" s="66" t="s">
        <v>27</v>
      </c>
    </row>
    <row r="30" spans="1:24" x14ac:dyDescent="0.25">
      <c r="A30" s="68" t="s">
        <v>122</v>
      </c>
      <c r="B30" s="69"/>
      <c r="C30" s="69"/>
      <c r="D30" s="69"/>
      <c r="E30" s="70">
        <v>-7.4449027505981884E-3</v>
      </c>
      <c r="F30" s="70">
        <v>-4.5993950437873819E-2</v>
      </c>
      <c r="G30" s="70">
        <v>0.12203395189349756</v>
      </c>
      <c r="H30" s="71">
        <v>0.55853915653397179</v>
      </c>
      <c r="I30" s="71">
        <v>0.51850229460197628</v>
      </c>
      <c r="J30" s="71">
        <v>0.54734364001025415</v>
      </c>
      <c r="K30" s="71">
        <v>7.3377826973823029E-2</v>
      </c>
      <c r="L30" s="72">
        <v>0.62080612644358257</v>
      </c>
      <c r="M30" s="70">
        <v>-8.4164547729914854E-3</v>
      </c>
      <c r="N30" s="70">
        <v>2.6387956569696856E-2</v>
      </c>
      <c r="O30" s="72">
        <v>1.8292776018814281</v>
      </c>
      <c r="P30" s="72">
        <v>1.6167015928042858</v>
      </c>
      <c r="Q30" s="73">
        <v>4.3798165333343588</v>
      </c>
      <c r="R30" s="71">
        <v>1.6896123210303E-2</v>
      </c>
      <c r="S30" s="73">
        <v>0.47944583493942972</v>
      </c>
      <c r="T30" s="65">
        <v>33.468802295003599</v>
      </c>
      <c r="U30" s="71" t="s">
        <v>403</v>
      </c>
      <c r="V30" s="74">
        <v>7.7036834721340739</v>
      </c>
      <c r="W30" s="87">
        <v>5.8646129075580049</v>
      </c>
      <c r="X30" s="76" t="s">
        <v>123</v>
      </c>
    </row>
    <row r="31" spans="1:24" ht="9" customHeight="1" x14ac:dyDescent="0.25">
      <c r="H31" s="39"/>
      <c r="I31" s="39"/>
      <c r="J31" s="39"/>
      <c r="K31" s="39"/>
      <c r="L31" s="31"/>
      <c r="M31" s="77"/>
      <c r="N31" s="77"/>
      <c r="P31" s="31"/>
      <c r="Q31" s="78"/>
      <c r="R31" s="79"/>
      <c r="S31" s="78"/>
      <c r="T31" s="78"/>
      <c r="U31" s="78"/>
      <c r="V31" s="78"/>
      <c r="W31" s="78"/>
    </row>
    <row r="32" spans="1:24" x14ac:dyDescent="0.25">
      <c r="A32" s="56" t="s">
        <v>125</v>
      </c>
      <c r="B32" s="80"/>
      <c r="C32" s="80"/>
      <c r="D32" s="80"/>
      <c r="E32" s="80"/>
      <c r="F32" s="80"/>
      <c r="G32" s="80"/>
      <c r="H32" s="81"/>
      <c r="I32" s="81"/>
      <c r="J32" s="81"/>
      <c r="K32" s="81"/>
      <c r="L32" s="82"/>
      <c r="M32" s="83"/>
      <c r="N32" s="83"/>
      <c r="O32" s="80"/>
      <c r="P32" s="82"/>
      <c r="Q32" s="84"/>
      <c r="R32" s="85"/>
      <c r="S32" s="84"/>
      <c r="T32" s="84"/>
      <c r="U32" s="84"/>
      <c r="V32" s="84"/>
      <c r="W32" s="84"/>
      <c r="X32" s="86"/>
    </row>
    <row r="33" spans="1:24" x14ac:dyDescent="0.25">
      <c r="A33" t="s">
        <v>23</v>
      </c>
      <c r="B33" s="58">
        <v>310.85000000000002</v>
      </c>
      <c r="C33" s="59">
        <v>345</v>
      </c>
      <c r="D33" s="59">
        <v>115.337356070976</v>
      </c>
      <c r="E33" s="60">
        <v>-4.1621704948358262E-2</v>
      </c>
      <c r="F33" s="60">
        <v>4.6864899806078331E-3</v>
      </c>
      <c r="G33" s="60">
        <v>0.24514320048067306</v>
      </c>
      <c r="H33" s="61">
        <v>0.36555561156031702</v>
      </c>
      <c r="I33" s="61">
        <v>0.39272319483512497</v>
      </c>
      <c r="J33" s="61">
        <v>0.48909992534601238</v>
      </c>
      <c r="K33" s="61">
        <v>-4.0676908509540421E-2</v>
      </c>
      <c r="L33" s="63">
        <v>0.37896225420113</v>
      </c>
      <c r="M33" s="60">
        <v>4.2263985645490165E-2</v>
      </c>
      <c r="N33" s="64">
        <v>0.14949720515687237</v>
      </c>
      <c r="O33" s="88">
        <v>3768.8420594494401</v>
      </c>
      <c r="P33" s="63">
        <v>642.57719546400006</v>
      </c>
      <c r="Q33" s="65">
        <v>4.92694577916133</v>
      </c>
      <c r="R33" s="60">
        <v>6.68592590459986E-3</v>
      </c>
      <c r="S33" s="65">
        <v>0.99818538634131304</v>
      </c>
      <c r="T33" s="65">
        <v>13.5459941403582</v>
      </c>
      <c r="U33" s="65">
        <v>9.2592292437467805</v>
      </c>
      <c r="V33" s="65">
        <v>1.25963092367697</v>
      </c>
      <c r="W33" s="65">
        <v>3.6433568726509198</v>
      </c>
      <c r="X33" s="66" t="s">
        <v>23</v>
      </c>
    </row>
    <row r="34" spans="1:24" x14ac:dyDescent="0.25">
      <c r="A34" t="s">
        <v>17</v>
      </c>
      <c r="B34" s="58">
        <v>531.95000000000005</v>
      </c>
      <c r="C34" s="59">
        <v>708.95</v>
      </c>
      <c r="D34" s="59">
        <v>334</v>
      </c>
      <c r="E34" s="60">
        <v>-4.4372586005568926E-2</v>
      </c>
      <c r="F34" s="60">
        <v>2.0625479662317758E-2</v>
      </c>
      <c r="G34" s="60">
        <v>0.29554310764734537</v>
      </c>
      <c r="H34" s="61">
        <v>0.30312920700713897</v>
      </c>
      <c r="I34" s="61">
        <v>0.38622696425925396</v>
      </c>
      <c r="J34" s="61">
        <v>0.35046275738571958</v>
      </c>
      <c r="K34" s="61">
        <v>6.1091972808980488E-2</v>
      </c>
      <c r="L34" s="63">
        <v>0.172921455449184</v>
      </c>
      <c r="M34" s="60">
        <v>5.820297532720009E-2</v>
      </c>
      <c r="N34" s="64">
        <v>0.19989711232354468</v>
      </c>
      <c r="O34" s="88">
        <v>657.14582641950005</v>
      </c>
      <c r="P34" s="63">
        <v>14.7711651761052</v>
      </c>
      <c r="Q34" s="65">
        <v>9.6155797705365895</v>
      </c>
      <c r="R34" s="60">
        <v>2.9078954459714403E-2</v>
      </c>
      <c r="S34" s="65">
        <v>1.9658510388736401</v>
      </c>
      <c r="T34" s="65">
        <v>17.185540410554001</v>
      </c>
      <c r="U34" s="65">
        <v>14.684191613949301</v>
      </c>
      <c r="V34" s="65">
        <v>1.2777555759305701</v>
      </c>
      <c r="W34" s="65">
        <v>24.648974915120199</v>
      </c>
      <c r="X34" s="66" t="s">
        <v>17</v>
      </c>
    </row>
    <row r="35" spans="1:24" x14ac:dyDescent="0.25">
      <c r="A35" t="s">
        <v>51</v>
      </c>
      <c r="B35" s="58">
        <v>535.9</v>
      </c>
      <c r="C35" s="59">
        <v>66.537588</v>
      </c>
      <c r="D35" s="59">
        <v>37.169615999999998</v>
      </c>
      <c r="E35" s="60">
        <v>-1.1163391456776584E-2</v>
      </c>
      <c r="F35" s="60">
        <v>-3.3020570191266807E-2</v>
      </c>
      <c r="G35" s="60">
        <v>6.7210992731255637E-2</v>
      </c>
      <c r="H35" s="61">
        <v>0.46043820240257705</v>
      </c>
      <c r="I35" s="61">
        <v>0.43650159250429899</v>
      </c>
      <c r="J35" s="61">
        <v>0.45811120593850924</v>
      </c>
      <c r="K35" s="61">
        <v>-1.8140064092228902E-2</v>
      </c>
      <c r="L35" s="63">
        <v>0.82182074253677995</v>
      </c>
      <c r="M35" s="60">
        <v>4.5569254736155251E-3</v>
      </c>
      <c r="N35" s="64">
        <v>-2.8435002592545056E-2</v>
      </c>
      <c r="O35" s="88">
        <v>213.15586816635002</v>
      </c>
      <c r="P35" s="63">
        <v>512.84956078970004</v>
      </c>
      <c r="Q35" s="65">
        <v>4.44595291620172</v>
      </c>
      <c r="R35" s="60">
        <v>5.6296706338223104E-3</v>
      </c>
      <c r="S35" s="65">
        <v>0.58596771049716501</v>
      </c>
      <c r="T35" s="65">
        <v>0.63404803644468799</v>
      </c>
      <c r="U35" s="65">
        <v>14.6076925488229</v>
      </c>
      <c r="V35" s="65">
        <v>5.8079758517909003E-2</v>
      </c>
      <c r="W35" s="65">
        <v>2.0666891638035199</v>
      </c>
      <c r="X35" s="66" t="s">
        <v>51</v>
      </c>
    </row>
    <row r="36" spans="1:24" x14ac:dyDescent="0.25">
      <c r="A36" t="s">
        <v>19</v>
      </c>
      <c r="B36" s="58">
        <v>116.4</v>
      </c>
      <c r="C36" s="59">
        <v>135.5</v>
      </c>
      <c r="D36" s="59">
        <v>62.842387732634499</v>
      </c>
      <c r="E36" s="60">
        <v>4.3946188340807213E-2</v>
      </c>
      <c r="F36" s="60">
        <v>1.6593886462882068E-2</v>
      </c>
      <c r="G36" s="60">
        <v>6.1559507523939905E-2</v>
      </c>
      <c r="H36" s="61">
        <v>0.41652414577270597</v>
      </c>
      <c r="I36" s="61">
        <v>0.39478139325388395</v>
      </c>
      <c r="J36" s="61">
        <v>0.48609521677385081</v>
      </c>
      <c r="K36" s="61">
        <v>0.30521470604183976</v>
      </c>
      <c r="L36" s="63">
        <v>0.98856789575598103</v>
      </c>
      <c r="M36" s="60">
        <v>5.41713821277644E-2</v>
      </c>
      <c r="N36" s="64">
        <v>-3.4086487799860787E-2</v>
      </c>
      <c r="O36" s="88">
        <v>88.586224054499993</v>
      </c>
      <c r="P36" s="63">
        <v>51.114782999600095</v>
      </c>
      <c r="Q36" s="65">
        <v>4.4454506578625299</v>
      </c>
      <c r="R36" s="60">
        <v>4.2321608524663698E-2</v>
      </c>
      <c r="S36" s="65">
        <v>3.9256868815369401</v>
      </c>
      <c r="T36" s="65">
        <v>20.0848256036663</v>
      </c>
      <c r="U36" s="65">
        <v>13.197278911564601</v>
      </c>
      <c r="V36" s="65">
        <v>20.9080123061471</v>
      </c>
      <c r="W36" s="65">
        <v>11.366786092781901</v>
      </c>
      <c r="X36" s="66" t="s">
        <v>19</v>
      </c>
    </row>
    <row r="37" spans="1:24" x14ac:dyDescent="0.25">
      <c r="A37" t="s">
        <v>49</v>
      </c>
      <c r="B37" s="58">
        <v>68.7</v>
      </c>
      <c r="C37" s="59">
        <v>72.900000000000006</v>
      </c>
      <c r="D37" s="59">
        <v>38.6</v>
      </c>
      <c r="E37" s="60">
        <v>-1.151079136690647E-2</v>
      </c>
      <c r="F37" s="60">
        <v>-2.9661016949152463E-2</v>
      </c>
      <c r="G37" s="60">
        <v>0.21485411140583555</v>
      </c>
      <c r="H37" s="61">
        <v>0.38337257916494799</v>
      </c>
      <c r="I37" s="61">
        <v>0.37333457050672303</v>
      </c>
      <c r="J37" s="61">
        <v>0.51745247287901608</v>
      </c>
      <c r="K37" s="61">
        <v>0.32429191980609362</v>
      </c>
      <c r="L37" s="63">
        <v>1.08940856430088</v>
      </c>
      <c r="M37" s="60">
        <v>7.9164787157298688E-3</v>
      </c>
      <c r="N37" s="64">
        <v>0.11920811608203485</v>
      </c>
      <c r="O37" s="88">
        <v>30.536488760499999</v>
      </c>
      <c r="P37" s="63">
        <v>10.403892599799999</v>
      </c>
      <c r="Q37" s="65">
        <v>1.9308252265551</v>
      </c>
      <c r="R37" s="60">
        <v>1.2040287769784198E-2</v>
      </c>
      <c r="S37" s="65" t="s">
        <v>403</v>
      </c>
      <c r="T37" s="65" t="s">
        <v>403</v>
      </c>
      <c r="U37" s="65">
        <v>15.403587443946201</v>
      </c>
      <c r="V37" s="65" t="s">
        <v>403</v>
      </c>
      <c r="W37" s="65" t="s">
        <v>403</v>
      </c>
      <c r="X37" s="66" t="s">
        <v>49</v>
      </c>
    </row>
    <row r="38" spans="1:24" x14ac:dyDescent="0.25">
      <c r="A38" t="s">
        <v>35</v>
      </c>
      <c r="B38" s="58">
        <v>12.1</v>
      </c>
      <c r="C38" s="59">
        <v>12.8</v>
      </c>
      <c r="D38" s="59">
        <v>5.8</v>
      </c>
      <c r="E38" s="60">
        <v>8.3333333333333037E-3</v>
      </c>
      <c r="F38" s="60">
        <v>-8.1967213114754189E-3</v>
      </c>
      <c r="G38" s="60">
        <v>9.5022624434389025E-2</v>
      </c>
      <c r="H38" s="61">
        <v>0.33395385360107604</v>
      </c>
      <c r="I38" s="61">
        <v>0.416312980662914</v>
      </c>
      <c r="J38" s="61" t="s">
        <v>403</v>
      </c>
      <c r="K38" s="61" t="s">
        <v>403</v>
      </c>
      <c r="L38" s="63">
        <v>0.80174612409484802</v>
      </c>
      <c r="M38" s="60">
        <v>2.9380774353406913E-2</v>
      </c>
      <c r="N38" s="64">
        <v>-6.2337088941166741E-4</v>
      </c>
      <c r="O38" s="88">
        <v>7.2664484639999998</v>
      </c>
      <c r="P38" s="63">
        <v>0.94578782418192098</v>
      </c>
      <c r="Q38" s="65">
        <v>4.7397457411995401</v>
      </c>
      <c r="R38" s="60" t="s">
        <v>403</v>
      </c>
      <c r="S38" s="65">
        <v>4.6682613982081804</v>
      </c>
      <c r="T38" s="65" t="s">
        <v>403</v>
      </c>
      <c r="U38" s="65" t="s">
        <v>403</v>
      </c>
      <c r="V38" s="65">
        <v>2.3404585981201</v>
      </c>
      <c r="W38" s="65">
        <v>102.84683277358</v>
      </c>
      <c r="X38" s="66" t="s">
        <v>35</v>
      </c>
    </row>
    <row r="39" spans="1:24" x14ac:dyDescent="0.25">
      <c r="A39" t="s">
        <v>50</v>
      </c>
      <c r="B39" s="58">
        <v>3.19</v>
      </c>
      <c r="C39" s="59">
        <v>0.47699999999999998</v>
      </c>
      <c r="D39" s="59">
        <v>0.30099999999999999</v>
      </c>
      <c r="E39" s="60">
        <v>3.1446540880502027E-3</v>
      </c>
      <c r="F39" s="60">
        <v>-3.0395136778115561E-2</v>
      </c>
      <c r="G39" s="60">
        <v>-4.4910179640718528E-2</v>
      </c>
      <c r="H39" s="61">
        <v>0.24452098660828198</v>
      </c>
      <c r="I39" s="61">
        <v>0.33734561655126699</v>
      </c>
      <c r="J39" s="61">
        <v>0.51250902100372853</v>
      </c>
      <c r="K39" s="61">
        <v>1.7851870970224004E-2</v>
      </c>
      <c r="L39" s="63">
        <v>0.919272448702662</v>
      </c>
      <c r="M39" s="60">
        <v>7.1823588867667709E-3</v>
      </c>
      <c r="N39" s="64">
        <v>-0.14055617496451922</v>
      </c>
      <c r="O39" s="88">
        <v>4.8020046012000002</v>
      </c>
      <c r="P39" s="63">
        <v>7.5290351034159499</v>
      </c>
      <c r="Q39" s="65" t="s">
        <v>403</v>
      </c>
      <c r="R39" s="60" t="s">
        <v>403</v>
      </c>
      <c r="S39" s="65">
        <v>1.70988846588781</v>
      </c>
      <c r="T39" s="65">
        <v>0.83315921437526097</v>
      </c>
      <c r="U39" s="65">
        <v>0.54067796610169505</v>
      </c>
      <c r="V39" s="65">
        <v>9.1808049049284995E-2</v>
      </c>
      <c r="W39" s="65">
        <v>12.6008790820729</v>
      </c>
      <c r="X39" s="66" t="s">
        <v>50</v>
      </c>
    </row>
    <row r="40" spans="1:24" x14ac:dyDescent="0.25">
      <c r="A40" t="s">
        <v>78</v>
      </c>
      <c r="B40" s="58">
        <v>1.5</v>
      </c>
      <c r="C40" s="59">
        <v>3.02</v>
      </c>
      <c r="D40" s="59">
        <v>0.85</v>
      </c>
      <c r="E40" s="60">
        <v>-4.4585987261146487E-2</v>
      </c>
      <c r="F40" s="60">
        <v>-9.0909090909090828E-2</v>
      </c>
      <c r="G40" s="60">
        <v>-3.2258064516129115E-2</v>
      </c>
      <c r="H40" s="61">
        <v>0.54986226602249799</v>
      </c>
      <c r="I40" s="61">
        <v>0.61085555912304401</v>
      </c>
      <c r="J40" s="61">
        <v>0.57371415391197167</v>
      </c>
      <c r="K40" s="61">
        <v>-4.1826530598729872E-2</v>
      </c>
      <c r="L40" s="63">
        <v>0.39712814710037603</v>
      </c>
      <c r="M40" s="60">
        <v>-5.3331595244208496E-2</v>
      </c>
      <c r="N40" s="64">
        <v>-0.12790405983992981</v>
      </c>
      <c r="O40" s="88">
        <v>0.71929935748999996</v>
      </c>
      <c r="P40" s="63">
        <v>0.7563166900000009</v>
      </c>
      <c r="Q40" s="65">
        <v>11.8863034082119</v>
      </c>
      <c r="R40" s="60" t="s">
        <v>403</v>
      </c>
      <c r="S40" s="65">
        <v>3.3603459680687799</v>
      </c>
      <c r="T40" s="67">
        <v>39.609189331925002</v>
      </c>
      <c r="U40" s="65" t="s">
        <v>403</v>
      </c>
      <c r="V40" s="65">
        <v>5.1663983808799498</v>
      </c>
      <c r="W40" s="65" t="s">
        <v>403</v>
      </c>
      <c r="X40" s="66" t="s">
        <v>78</v>
      </c>
    </row>
    <row r="41" spans="1:24" x14ac:dyDescent="0.25">
      <c r="A41" s="68" t="s">
        <v>122</v>
      </c>
      <c r="B41" s="69"/>
      <c r="C41" s="69"/>
      <c r="D41" s="69"/>
      <c r="E41" s="70">
        <v>-1.2228785659570751E-2</v>
      </c>
      <c r="F41" s="70">
        <v>-1.8784585004161677E-2</v>
      </c>
      <c r="G41" s="70">
        <v>0.11277066250832386</v>
      </c>
      <c r="H41" s="71">
        <v>0.38216960651744286</v>
      </c>
      <c r="I41" s="71">
        <v>0.41851023396206366</v>
      </c>
      <c r="J41" s="71">
        <v>0.48392067903411551</v>
      </c>
      <c r="K41" s="71">
        <v>8.6829566632376953E-2</v>
      </c>
      <c r="L41" s="72">
        <v>0.69622845401773015</v>
      </c>
      <c r="M41" s="70">
        <v>1.8792910660720655E-2</v>
      </c>
      <c r="N41" s="70">
        <v>1.7124667184523171E-2</v>
      </c>
      <c r="O41" s="72">
        <v>596.38177740912249</v>
      </c>
      <c r="P41" s="72">
        <v>155.11846708085039</v>
      </c>
      <c r="Q41" s="73">
        <v>5.998686214246959</v>
      </c>
      <c r="R41" s="71">
        <v>1.9151289458516896E-2</v>
      </c>
      <c r="S41" s="73">
        <v>2.4591695499162611</v>
      </c>
      <c r="T41" s="65">
        <v>15.315459456220575</v>
      </c>
      <c r="U41" s="73">
        <v>11.282109621355247</v>
      </c>
      <c r="V41" s="74">
        <v>4.4431633703316979</v>
      </c>
      <c r="W41" s="73">
        <v>26.195586483334907</v>
      </c>
      <c r="X41" s="76" t="s">
        <v>123</v>
      </c>
    </row>
    <row r="42" spans="1:24" ht="8.25" customHeight="1" x14ac:dyDescent="0.25">
      <c r="E42" s="79"/>
      <c r="F42" s="79"/>
      <c r="G42" s="79"/>
      <c r="H42" s="39"/>
      <c r="I42" s="39"/>
      <c r="J42" s="39"/>
      <c r="K42" s="39"/>
      <c r="L42" s="31"/>
      <c r="M42" s="77"/>
      <c r="N42" s="77"/>
      <c r="P42" s="31"/>
      <c r="Q42" s="78"/>
      <c r="R42" s="79"/>
      <c r="S42" s="78"/>
      <c r="T42" s="78"/>
      <c r="U42" s="78"/>
      <c r="V42" s="78"/>
      <c r="W42" s="78"/>
    </row>
    <row r="43" spans="1:24" ht="26.25" customHeight="1" x14ac:dyDescent="0.25">
      <c r="E43" s="79"/>
      <c r="F43" s="79"/>
      <c r="G43" s="79"/>
      <c r="H43" s="39"/>
      <c r="I43" s="39"/>
      <c r="J43" s="39"/>
      <c r="K43" s="39"/>
      <c r="L43" s="31"/>
      <c r="M43" s="77"/>
      <c r="N43" s="77"/>
      <c r="P43" s="31"/>
      <c r="Q43" s="31"/>
      <c r="R43" s="79"/>
      <c r="S43" s="78"/>
      <c r="T43" s="78"/>
      <c r="U43" s="78"/>
      <c r="V43" s="78"/>
      <c r="W43" s="78"/>
    </row>
    <row r="44" spans="1:24" x14ac:dyDescent="0.25">
      <c r="A44" s="41" t="s">
        <v>4</v>
      </c>
      <c r="B44" s="41" t="s">
        <v>96</v>
      </c>
      <c r="C44" s="42" t="s">
        <v>97</v>
      </c>
      <c r="D44" s="42"/>
      <c r="E44" s="43" t="s">
        <v>98</v>
      </c>
      <c r="F44" s="44"/>
      <c r="G44" s="45"/>
      <c r="H44" s="42" t="s">
        <v>99</v>
      </c>
      <c r="I44" s="42"/>
      <c r="J44" s="46" t="s">
        <v>100</v>
      </c>
      <c r="K44" s="46" t="s">
        <v>101</v>
      </c>
      <c r="L44" s="47" t="s">
        <v>102</v>
      </c>
      <c r="M44" s="42" t="s">
        <v>103</v>
      </c>
      <c r="N44" s="42"/>
      <c r="O44" s="42" t="s">
        <v>104</v>
      </c>
      <c r="P44" s="42"/>
      <c r="Q44" s="42"/>
      <c r="R44" s="47" t="s">
        <v>105</v>
      </c>
      <c r="S44" s="42" t="s">
        <v>106</v>
      </c>
      <c r="T44" s="42"/>
      <c r="U44" s="42"/>
      <c r="V44" s="42"/>
      <c r="W44" s="42"/>
      <c r="X44" s="89" t="s">
        <v>4</v>
      </c>
    </row>
    <row r="45" spans="1:24" ht="33" customHeight="1" x14ac:dyDescent="0.25">
      <c r="A45" s="49"/>
      <c r="B45" s="49"/>
      <c r="C45" s="50" t="s">
        <v>107</v>
      </c>
      <c r="D45" s="50" t="s">
        <v>108</v>
      </c>
      <c r="E45" s="51" t="s">
        <v>109</v>
      </c>
      <c r="F45" s="51" t="s">
        <v>110</v>
      </c>
      <c r="G45" s="51">
        <v>2019</v>
      </c>
      <c r="H45" s="51" t="s">
        <v>111</v>
      </c>
      <c r="I45" s="51" t="s">
        <v>112</v>
      </c>
      <c r="J45" s="52"/>
      <c r="K45" s="52"/>
      <c r="L45" s="47"/>
      <c r="M45" s="51" t="s">
        <v>110</v>
      </c>
      <c r="N45" s="51">
        <v>2019</v>
      </c>
      <c r="O45" s="53" t="s">
        <v>113</v>
      </c>
      <c r="P45" s="51" t="s">
        <v>114</v>
      </c>
      <c r="Q45" s="51" t="s">
        <v>115</v>
      </c>
      <c r="R45" s="47"/>
      <c r="S45" s="54" t="s">
        <v>116</v>
      </c>
      <c r="T45" s="51" t="s">
        <v>117</v>
      </c>
      <c r="U45" s="51" t="s">
        <v>118</v>
      </c>
      <c r="V45" s="51" t="s">
        <v>119</v>
      </c>
      <c r="W45" s="51" t="s">
        <v>120</v>
      </c>
      <c r="X45" s="90"/>
    </row>
    <row r="46" spans="1:24" x14ac:dyDescent="0.25">
      <c r="A46" s="56" t="s">
        <v>126</v>
      </c>
      <c r="B46" s="80"/>
      <c r="C46" s="80"/>
      <c r="D46" s="80"/>
      <c r="E46" s="85"/>
      <c r="F46" s="85"/>
      <c r="G46" s="85"/>
      <c r="H46" s="81"/>
      <c r="I46" s="81"/>
      <c r="J46" s="81"/>
      <c r="K46" s="81"/>
      <c r="L46" s="82"/>
      <c r="M46" s="83"/>
      <c r="N46" s="83"/>
      <c r="O46" s="80"/>
      <c r="P46" s="82"/>
      <c r="Q46" s="82"/>
      <c r="R46" s="85"/>
      <c r="S46" s="84"/>
      <c r="T46" s="84"/>
      <c r="U46" s="84"/>
      <c r="V46" s="84"/>
      <c r="W46" s="84"/>
      <c r="X46" s="86"/>
    </row>
    <row r="47" spans="1:24" x14ac:dyDescent="0.25">
      <c r="A47" t="s">
        <v>77</v>
      </c>
      <c r="B47" s="58">
        <v>110.25</v>
      </c>
      <c r="C47" s="59">
        <v>141.80000000000001</v>
      </c>
      <c r="D47" s="59">
        <v>69.650000000000006</v>
      </c>
      <c r="E47" s="60">
        <v>1.0540788267644485E-2</v>
      </c>
      <c r="F47" s="60">
        <v>-8.7334437086092676E-2</v>
      </c>
      <c r="G47" s="60">
        <v>6.7279767666989398E-2</v>
      </c>
      <c r="H47" s="61">
        <v>0.41833214664839902</v>
      </c>
      <c r="I47" s="61">
        <v>0.509040563468239</v>
      </c>
      <c r="J47" s="61">
        <v>0.48275046436426144</v>
      </c>
      <c r="K47" s="61">
        <v>0.31822803940861411</v>
      </c>
      <c r="L47" s="63">
        <v>1.42139742811493</v>
      </c>
      <c r="M47" s="60">
        <v>-4.9756941421210343E-2</v>
      </c>
      <c r="N47" s="64">
        <v>-2.8366227656811294E-2</v>
      </c>
      <c r="O47" s="88">
        <v>155.66001753270001</v>
      </c>
      <c r="P47" s="63">
        <v>48.020109906749802</v>
      </c>
      <c r="Q47" s="65">
        <v>2.1845569693462998</v>
      </c>
      <c r="R47" s="60">
        <v>7.7091087296058706E-3</v>
      </c>
      <c r="S47" s="65">
        <v>2.3620802347390901</v>
      </c>
      <c r="T47" s="65">
        <v>12.462400851851701</v>
      </c>
      <c r="U47" s="65">
        <v>9.5294648459986604</v>
      </c>
      <c r="V47" s="65">
        <v>3.1186352078745898</v>
      </c>
      <c r="W47" s="65">
        <v>8.4906317753530107</v>
      </c>
      <c r="X47" s="66" t="s">
        <v>77</v>
      </c>
    </row>
    <row r="48" spans="1:24" x14ac:dyDescent="0.25">
      <c r="A48" t="s">
        <v>68</v>
      </c>
      <c r="B48" s="58">
        <v>183.7</v>
      </c>
      <c r="C48" s="59">
        <v>226</v>
      </c>
      <c r="D48" s="59">
        <v>125.05</v>
      </c>
      <c r="E48" s="60">
        <v>-6.7585834009191714E-3</v>
      </c>
      <c r="F48" s="60">
        <v>-6.6090493136756523E-2</v>
      </c>
      <c r="G48" s="60">
        <v>0.12046355596218361</v>
      </c>
      <c r="H48" s="61">
        <v>0.42980717659110801</v>
      </c>
      <c r="I48" s="61">
        <v>0.50812429550377092</v>
      </c>
      <c r="J48" s="61">
        <v>0.49149227267032047</v>
      </c>
      <c r="K48" s="61">
        <v>0.18184467569297524</v>
      </c>
      <c r="L48" s="63">
        <v>1.4438595468724</v>
      </c>
      <c r="M48" s="60">
        <v>-2.8512997471874191E-2</v>
      </c>
      <c r="N48" s="64">
        <v>2.4817560638382918E-2</v>
      </c>
      <c r="O48" s="88">
        <v>123.85417573395</v>
      </c>
      <c r="P48" s="63">
        <v>90.048634957700102</v>
      </c>
      <c r="Q48" s="65">
        <v>3.87050170748235</v>
      </c>
      <c r="R48" s="60">
        <v>2.7683157610164901E-2</v>
      </c>
      <c r="S48" s="65">
        <v>2.3329036701335899</v>
      </c>
      <c r="T48" s="65">
        <v>9.0848351500530899</v>
      </c>
      <c r="U48" s="65">
        <v>7.9935598973064703</v>
      </c>
      <c r="V48" s="65">
        <v>2.4138713870259898</v>
      </c>
      <c r="W48" s="65">
        <v>2.4221547797701901</v>
      </c>
      <c r="X48" s="66" t="s">
        <v>68</v>
      </c>
    </row>
    <row r="49" spans="1:24" x14ac:dyDescent="0.25">
      <c r="A49" t="s">
        <v>20</v>
      </c>
      <c r="B49" s="58">
        <v>145.75</v>
      </c>
      <c r="C49" s="59">
        <v>176</v>
      </c>
      <c r="D49" s="59">
        <v>88.2</v>
      </c>
      <c r="E49" s="60">
        <v>6.9084628670121884E-3</v>
      </c>
      <c r="F49" s="60">
        <v>8.65051903114189E-3</v>
      </c>
      <c r="G49" s="60">
        <v>3.5523978685612745E-2</v>
      </c>
      <c r="H49" s="61">
        <v>0.40790855157771899</v>
      </c>
      <c r="I49" s="61">
        <v>0.44393334150678798</v>
      </c>
      <c r="J49" s="61">
        <v>0.47965495529423346</v>
      </c>
      <c r="K49" s="61">
        <v>0.22091141088698008</v>
      </c>
      <c r="L49" s="63">
        <v>1.3110741980826299</v>
      </c>
      <c r="M49" s="60">
        <v>4.6228014696024222E-2</v>
      </c>
      <c r="N49" s="64">
        <v>-6.0122016638187947E-2</v>
      </c>
      <c r="O49" s="88">
        <v>88.682482600499995</v>
      </c>
      <c r="P49" s="63">
        <v>13.7534522385002</v>
      </c>
      <c r="Q49" s="65">
        <v>0.93177591058742704</v>
      </c>
      <c r="R49" s="60">
        <v>1.09378985837651E-2</v>
      </c>
      <c r="S49" s="65">
        <v>2.40730021120963</v>
      </c>
      <c r="T49" s="65">
        <v>11.0268555947201</v>
      </c>
      <c r="U49" s="65">
        <v>9.69683986143</v>
      </c>
      <c r="V49" s="65">
        <v>2.50132629411126</v>
      </c>
      <c r="W49" s="65">
        <v>3.68191209245294</v>
      </c>
      <c r="X49" s="66" t="s">
        <v>20</v>
      </c>
    </row>
    <row r="50" spans="1:24" x14ac:dyDescent="0.25">
      <c r="A50" t="s">
        <v>58</v>
      </c>
      <c r="B50" s="58">
        <v>18.7</v>
      </c>
      <c r="C50" s="59">
        <v>26.692685999999998</v>
      </c>
      <c r="D50" s="59">
        <v>14.829269999999999</v>
      </c>
      <c r="E50" s="60">
        <v>-1.5789473684210575E-2</v>
      </c>
      <c r="F50" s="60">
        <v>-4.3478260869565299E-2</v>
      </c>
      <c r="G50" s="60">
        <v>8.0873935707653111E-2</v>
      </c>
      <c r="H50" s="61">
        <v>0.33897228402836604</v>
      </c>
      <c r="I50" s="61">
        <v>0.33302417158437403</v>
      </c>
      <c r="J50" s="61">
        <v>0.4829231927458521</v>
      </c>
      <c r="K50" s="61">
        <v>3.8135298675497253E-2</v>
      </c>
      <c r="L50" s="63">
        <v>0.78134550392574498</v>
      </c>
      <c r="M50" s="60">
        <v>-5.9007652046829673E-3</v>
      </c>
      <c r="N50" s="64">
        <v>-1.4772059616147581E-2</v>
      </c>
      <c r="O50" s="88">
        <v>41.318217859500002</v>
      </c>
      <c r="P50" s="63">
        <v>-98.988553486499796</v>
      </c>
      <c r="Q50" s="65">
        <v>-5.1993240877873399</v>
      </c>
      <c r="R50" s="60" t="s">
        <v>403</v>
      </c>
      <c r="S50" s="65">
        <v>1.6847096450957499</v>
      </c>
      <c r="T50" s="65">
        <v>9.4306794628042905</v>
      </c>
      <c r="U50" s="65" t="s">
        <v>403</v>
      </c>
      <c r="V50" s="65">
        <v>2.0262130974527399</v>
      </c>
      <c r="W50" s="65">
        <v>0.80243440731129301</v>
      </c>
      <c r="X50" s="66" t="s">
        <v>58</v>
      </c>
    </row>
    <row r="51" spans="1:24" x14ac:dyDescent="0.25">
      <c r="A51" t="s">
        <v>36</v>
      </c>
      <c r="B51" s="58">
        <v>41.15</v>
      </c>
      <c r="C51" s="59">
        <v>59.263538250000003</v>
      </c>
      <c r="D51" s="59">
        <v>29</v>
      </c>
      <c r="E51" s="60">
        <v>-6.0386473429951959E-3</v>
      </c>
      <c r="F51" s="60">
        <v>-1.0817307692307709E-2</v>
      </c>
      <c r="G51" s="60">
        <v>0.20497803806735004</v>
      </c>
      <c r="H51" s="61">
        <v>0.29776683346601002</v>
      </c>
      <c r="I51" s="61">
        <v>0.34805924092691698</v>
      </c>
      <c r="J51" s="61">
        <v>0.44853680282110847</v>
      </c>
      <c r="K51" s="61">
        <v>0.15853385455798574</v>
      </c>
      <c r="L51" s="63">
        <v>0.84001226829923603</v>
      </c>
      <c r="M51" s="60">
        <v>2.6760187972574623E-2</v>
      </c>
      <c r="N51" s="64">
        <v>0.10933204274354935</v>
      </c>
      <c r="O51" s="88">
        <v>29.772612811799998</v>
      </c>
      <c r="P51" s="63">
        <v>8.30228264184999</v>
      </c>
      <c r="Q51" s="65">
        <v>0.88517345928873703</v>
      </c>
      <c r="R51" s="60">
        <v>5.9706068405797098E-2</v>
      </c>
      <c r="S51" s="65">
        <v>1.3690695838934901</v>
      </c>
      <c r="T51" s="65">
        <v>15.0864123301633</v>
      </c>
      <c r="U51" s="65" t="s">
        <v>403</v>
      </c>
      <c r="V51" s="65">
        <v>1.8444026682538801</v>
      </c>
      <c r="W51" s="65">
        <v>1.6159015794543601</v>
      </c>
      <c r="X51" s="66" t="s">
        <v>36</v>
      </c>
    </row>
    <row r="52" spans="1:24" x14ac:dyDescent="0.25">
      <c r="A52" t="s">
        <v>60</v>
      </c>
      <c r="B52" s="58">
        <v>339</v>
      </c>
      <c r="C52" s="59">
        <v>438.8</v>
      </c>
      <c r="D52" s="59">
        <v>285.05</v>
      </c>
      <c r="E52" s="60">
        <v>3.1963470319634757E-2</v>
      </c>
      <c r="F52" s="60">
        <v>-4.7752808988763995E-2</v>
      </c>
      <c r="G52" s="60">
        <v>-0.10412262156448193</v>
      </c>
      <c r="H52" s="61">
        <v>0.267363169598205</v>
      </c>
      <c r="I52" s="61">
        <v>0.32974152488611097</v>
      </c>
      <c r="J52" s="61" t="s">
        <v>403</v>
      </c>
      <c r="K52" s="61" t="s">
        <v>403</v>
      </c>
      <c r="L52" s="63">
        <v>0.85459380929533901</v>
      </c>
      <c r="M52" s="60">
        <v>-1.0175313323881663E-2</v>
      </c>
      <c r="N52" s="64">
        <v>-0.19976861688828262</v>
      </c>
      <c r="O52" s="88">
        <v>25.048124999999999</v>
      </c>
      <c r="P52" s="63">
        <v>6.5263957699999908</v>
      </c>
      <c r="Q52" s="65">
        <v>8.1501851032567405</v>
      </c>
      <c r="R52" s="60">
        <v>4.9619482496194803E-3</v>
      </c>
      <c r="S52" s="65">
        <v>19.9635111154907</v>
      </c>
      <c r="T52" s="65">
        <v>7.9601120896491704</v>
      </c>
      <c r="U52" s="65" t="s">
        <v>403</v>
      </c>
      <c r="V52" s="65">
        <v>3.4671219745983999</v>
      </c>
      <c r="W52" s="65">
        <v>2.8991122919564001</v>
      </c>
      <c r="X52" s="66" t="s">
        <v>60</v>
      </c>
    </row>
    <row r="53" spans="1:24" x14ac:dyDescent="0.25">
      <c r="A53" t="s">
        <v>64</v>
      </c>
      <c r="B53" s="58">
        <v>13.1</v>
      </c>
      <c r="C53" s="59">
        <v>19.554889800000002</v>
      </c>
      <c r="D53" s="59">
        <v>8.4</v>
      </c>
      <c r="E53" s="60">
        <v>0</v>
      </c>
      <c r="F53" s="60">
        <v>-5.4151624548736454E-2</v>
      </c>
      <c r="G53" s="60">
        <v>0.11489361702127665</v>
      </c>
      <c r="H53" s="61">
        <v>0.36757241131945895</v>
      </c>
      <c r="I53" s="61">
        <v>0.42190050659797101</v>
      </c>
      <c r="J53" s="61">
        <v>0.53836036145182553</v>
      </c>
      <c r="K53" s="61">
        <v>0.10121618845631075</v>
      </c>
      <c r="L53" s="63">
        <v>0.97456524334009398</v>
      </c>
      <c r="M53" s="60">
        <v>-1.6574128883854122E-2</v>
      </c>
      <c r="N53" s="64">
        <v>1.9247621697475958E-2</v>
      </c>
      <c r="O53" s="88">
        <v>19.649999999999999</v>
      </c>
      <c r="P53" s="63">
        <v>1.766596998</v>
      </c>
      <c r="Q53" s="65">
        <v>0.49594576366541199</v>
      </c>
      <c r="R53" s="60">
        <v>1.01781170458015E-2</v>
      </c>
      <c r="S53" s="65">
        <v>1.38852229408546</v>
      </c>
      <c r="T53" s="65">
        <v>9.4764102489908701</v>
      </c>
      <c r="U53" s="65" t="s">
        <v>403</v>
      </c>
      <c r="V53" s="65">
        <v>2.0700001443648102</v>
      </c>
      <c r="W53" s="65" t="s">
        <v>403</v>
      </c>
      <c r="X53" s="66" t="s">
        <v>64</v>
      </c>
    </row>
    <row r="54" spans="1:24" x14ac:dyDescent="0.25">
      <c r="A54" t="s">
        <v>74</v>
      </c>
      <c r="B54" s="58">
        <v>6.37</v>
      </c>
      <c r="C54" s="59">
        <v>8.6390823000000001</v>
      </c>
      <c r="D54" s="59">
        <v>4.37</v>
      </c>
      <c r="E54" s="60">
        <v>2.0833333333333259E-2</v>
      </c>
      <c r="F54" s="60">
        <v>-7.8147612156295176E-2</v>
      </c>
      <c r="G54" s="60">
        <v>0.20872865275142316</v>
      </c>
      <c r="H54" s="61">
        <v>0.43812095248263705</v>
      </c>
      <c r="I54" s="61">
        <v>0.37735529595580403</v>
      </c>
      <c r="J54" s="61">
        <v>0.55385178342166197</v>
      </c>
      <c r="K54" s="61">
        <v>1.2504807418158848E-2</v>
      </c>
      <c r="L54" s="63">
        <v>1.0385086851283101</v>
      </c>
      <c r="M54" s="60">
        <v>-4.0570116491412844E-2</v>
      </c>
      <c r="N54" s="64">
        <v>0.11308265742762247</v>
      </c>
      <c r="O54" s="88">
        <v>5.3567467200000003</v>
      </c>
      <c r="P54" s="63">
        <v>-16.85625507</v>
      </c>
      <c r="Q54" s="65">
        <v>-16.357191910508998</v>
      </c>
      <c r="R54" s="60">
        <v>7.0512820512820498E-2</v>
      </c>
      <c r="S54" s="65">
        <v>2.9509397342272501</v>
      </c>
      <c r="T54" s="65">
        <v>7.6898004514890701</v>
      </c>
      <c r="U54" s="65">
        <v>5.8440366972477102</v>
      </c>
      <c r="V54" s="65">
        <v>3.0290584616387402</v>
      </c>
      <c r="W54" s="65">
        <v>0.354355560328728</v>
      </c>
      <c r="X54" s="66" t="s">
        <v>74</v>
      </c>
    </row>
    <row r="55" spans="1:24" x14ac:dyDescent="0.25">
      <c r="A55" s="68" t="s">
        <v>122</v>
      </c>
      <c r="B55" s="69"/>
      <c r="C55" s="69"/>
      <c r="D55" s="69"/>
      <c r="E55" s="70">
        <v>5.2074187949374684E-3</v>
      </c>
      <c r="F55" s="70">
        <v>-4.7390253180921993E-2</v>
      </c>
      <c r="G55" s="70">
        <v>9.1077365537250848E-2</v>
      </c>
      <c r="H55" s="71">
        <v>0.37073044071398786</v>
      </c>
      <c r="I55" s="71">
        <v>0.40889736755374684</v>
      </c>
      <c r="J55" s="71">
        <v>0.49679569039560911</v>
      </c>
      <c r="K55" s="71">
        <v>0.14733918215664601</v>
      </c>
      <c r="L55" s="91">
        <v>1.0831695853823353</v>
      </c>
      <c r="M55" s="70">
        <v>-9.8127575160396607E-3</v>
      </c>
      <c r="N55" s="70">
        <v>-4.5686297865498438E-3</v>
      </c>
      <c r="O55" s="92">
        <v>61.167797282306246</v>
      </c>
      <c r="P55" s="72">
        <v>6.5715829945375344</v>
      </c>
      <c r="Q55" s="73">
        <v>-0.62979713558367156</v>
      </c>
      <c r="R55" s="70">
        <v>2.7384159876796352E-2</v>
      </c>
      <c r="S55" s="73">
        <v>4.3073795611093697</v>
      </c>
      <c r="T55" s="73">
        <v>10.2771882724652</v>
      </c>
      <c r="U55" s="73">
        <v>8.2659753254957096</v>
      </c>
      <c r="V55" s="74">
        <v>2.5588286544150511</v>
      </c>
      <c r="W55" s="73">
        <v>2.8952146409467026</v>
      </c>
      <c r="X55" s="76" t="s">
        <v>123</v>
      </c>
    </row>
    <row r="56" spans="1:24" ht="9" customHeight="1" x14ac:dyDescent="0.25">
      <c r="E56" s="79"/>
      <c r="F56" s="79"/>
      <c r="G56" s="79"/>
      <c r="H56" s="39"/>
      <c r="I56" s="39"/>
      <c r="J56" s="39"/>
      <c r="K56" s="39"/>
      <c r="L56" s="31"/>
      <c r="M56" s="77"/>
      <c r="N56" s="77"/>
      <c r="P56" s="31"/>
      <c r="Q56" s="78"/>
      <c r="R56" s="79"/>
      <c r="S56" s="78"/>
      <c r="T56" s="78"/>
      <c r="U56" s="78"/>
      <c r="V56" s="78"/>
      <c r="W56" s="78"/>
    </row>
    <row r="57" spans="1:24" x14ac:dyDescent="0.25">
      <c r="A57" s="56" t="s">
        <v>127</v>
      </c>
      <c r="B57" s="80"/>
      <c r="C57" s="80"/>
      <c r="D57" s="80"/>
      <c r="E57" s="85"/>
      <c r="F57" s="85"/>
      <c r="G57" s="85"/>
      <c r="H57" s="81"/>
      <c r="I57" s="81"/>
      <c r="J57" s="81"/>
      <c r="K57" s="81"/>
      <c r="L57" s="82"/>
      <c r="M57" s="83"/>
      <c r="N57" s="83"/>
      <c r="O57" s="80"/>
      <c r="P57" s="82"/>
      <c r="Q57" s="84"/>
      <c r="R57" s="85"/>
      <c r="S57" s="84"/>
      <c r="T57" s="84"/>
      <c r="U57" s="84"/>
      <c r="V57" s="84"/>
      <c r="W57" s="84"/>
      <c r="X57" s="86"/>
    </row>
    <row r="58" spans="1:24" x14ac:dyDescent="0.25">
      <c r="A58" t="s">
        <v>45</v>
      </c>
      <c r="B58" s="58">
        <v>117</v>
      </c>
      <c r="C58" s="59">
        <v>128.5</v>
      </c>
      <c r="D58" s="59">
        <v>61.635840000000002</v>
      </c>
      <c r="E58" s="60">
        <v>2.857142857142847E-2</v>
      </c>
      <c r="F58" s="60">
        <v>-2.5000000000000022E-2</v>
      </c>
      <c r="G58" s="60">
        <v>-2.3779724655819678E-2</v>
      </c>
      <c r="H58" s="61">
        <v>0.258240186944733</v>
      </c>
      <c r="I58" s="61">
        <v>0.29087375647910496</v>
      </c>
      <c r="J58" s="61">
        <v>0.64427971092719039</v>
      </c>
      <c r="K58" s="61">
        <v>0.32412612038225652</v>
      </c>
      <c r="L58" s="63">
        <v>0.77289501740025501</v>
      </c>
      <c r="M58" s="60">
        <v>1.257749566488231E-2</v>
      </c>
      <c r="N58" s="64">
        <v>-0.11942571997962037</v>
      </c>
      <c r="O58" s="88">
        <v>10.498995324999999</v>
      </c>
      <c r="P58" s="63">
        <v>2.671763275</v>
      </c>
      <c r="Q58" s="65">
        <v>2.7884999493652498</v>
      </c>
      <c r="R58" s="60">
        <v>0.16210091347780201</v>
      </c>
      <c r="S58" s="65">
        <v>1.18681671270393</v>
      </c>
      <c r="T58" s="65">
        <v>0.614310150178355</v>
      </c>
      <c r="U58" s="65" t="s">
        <v>403</v>
      </c>
      <c r="V58" s="65">
        <v>0.61840960432655401</v>
      </c>
      <c r="W58" s="65">
        <v>5.2191576349312001</v>
      </c>
      <c r="X58" s="66" t="s">
        <v>45</v>
      </c>
    </row>
    <row r="59" spans="1:24" x14ac:dyDescent="0.25">
      <c r="A59" t="s">
        <v>55</v>
      </c>
      <c r="B59" s="58">
        <v>37.65</v>
      </c>
      <c r="C59" s="59">
        <v>43</v>
      </c>
      <c r="D59" s="59">
        <v>20.147201800000001</v>
      </c>
      <c r="E59" s="60">
        <v>-1.3262599469496816E-3</v>
      </c>
      <c r="F59" s="60">
        <v>-4.1984732824427495E-2</v>
      </c>
      <c r="G59" s="60">
        <v>7.5714285714285623E-2</v>
      </c>
      <c r="H59" s="61">
        <v>0.25590233764693798</v>
      </c>
      <c r="I59" s="61">
        <v>0.34971143786057901</v>
      </c>
      <c r="J59" s="61">
        <v>0.40111909354297087</v>
      </c>
      <c r="K59" s="61">
        <v>0.2791654247091151</v>
      </c>
      <c r="L59" s="63">
        <v>0.78747628231951805</v>
      </c>
      <c r="M59" s="60">
        <v>-4.4072371595451632E-3</v>
      </c>
      <c r="N59" s="64">
        <v>-1.9931709609515069E-2</v>
      </c>
      <c r="O59" s="88">
        <v>6.032</v>
      </c>
      <c r="P59" s="63">
        <v>4.4070564400000096</v>
      </c>
      <c r="Q59" s="65">
        <v>4.7974309786758003</v>
      </c>
      <c r="R59" s="60">
        <v>0.23374087798408499</v>
      </c>
      <c r="S59" s="65">
        <v>2.5297614210728199</v>
      </c>
      <c r="T59" s="65">
        <v>0.67472477411952902</v>
      </c>
      <c r="U59" s="65" t="s">
        <v>403</v>
      </c>
      <c r="V59" s="65">
        <v>0.66965692048607095</v>
      </c>
      <c r="W59" s="65">
        <v>4.3943575865009397</v>
      </c>
      <c r="X59" s="66" t="s">
        <v>55</v>
      </c>
    </row>
    <row r="60" spans="1:24" x14ac:dyDescent="0.25">
      <c r="A60" t="s">
        <v>61</v>
      </c>
      <c r="B60" s="58">
        <v>9.9499999999999993</v>
      </c>
      <c r="C60" s="59">
        <v>31</v>
      </c>
      <c r="D60" s="59">
        <v>9</v>
      </c>
      <c r="E60" s="60">
        <v>0.1055555555555554</v>
      </c>
      <c r="F60" s="60">
        <v>-4.7846889952153138E-2</v>
      </c>
      <c r="G60" s="60">
        <v>-0.26838235294117652</v>
      </c>
      <c r="H60" s="61">
        <v>0.68126642738912391</v>
      </c>
      <c r="I60" s="61">
        <v>0.59076802098742898</v>
      </c>
      <c r="J60" s="61">
        <v>0.54760197130207433</v>
      </c>
      <c r="K60" s="61">
        <v>0.21995664446305541</v>
      </c>
      <c r="L60" s="63">
        <v>8.9200366390882996E-2</v>
      </c>
      <c r="M60" s="60">
        <v>-1.0269394287270805E-2</v>
      </c>
      <c r="N60" s="64">
        <v>-0.36402834826497721</v>
      </c>
      <c r="O60" s="88">
        <v>1.51163172</v>
      </c>
      <c r="P60" s="63">
        <v>1.6665358459999999</v>
      </c>
      <c r="Q60" s="65">
        <v>15.959623891517101</v>
      </c>
      <c r="R60" s="60" t="s">
        <v>403</v>
      </c>
      <c r="S60" s="65">
        <v>0.61310875793216502</v>
      </c>
      <c r="T60" s="65">
        <v>5.8329034376025897</v>
      </c>
      <c r="U60" s="65" t="s">
        <v>403</v>
      </c>
      <c r="V60" s="65">
        <v>2.1286369201418398</v>
      </c>
      <c r="W60" s="65" t="s">
        <v>403</v>
      </c>
      <c r="X60" s="66" t="s">
        <v>61</v>
      </c>
    </row>
    <row r="61" spans="1:24" x14ac:dyDescent="0.25">
      <c r="A61" t="s">
        <v>21</v>
      </c>
      <c r="B61" s="58">
        <v>12.5</v>
      </c>
      <c r="C61" s="59">
        <v>13.7</v>
      </c>
      <c r="D61" s="59">
        <v>7.4</v>
      </c>
      <c r="E61" s="60">
        <v>4.0160642570281624E-3</v>
      </c>
      <c r="F61" s="60">
        <v>8.0645161290322509E-3</v>
      </c>
      <c r="G61" s="60">
        <v>-2.7237354085603127E-2</v>
      </c>
      <c r="H61" s="61">
        <v>0.16823018843443299</v>
      </c>
      <c r="I61" s="61">
        <v>0.27164015122965801</v>
      </c>
      <c r="J61" s="61">
        <v>0.34334450987164572</v>
      </c>
      <c r="K61" s="61">
        <v>-3.8781679101970168E-2</v>
      </c>
      <c r="L61" s="63">
        <v>0.35081753596728199</v>
      </c>
      <c r="M61" s="60">
        <v>4.5642011793914583E-2</v>
      </c>
      <c r="N61" s="64">
        <v>-0.12288334940940382</v>
      </c>
      <c r="O61" s="88">
        <v>1.5338400000000001</v>
      </c>
      <c r="P61" s="63">
        <v>1.48797756</v>
      </c>
      <c r="Q61" s="65">
        <v>4.0527392436417697</v>
      </c>
      <c r="R61" s="60">
        <v>1.2850709921927701E-2</v>
      </c>
      <c r="S61" s="65">
        <v>3.33261213298473</v>
      </c>
      <c r="T61" s="65">
        <v>3.9625554361505499</v>
      </c>
      <c r="U61" s="65" t="s">
        <v>403</v>
      </c>
      <c r="V61" s="65">
        <v>0.95996771317151697</v>
      </c>
      <c r="W61" s="65">
        <v>3.37907881966846</v>
      </c>
      <c r="X61" s="66" t="s">
        <v>21</v>
      </c>
    </row>
    <row r="62" spans="1:24" x14ac:dyDescent="0.25">
      <c r="A62" t="s">
        <v>79</v>
      </c>
      <c r="B62" s="58">
        <v>3.41</v>
      </c>
      <c r="C62" s="59">
        <v>6.8576973299999997</v>
      </c>
      <c r="D62" s="59">
        <v>3.0016856999999999</v>
      </c>
      <c r="E62" s="60">
        <v>2.9411764705882248E-3</v>
      </c>
      <c r="F62" s="60">
        <v>-9.7883597883597795E-2</v>
      </c>
      <c r="G62" s="60">
        <v>1.7910447761193993E-2</v>
      </c>
      <c r="H62" s="61">
        <v>0.57637863265704803</v>
      </c>
      <c r="I62" s="61">
        <v>0.44456390587731598</v>
      </c>
      <c r="J62" s="61" t="s">
        <v>403</v>
      </c>
      <c r="K62" s="61" t="s">
        <v>403</v>
      </c>
      <c r="L62" s="63">
        <v>0.49009258017288898</v>
      </c>
      <c r="M62" s="60">
        <v>-6.0306102218715463E-2</v>
      </c>
      <c r="N62" s="64">
        <v>-7.7735547562606699E-2</v>
      </c>
      <c r="O62" s="88">
        <v>1.3974</v>
      </c>
      <c r="P62" s="63">
        <v>1.91898373659</v>
      </c>
      <c r="Q62" s="65">
        <v>7.10325648607032</v>
      </c>
      <c r="R62" s="60" t="s">
        <v>403</v>
      </c>
      <c r="S62" s="65">
        <v>0.54612287624679401</v>
      </c>
      <c r="T62" s="65">
        <v>637.38317757009304</v>
      </c>
      <c r="U62" s="65" t="s">
        <v>403</v>
      </c>
      <c r="V62" s="65">
        <v>8.2944695476200394</v>
      </c>
      <c r="W62" s="65">
        <v>12.101026744416201</v>
      </c>
      <c r="X62" s="66" t="s">
        <v>79</v>
      </c>
    </row>
    <row r="63" spans="1:24" x14ac:dyDescent="0.25">
      <c r="A63" t="s">
        <v>59</v>
      </c>
      <c r="B63" s="58">
        <v>41</v>
      </c>
      <c r="C63" s="59">
        <v>58.2</v>
      </c>
      <c r="D63" s="59">
        <v>19.8</v>
      </c>
      <c r="E63" s="60">
        <v>1.7369727047146455E-2</v>
      </c>
      <c r="F63" s="60">
        <v>-4.6511627906976716E-2</v>
      </c>
      <c r="G63" s="60">
        <v>7.8947368421052655E-2</v>
      </c>
      <c r="H63" s="61">
        <v>0.20780552587347198</v>
      </c>
      <c r="I63" s="61">
        <v>0.339613234830766</v>
      </c>
      <c r="J63" s="61">
        <v>0.45320083043839759</v>
      </c>
      <c r="K63" s="61">
        <v>3.7870432976873314E-2</v>
      </c>
      <c r="L63" s="63">
        <v>0.51021478440064705</v>
      </c>
      <c r="M63" s="60">
        <v>-8.9341322420943836E-3</v>
      </c>
      <c r="N63" s="64">
        <v>-1.6698626902748037E-2</v>
      </c>
      <c r="O63" s="88">
        <v>1.2090000000000001</v>
      </c>
      <c r="P63" s="63">
        <v>0.89309446999999997</v>
      </c>
      <c r="Q63" s="65">
        <v>4.8573830122705299</v>
      </c>
      <c r="R63" s="60" t="s">
        <v>403</v>
      </c>
      <c r="S63" s="65">
        <v>0.41154493281871901</v>
      </c>
      <c r="T63" s="65">
        <v>13.6233444313749</v>
      </c>
      <c r="U63" s="65" t="s">
        <v>403</v>
      </c>
      <c r="V63" s="65">
        <v>2.7655287587498298</v>
      </c>
      <c r="W63" s="65">
        <v>51.100530946980001</v>
      </c>
      <c r="X63" s="66" t="s">
        <v>59</v>
      </c>
    </row>
    <row r="64" spans="1:24" x14ac:dyDescent="0.25">
      <c r="A64" t="s">
        <v>76</v>
      </c>
      <c r="B64" s="58">
        <v>11.9</v>
      </c>
      <c r="C64" s="59">
        <v>19.899999999999999</v>
      </c>
      <c r="D64" s="59">
        <v>9.8000000000000007</v>
      </c>
      <c r="E64" s="60">
        <v>-2.8571428571428581E-2</v>
      </c>
      <c r="F64" s="60">
        <v>-8.108108108108103E-2</v>
      </c>
      <c r="G64" s="60">
        <v>-8.3333333333333037E-3</v>
      </c>
      <c r="H64" s="61">
        <v>0.404723972815413</v>
      </c>
      <c r="I64" s="61">
        <v>0.382485365570707</v>
      </c>
      <c r="J64" s="61">
        <v>0.51116505119722089</v>
      </c>
      <c r="K64" s="61">
        <v>2.6097270585365928E-2</v>
      </c>
      <c r="L64" s="63">
        <v>1.0225729086983899</v>
      </c>
      <c r="M64" s="60">
        <v>-4.3503585416198698E-2</v>
      </c>
      <c r="N64" s="64">
        <v>-0.103979328657134</v>
      </c>
      <c r="O64" s="88">
        <v>0.91874999999999996</v>
      </c>
      <c r="P64" s="63">
        <v>1.2034982700000001</v>
      </c>
      <c r="Q64" s="65">
        <v>9.6391513818286008</v>
      </c>
      <c r="R64" s="60" t="s">
        <v>403</v>
      </c>
      <c r="S64" s="65">
        <v>1.1021005183836301</v>
      </c>
      <c r="T64" s="65">
        <v>43.4766723904863</v>
      </c>
      <c r="U64" s="65" t="s">
        <v>403</v>
      </c>
      <c r="V64" s="65">
        <v>4.0305944018502</v>
      </c>
      <c r="W64" s="65" t="s">
        <v>403</v>
      </c>
      <c r="X64" s="66" t="s">
        <v>76</v>
      </c>
    </row>
    <row r="65" spans="1:24" x14ac:dyDescent="0.25">
      <c r="A65" t="s">
        <v>53</v>
      </c>
      <c r="B65" s="58">
        <v>4.8</v>
      </c>
      <c r="C65" s="59">
        <v>14.45</v>
      </c>
      <c r="D65" s="59">
        <v>4.3</v>
      </c>
      <c r="E65" s="60">
        <v>-2.0790020790020236E-3</v>
      </c>
      <c r="F65" s="60">
        <v>-4.0000000000000036E-2</v>
      </c>
      <c r="G65" s="60">
        <v>1.4799154334038001E-2</v>
      </c>
      <c r="H65" s="61">
        <v>0.27314287838455004</v>
      </c>
      <c r="I65" s="61">
        <v>0.29643420590369901</v>
      </c>
      <c r="J65" s="61">
        <v>0.46022658117533566</v>
      </c>
      <c r="K65" s="61">
        <v>4.268455907820301E-2</v>
      </c>
      <c r="L65" s="63">
        <v>0.45797003576737499</v>
      </c>
      <c r="M65" s="60">
        <v>-2.4225043351177034E-3</v>
      </c>
      <c r="N65" s="64">
        <v>-8.0846840989762692E-2</v>
      </c>
      <c r="O65" s="88">
        <v>0.21163999999999999</v>
      </c>
      <c r="P65" s="63">
        <v>0.29899123</v>
      </c>
      <c r="Q65" s="65">
        <v>2.2611511865909102</v>
      </c>
      <c r="R65" s="60" t="s">
        <v>403</v>
      </c>
      <c r="S65" s="65">
        <v>0.18841510795837799</v>
      </c>
      <c r="T65" s="65" t="s">
        <v>403</v>
      </c>
      <c r="U65" s="65" t="s">
        <v>403</v>
      </c>
      <c r="V65" s="65">
        <v>1.9782369581680299</v>
      </c>
      <c r="W65" s="65">
        <v>6.3271003007170297</v>
      </c>
      <c r="X65" s="66" t="s">
        <v>53</v>
      </c>
    </row>
    <row r="66" spans="1:24" x14ac:dyDescent="0.25">
      <c r="A66" t="s">
        <v>9</v>
      </c>
      <c r="B66" s="58">
        <v>70</v>
      </c>
      <c r="C66" s="59">
        <v>70.2</v>
      </c>
      <c r="D66" s="59">
        <v>20.281921000000001</v>
      </c>
      <c r="E66" s="60">
        <v>0</v>
      </c>
      <c r="F66" s="60" t="s">
        <v>403</v>
      </c>
      <c r="G66" s="60" t="s">
        <v>403</v>
      </c>
      <c r="H66" s="61">
        <v>0.32474334467757598</v>
      </c>
      <c r="I66" s="61">
        <v>0.377830639243945</v>
      </c>
      <c r="J66" s="61">
        <v>0.37146185945569848</v>
      </c>
      <c r="K66" s="61">
        <v>7.2157301382538952E-2</v>
      </c>
      <c r="L66" s="63" t="s">
        <v>403</v>
      </c>
      <c r="M66" s="60" t="s">
        <v>403</v>
      </c>
      <c r="N66" s="64" t="s">
        <v>403</v>
      </c>
      <c r="O66" s="88">
        <v>0.154</v>
      </c>
      <c r="P66" s="63">
        <v>0.14464873</v>
      </c>
      <c r="Q66" s="65">
        <v>2.3347061924408798</v>
      </c>
      <c r="R66" s="60">
        <v>3.57142857142857E-3</v>
      </c>
      <c r="S66" s="65" t="s">
        <v>403</v>
      </c>
      <c r="T66" s="65" t="s">
        <v>403</v>
      </c>
      <c r="U66" s="65" t="s">
        <v>403</v>
      </c>
      <c r="V66" s="65" t="s">
        <v>403</v>
      </c>
      <c r="W66" s="65" t="s">
        <v>403</v>
      </c>
      <c r="X66" s="66" t="s">
        <v>9</v>
      </c>
    </row>
    <row r="67" spans="1:24" x14ac:dyDescent="0.25">
      <c r="A67" t="s">
        <v>7</v>
      </c>
      <c r="B67" s="58">
        <v>9.1999999999999993</v>
      </c>
      <c r="C67" s="59">
        <v>14.3</v>
      </c>
      <c r="D67" s="59">
        <v>7.5</v>
      </c>
      <c r="E67" s="60">
        <v>0.13580246913580241</v>
      </c>
      <c r="F67" s="60" t="s">
        <v>403</v>
      </c>
      <c r="G67" s="60" t="s">
        <v>403</v>
      </c>
      <c r="H67" s="61">
        <v>0.49809346071657101</v>
      </c>
      <c r="I67" s="61">
        <v>0.467981110476549</v>
      </c>
      <c r="J67" s="61">
        <v>0.63913971232990729</v>
      </c>
      <c r="K67" s="61">
        <v>-0.16043583109594006</v>
      </c>
      <c r="L67" s="63" t="s">
        <v>403</v>
      </c>
      <c r="M67" s="60" t="s">
        <v>403</v>
      </c>
      <c r="N67" s="64" t="s">
        <v>403</v>
      </c>
      <c r="O67" s="88">
        <v>5.2005191399999998E-2</v>
      </c>
      <c r="P67" s="63">
        <v>5.8841654799999997E-2</v>
      </c>
      <c r="Q67" s="65" t="s">
        <v>403</v>
      </c>
      <c r="R67" s="60" t="s">
        <v>403</v>
      </c>
      <c r="S67" s="65" t="s">
        <v>403</v>
      </c>
      <c r="T67" s="65" t="s">
        <v>403</v>
      </c>
      <c r="U67" s="65" t="s">
        <v>403</v>
      </c>
      <c r="V67" s="65">
        <v>-0.98750988887263902</v>
      </c>
      <c r="W67" s="65" t="s">
        <v>403</v>
      </c>
      <c r="X67" s="66" t="s">
        <v>7</v>
      </c>
    </row>
    <row r="68" spans="1:24" x14ac:dyDescent="0.25">
      <c r="A68" s="68" t="s">
        <v>122</v>
      </c>
      <c r="B68" s="69"/>
      <c r="C68" s="69"/>
      <c r="D68" s="69"/>
      <c r="E68" s="70">
        <v>2.6227973044016882E-2</v>
      </c>
      <c r="F68" s="70">
        <v>-4.6530426689900498E-2</v>
      </c>
      <c r="G68" s="70">
        <v>-1.7545188598170294E-2</v>
      </c>
      <c r="H68" s="71">
        <v>0.36485269555398581</v>
      </c>
      <c r="I68" s="71">
        <v>0.38119018284597528</v>
      </c>
      <c r="J68" s="71">
        <v>0.48572659113782674</v>
      </c>
      <c r="K68" s="71">
        <v>8.9204471486610884E-2</v>
      </c>
      <c r="L68" s="72">
        <v>0.56015493888965484</v>
      </c>
      <c r="M68" s="70">
        <v>-8.9529310250181654E-3</v>
      </c>
      <c r="N68" s="70">
        <v>-0.11319118392197099</v>
      </c>
      <c r="O68" s="92">
        <v>2.35192622364</v>
      </c>
      <c r="P68" s="72">
        <v>1.475139121239001</v>
      </c>
      <c r="Q68" s="73">
        <v>5.9771047024890169</v>
      </c>
      <c r="R68" s="70">
        <v>0.10306598248881083</v>
      </c>
      <c r="S68" s="73">
        <v>1.2388103075126458</v>
      </c>
      <c r="T68" s="73">
        <v>100.79538402714361</v>
      </c>
      <c r="U68" s="73" t="s">
        <v>403</v>
      </c>
      <c r="V68" s="74">
        <v>2.27311010396016</v>
      </c>
      <c r="W68" s="73">
        <v>13.753542005535641</v>
      </c>
      <c r="X68" s="76" t="s">
        <v>123</v>
      </c>
    </row>
    <row r="69" spans="1:24" ht="7.5" customHeight="1" x14ac:dyDescent="0.25">
      <c r="E69" s="79"/>
      <c r="F69" s="79"/>
      <c r="G69" s="79"/>
      <c r="H69" s="39"/>
      <c r="I69" s="39"/>
      <c r="J69" s="39"/>
      <c r="K69" s="39"/>
      <c r="L69" s="31"/>
      <c r="M69" s="77"/>
      <c r="N69" s="77"/>
      <c r="P69" s="31"/>
      <c r="Q69" s="78"/>
      <c r="R69" s="79"/>
      <c r="S69" s="78"/>
      <c r="T69" s="78"/>
      <c r="U69" s="78"/>
      <c r="V69" s="78"/>
      <c r="W69" s="78"/>
    </row>
    <row r="70" spans="1:24" x14ac:dyDescent="0.25">
      <c r="A70" s="56" t="s">
        <v>128</v>
      </c>
      <c r="B70" s="80"/>
      <c r="C70" s="80"/>
      <c r="D70" s="80"/>
      <c r="E70" s="85"/>
      <c r="F70" s="85"/>
      <c r="G70" s="85"/>
      <c r="H70" s="81"/>
      <c r="I70" s="81"/>
      <c r="J70" s="81"/>
      <c r="K70" s="81"/>
      <c r="L70" s="82"/>
      <c r="M70" s="83"/>
      <c r="N70" s="83"/>
      <c r="O70" s="80"/>
      <c r="P70" s="82"/>
      <c r="Q70" s="84"/>
      <c r="R70" s="85"/>
      <c r="S70" s="84"/>
      <c r="T70" s="84"/>
      <c r="U70" s="84"/>
      <c r="V70" s="84"/>
      <c r="W70" s="84"/>
      <c r="X70" s="86"/>
    </row>
    <row r="71" spans="1:24" x14ac:dyDescent="0.25">
      <c r="A71" t="s">
        <v>37</v>
      </c>
      <c r="B71" s="58">
        <v>52</v>
      </c>
      <c r="C71" s="59">
        <v>66.095085800000007</v>
      </c>
      <c r="D71" s="59">
        <v>39.770682000000001</v>
      </c>
      <c r="E71" s="60">
        <v>-9.6061479346776224E-4</v>
      </c>
      <c r="F71" s="60">
        <v>-1.2345679012345623E-2</v>
      </c>
      <c r="G71" s="60">
        <v>8.2206035379812858E-2</v>
      </c>
      <c r="H71" s="61">
        <v>0.39822989262769098</v>
      </c>
      <c r="I71" s="61">
        <v>0.31581378625323003</v>
      </c>
      <c r="J71" s="61">
        <v>0.41238134516920022</v>
      </c>
      <c r="K71" s="61">
        <v>0.19617811714184707</v>
      </c>
      <c r="L71" s="63">
        <v>0.60747064347903901</v>
      </c>
      <c r="M71" s="60">
        <v>2.5231816652536709E-2</v>
      </c>
      <c r="N71" s="64">
        <v>-1.3439959943987834E-2</v>
      </c>
      <c r="O71" s="88">
        <v>30.120109743</v>
      </c>
      <c r="P71" s="63">
        <v>282.58817592000003</v>
      </c>
      <c r="Q71" s="65">
        <v>25.9851196248276</v>
      </c>
      <c r="R71" s="60">
        <v>4.6480574338136398E-2</v>
      </c>
      <c r="S71" s="65">
        <v>0.81578853548772001</v>
      </c>
      <c r="T71" s="65">
        <v>2.6017731083733602</v>
      </c>
      <c r="U71" s="65" t="s">
        <v>403</v>
      </c>
      <c r="V71" s="65">
        <v>0.58829820017337198</v>
      </c>
      <c r="W71" s="65">
        <v>2.0610394465753501</v>
      </c>
      <c r="X71" s="66" t="s">
        <v>37</v>
      </c>
    </row>
    <row r="72" spans="1:24" x14ac:dyDescent="0.25">
      <c r="A72" t="s">
        <v>34</v>
      </c>
      <c r="B72" s="58">
        <v>215</v>
      </c>
      <c r="C72" s="59">
        <v>264.76102109999999</v>
      </c>
      <c r="D72" s="59">
        <v>160</v>
      </c>
      <c r="E72" s="60">
        <v>-1.3761467889908285E-2</v>
      </c>
      <c r="F72" s="60">
        <v>-5.3203793661809051E-3</v>
      </c>
      <c r="G72" s="60">
        <v>0.13456464379947231</v>
      </c>
      <c r="H72" s="61">
        <v>0.32613498372500599</v>
      </c>
      <c r="I72" s="61">
        <v>0.42794173800421098</v>
      </c>
      <c r="J72" s="61">
        <v>0.40926233485148394</v>
      </c>
      <c r="K72" s="61">
        <v>0.22898584886346729</v>
      </c>
      <c r="L72" s="63">
        <v>0.50436698272232805</v>
      </c>
      <c r="M72" s="60">
        <v>3.2257116298701427E-2</v>
      </c>
      <c r="N72" s="64">
        <v>3.8918648475671613E-2</v>
      </c>
      <c r="O72" s="88">
        <v>30.523062899999999</v>
      </c>
      <c r="P72" s="63">
        <v>41.420226749999998</v>
      </c>
      <c r="Q72" s="65">
        <v>10.399953285835</v>
      </c>
      <c r="R72" s="60">
        <v>1.98390576288991E-2</v>
      </c>
      <c r="S72" s="65">
        <v>3.6234795019387902</v>
      </c>
      <c r="T72" s="65">
        <v>1.6839217739230801</v>
      </c>
      <c r="U72" s="65" t="s">
        <v>403</v>
      </c>
      <c r="V72" s="65">
        <v>0.64691292899622299</v>
      </c>
      <c r="W72" s="65">
        <v>9.9997123880740109</v>
      </c>
      <c r="X72" s="66" t="s">
        <v>34</v>
      </c>
    </row>
    <row r="73" spans="1:24" x14ac:dyDescent="0.25">
      <c r="A73" t="s">
        <v>15</v>
      </c>
      <c r="B73" s="58">
        <v>49.3</v>
      </c>
      <c r="C73" s="59">
        <v>58.967614500000003</v>
      </c>
      <c r="D73" s="59">
        <v>32.887628900000003</v>
      </c>
      <c r="E73" s="60">
        <v>-1.1033099297893756E-2</v>
      </c>
      <c r="F73" s="60">
        <v>2.1761658031087983E-2</v>
      </c>
      <c r="G73" s="60">
        <v>9.7995545657015626E-2</v>
      </c>
      <c r="H73" s="61">
        <v>0.21395028979502301</v>
      </c>
      <c r="I73" s="61">
        <v>0.33858878411850296</v>
      </c>
      <c r="J73" s="61">
        <v>0.40738896054584539</v>
      </c>
      <c r="K73" s="61">
        <v>8.8171164259502444E-2</v>
      </c>
      <c r="L73" s="63">
        <v>0.60101321152005105</v>
      </c>
      <c r="M73" s="60">
        <v>5.9339153695970315E-2</v>
      </c>
      <c r="N73" s="64">
        <v>2.3495503332149337E-3</v>
      </c>
      <c r="O73" s="88">
        <v>25.006893779400002</v>
      </c>
      <c r="P73" s="63">
        <v>319.14597449079997</v>
      </c>
      <c r="Q73" s="65">
        <v>28.5665927757608</v>
      </c>
      <c r="R73" s="60" t="s">
        <v>403</v>
      </c>
      <c r="S73" s="65">
        <v>0.57091742057779205</v>
      </c>
      <c r="T73" s="65" t="s">
        <v>403</v>
      </c>
      <c r="U73" s="65" t="s">
        <v>403</v>
      </c>
      <c r="V73" s="65">
        <v>0.93689585998227098</v>
      </c>
      <c r="W73" s="65">
        <v>2.3278817833535799</v>
      </c>
      <c r="X73" s="66" t="s">
        <v>15</v>
      </c>
    </row>
    <row r="74" spans="1:24" x14ac:dyDescent="0.25">
      <c r="A74" t="s">
        <v>10</v>
      </c>
      <c r="B74" s="58">
        <v>49.5</v>
      </c>
      <c r="C74" s="59">
        <v>57.694207200000001</v>
      </c>
      <c r="D74" s="59">
        <v>34</v>
      </c>
      <c r="E74" s="60">
        <v>3.125E-2</v>
      </c>
      <c r="F74" s="60">
        <v>7.6086956521739024E-2</v>
      </c>
      <c r="G74" s="60">
        <v>0.32707774798927614</v>
      </c>
      <c r="H74" s="61">
        <v>0.27869474917074399</v>
      </c>
      <c r="I74" s="61">
        <v>0.30701221552901897</v>
      </c>
      <c r="J74" s="61">
        <v>0.43738992684957967</v>
      </c>
      <c r="K74" s="61">
        <v>9.914188511565758E-2</v>
      </c>
      <c r="L74" s="63">
        <v>0.90909958173118099</v>
      </c>
      <c r="M74" s="60">
        <v>0.11366445218662136</v>
      </c>
      <c r="N74" s="64">
        <v>0.23143175266547544</v>
      </c>
      <c r="O74" s="88">
        <v>19.675522992000001</v>
      </c>
      <c r="P74" s="63">
        <v>21.6675700855</v>
      </c>
      <c r="Q74" s="65">
        <v>50.221630602472203</v>
      </c>
      <c r="R74" s="60">
        <v>1.8296845270833299E-2</v>
      </c>
      <c r="S74" s="65">
        <v>8.5320927560578106</v>
      </c>
      <c r="T74" s="65">
        <v>3.9606970826865502</v>
      </c>
      <c r="U74" s="65" t="s">
        <v>403</v>
      </c>
      <c r="V74" s="65">
        <v>1.28646906953097</v>
      </c>
      <c r="W74" s="65" t="s">
        <v>403</v>
      </c>
      <c r="X74" s="66" t="s">
        <v>10</v>
      </c>
    </row>
    <row r="75" spans="1:24" x14ac:dyDescent="0.25">
      <c r="A75" s="68" t="s">
        <v>122</v>
      </c>
      <c r="B75" s="69"/>
      <c r="C75" s="69"/>
      <c r="D75" s="69"/>
      <c r="E75" s="70">
        <v>1.3737045046825491E-3</v>
      </c>
      <c r="F75" s="93">
        <v>2.004563904357512E-2</v>
      </c>
      <c r="G75" s="93">
        <v>0.16046099320639423</v>
      </c>
      <c r="H75" s="71">
        <v>0.30425247882961604</v>
      </c>
      <c r="I75" s="71">
        <v>0.3473391309762407</v>
      </c>
      <c r="J75" s="71">
        <v>0.41660564185402726</v>
      </c>
      <c r="K75" s="71">
        <v>0.1531192538451186</v>
      </c>
      <c r="L75" s="72">
        <v>0.65548760486314983</v>
      </c>
      <c r="M75" s="70">
        <v>5.7623134708457452E-2</v>
      </c>
      <c r="N75" s="93">
        <v>6.4814997882593539E-2</v>
      </c>
      <c r="O75" s="92">
        <v>26.3313973536</v>
      </c>
      <c r="P75" s="72">
        <v>166.20548681157499</v>
      </c>
      <c r="Q75" s="73">
        <v>28.7933240722239</v>
      </c>
      <c r="R75" s="70">
        <v>2.8205492412622934E-2</v>
      </c>
      <c r="S75" s="73">
        <v>3.3855695535155279</v>
      </c>
      <c r="T75" s="73">
        <v>2.7487973216609967</v>
      </c>
      <c r="U75" s="73" t="s">
        <v>403</v>
      </c>
      <c r="V75" s="74">
        <v>0.86464401467070906</v>
      </c>
      <c r="W75" s="75">
        <v>4.7962112060009803</v>
      </c>
      <c r="X75" s="76" t="s">
        <v>123</v>
      </c>
    </row>
    <row r="76" spans="1:24" ht="9" customHeight="1" x14ac:dyDescent="0.25">
      <c r="E76" s="79"/>
      <c r="F76" s="79"/>
      <c r="G76" s="79"/>
      <c r="H76" s="39"/>
      <c r="I76" s="39"/>
      <c r="J76" s="39"/>
      <c r="K76" s="39"/>
      <c r="L76" s="31"/>
      <c r="M76" s="77"/>
      <c r="N76" s="77"/>
      <c r="P76" s="31"/>
      <c r="Q76" s="78"/>
      <c r="R76" s="79"/>
      <c r="S76" s="78"/>
      <c r="T76" s="78"/>
      <c r="U76" s="78"/>
      <c r="V76" s="78"/>
      <c r="W76" s="78"/>
    </row>
    <row r="77" spans="1:24" x14ac:dyDescent="0.25">
      <c r="A77" s="56" t="s">
        <v>129</v>
      </c>
      <c r="B77" s="80"/>
      <c r="C77" s="80"/>
      <c r="D77" s="80"/>
      <c r="E77" s="85"/>
      <c r="F77" s="85"/>
      <c r="G77" s="85"/>
      <c r="H77" s="81"/>
      <c r="I77" s="81"/>
      <c r="J77" s="81"/>
      <c r="K77" s="81"/>
      <c r="L77" s="82"/>
      <c r="M77" s="83"/>
      <c r="N77" s="83"/>
      <c r="O77" s="80"/>
      <c r="P77" s="82"/>
      <c r="Q77" s="84"/>
      <c r="R77" s="85"/>
      <c r="S77" s="84"/>
      <c r="T77" s="84"/>
      <c r="U77" s="84"/>
      <c r="V77" s="84"/>
      <c r="W77" s="84"/>
      <c r="X77" s="86"/>
    </row>
    <row r="78" spans="1:24" x14ac:dyDescent="0.25">
      <c r="A78" t="s">
        <v>67</v>
      </c>
      <c r="B78" s="58">
        <v>13.7</v>
      </c>
      <c r="C78" s="59">
        <v>17.350000000000001</v>
      </c>
      <c r="D78" s="59">
        <v>11.4</v>
      </c>
      <c r="E78" s="60">
        <v>-1.4388489208633115E-2</v>
      </c>
      <c r="F78" s="60">
        <v>-6.164383561643838E-2</v>
      </c>
      <c r="G78" s="60">
        <v>3.7878787878787845E-2</v>
      </c>
      <c r="H78" s="61">
        <v>0.32371849348138904</v>
      </c>
      <c r="I78" s="61">
        <v>0.37098867983793804</v>
      </c>
      <c r="J78" s="61">
        <v>0.42641634405134926</v>
      </c>
      <c r="K78" s="61">
        <v>0.11624979159784044</v>
      </c>
      <c r="L78" s="63">
        <v>0.79176049505683099</v>
      </c>
      <c r="M78" s="60">
        <v>-2.4066339951556048E-2</v>
      </c>
      <c r="N78" s="64">
        <v>-5.7767207445012847E-2</v>
      </c>
      <c r="O78" s="88">
        <v>65.273206682827592</v>
      </c>
      <c r="P78" s="94">
        <v>68.3389521151</v>
      </c>
      <c r="Q78" s="65">
        <v>4.8402136352551999</v>
      </c>
      <c r="R78" s="60">
        <v>2.3892087525179798E-2</v>
      </c>
      <c r="S78" s="65">
        <v>0.83787501054855096</v>
      </c>
      <c r="T78" s="65">
        <v>4.6623854397446198</v>
      </c>
      <c r="U78" s="65" t="s">
        <v>403</v>
      </c>
      <c r="V78" s="65">
        <v>0.63681925651114502</v>
      </c>
      <c r="W78" s="65">
        <v>19.9832369539251</v>
      </c>
      <c r="X78" s="66" t="s">
        <v>67</v>
      </c>
    </row>
    <row r="79" spans="1:24" x14ac:dyDescent="0.25">
      <c r="A79" t="s">
        <v>8</v>
      </c>
      <c r="B79" s="58">
        <v>96.95</v>
      </c>
      <c r="C79" s="59">
        <v>100</v>
      </c>
      <c r="D79" s="59">
        <v>48.1</v>
      </c>
      <c r="E79" s="60">
        <v>7.3049252905368123E-2</v>
      </c>
      <c r="F79" s="60">
        <v>0.1067351598173516</v>
      </c>
      <c r="G79" s="60">
        <v>0.20434782608695645</v>
      </c>
      <c r="H79" s="61">
        <v>0.35071541412356799</v>
      </c>
      <c r="I79" s="61">
        <v>0.52780476227909101</v>
      </c>
      <c r="J79" s="61" t="s">
        <v>403</v>
      </c>
      <c r="K79" s="61" t="s">
        <v>403</v>
      </c>
      <c r="L79" s="63">
        <v>0.94452583613418695</v>
      </c>
      <c r="M79" s="60">
        <v>0.14431265548223393</v>
      </c>
      <c r="N79" s="64">
        <v>0.10870183076315576</v>
      </c>
      <c r="O79" s="88">
        <v>53.850993371500003</v>
      </c>
      <c r="P79" s="94">
        <v>63.638821855500098</v>
      </c>
      <c r="Q79" s="65">
        <v>12.614119179869199</v>
      </c>
      <c r="R79" s="60" t="s">
        <v>403</v>
      </c>
      <c r="S79" s="65">
        <v>2.9075210377601599</v>
      </c>
      <c r="T79" s="65">
        <v>38.965945491887297</v>
      </c>
      <c r="U79" s="65" t="s">
        <v>403</v>
      </c>
      <c r="V79" s="65">
        <v>10.892505819190101</v>
      </c>
      <c r="W79" s="65">
        <v>16.5928396593172</v>
      </c>
      <c r="X79" s="66" t="s">
        <v>8</v>
      </c>
    </row>
    <row r="80" spans="1:24" x14ac:dyDescent="0.25">
      <c r="A80" t="s">
        <v>57</v>
      </c>
      <c r="B80" s="58">
        <v>17.899999999999999</v>
      </c>
      <c r="C80" s="59">
        <v>21.901589950000002</v>
      </c>
      <c r="D80" s="59">
        <v>11.9466074791531</v>
      </c>
      <c r="E80" s="60">
        <v>-3.2432432432432545E-2</v>
      </c>
      <c r="F80" s="60">
        <v>-4.2780748663101664E-2</v>
      </c>
      <c r="G80" s="60">
        <v>3.4682080924855363E-2</v>
      </c>
      <c r="H80" s="61">
        <v>0.34887194959700202</v>
      </c>
      <c r="I80" s="61">
        <v>0.32614510701583099</v>
      </c>
      <c r="J80" s="61">
        <v>0.39132469193814012</v>
      </c>
      <c r="K80" s="61">
        <v>6.5746790776401332E-2</v>
      </c>
      <c r="L80" s="63">
        <v>0.58984256676367097</v>
      </c>
      <c r="M80" s="60">
        <v>-5.2032529982193321E-3</v>
      </c>
      <c r="N80" s="64">
        <v>-6.0963914398945329E-2</v>
      </c>
      <c r="O80" s="88">
        <v>51.8</v>
      </c>
      <c r="P80" s="94">
        <v>63.349092050000003</v>
      </c>
      <c r="Q80" s="65">
        <v>6.4404199450665898</v>
      </c>
      <c r="R80" s="60">
        <v>5.5675675675675704E-2</v>
      </c>
      <c r="S80" s="65">
        <v>1.3906164488238699</v>
      </c>
      <c r="T80" s="65">
        <v>10.5620921203252</v>
      </c>
      <c r="U80" s="65">
        <v>8.9949748743718594</v>
      </c>
      <c r="V80" s="65">
        <v>2.2448441489462199</v>
      </c>
      <c r="W80" s="65">
        <v>23.824979063563902</v>
      </c>
      <c r="X80" s="66" t="s">
        <v>57</v>
      </c>
    </row>
    <row r="81" spans="1:24" x14ac:dyDescent="0.25">
      <c r="A81" t="s">
        <v>54</v>
      </c>
      <c r="B81" s="58">
        <v>69</v>
      </c>
      <c r="C81" s="59">
        <v>107.15018999999999</v>
      </c>
      <c r="D81" s="59">
        <v>35</v>
      </c>
      <c r="E81" s="60">
        <v>-1.1461318051575908E-2</v>
      </c>
      <c r="F81" s="60">
        <v>-4.166666666666663E-2</v>
      </c>
      <c r="G81" s="60">
        <v>0.17948717948717952</v>
      </c>
      <c r="H81" s="61">
        <v>0.25051209387122603</v>
      </c>
      <c r="I81" s="61">
        <v>0.40695923965127906</v>
      </c>
      <c r="J81" s="61">
        <v>0.48496426991379288</v>
      </c>
      <c r="K81" s="61">
        <v>0.27165070182248319</v>
      </c>
      <c r="L81" s="63">
        <v>0.98550251124986199</v>
      </c>
      <c r="M81" s="60">
        <v>-4.0891710017842975E-3</v>
      </c>
      <c r="N81" s="64">
        <v>8.3841184163378824E-2</v>
      </c>
      <c r="O81" s="88">
        <v>24.573571550200001</v>
      </c>
      <c r="P81" s="94">
        <v>24.695178650999999</v>
      </c>
      <c r="Q81" s="65">
        <v>12.489698867775401</v>
      </c>
      <c r="R81" s="60">
        <v>1.5186246418338101E-2</v>
      </c>
      <c r="S81" s="65">
        <v>2.5031169817024299</v>
      </c>
      <c r="T81" s="65">
        <v>19.585524877874299</v>
      </c>
      <c r="U81" s="65">
        <v>19.658119658119698</v>
      </c>
      <c r="V81" s="65">
        <v>17.821336392256001</v>
      </c>
      <c r="W81" s="65">
        <v>20.262577538669198</v>
      </c>
      <c r="X81" s="66" t="s">
        <v>54</v>
      </c>
    </row>
    <row r="82" spans="1:24" x14ac:dyDescent="0.25">
      <c r="A82" t="s">
        <v>18</v>
      </c>
      <c r="B82" s="58">
        <v>18.05</v>
      </c>
      <c r="C82" s="59">
        <v>23.5</v>
      </c>
      <c r="D82" s="59">
        <v>12.15</v>
      </c>
      <c r="E82" s="60">
        <v>1.9774011299435124E-2</v>
      </c>
      <c r="F82" s="60">
        <v>1.6901408450704203E-2</v>
      </c>
      <c r="G82" s="60">
        <v>0.1073619631901841</v>
      </c>
      <c r="H82" s="61">
        <v>0.16602532436126199</v>
      </c>
      <c r="I82" s="61">
        <v>0.32292236108009703</v>
      </c>
      <c r="J82" s="61">
        <v>0.5309540847484574</v>
      </c>
      <c r="K82" s="61">
        <v>-4.1281270847348672E-3</v>
      </c>
      <c r="L82" s="63">
        <v>0.54018770066531796</v>
      </c>
      <c r="M82" s="60">
        <v>5.4478904115586535E-2</v>
      </c>
      <c r="N82" s="64">
        <v>1.1715967866383403E-2</v>
      </c>
      <c r="O82" s="88">
        <v>7.3328123922000001</v>
      </c>
      <c r="P82" s="94">
        <v>13.383896507299999</v>
      </c>
      <c r="Q82" s="65">
        <v>5.2107080829670798</v>
      </c>
      <c r="R82" s="60" t="s">
        <v>403</v>
      </c>
      <c r="S82" s="65">
        <v>0.48914538282020398</v>
      </c>
      <c r="T82" s="65">
        <v>8.6359091148312803</v>
      </c>
      <c r="U82" s="65" t="s">
        <v>403</v>
      </c>
      <c r="V82" s="65">
        <v>2.1802814492796201</v>
      </c>
      <c r="W82" s="65" t="s">
        <v>403</v>
      </c>
      <c r="X82" s="66" t="s">
        <v>18</v>
      </c>
    </row>
    <row r="83" spans="1:24" x14ac:dyDescent="0.25">
      <c r="A83" t="s">
        <v>29</v>
      </c>
      <c r="B83" s="58">
        <v>90</v>
      </c>
      <c r="C83" s="59">
        <v>95</v>
      </c>
      <c r="D83" s="59">
        <v>63.539946298352902</v>
      </c>
      <c r="E83" s="60">
        <v>0</v>
      </c>
      <c r="F83" s="60">
        <v>0</v>
      </c>
      <c r="G83" s="60">
        <v>-1.1532125205930721E-2</v>
      </c>
      <c r="H83" s="61">
        <v>0.13576886505069999</v>
      </c>
      <c r="I83" s="61">
        <v>0.133495746503628</v>
      </c>
      <c r="J83" s="61">
        <v>0.38162279486995676</v>
      </c>
      <c r="K83" s="61">
        <v>4.3937733100225085E-2</v>
      </c>
      <c r="L83" s="63">
        <v>8.1718988540758999E-2</v>
      </c>
      <c r="M83" s="60">
        <v>3.7577495664882332E-2</v>
      </c>
      <c r="N83" s="64">
        <v>-0.10717812052973141</v>
      </c>
      <c r="O83" s="88">
        <v>6.5278944900000004</v>
      </c>
      <c r="P83" s="94">
        <v>7.0552460100000003</v>
      </c>
      <c r="Q83" s="65">
        <v>16.871465509374701</v>
      </c>
      <c r="R83" s="60">
        <v>6.1111111111111106E-3</v>
      </c>
      <c r="S83" s="65">
        <v>3.1694092305982098</v>
      </c>
      <c r="T83" s="65">
        <v>66.508032692393002</v>
      </c>
      <c r="U83" s="65" t="s">
        <v>403</v>
      </c>
      <c r="V83" s="65">
        <v>10.227212128251599</v>
      </c>
      <c r="W83" s="65" t="s">
        <v>403</v>
      </c>
      <c r="X83" s="66" t="s">
        <v>29</v>
      </c>
    </row>
    <row r="84" spans="1:24" x14ac:dyDescent="0.25">
      <c r="A84" t="s">
        <v>41</v>
      </c>
      <c r="B84" s="58">
        <v>18.600000000000001</v>
      </c>
      <c r="C84" s="59">
        <v>19.5</v>
      </c>
      <c r="D84" s="59">
        <v>7.99</v>
      </c>
      <c r="E84" s="60">
        <v>5.4054054054055722E-3</v>
      </c>
      <c r="F84" s="60">
        <v>-1.846965699208436E-2</v>
      </c>
      <c r="G84" s="60">
        <v>2.1978021978022122E-2</v>
      </c>
      <c r="H84" s="61">
        <v>0.22844960864852698</v>
      </c>
      <c r="I84" s="61">
        <v>0.32971119426385898</v>
      </c>
      <c r="J84" s="61">
        <v>0.46056487871035889</v>
      </c>
      <c r="K84" s="61">
        <v>6.6917568190805854E-2</v>
      </c>
      <c r="L84" s="63">
        <v>0.67190944028199995</v>
      </c>
      <c r="M84" s="60">
        <v>1.9107838672797972E-2</v>
      </c>
      <c r="N84" s="64">
        <v>-7.366797334577857E-2</v>
      </c>
      <c r="O84" s="88">
        <v>1.86742345271</v>
      </c>
      <c r="P84" s="94">
        <v>7.5362962939999996</v>
      </c>
      <c r="Q84" s="65">
        <v>4.8575104394340096</v>
      </c>
      <c r="R84" s="60" t="s">
        <v>403</v>
      </c>
      <c r="S84" s="65" t="s">
        <v>403</v>
      </c>
      <c r="T84" s="65" t="s">
        <v>403</v>
      </c>
      <c r="U84" s="65" t="s">
        <v>403</v>
      </c>
      <c r="V84" s="65" t="s">
        <v>403</v>
      </c>
      <c r="W84" s="65" t="s">
        <v>403</v>
      </c>
      <c r="X84" s="66" t="s">
        <v>41</v>
      </c>
    </row>
    <row r="85" spans="1:24" x14ac:dyDescent="0.25">
      <c r="A85" t="s">
        <v>28</v>
      </c>
      <c r="B85" s="58" t="s">
        <v>403</v>
      </c>
      <c r="C85" s="59">
        <v>47</v>
      </c>
      <c r="D85" s="59">
        <v>42.5</v>
      </c>
      <c r="E85" s="60" t="s">
        <v>403</v>
      </c>
      <c r="F85" s="60" t="s">
        <v>403</v>
      </c>
      <c r="G85" s="60" t="s">
        <v>403</v>
      </c>
      <c r="H85" s="61">
        <v>6.2381215735779802E-2</v>
      </c>
      <c r="I85" s="61">
        <v>0.14527410840874599</v>
      </c>
      <c r="J85" s="61" t="s">
        <v>403</v>
      </c>
      <c r="K85" s="61" t="s">
        <v>403</v>
      </c>
      <c r="L85" s="63" t="s">
        <v>403</v>
      </c>
      <c r="M85" s="60" t="s">
        <v>403</v>
      </c>
      <c r="N85" s="64" t="s">
        <v>403</v>
      </c>
      <c r="O85" s="88">
        <v>0.88229681953143402</v>
      </c>
      <c r="P85" s="94" t="s">
        <v>403</v>
      </c>
      <c r="Q85" s="65" t="s">
        <v>403</v>
      </c>
      <c r="R85" s="60" t="s">
        <v>403</v>
      </c>
      <c r="S85" s="65" t="s">
        <v>403</v>
      </c>
      <c r="T85" s="65" t="s">
        <v>403</v>
      </c>
      <c r="U85" s="65" t="s">
        <v>403</v>
      </c>
      <c r="V85" s="65" t="s">
        <v>403</v>
      </c>
      <c r="W85" s="65" t="s">
        <v>403</v>
      </c>
      <c r="X85" s="66" t="s">
        <v>28</v>
      </c>
    </row>
    <row r="86" spans="1:24" x14ac:dyDescent="0.25">
      <c r="A86" t="s">
        <v>69</v>
      </c>
      <c r="B86" s="58">
        <v>3.4</v>
      </c>
      <c r="C86" s="59">
        <v>8.0676082999999998</v>
      </c>
      <c r="D86" s="59">
        <v>3.05</v>
      </c>
      <c r="E86" s="60">
        <v>3.0303030303030276E-2</v>
      </c>
      <c r="F86" s="60" t="s">
        <v>403</v>
      </c>
      <c r="G86" s="60" t="s">
        <v>403</v>
      </c>
      <c r="H86" s="61">
        <v>0.40559785923698399</v>
      </c>
      <c r="I86" s="61">
        <v>0.38511698767901104</v>
      </c>
      <c r="J86" s="61">
        <v>0.39668491997069755</v>
      </c>
      <c r="K86" s="61">
        <v>-6.2203580702446692E-2</v>
      </c>
      <c r="L86" s="63">
        <v>0.28718865796180498</v>
      </c>
      <c r="M86" s="60" t="s">
        <v>403</v>
      </c>
      <c r="N86" s="64" t="s">
        <v>403</v>
      </c>
      <c r="O86" s="88">
        <v>0.22911899999999999</v>
      </c>
      <c r="P86" s="94">
        <v>0.4986621</v>
      </c>
      <c r="Q86" s="65">
        <v>132.821070799784</v>
      </c>
      <c r="R86" s="60" t="s">
        <v>403</v>
      </c>
      <c r="S86" s="65">
        <v>0.36059313414708399</v>
      </c>
      <c r="T86" s="65" t="s">
        <v>403</v>
      </c>
      <c r="U86" s="65" t="s">
        <v>403</v>
      </c>
      <c r="V86" s="65">
        <v>1.1507027207645</v>
      </c>
      <c r="W86" s="65" t="s">
        <v>403</v>
      </c>
      <c r="X86" s="66" t="s">
        <v>69</v>
      </c>
    </row>
    <row r="87" spans="1:24" x14ac:dyDescent="0.25">
      <c r="A87" t="s">
        <v>47</v>
      </c>
      <c r="B87" s="58">
        <v>10.8</v>
      </c>
      <c r="C87" s="59">
        <v>15.05</v>
      </c>
      <c r="D87" s="59">
        <v>9.5</v>
      </c>
      <c r="E87" s="60">
        <v>2.8571428571428692E-2</v>
      </c>
      <c r="F87" s="60" t="s">
        <v>403</v>
      </c>
      <c r="G87" s="60" t="s">
        <v>403</v>
      </c>
      <c r="H87" s="61">
        <v>0.77677379396008506</v>
      </c>
      <c r="I87" s="61">
        <v>0.47330063922579696</v>
      </c>
      <c r="J87" s="61">
        <v>0.54472230400679533</v>
      </c>
      <c r="K87" s="61">
        <v>-0.1522090809395914</v>
      </c>
      <c r="L87" s="63" t="s">
        <v>403</v>
      </c>
      <c r="M87" s="60" t="s">
        <v>403</v>
      </c>
      <c r="N87" s="64" t="s">
        <v>403</v>
      </c>
      <c r="O87" s="88">
        <v>0.19046170500000001</v>
      </c>
      <c r="P87" s="94">
        <v>0.1996362928</v>
      </c>
      <c r="Q87" s="65" t="s">
        <v>403</v>
      </c>
      <c r="R87" s="60" t="s">
        <v>403</v>
      </c>
      <c r="S87" s="65">
        <v>0.28322707644427197</v>
      </c>
      <c r="T87" s="65" t="s">
        <v>403</v>
      </c>
      <c r="U87" s="65" t="s">
        <v>403</v>
      </c>
      <c r="V87" s="65">
        <v>0.86874582092155594</v>
      </c>
      <c r="W87" s="65" t="s">
        <v>403</v>
      </c>
      <c r="X87" s="66" t="s">
        <v>47</v>
      </c>
    </row>
    <row r="88" spans="1:24" x14ac:dyDescent="0.25">
      <c r="A88" s="68" t="s">
        <v>122</v>
      </c>
      <c r="B88" s="69"/>
      <c r="C88" s="69"/>
      <c r="D88" s="69"/>
      <c r="E88" s="70">
        <v>1.0980098754669579E-2</v>
      </c>
      <c r="F88" s="70">
        <v>-5.8463342386050332E-3</v>
      </c>
      <c r="G88" s="70">
        <v>8.20291049057221E-2</v>
      </c>
      <c r="H88" s="71">
        <v>0.30488146180665232</v>
      </c>
      <c r="I88" s="71">
        <v>0.34217188259452769</v>
      </c>
      <c r="J88" s="71">
        <v>0.45215678602619352</v>
      </c>
      <c r="K88" s="71">
        <v>4.3245224595122866E-2</v>
      </c>
      <c r="L88" s="72">
        <v>0.61157952458180398</v>
      </c>
      <c r="M88" s="70">
        <v>3.1731161426277299E-2</v>
      </c>
      <c r="N88" s="70">
        <v>-1.3616890418078596E-2</v>
      </c>
      <c r="O88" s="92">
        <v>21.252777946396897</v>
      </c>
      <c r="P88" s="72">
        <v>27.632864652855559</v>
      </c>
      <c r="Q88" s="73">
        <v>24.518150807440772</v>
      </c>
      <c r="R88" s="70">
        <v>2.5216280182576177E-2</v>
      </c>
      <c r="S88" s="73">
        <v>1.4926880378555973</v>
      </c>
      <c r="T88" s="73">
        <v>24.819981622842615</v>
      </c>
      <c r="U88" s="73">
        <v>14.326547266245779</v>
      </c>
      <c r="V88" s="74">
        <v>5.7528059670150924</v>
      </c>
      <c r="W88" s="75">
        <v>20.16590830386885</v>
      </c>
      <c r="X88" s="76" t="s">
        <v>123</v>
      </c>
    </row>
    <row r="89" spans="1:24" ht="26.25" customHeight="1" x14ac:dyDescent="0.25">
      <c r="A89" s="95"/>
      <c r="B89" s="30"/>
      <c r="C89" s="30"/>
      <c r="D89" s="30"/>
      <c r="E89" s="96"/>
      <c r="F89" s="96"/>
      <c r="G89" s="96"/>
      <c r="H89" s="97"/>
      <c r="I89" s="97"/>
      <c r="J89" s="97"/>
      <c r="K89" s="97"/>
      <c r="L89" s="98"/>
      <c r="M89" s="99"/>
      <c r="N89" s="99"/>
      <c r="O89" s="30"/>
      <c r="P89" s="98"/>
      <c r="Q89" s="98"/>
      <c r="R89" s="96"/>
      <c r="S89" s="100"/>
      <c r="T89" s="100"/>
      <c r="U89" s="100"/>
      <c r="V89" s="100"/>
      <c r="W89" s="100"/>
      <c r="X89" s="101"/>
    </row>
    <row r="90" spans="1:24" ht="15" customHeight="1" x14ac:dyDescent="0.25">
      <c r="A90" s="102" t="s">
        <v>4</v>
      </c>
      <c r="B90" s="102" t="s">
        <v>96</v>
      </c>
      <c r="C90" s="43" t="s">
        <v>97</v>
      </c>
      <c r="D90" s="45"/>
      <c r="E90" s="43" t="s">
        <v>98</v>
      </c>
      <c r="F90" s="44"/>
      <c r="G90" s="45"/>
      <c r="H90" s="43" t="s">
        <v>99</v>
      </c>
      <c r="I90" s="45"/>
      <c r="J90" s="46" t="s">
        <v>100</v>
      </c>
      <c r="K90" s="46" t="s">
        <v>101</v>
      </c>
      <c r="L90" s="46" t="s">
        <v>102</v>
      </c>
      <c r="M90" s="43" t="s">
        <v>103</v>
      </c>
      <c r="N90" s="45"/>
      <c r="O90" s="43" t="s">
        <v>104</v>
      </c>
      <c r="P90" s="44"/>
      <c r="Q90" s="45"/>
      <c r="R90" s="46" t="s">
        <v>105</v>
      </c>
      <c r="S90" s="43" t="s">
        <v>106</v>
      </c>
      <c r="T90" s="44"/>
      <c r="U90" s="44"/>
      <c r="V90" s="44"/>
      <c r="W90" s="45"/>
      <c r="X90" s="103" t="s">
        <v>4</v>
      </c>
    </row>
    <row r="91" spans="1:24" ht="25.5" x14ac:dyDescent="0.25">
      <c r="A91" s="104"/>
      <c r="B91" s="104"/>
      <c r="C91" s="50" t="s">
        <v>107</v>
      </c>
      <c r="D91" s="50" t="s">
        <v>108</v>
      </c>
      <c r="E91" s="51" t="s">
        <v>109</v>
      </c>
      <c r="F91" s="51" t="s">
        <v>110</v>
      </c>
      <c r="G91" s="51">
        <v>2019</v>
      </c>
      <c r="H91" s="51" t="s">
        <v>111</v>
      </c>
      <c r="I91" s="51" t="s">
        <v>112</v>
      </c>
      <c r="J91" s="52"/>
      <c r="K91" s="52"/>
      <c r="L91" s="52"/>
      <c r="M91" s="51" t="s">
        <v>110</v>
      </c>
      <c r="N91" s="51">
        <v>2019</v>
      </c>
      <c r="O91" s="53" t="s">
        <v>113</v>
      </c>
      <c r="P91" s="51" t="s">
        <v>114</v>
      </c>
      <c r="Q91" s="51" t="s">
        <v>115</v>
      </c>
      <c r="R91" s="52"/>
      <c r="S91" s="54" t="s">
        <v>116</v>
      </c>
      <c r="T91" s="51" t="s">
        <v>117</v>
      </c>
      <c r="U91" s="51" t="s">
        <v>118</v>
      </c>
      <c r="V91" s="51" t="s">
        <v>119</v>
      </c>
      <c r="W91" s="51" t="s">
        <v>120</v>
      </c>
      <c r="X91" s="105"/>
    </row>
    <row r="92" spans="1:24" x14ac:dyDescent="0.25">
      <c r="A92" s="56" t="s">
        <v>130</v>
      </c>
      <c r="B92" s="80"/>
      <c r="C92" s="80"/>
      <c r="D92" s="80"/>
      <c r="E92" s="85"/>
      <c r="F92" s="85"/>
      <c r="G92" s="85"/>
      <c r="H92" s="81"/>
      <c r="I92" s="81"/>
      <c r="J92" s="81"/>
      <c r="K92" s="81"/>
      <c r="L92" s="82"/>
      <c r="M92" s="83"/>
      <c r="N92" s="83"/>
      <c r="O92" s="80"/>
      <c r="P92" s="82"/>
      <c r="Q92" s="82"/>
      <c r="R92" s="85"/>
      <c r="S92" s="84"/>
      <c r="T92" s="84"/>
      <c r="U92" s="84"/>
      <c r="V92" s="84"/>
      <c r="W92" s="84"/>
      <c r="X92" s="86"/>
    </row>
    <row r="93" spans="1:24" x14ac:dyDescent="0.25">
      <c r="A93" t="s">
        <v>11</v>
      </c>
      <c r="B93" s="58">
        <v>41.9</v>
      </c>
      <c r="C93" s="59">
        <v>43</v>
      </c>
      <c r="D93" s="59">
        <v>24.8</v>
      </c>
      <c r="E93" s="60">
        <v>-1.1918951132301459E-3</v>
      </c>
      <c r="F93" s="60">
        <v>6.7515923566878966E-2</v>
      </c>
      <c r="G93" s="60">
        <v>0.15426997245179064</v>
      </c>
      <c r="H93" s="61">
        <v>0.48349951858665102</v>
      </c>
      <c r="I93" s="61">
        <v>0.37031692502870894</v>
      </c>
      <c r="J93" s="61" t="s">
        <v>403</v>
      </c>
      <c r="K93" s="61" t="s">
        <v>403</v>
      </c>
      <c r="L93" s="63">
        <v>0.58785159203961201</v>
      </c>
      <c r="M93" s="60">
        <v>0.1050934192317613</v>
      </c>
      <c r="N93" s="64">
        <v>5.8623977127989946E-2</v>
      </c>
      <c r="O93" s="88">
        <v>3.3875248796499999</v>
      </c>
      <c r="P93" s="63">
        <v>0.55370517159999999</v>
      </c>
      <c r="Q93" s="65">
        <v>2.46086003165978</v>
      </c>
      <c r="R93" s="60">
        <v>3.0033671513706802E-3</v>
      </c>
      <c r="S93" s="65">
        <v>0.426777818979794</v>
      </c>
      <c r="T93" s="106">
        <v>2181.1556480999402</v>
      </c>
      <c r="U93" s="65" t="s">
        <v>403</v>
      </c>
      <c r="V93" s="65">
        <v>4.7716761489127002</v>
      </c>
      <c r="W93" s="65">
        <v>5.9811732569274803</v>
      </c>
      <c r="X93" s="66" t="s">
        <v>11</v>
      </c>
    </row>
    <row r="94" spans="1:24" x14ac:dyDescent="0.25">
      <c r="A94" t="s">
        <v>46</v>
      </c>
      <c r="B94" s="58">
        <v>5.75</v>
      </c>
      <c r="C94" s="59">
        <v>8.9</v>
      </c>
      <c r="D94" s="59">
        <v>5.5</v>
      </c>
      <c r="E94" s="60">
        <v>3.6036036036036112E-2</v>
      </c>
      <c r="F94" s="60">
        <v>-2.5423728813559365E-2</v>
      </c>
      <c r="G94" s="60">
        <v>-8.7301587301587324E-2</v>
      </c>
      <c r="H94" s="61">
        <v>0.41132738378403999</v>
      </c>
      <c r="I94" s="61">
        <v>0.39507381323829199</v>
      </c>
      <c r="J94" s="61">
        <v>0.42403804193555328</v>
      </c>
      <c r="K94" s="61">
        <v>-5.4508999955468096E-2</v>
      </c>
      <c r="L94" s="63">
        <v>0.22818817283526199</v>
      </c>
      <c r="M94" s="60">
        <v>1.2153766851322967E-2</v>
      </c>
      <c r="N94" s="64">
        <v>-0.18294758262538802</v>
      </c>
      <c r="O94" s="88">
        <v>0.23637153075</v>
      </c>
      <c r="P94" s="63">
        <v>0.33855474375</v>
      </c>
      <c r="Q94" s="65">
        <v>3.7782686113252302</v>
      </c>
      <c r="R94" s="60" t="s">
        <v>403</v>
      </c>
      <c r="S94" s="65">
        <v>0.93016111682648295</v>
      </c>
      <c r="T94" s="65">
        <v>13.088111442423701</v>
      </c>
      <c r="U94" s="65" t="s">
        <v>403</v>
      </c>
      <c r="V94" s="65">
        <v>2.5139394398377402</v>
      </c>
      <c r="W94" s="65" t="s">
        <v>403</v>
      </c>
      <c r="X94" s="66" t="s">
        <v>46</v>
      </c>
    </row>
    <row r="95" spans="1:24" x14ac:dyDescent="0.25">
      <c r="A95" s="68" t="s">
        <v>122</v>
      </c>
      <c r="B95" s="69"/>
      <c r="C95" s="69"/>
      <c r="D95" s="69"/>
      <c r="E95" s="70">
        <v>1.7422070461402983E-2</v>
      </c>
      <c r="F95" s="70">
        <v>2.10460973766598E-2</v>
      </c>
      <c r="G95" s="70">
        <v>3.3484192575101657E-2</v>
      </c>
      <c r="H95" s="71">
        <v>0.44741345118534548</v>
      </c>
      <c r="I95" s="71">
        <v>0.38269536913350044</v>
      </c>
      <c r="J95" s="71">
        <v>0.42403804193555328</v>
      </c>
      <c r="K95" s="71">
        <v>-5.4508999955468096E-2</v>
      </c>
      <c r="L95" s="72">
        <v>0.40801988243743703</v>
      </c>
      <c r="M95" s="70">
        <v>5.8623593041542132E-2</v>
      </c>
      <c r="N95" s="70">
        <v>-6.2161802748699035E-2</v>
      </c>
      <c r="O95" s="92">
        <v>1.8119482052</v>
      </c>
      <c r="P95" s="72">
        <v>0.44612995767499997</v>
      </c>
      <c r="Q95" s="73">
        <v>3.1195643214925051</v>
      </c>
      <c r="R95" s="70">
        <v>3.0033671513706802E-3</v>
      </c>
      <c r="S95" s="73">
        <v>0.67846946790313845</v>
      </c>
      <c r="T95" s="107">
        <v>1097.121879771182</v>
      </c>
      <c r="U95" s="73" t="s">
        <v>403</v>
      </c>
      <c r="V95" s="74">
        <v>3.6428077943752202</v>
      </c>
      <c r="W95" s="73">
        <v>5.9811732569274803</v>
      </c>
      <c r="X95" s="76" t="s">
        <v>123</v>
      </c>
    </row>
    <row r="96" spans="1:24" ht="9" customHeight="1" x14ac:dyDescent="0.25">
      <c r="E96" s="79"/>
      <c r="F96" s="79"/>
      <c r="G96" s="79"/>
      <c r="H96" s="39"/>
      <c r="I96" s="39"/>
      <c r="J96" s="39"/>
      <c r="K96" s="39"/>
      <c r="L96" s="31"/>
      <c r="M96" s="77"/>
      <c r="N96" s="77"/>
      <c r="P96" s="31"/>
      <c r="Q96" s="78"/>
      <c r="R96" s="79"/>
      <c r="S96" s="78"/>
      <c r="T96" s="78"/>
      <c r="U96" s="78"/>
      <c r="V96" s="78"/>
      <c r="W96" s="78"/>
    </row>
    <row r="97" spans="1:24" x14ac:dyDescent="0.25">
      <c r="A97" s="56" t="s">
        <v>131</v>
      </c>
      <c r="B97" s="80"/>
      <c r="C97" s="80"/>
      <c r="D97" s="80"/>
      <c r="E97" s="85"/>
      <c r="F97" s="85"/>
      <c r="G97" s="85"/>
      <c r="H97" s="81"/>
      <c r="I97" s="81"/>
      <c r="J97" s="81"/>
      <c r="K97" s="81"/>
      <c r="L97" s="82"/>
      <c r="M97" s="83"/>
      <c r="N97" s="83"/>
      <c r="O97" s="80"/>
      <c r="P97" s="82"/>
      <c r="Q97" s="84"/>
      <c r="R97" s="85"/>
      <c r="S97" s="84"/>
      <c r="T97" s="84"/>
      <c r="U97" s="84"/>
      <c r="V97" s="84"/>
      <c r="W97" s="84"/>
      <c r="X97" s="86"/>
    </row>
    <row r="98" spans="1:24" x14ac:dyDescent="0.25">
      <c r="A98" t="s">
        <v>22</v>
      </c>
      <c r="B98" s="58">
        <v>36</v>
      </c>
      <c r="C98" s="59">
        <v>80</v>
      </c>
      <c r="D98" s="59">
        <v>34.5</v>
      </c>
      <c r="E98" s="60">
        <v>1.5514809590973178E-2</v>
      </c>
      <c r="F98" s="60">
        <v>5.5865921787709993E-3</v>
      </c>
      <c r="G98" s="60">
        <v>-6.4935064935064957E-2</v>
      </c>
      <c r="H98" s="61">
        <v>0.28488382854017502</v>
      </c>
      <c r="I98" s="61">
        <v>0.44442285417272503</v>
      </c>
      <c r="J98" s="61">
        <v>0.44591129128885071</v>
      </c>
      <c r="K98" s="61">
        <v>0.1329758229018374</v>
      </c>
      <c r="L98" s="63">
        <v>0.60755886221655397</v>
      </c>
      <c r="M98" s="60">
        <v>4.3164087843653332E-2</v>
      </c>
      <c r="N98" s="64">
        <v>-0.16058106025886565</v>
      </c>
      <c r="O98" s="88" t="s">
        <v>403</v>
      </c>
      <c r="P98" s="63">
        <v>5.50328777200001</v>
      </c>
      <c r="Q98" s="65">
        <v>2.2224611061476001</v>
      </c>
      <c r="R98" s="60" t="s">
        <v>403</v>
      </c>
      <c r="S98" s="65">
        <v>0.420831150052981</v>
      </c>
      <c r="T98" s="65">
        <v>7.5731917426965998</v>
      </c>
      <c r="U98" s="65" t="s">
        <v>403</v>
      </c>
      <c r="V98" s="65">
        <v>3.9447054930238399</v>
      </c>
      <c r="W98" s="65">
        <v>4.3062579918982999</v>
      </c>
      <c r="X98" s="66" t="s">
        <v>22</v>
      </c>
    </row>
    <row r="99" spans="1:24" x14ac:dyDescent="0.25">
      <c r="A99" t="s">
        <v>40</v>
      </c>
      <c r="B99" s="58">
        <v>49.85</v>
      </c>
      <c r="C99" s="59">
        <v>60.4</v>
      </c>
      <c r="D99" s="59">
        <v>35.049999999999997</v>
      </c>
      <c r="E99" s="60">
        <v>-4.9900199600798611E-3</v>
      </c>
      <c r="F99" s="60">
        <v>-1.7733990147783207E-2</v>
      </c>
      <c r="G99" s="60">
        <v>6.6310160427807574E-2</v>
      </c>
      <c r="H99" s="61">
        <v>0.41110529074993996</v>
      </c>
      <c r="I99" s="61">
        <v>0.467970447506109</v>
      </c>
      <c r="J99" s="61">
        <v>0.45247508679403453</v>
      </c>
      <c r="K99" s="61">
        <v>0.15862996922981698</v>
      </c>
      <c r="L99" s="63">
        <v>1.0630222327558501</v>
      </c>
      <c r="M99" s="60">
        <v>1.9843505517099125E-2</v>
      </c>
      <c r="N99" s="64">
        <v>-2.9335834895993118E-2</v>
      </c>
      <c r="O99" s="88">
        <v>97.112258393100007</v>
      </c>
      <c r="P99" s="63">
        <v>156.15453266039998</v>
      </c>
      <c r="Q99" s="65">
        <v>6.22998334970677</v>
      </c>
      <c r="R99" s="60" t="s">
        <v>403</v>
      </c>
      <c r="S99" s="65">
        <v>1.3883420944984399</v>
      </c>
      <c r="T99" s="65" t="s">
        <v>403</v>
      </c>
      <c r="U99" s="65" t="s">
        <v>403</v>
      </c>
      <c r="V99" s="65">
        <v>125.923725423443</v>
      </c>
      <c r="W99" s="65">
        <v>6.4296356184928802</v>
      </c>
      <c r="X99" s="66" t="s">
        <v>40</v>
      </c>
    </row>
    <row r="100" spans="1:24" x14ac:dyDescent="0.25">
      <c r="A100" t="s">
        <v>16</v>
      </c>
      <c r="B100" s="58">
        <v>51.3</v>
      </c>
      <c r="C100" s="59">
        <v>63.95</v>
      </c>
      <c r="D100" s="59">
        <v>37.15</v>
      </c>
      <c r="E100" s="60">
        <v>9.7560975609756184E-4</v>
      </c>
      <c r="F100" s="60">
        <v>2.0895522388059584E-2</v>
      </c>
      <c r="G100" s="60">
        <v>6.8694798822372949E-3</v>
      </c>
      <c r="H100" s="61">
        <v>0.25742628368500797</v>
      </c>
      <c r="I100" s="61">
        <v>0.33335396464531497</v>
      </c>
      <c r="J100" s="61">
        <v>0.54843972166120236</v>
      </c>
      <c r="K100" s="61">
        <v>0.20953876128628801</v>
      </c>
      <c r="L100" s="63">
        <v>0.90927783792518102</v>
      </c>
      <c r="M100" s="60">
        <v>5.8473018052941916E-2</v>
      </c>
      <c r="N100" s="64">
        <v>-8.8776515441563397E-2</v>
      </c>
      <c r="O100" s="88">
        <v>46.455823875</v>
      </c>
      <c r="P100" s="63">
        <v>23.1210507294</v>
      </c>
      <c r="Q100" s="65">
        <v>3.4908540954826002</v>
      </c>
      <c r="R100" s="60" t="s">
        <v>403</v>
      </c>
      <c r="S100" s="65">
        <v>0.52149224547339801</v>
      </c>
      <c r="T100" s="65">
        <v>21.6723628790023</v>
      </c>
      <c r="U100" s="65">
        <v>19.114688128772599</v>
      </c>
      <c r="V100" s="65">
        <v>19.089215881113901</v>
      </c>
      <c r="W100" s="65">
        <v>2.5346401209073699</v>
      </c>
      <c r="X100" s="66" t="s">
        <v>16</v>
      </c>
    </row>
    <row r="101" spans="1:24" x14ac:dyDescent="0.25">
      <c r="A101" t="s">
        <v>71</v>
      </c>
      <c r="B101" s="58">
        <v>51</v>
      </c>
      <c r="C101" s="59">
        <v>60.9</v>
      </c>
      <c r="D101" s="59">
        <v>34.131036700000003</v>
      </c>
      <c r="E101" s="60">
        <v>7.905138339920903E-3</v>
      </c>
      <c r="F101" s="60">
        <v>-7.2727272727272751E-2</v>
      </c>
      <c r="G101" s="60">
        <v>0.13207547169811318</v>
      </c>
      <c r="H101" s="61">
        <v>0.301070603367601</v>
      </c>
      <c r="I101" s="61">
        <v>0.35876826360131403</v>
      </c>
      <c r="J101" s="61">
        <v>0.52370984112471664</v>
      </c>
      <c r="K101" s="61">
        <v>0.27119344960660396</v>
      </c>
      <c r="L101" s="63">
        <v>1.1843509995488599</v>
      </c>
      <c r="M101" s="60">
        <v>-3.5149777062390419E-2</v>
      </c>
      <c r="N101" s="64">
        <v>3.6429476374312486E-2</v>
      </c>
      <c r="O101" s="88">
        <v>22.500494026999998</v>
      </c>
      <c r="P101" s="63">
        <v>9.6727624970000097</v>
      </c>
      <c r="Q101" s="65">
        <v>1.9728248476955801</v>
      </c>
      <c r="R101" s="60">
        <v>6.61946698932806E-2</v>
      </c>
      <c r="S101" s="65">
        <v>1.44380114789077</v>
      </c>
      <c r="T101" s="65">
        <v>6.8858063279210002</v>
      </c>
      <c r="U101" s="65" t="s">
        <v>403</v>
      </c>
      <c r="V101" s="65">
        <v>4.31473995250788</v>
      </c>
      <c r="W101" s="65">
        <v>2.9324301140965101</v>
      </c>
      <c r="X101" s="66" t="s">
        <v>71</v>
      </c>
    </row>
    <row r="102" spans="1:24" x14ac:dyDescent="0.25">
      <c r="A102" t="s">
        <v>72</v>
      </c>
      <c r="B102" s="58">
        <v>24.9</v>
      </c>
      <c r="C102" s="59">
        <v>71.849999999999994</v>
      </c>
      <c r="D102" s="59">
        <v>22.1</v>
      </c>
      <c r="E102" s="60">
        <v>-1.1904761904761973E-2</v>
      </c>
      <c r="F102" s="60">
        <v>-7.4349442379182173E-2</v>
      </c>
      <c r="G102" s="60">
        <v>-6.0377358490566135E-2</v>
      </c>
      <c r="H102" s="61">
        <v>0.35827561117018902</v>
      </c>
      <c r="I102" s="61">
        <v>0.44341286632070898</v>
      </c>
      <c r="J102" s="61">
        <v>0.61319177868454133</v>
      </c>
      <c r="K102" s="61">
        <v>0.16654478936201822</v>
      </c>
      <c r="L102" s="63">
        <v>1.4113156502353901</v>
      </c>
      <c r="M102" s="60">
        <v>-3.6771946714299841E-2</v>
      </c>
      <c r="N102" s="64">
        <v>-0.15602335381436683</v>
      </c>
      <c r="O102" s="88">
        <v>13.103718793200001</v>
      </c>
      <c r="P102" s="63">
        <v>15.8319934</v>
      </c>
      <c r="Q102" s="65">
        <v>4.5604405239899997</v>
      </c>
      <c r="R102" s="60" t="s">
        <v>403</v>
      </c>
      <c r="S102" s="65">
        <v>0.30791694622747301</v>
      </c>
      <c r="T102" s="65" t="s">
        <v>403</v>
      </c>
      <c r="U102" s="65" t="s">
        <v>403</v>
      </c>
      <c r="V102" s="65">
        <v>2.1570086552138901</v>
      </c>
      <c r="W102" s="65">
        <v>1.72542094023339</v>
      </c>
      <c r="X102" s="66" t="s">
        <v>72</v>
      </c>
    </row>
    <row r="103" spans="1:24" x14ac:dyDescent="0.25">
      <c r="A103" t="s">
        <v>38</v>
      </c>
      <c r="B103" s="58">
        <v>31.9</v>
      </c>
      <c r="C103" s="59">
        <v>81.316100000000006</v>
      </c>
      <c r="D103" s="59">
        <v>29</v>
      </c>
      <c r="E103" s="60">
        <v>-3.1250000000000444E-3</v>
      </c>
      <c r="F103" s="60">
        <v>-1.5432098765432056E-2</v>
      </c>
      <c r="G103" s="60">
        <v>5.1070840197693368E-2</v>
      </c>
      <c r="H103" s="61">
        <v>0.42962529343336897</v>
      </c>
      <c r="I103" s="61">
        <v>0.39939178629409805</v>
      </c>
      <c r="J103" s="61">
        <v>0.51130403894544885</v>
      </c>
      <c r="K103" s="61">
        <v>0.15061701191729093</v>
      </c>
      <c r="L103" s="63">
        <v>0.83245894759015804</v>
      </c>
      <c r="M103" s="60">
        <v>2.2145396899450276E-2</v>
      </c>
      <c r="N103" s="64">
        <v>-4.4575155126107324E-2</v>
      </c>
      <c r="O103" s="88">
        <v>10.664993568</v>
      </c>
      <c r="P103" s="63">
        <v>10.285572763100001</v>
      </c>
      <c r="Q103" s="65">
        <v>5.6102113508289797</v>
      </c>
      <c r="R103" s="60">
        <v>5.2820743809375001E-2</v>
      </c>
      <c r="S103" s="65">
        <v>0.81716336746110996</v>
      </c>
      <c r="T103" s="65">
        <v>36.323058879792299</v>
      </c>
      <c r="U103" s="65" t="s">
        <v>403</v>
      </c>
      <c r="V103" s="65">
        <v>9.36411542137912</v>
      </c>
      <c r="W103" s="65" t="s">
        <v>403</v>
      </c>
      <c r="X103" s="66" t="s">
        <v>38</v>
      </c>
    </row>
    <row r="104" spans="1:24" x14ac:dyDescent="0.25">
      <c r="A104" t="s">
        <v>62</v>
      </c>
      <c r="B104" s="58">
        <v>60</v>
      </c>
      <c r="C104" s="59">
        <v>95.85</v>
      </c>
      <c r="D104" s="59">
        <v>42</v>
      </c>
      <c r="E104" s="60">
        <v>1.6949152542372836E-2</v>
      </c>
      <c r="F104" s="60">
        <v>-4.9128367670364548E-2</v>
      </c>
      <c r="G104" s="60">
        <v>-3.0694668820678506E-2</v>
      </c>
      <c r="H104" s="61">
        <v>0.29711858805581398</v>
      </c>
      <c r="I104" s="61">
        <v>0.34105615350097701</v>
      </c>
      <c r="J104" s="61">
        <v>0.51901018971153479</v>
      </c>
      <c r="K104" s="61">
        <v>0.10430478509733621</v>
      </c>
      <c r="L104" s="63">
        <v>0.820149176561353</v>
      </c>
      <c r="M104" s="60">
        <v>-1.1550872005482216E-2</v>
      </c>
      <c r="N104" s="64">
        <v>-0.1263406641444792</v>
      </c>
      <c r="O104" s="88">
        <v>10.608334638000001</v>
      </c>
      <c r="P104" s="63">
        <v>16.066650920000001</v>
      </c>
      <c r="Q104" s="65">
        <v>3.9651809518065</v>
      </c>
      <c r="R104" s="60" t="s">
        <v>403</v>
      </c>
      <c r="S104" s="65">
        <v>1.77210853846349</v>
      </c>
      <c r="T104" s="65" t="s">
        <v>403</v>
      </c>
      <c r="U104" s="65" t="s">
        <v>403</v>
      </c>
      <c r="V104" s="65">
        <v>1.28339964781982</v>
      </c>
      <c r="W104" s="65">
        <v>3.0977756185893499</v>
      </c>
      <c r="X104" s="66" t="s">
        <v>62</v>
      </c>
    </row>
    <row r="105" spans="1:24" x14ac:dyDescent="0.25">
      <c r="A105" t="s">
        <v>42</v>
      </c>
      <c r="B105" s="58">
        <v>39</v>
      </c>
      <c r="C105" s="59">
        <v>65.3</v>
      </c>
      <c r="D105" s="59">
        <v>34</v>
      </c>
      <c r="E105" s="60">
        <v>2.6315789473684292E-2</v>
      </c>
      <c r="F105" s="60">
        <v>-2.010050251256279E-2</v>
      </c>
      <c r="G105" s="60">
        <v>1.9607843137254832E-2</v>
      </c>
      <c r="H105" s="61">
        <v>0.35849761610019298</v>
      </c>
      <c r="I105" s="61">
        <v>0.39359229210798902</v>
      </c>
      <c r="J105" s="61">
        <v>0.47402002185255981</v>
      </c>
      <c r="K105" s="61">
        <v>0.14259416752989895</v>
      </c>
      <c r="L105" s="63">
        <v>1.19655149440909</v>
      </c>
      <c r="M105" s="60">
        <v>1.7476993152319542E-2</v>
      </c>
      <c r="N105" s="64">
        <v>-7.603815218654586E-2</v>
      </c>
      <c r="O105" s="88">
        <v>7.6893489439999998</v>
      </c>
      <c r="P105" s="63">
        <v>2.9694260780000099</v>
      </c>
      <c r="Q105" s="65">
        <v>1.8360436667128399</v>
      </c>
      <c r="R105" s="60">
        <v>8.0631013694736908E-2</v>
      </c>
      <c r="S105" s="65">
        <v>0.54089399155486695</v>
      </c>
      <c r="T105" s="65">
        <v>5.6682091947073499</v>
      </c>
      <c r="U105" s="65" t="s">
        <v>403</v>
      </c>
      <c r="V105" s="65">
        <v>4.9441384549157803</v>
      </c>
      <c r="W105" s="65" t="s">
        <v>403</v>
      </c>
      <c r="X105" s="66" t="s">
        <v>42</v>
      </c>
    </row>
    <row r="106" spans="1:24" x14ac:dyDescent="0.25">
      <c r="A106" t="s">
        <v>25</v>
      </c>
      <c r="B106" s="58">
        <v>39.950000000000003</v>
      </c>
      <c r="C106" s="59">
        <v>47.5</v>
      </c>
      <c r="D106" s="59">
        <v>25</v>
      </c>
      <c r="E106" s="60">
        <v>-2.4968789013731785E-3</v>
      </c>
      <c r="F106" s="60">
        <v>3.7688442211056827E-3</v>
      </c>
      <c r="G106" s="60">
        <v>0.19969969969969981</v>
      </c>
      <c r="H106" s="61">
        <v>0.33217304879098897</v>
      </c>
      <c r="I106" s="61">
        <v>0.39332088315784602</v>
      </c>
      <c r="J106" s="61">
        <v>0.43237218676343409</v>
      </c>
      <c r="K106" s="61">
        <v>0.27794656064737699</v>
      </c>
      <c r="L106" s="63">
        <v>0.94324285203999803</v>
      </c>
      <c r="M106" s="60">
        <v>4.1346339885988015E-2</v>
      </c>
      <c r="N106" s="64">
        <v>0.10405370437589911</v>
      </c>
      <c r="O106" s="88">
        <v>7.9996734278999995</v>
      </c>
      <c r="P106" s="63">
        <v>68.247804127200197</v>
      </c>
      <c r="Q106" s="65">
        <v>5.1505370524350704</v>
      </c>
      <c r="R106" s="60" t="s">
        <v>403</v>
      </c>
      <c r="S106" s="65">
        <v>7.8987073933028302</v>
      </c>
      <c r="T106" s="65">
        <v>3.4043778850930901</v>
      </c>
      <c r="U106" s="65">
        <v>2.3836515513126502</v>
      </c>
      <c r="V106" s="65">
        <v>2.5920007078984799</v>
      </c>
      <c r="W106" s="65">
        <v>27.544663623351799</v>
      </c>
      <c r="X106" s="66" t="s">
        <v>25</v>
      </c>
    </row>
    <row r="107" spans="1:24" x14ac:dyDescent="0.25">
      <c r="A107" t="s">
        <v>80</v>
      </c>
      <c r="B107" s="58">
        <v>8.5</v>
      </c>
      <c r="C107" s="59">
        <v>20</v>
      </c>
      <c r="D107" s="59">
        <v>6.5</v>
      </c>
      <c r="E107" s="60">
        <v>-4.49438202247191E-2</v>
      </c>
      <c r="F107" s="60">
        <v>-0.10526315789473684</v>
      </c>
      <c r="G107" s="60">
        <v>3.1553398058252302E-2</v>
      </c>
      <c r="H107" s="61">
        <v>0.48373711977774903</v>
      </c>
      <c r="I107" s="61">
        <v>0.47829340710893703</v>
      </c>
      <c r="J107" s="61">
        <v>0.57056296361012471</v>
      </c>
      <c r="K107" s="61">
        <v>-5.3683725621095246E-2</v>
      </c>
      <c r="L107" s="63">
        <v>1.16699805063912</v>
      </c>
      <c r="M107" s="60">
        <v>-6.7685662229854504E-2</v>
      </c>
      <c r="N107" s="64">
        <v>-6.409259726554839E-2</v>
      </c>
      <c r="O107" s="88">
        <v>6.2476965642</v>
      </c>
      <c r="P107" s="63">
        <v>5.2157290830000198</v>
      </c>
      <c r="Q107" s="65">
        <v>1.44787437392906</v>
      </c>
      <c r="R107" s="60" t="s">
        <v>403</v>
      </c>
      <c r="S107" s="65">
        <v>0.97419564173344197</v>
      </c>
      <c r="T107" s="65">
        <v>2.0625661234433701</v>
      </c>
      <c r="U107" s="65" t="s">
        <v>403</v>
      </c>
      <c r="V107" s="65">
        <v>1.0793129978598901</v>
      </c>
      <c r="W107" s="65">
        <v>1.89717895406707</v>
      </c>
      <c r="X107" s="66" t="s">
        <v>80</v>
      </c>
    </row>
    <row r="108" spans="1:24" x14ac:dyDescent="0.25">
      <c r="A108" s="68" t="s">
        <v>122</v>
      </c>
      <c r="B108" s="69"/>
      <c r="C108" s="69"/>
      <c r="D108" s="69"/>
      <c r="E108" s="70">
        <v>2.0001871211461351E-5</v>
      </c>
      <c r="F108" s="70">
        <v>-3.2448387330939812E-2</v>
      </c>
      <c r="G108" s="70">
        <v>3.5117980085474877E-2</v>
      </c>
      <c r="H108" s="71">
        <v>0.35139132836710274</v>
      </c>
      <c r="I108" s="71">
        <v>0.40535829184160183</v>
      </c>
      <c r="J108" s="71">
        <v>0.50909971204364468</v>
      </c>
      <c r="K108" s="71">
        <v>0.15606615919573724</v>
      </c>
      <c r="L108" s="72">
        <v>1.0134926103921553</v>
      </c>
      <c r="M108" s="70">
        <v>5.1291083339425224E-3</v>
      </c>
      <c r="N108" s="70">
        <v>-6.0528015238325815E-2</v>
      </c>
      <c r="O108" s="92">
        <v>24.709149136711108</v>
      </c>
      <c r="P108" s="72">
        <v>31.306881003010023</v>
      </c>
      <c r="Q108" s="73">
        <v>3.6486411318735001</v>
      </c>
      <c r="R108" s="70">
        <v>6.6548809132464179E-2</v>
      </c>
      <c r="S108" s="73">
        <v>1.60854525166588</v>
      </c>
      <c r="T108" s="73">
        <v>11.941367576093715</v>
      </c>
      <c r="U108" s="73">
        <v>10.749169840042624</v>
      </c>
      <c r="V108" s="74">
        <v>17.469236263517566</v>
      </c>
      <c r="W108" s="73">
        <v>6.3085003727045841</v>
      </c>
      <c r="X108" s="76" t="s">
        <v>123</v>
      </c>
    </row>
    <row r="109" spans="1:24" ht="7.5" customHeight="1" x14ac:dyDescent="0.25">
      <c r="E109" s="79"/>
      <c r="F109" s="79"/>
      <c r="G109" s="79"/>
      <c r="H109" s="39"/>
      <c r="I109" s="39"/>
      <c r="J109" s="39"/>
      <c r="K109" s="39"/>
      <c r="L109" s="31"/>
      <c r="M109" s="77"/>
      <c r="N109" s="77"/>
      <c r="P109" s="31"/>
      <c r="Q109" s="78"/>
      <c r="R109" s="79"/>
      <c r="S109" s="78"/>
      <c r="T109" s="78"/>
      <c r="U109" s="78"/>
      <c r="V109" s="78"/>
      <c r="W109" s="78"/>
    </row>
    <row r="110" spans="1:24" x14ac:dyDescent="0.25">
      <c r="A110" s="56" t="s">
        <v>132</v>
      </c>
      <c r="B110" s="80"/>
      <c r="C110" s="80"/>
      <c r="D110" s="80"/>
      <c r="E110" s="85"/>
      <c r="F110" s="85"/>
      <c r="G110" s="85"/>
      <c r="H110" s="81"/>
      <c r="I110" s="81"/>
      <c r="J110" s="81"/>
      <c r="K110" s="81"/>
      <c r="L110" s="82"/>
      <c r="M110" s="83"/>
      <c r="N110" s="83"/>
      <c r="O110" s="80"/>
      <c r="P110" s="82"/>
      <c r="Q110" s="84"/>
      <c r="R110" s="85"/>
      <c r="S110" s="84"/>
      <c r="T110" s="84"/>
      <c r="U110" s="84"/>
      <c r="V110" s="84"/>
      <c r="W110" s="84"/>
      <c r="X110" s="86"/>
    </row>
    <row r="111" spans="1:24" x14ac:dyDescent="0.25">
      <c r="A111" t="s">
        <v>65</v>
      </c>
      <c r="B111" s="58">
        <v>4.21</v>
      </c>
      <c r="C111" s="59">
        <v>6.4562710923881896</v>
      </c>
      <c r="D111" s="59">
        <v>3.7613615399999998</v>
      </c>
      <c r="E111" s="60">
        <v>-9.4117647058823417E-3</v>
      </c>
      <c r="F111" s="60">
        <v>-5.6053811659192876E-2</v>
      </c>
      <c r="G111" s="60">
        <v>4.7774015303971407E-2</v>
      </c>
      <c r="H111" s="61">
        <v>0.37678513841298</v>
      </c>
      <c r="I111" s="61">
        <v>0.36637123267875998</v>
      </c>
      <c r="J111" s="61">
        <v>0.46274025550619236</v>
      </c>
      <c r="K111" s="61">
        <v>0.1040641335402035</v>
      </c>
      <c r="L111" s="63">
        <v>0.68042778410834404</v>
      </c>
      <c r="M111" s="60">
        <v>-1.8476315994310544E-2</v>
      </c>
      <c r="N111" s="64">
        <v>-4.7871980019829286E-2</v>
      </c>
      <c r="O111" s="88">
        <v>5.3125</v>
      </c>
      <c r="P111" s="63">
        <v>4.1079531100000102</v>
      </c>
      <c r="Q111" s="65">
        <v>6.7675023562148899</v>
      </c>
      <c r="R111" s="60">
        <v>1.4117647058823499E-2</v>
      </c>
      <c r="S111" s="65">
        <v>2.6736160259709698</v>
      </c>
      <c r="T111" s="65">
        <v>9.3937568333444901</v>
      </c>
      <c r="U111" s="65" t="s">
        <v>403</v>
      </c>
      <c r="V111" s="65">
        <v>2.0696293554764802</v>
      </c>
      <c r="W111" s="65">
        <v>8.6284189772028608</v>
      </c>
      <c r="X111" s="66" t="s">
        <v>65</v>
      </c>
    </row>
    <row r="112" spans="1:24" x14ac:dyDescent="0.25">
      <c r="A112" s="68" t="s">
        <v>122</v>
      </c>
      <c r="B112" s="69"/>
      <c r="C112" s="69"/>
      <c r="D112" s="69"/>
      <c r="E112" s="70">
        <v>-9.4117647058823417E-3</v>
      </c>
      <c r="F112" s="70">
        <v>-5.6053811659192876E-2</v>
      </c>
      <c r="G112" s="70">
        <v>4.7774015303971407E-2</v>
      </c>
      <c r="H112" s="71">
        <v>0.37678513841298</v>
      </c>
      <c r="I112" s="71">
        <v>0.36637123267875998</v>
      </c>
      <c r="J112" s="71">
        <v>0.46274025550619236</v>
      </c>
      <c r="K112" s="71">
        <v>0.1040641335402035</v>
      </c>
      <c r="L112" s="72">
        <v>0.68042778410834404</v>
      </c>
      <c r="M112" s="70">
        <v>-1.8476315994310544E-2</v>
      </c>
      <c r="N112" s="70">
        <v>-4.7871980019829286E-2</v>
      </c>
      <c r="O112" s="92">
        <v>5.3125</v>
      </c>
      <c r="P112" s="72">
        <v>4.1079531100000102</v>
      </c>
      <c r="Q112" s="73">
        <v>6.7675023562148899</v>
      </c>
      <c r="R112" s="70">
        <v>1.4117647058823499E-2</v>
      </c>
      <c r="S112" s="73">
        <v>2.6736160259709698</v>
      </c>
      <c r="T112" s="73">
        <v>9.3937568333444901</v>
      </c>
      <c r="U112" s="73" t="s">
        <v>403</v>
      </c>
      <c r="V112" s="74">
        <v>2.0696293554764802</v>
      </c>
      <c r="W112" s="73">
        <v>8.6284189772028608</v>
      </c>
      <c r="X112" s="76" t="s">
        <v>123</v>
      </c>
    </row>
    <row r="113" spans="1:24" ht="9" customHeight="1" x14ac:dyDescent="0.25">
      <c r="E113" s="79"/>
      <c r="F113" s="79"/>
      <c r="G113" s="79"/>
      <c r="H113" s="39"/>
      <c r="I113" s="39"/>
      <c r="J113" s="39"/>
      <c r="K113" s="39"/>
      <c r="L113" s="31"/>
      <c r="M113" s="77"/>
      <c r="N113" s="77"/>
      <c r="P113" s="31"/>
      <c r="Q113" s="78"/>
      <c r="R113" s="79"/>
      <c r="S113" s="78"/>
      <c r="T113" s="78"/>
      <c r="U113" s="78"/>
      <c r="V113" s="78"/>
      <c r="W113" s="78"/>
    </row>
    <row r="114" spans="1:24" x14ac:dyDescent="0.25">
      <c r="A114" s="56" t="s">
        <v>133</v>
      </c>
      <c r="B114" s="80"/>
      <c r="C114" s="80"/>
      <c r="D114" s="80"/>
      <c r="E114" s="85"/>
      <c r="F114" s="85"/>
      <c r="G114" s="85"/>
      <c r="H114" s="81"/>
      <c r="I114" s="81"/>
      <c r="J114" s="81"/>
      <c r="K114" s="81"/>
      <c r="L114" s="82"/>
      <c r="M114" s="83"/>
      <c r="N114" s="83"/>
      <c r="O114" s="80"/>
      <c r="P114" s="82"/>
      <c r="Q114" s="84"/>
      <c r="R114" s="85"/>
      <c r="S114" s="84"/>
      <c r="T114" s="84"/>
      <c r="U114" s="84"/>
      <c r="V114" s="84"/>
      <c r="W114" s="84"/>
      <c r="X114" s="86"/>
    </row>
    <row r="115" spans="1:24" x14ac:dyDescent="0.25">
      <c r="A115" t="s">
        <v>12</v>
      </c>
      <c r="B115" s="58">
        <v>358</v>
      </c>
      <c r="C115" s="59">
        <v>366.5</v>
      </c>
      <c r="D115" s="59">
        <v>190</v>
      </c>
      <c r="E115" s="60">
        <v>-1.377410468319562E-2</v>
      </c>
      <c r="F115" s="60">
        <v>5.4491899852724623E-2</v>
      </c>
      <c r="G115" s="60">
        <v>0.12225705329153613</v>
      </c>
      <c r="H115" s="61">
        <v>0.37411312535960806</v>
      </c>
      <c r="I115" s="61">
        <v>0.39773841262551601</v>
      </c>
      <c r="J115" s="61">
        <v>0.34625717750452467</v>
      </c>
      <c r="K115" s="61">
        <v>-6.3007713385305308E-2</v>
      </c>
      <c r="L115" s="63">
        <v>8.8744782790210003E-2</v>
      </c>
      <c r="M115" s="60">
        <v>9.2069395517606956E-2</v>
      </c>
      <c r="N115" s="64">
        <v>2.6611057967735441E-2</v>
      </c>
      <c r="O115" s="88">
        <v>1805.997308511</v>
      </c>
      <c r="P115" s="63">
        <v>92.903589653135995</v>
      </c>
      <c r="Q115" s="65">
        <v>5.7775864212149202</v>
      </c>
      <c r="R115" s="60">
        <v>4.7848901487603304E-2</v>
      </c>
      <c r="S115" s="65">
        <v>0.80782842817522005</v>
      </c>
      <c r="T115" s="65">
        <v>13.260519498704801</v>
      </c>
      <c r="U115" s="65">
        <v>10.0952590325121</v>
      </c>
      <c r="V115" s="65">
        <v>2.1641160683148599</v>
      </c>
      <c r="W115" s="65">
        <v>2.95556312669141</v>
      </c>
      <c r="X115" s="66" t="s">
        <v>12</v>
      </c>
    </row>
    <row r="116" spans="1:24" x14ac:dyDescent="0.25">
      <c r="A116" t="s">
        <v>14</v>
      </c>
      <c r="B116" s="58">
        <v>121.4</v>
      </c>
      <c r="C116" s="59">
        <v>154.19999999999999</v>
      </c>
      <c r="D116" s="59">
        <v>95.6</v>
      </c>
      <c r="E116" s="60">
        <v>-3.5742652899126259E-2</v>
      </c>
      <c r="F116" s="60">
        <v>3.8050448909790591E-2</v>
      </c>
      <c r="G116" s="60">
        <v>2.0168067226890907E-2</v>
      </c>
      <c r="H116" s="61">
        <v>0.32955171148399898</v>
      </c>
      <c r="I116" s="61">
        <v>0.43271376160067299</v>
      </c>
      <c r="J116" s="61">
        <v>0.39705475336901225</v>
      </c>
      <c r="K116" s="61">
        <v>0.11269047699638923</v>
      </c>
      <c r="L116" s="63">
        <v>0.52724519793392999</v>
      </c>
      <c r="M116" s="60">
        <v>7.5627944574672923E-2</v>
      </c>
      <c r="N116" s="64">
        <v>-7.5477928096909785E-2</v>
      </c>
      <c r="O116" s="88">
        <v>273.06569144560001</v>
      </c>
      <c r="P116" s="63">
        <v>152.85457728920002</v>
      </c>
      <c r="Q116" s="65">
        <v>3.5617153809581499</v>
      </c>
      <c r="R116" s="60">
        <v>9.8802057394757697E-2</v>
      </c>
      <c r="S116" s="65">
        <v>0.66456074431819101</v>
      </c>
      <c r="T116" s="65" t="s">
        <v>403</v>
      </c>
      <c r="U116" s="65" t="s">
        <v>403</v>
      </c>
      <c r="V116" s="65">
        <v>2.4209048556833501</v>
      </c>
      <c r="W116" s="65">
        <v>2.50725979542083</v>
      </c>
      <c r="X116" s="66" t="s">
        <v>14</v>
      </c>
    </row>
    <row r="117" spans="1:24" x14ac:dyDescent="0.25">
      <c r="A117" t="s">
        <v>70</v>
      </c>
      <c r="B117" s="58">
        <v>240</v>
      </c>
      <c r="C117" s="59">
        <v>485</v>
      </c>
      <c r="D117" s="59">
        <v>222</v>
      </c>
      <c r="E117" s="60">
        <v>-3.2258064516129004E-2</v>
      </c>
      <c r="F117" s="60">
        <v>-7.1566731141199269E-2</v>
      </c>
      <c r="G117" s="60">
        <v>6.5003145313482502E-3</v>
      </c>
      <c r="H117" s="61">
        <v>0.32361447419046302</v>
      </c>
      <c r="I117" s="61">
        <v>0.403690379356131</v>
      </c>
      <c r="J117" s="61" t="s">
        <v>403</v>
      </c>
      <c r="K117" s="61" t="s">
        <v>403</v>
      </c>
      <c r="L117" s="63">
        <v>1.07657284036851</v>
      </c>
      <c r="M117" s="60">
        <v>-3.3989235476316937E-2</v>
      </c>
      <c r="N117" s="64">
        <v>-8.9145680792452442E-2</v>
      </c>
      <c r="O117" s="88">
        <v>44.799359840000001</v>
      </c>
      <c r="P117" s="63">
        <v>176.44745968000001</v>
      </c>
      <c r="Q117" s="65">
        <v>4.2180170828790304</v>
      </c>
      <c r="R117" s="60" t="s">
        <v>403</v>
      </c>
      <c r="S117" s="65">
        <v>0.26263547558884298</v>
      </c>
      <c r="T117" s="65" t="s">
        <v>403</v>
      </c>
      <c r="U117" s="65" t="s">
        <v>403</v>
      </c>
      <c r="V117" s="65">
        <v>1.2361029852024601</v>
      </c>
      <c r="W117" s="65">
        <v>0.91909016818454703</v>
      </c>
      <c r="X117" s="66" t="s">
        <v>70</v>
      </c>
    </row>
    <row r="118" spans="1:24" x14ac:dyDescent="0.25">
      <c r="A118" t="s">
        <v>52</v>
      </c>
      <c r="B118" s="58">
        <v>44.95</v>
      </c>
      <c r="C118" s="59">
        <v>71.5</v>
      </c>
      <c r="D118" s="59">
        <v>44</v>
      </c>
      <c r="E118" s="60">
        <v>1.8120045300113352E-2</v>
      </c>
      <c r="F118" s="60">
        <v>-3.3333333333333326E-2</v>
      </c>
      <c r="G118" s="60">
        <v>-9.1919191919191845E-2</v>
      </c>
      <c r="H118" s="61">
        <v>0.28128836840070298</v>
      </c>
      <c r="I118" s="61">
        <v>0.33366756297323802</v>
      </c>
      <c r="J118" s="61">
        <v>0.47361625286108422</v>
      </c>
      <c r="K118" s="61">
        <v>0.15509533977346224</v>
      </c>
      <c r="L118" s="63">
        <v>0.41193507616348901</v>
      </c>
      <c r="M118" s="60">
        <v>4.2441623315490062E-3</v>
      </c>
      <c r="N118" s="64">
        <v>-0.18756518724299254</v>
      </c>
      <c r="O118" s="88">
        <v>4.7141605766000003</v>
      </c>
      <c r="P118" s="63">
        <v>3.2327474928000104</v>
      </c>
      <c r="Q118" s="65">
        <v>1.72330297254335</v>
      </c>
      <c r="R118" s="60" t="s">
        <v>403</v>
      </c>
      <c r="S118" s="65">
        <v>0.20346992780380199</v>
      </c>
      <c r="T118" s="65">
        <v>8.3081501196780305</v>
      </c>
      <c r="U118" s="65">
        <v>6.7391304347826102</v>
      </c>
      <c r="V118" s="65">
        <v>1.0034265113293801</v>
      </c>
      <c r="W118" s="65">
        <v>2.29966290513826</v>
      </c>
      <c r="X118" s="66" t="s">
        <v>52</v>
      </c>
    </row>
    <row r="119" spans="1:24" x14ac:dyDescent="0.25">
      <c r="A119" s="108" t="s">
        <v>122</v>
      </c>
      <c r="B119" s="109"/>
      <c r="C119" s="109"/>
      <c r="D119" s="109"/>
      <c r="E119" s="110">
        <v>-1.5913694199584383E-2</v>
      </c>
      <c r="F119" s="110">
        <v>-3.0894289280043452E-3</v>
      </c>
      <c r="G119" s="110">
        <v>1.4251560782645861E-2</v>
      </c>
      <c r="H119" s="111">
        <v>0.32714191985869329</v>
      </c>
      <c r="I119" s="111">
        <v>0.3919525291388895</v>
      </c>
      <c r="J119" s="111">
        <v>0.40564272791154038</v>
      </c>
      <c r="K119" s="111">
        <v>6.8259367794848716E-2</v>
      </c>
      <c r="L119" s="112">
        <v>0.52612447431403475</v>
      </c>
      <c r="M119" s="111">
        <v>3.4488066736877987E-2</v>
      </c>
      <c r="N119" s="110">
        <v>-8.1394434541154831E-2</v>
      </c>
      <c r="O119" s="113">
        <v>532.14413009329996</v>
      </c>
      <c r="P119" s="112">
        <v>106.359593528784</v>
      </c>
      <c r="Q119" s="114">
        <v>3.8201554643988627</v>
      </c>
      <c r="R119" s="110">
        <v>7.3325479441180508E-2</v>
      </c>
      <c r="S119" s="114">
        <v>0.48462364397151397</v>
      </c>
      <c r="T119" s="114">
        <v>10.784334809191416</v>
      </c>
      <c r="U119" s="114">
        <v>8.4171947336473547</v>
      </c>
      <c r="V119" s="115">
        <v>1.7061376051325123</v>
      </c>
      <c r="W119" s="114">
        <v>2.1703939988587617</v>
      </c>
      <c r="X119" s="116" t="s">
        <v>123</v>
      </c>
    </row>
    <row r="120" spans="1:24" x14ac:dyDescent="0.25">
      <c r="A120" s="117" t="s">
        <v>134</v>
      </c>
      <c r="B120" s="118">
        <v>33189.910000000003</v>
      </c>
      <c r="C120" s="58">
        <v>37874.94</v>
      </c>
      <c r="D120" s="58">
        <v>24618.09</v>
      </c>
      <c r="E120" s="60">
        <v>0</v>
      </c>
      <c r="F120" s="60">
        <v>-3.7577495664882332E-2</v>
      </c>
      <c r="G120" s="60">
        <v>9.5645995323800692E-2</v>
      </c>
      <c r="H120" s="61">
        <v>0.28106972754237697</v>
      </c>
      <c r="I120" s="61">
        <v>0.31457500665458299</v>
      </c>
      <c r="X120" s="119" t="s">
        <v>134</v>
      </c>
    </row>
    <row r="121" spans="1:24" x14ac:dyDescent="0.25">
      <c r="A121" s="117"/>
      <c r="B121" s="120"/>
      <c r="E121" s="79"/>
      <c r="F121" s="79"/>
      <c r="G121" s="79"/>
      <c r="H121" s="39"/>
      <c r="I121" s="39"/>
      <c r="X121" s="119"/>
    </row>
    <row r="122" spans="1:24" x14ac:dyDescent="0.25">
      <c r="A122" s="121" t="s">
        <v>135</v>
      </c>
    </row>
    <row r="124" spans="1:24" x14ac:dyDescent="0.25">
      <c r="A124" t="s">
        <v>136</v>
      </c>
    </row>
  </sheetData>
  <mergeCells count="39">
    <mergeCell ref="X90:X91"/>
    <mergeCell ref="K90:K91"/>
    <mergeCell ref="L90:L91"/>
    <mergeCell ref="M90:N90"/>
    <mergeCell ref="O90:Q90"/>
    <mergeCell ref="R90:R91"/>
    <mergeCell ref="S90:W90"/>
    <mergeCell ref="O44:Q44"/>
    <mergeCell ref="R44:R45"/>
    <mergeCell ref="S44:W44"/>
    <mergeCell ref="X44:X45"/>
    <mergeCell ref="A90:A91"/>
    <mergeCell ref="B90:B91"/>
    <mergeCell ref="C90:D90"/>
    <mergeCell ref="E90:G90"/>
    <mergeCell ref="H90:I90"/>
    <mergeCell ref="J90:J91"/>
    <mergeCell ref="X6:X7"/>
    <mergeCell ref="A44:A45"/>
    <mergeCell ref="B44:B45"/>
    <mergeCell ref="C44:D44"/>
    <mergeCell ref="E44:G44"/>
    <mergeCell ref="H44:I44"/>
    <mergeCell ref="J44:J45"/>
    <mergeCell ref="K44:K45"/>
    <mergeCell ref="L44:L45"/>
    <mergeCell ref="M44:N44"/>
    <mergeCell ref="K6:K7"/>
    <mergeCell ref="L6:L7"/>
    <mergeCell ref="M6:N6"/>
    <mergeCell ref="O6:Q6"/>
    <mergeCell ref="R6:R7"/>
    <mergeCell ref="S6:W6"/>
    <mergeCell ref="A6:A7"/>
    <mergeCell ref="B6:B7"/>
    <mergeCell ref="C6:D6"/>
    <mergeCell ref="E6:G6"/>
    <mergeCell ref="H6:I6"/>
    <mergeCell ref="J6:J7"/>
  </mergeCells>
  <printOptions horizontalCentered="1"/>
  <pageMargins left="0.2" right="0.2" top="0.65" bottom="0.5" header="0.3" footer="0.3"/>
  <pageSetup scale="67" orientation="landscape" r:id="rId1"/>
  <headerFooter>
    <oddHeader>&amp;LReporte de Ratios Argentina&amp;R&amp;G</oddHeader>
    <oddFooter>&amp;Cwww.invertironline.com&amp;R&amp;P</oddFooter>
  </headerFooter>
  <rowBreaks count="2" manualBreakCount="2">
    <brk id="42" max="23" man="1"/>
    <brk id="88" max="23"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zoomScaleNormal="100" zoomScaleSheetLayoutView="100" workbookViewId="0">
      <selection sqref="A1:A1048576"/>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22" t="s">
        <v>137</v>
      </c>
    </row>
    <row r="2" spans="1:23" ht="26.25" customHeight="1" x14ac:dyDescent="0.25"/>
    <row r="3" spans="1:23" ht="18" customHeight="1" x14ac:dyDescent="0.25">
      <c r="A3" s="123" t="s">
        <v>4</v>
      </c>
      <c r="B3" s="124" t="s">
        <v>138</v>
      </c>
      <c r="C3" s="125" t="s">
        <v>139</v>
      </c>
      <c r="D3" s="126" t="s">
        <v>140</v>
      </c>
      <c r="E3" s="127"/>
      <c r="F3" s="126" t="s">
        <v>141</v>
      </c>
      <c r="G3" s="127"/>
      <c r="H3" s="126" t="s">
        <v>142</v>
      </c>
      <c r="I3" s="127"/>
      <c r="J3" s="126" t="s">
        <v>143</v>
      </c>
      <c r="K3" s="127"/>
      <c r="L3" s="127"/>
      <c r="M3" s="127"/>
      <c r="N3" s="127"/>
      <c r="O3" s="127"/>
      <c r="P3" s="127"/>
      <c r="Q3" s="127"/>
      <c r="R3" s="127"/>
      <c r="S3" s="127"/>
      <c r="T3" s="127"/>
      <c r="U3" s="127"/>
      <c r="V3" s="128"/>
      <c r="W3" s="123" t="s">
        <v>4</v>
      </c>
    </row>
    <row r="4" spans="1:23" ht="27" customHeight="1" x14ac:dyDescent="0.25">
      <c r="A4" s="129"/>
      <c r="B4" s="130"/>
      <c r="C4" s="131"/>
      <c r="D4" s="132" t="s">
        <v>144</v>
      </c>
      <c r="E4" s="132" t="s">
        <v>145</v>
      </c>
      <c r="F4" s="132" t="s">
        <v>146</v>
      </c>
      <c r="G4" s="132" t="s">
        <v>147</v>
      </c>
      <c r="H4" s="132" t="s">
        <v>148</v>
      </c>
      <c r="I4" s="132" t="s">
        <v>149</v>
      </c>
      <c r="J4" s="132" t="s">
        <v>150</v>
      </c>
      <c r="K4" s="132" t="s">
        <v>151</v>
      </c>
      <c r="L4" s="132" t="s">
        <v>152</v>
      </c>
      <c r="M4" s="132" t="s">
        <v>153</v>
      </c>
      <c r="N4" s="132" t="s">
        <v>154</v>
      </c>
      <c r="O4" s="132" t="s">
        <v>155</v>
      </c>
      <c r="P4" s="132" t="s">
        <v>156</v>
      </c>
      <c r="Q4" s="133" t="s">
        <v>157</v>
      </c>
      <c r="R4" s="134" t="s">
        <v>158</v>
      </c>
      <c r="S4" s="133" t="s">
        <v>159</v>
      </c>
      <c r="T4" s="135" t="s">
        <v>160</v>
      </c>
      <c r="U4" s="134" t="s">
        <v>161</v>
      </c>
      <c r="V4" s="133" t="s">
        <v>162</v>
      </c>
      <c r="W4" s="129"/>
    </row>
    <row r="5" spans="1:23" x14ac:dyDescent="0.25">
      <c r="A5" s="56" t="s">
        <v>121</v>
      </c>
      <c r="B5" s="57"/>
      <c r="C5" s="57"/>
      <c r="D5" s="57"/>
      <c r="E5" s="57"/>
      <c r="F5" s="57"/>
      <c r="G5" s="57"/>
      <c r="H5" s="57"/>
      <c r="I5" s="57"/>
      <c r="J5" s="57"/>
      <c r="K5" s="57"/>
      <c r="L5" s="57"/>
      <c r="M5" s="57"/>
      <c r="N5" s="57"/>
      <c r="O5" s="57"/>
      <c r="P5" s="57"/>
      <c r="Q5" s="57"/>
      <c r="R5" s="57"/>
      <c r="S5" s="57"/>
      <c r="T5" s="57"/>
      <c r="U5" s="57"/>
      <c r="V5" s="57"/>
      <c r="W5" s="57"/>
    </row>
    <row r="6" spans="1:23" x14ac:dyDescent="0.25">
      <c r="A6" t="s">
        <v>24</v>
      </c>
      <c r="B6" s="136">
        <v>0.01</v>
      </c>
      <c r="C6" s="137">
        <v>43465</v>
      </c>
      <c r="D6" s="138">
        <v>96.985626237275</v>
      </c>
      <c r="E6" s="138">
        <v>2.8330280677365636</v>
      </c>
      <c r="F6" s="138">
        <v>1.2846525</v>
      </c>
      <c r="G6" s="138">
        <v>0.66386750000000005</v>
      </c>
      <c r="H6" s="138">
        <v>2.8615522590038069</v>
      </c>
      <c r="I6" s="138">
        <v>10.87579084106285</v>
      </c>
      <c r="J6" s="138">
        <v>29.984774999999999</v>
      </c>
      <c r="K6" s="138">
        <v>1.561441613075</v>
      </c>
      <c r="L6" s="138">
        <v>8.9234999999999995E-2</v>
      </c>
      <c r="M6" s="138">
        <v>6.4907813394320764E-3</v>
      </c>
      <c r="N6" s="138">
        <v>1.9035202762000001</v>
      </c>
      <c r="O6" s="138">
        <v>0.69994546049999995</v>
      </c>
      <c r="P6" s="138">
        <v>0.22017999999999999</v>
      </c>
      <c r="Q6" s="139">
        <v>3.5544779112859288</v>
      </c>
      <c r="R6" s="140">
        <v>204.47460000000001</v>
      </c>
      <c r="S6" s="139">
        <v>-1.9071016286572995</v>
      </c>
      <c r="T6" s="141">
        <v>1.0003421170299718</v>
      </c>
      <c r="U6" s="78">
        <v>22.384090181666668</v>
      </c>
      <c r="V6" s="139">
        <v>0.30361532583605966</v>
      </c>
      <c r="W6" s="66" t="s">
        <v>24</v>
      </c>
    </row>
    <row r="7" spans="1:23" x14ac:dyDescent="0.25">
      <c r="A7" t="s">
        <v>30</v>
      </c>
      <c r="B7">
        <v>1</v>
      </c>
      <c r="C7" s="137">
        <v>43465</v>
      </c>
      <c r="D7" s="138">
        <v>0</v>
      </c>
      <c r="E7" s="138">
        <v>5.4392207971793054</v>
      </c>
      <c r="F7" s="138">
        <v>0.98201000000000005</v>
      </c>
      <c r="G7" s="138">
        <v>0.60050000000000003</v>
      </c>
      <c r="H7" s="138">
        <v>3.5954473882181821</v>
      </c>
      <c r="I7" s="138">
        <v>12.89139471469141</v>
      </c>
      <c r="J7" s="138">
        <v>4.8784375000000004</v>
      </c>
      <c r="K7" s="138">
        <v>2.8429342163000002</v>
      </c>
      <c r="L7" s="138">
        <v>1.8819950000000001</v>
      </c>
      <c r="M7" s="138">
        <v>8.4719830195684222E-3</v>
      </c>
      <c r="N7" s="138">
        <v>42.833487522699997</v>
      </c>
      <c r="O7" s="138">
        <v>8.7310191842999991</v>
      </c>
      <c r="P7" s="138">
        <v>18.809629999999999</v>
      </c>
      <c r="Q7" s="139">
        <v>-0.74022391150418831</v>
      </c>
      <c r="R7" s="140">
        <v>298.17525000000001</v>
      </c>
      <c r="S7" s="139" t="s">
        <v>403</v>
      </c>
      <c r="T7" s="141" t="s">
        <v>403</v>
      </c>
      <c r="U7" s="78">
        <v>26.138430499999998</v>
      </c>
      <c r="V7" s="139" t="s">
        <v>403</v>
      </c>
      <c r="W7" s="66" t="s">
        <v>30</v>
      </c>
    </row>
    <row r="8" spans="1:23" x14ac:dyDescent="0.25">
      <c r="A8" t="s">
        <v>26</v>
      </c>
      <c r="B8">
        <v>1</v>
      </c>
      <c r="C8" s="137">
        <v>43373</v>
      </c>
      <c r="D8" s="138">
        <v>427.13469855049999</v>
      </c>
      <c r="E8" s="138">
        <v>5.9046283535885946</v>
      </c>
      <c r="F8" s="138">
        <v>1.4681249999999999</v>
      </c>
      <c r="G8" s="138">
        <v>0.70232499999999998</v>
      </c>
      <c r="H8" s="138">
        <v>1.4931149677848696</v>
      </c>
      <c r="I8" s="138">
        <v>3.405864083269238</v>
      </c>
      <c r="J8" s="138">
        <v>33.554695000000002</v>
      </c>
      <c r="K8" s="138">
        <v>5.3967187187499999</v>
      </c>
      <c r="L8" s="138">
        <v>-12.3210575</v>
      </c>
      <c r="M8" s="138">
        <v>-0.15748002722073029</v>
      </c>
      <c r="N8" s="138">
        <v>-138.38381690099999</v>
      </c>
      <c r="O8" s="138">
        <v>-20.996635623</v>
      </c>
      <c r="P8" s="138">
        <v>-11.145189999999999</v>
      </c>
      <c r="Q8" s="139">
        <v>-0.14601690678496793</v>
      </c>
      <c r="R8" s="140">
        <v>-232.62100000000001</v>
      </c>
      <c r="S8" s="139">
        <v>-2.4429579029121635</v>
      </c>
      <c r="T8" s="141">
        <v>4.9421226387055377</v>
      </c>
      <c r="U8" s="78">
        <v>18.472259166666667</v>
      </c>
      <c r="V8" s="139">
        <v>-6.4961566994545472E-2</v>
      </c>
      <c r="W8" s="66" t="s">
        <v>26</v>
      </c>
    </row>
    <row r="9" spans="1:23" x14ac:dyDescent="0.25">
      <c r="A9" t="s">
        <v>66</v>
      </c>
      <c r="B9">
        <v>1</v>
      </c>
      <c r="C9" s="137">
        <v>43373</v>
      </c>
      <c r="D9" s="142">
        <v>5.9934380052499998</v>
      </c>
      <c r="E9" s="142">
        <v>1.9689265065409292</v>
      </c>
      <c r="F9" s="138">
        <v>2.2481399999999998</v>
      </c>
      <c r="G9" s="138">
        <v>1.3698425000000001</v>
      </c>
      <c r="H9" s="138">
        <v>1.0109372037863171</v>
      </c>
      <c r="I9" s="138">
        <v>2.2621935064563417</v>
      </c>
      <c r="J9" s="138">
        <v>41.844172499999999</v>
      </c>
      <c r="K9" s="138">
        <v>18.425225039250002</v>
      </c>
      <c r="L9" s="138">
        <v>19.721472500000001</v>
      </c>
      <c r="M9" s="138">
        <v>0.20490589327769437</v>
      </c>
      <c r="N9" s="138">
        <v>43.118196058000002</v>
      </c>
      <c r="O9" s="138">
        <v>21.754752498999999</v>
      </c>
      <c r="P9" s="138">
        <v>0.14571000000000001</v>
      </c>
      <c r="Q9" s="139">
        <v>1.540647534876924</v>
      </c>
      <c r="R9" s="140">
        <v>347.17955599999999</v>
      </c>
      <c r="S9" s="139">
        <v>0.3816780576297043</v>
      </c>
      <c r="T9" s="141">
        <v>0.38341551897433579</v>
      </c>
      <c r="U9" s="78">
        <v>1.836386895</v>
      </c>
      <c r="V9" s="139">
        <v>0.28082903306513796</v>
      </c>
      <c r="W9" s="66" t="s">
        <v>66</v>
      </c>
    </row>
    <row r="10" spans="1:23" x14ac:dyDescent="0.25">
      <c r="A10" t="s">
        <v>33</v>
      </c>
      <c r="B10">
        <v>1</v>
      </c>
      <c r="C10" s="137">
        <v>43373</v>
      </c>
      <c r="D10" s="142">
        <v>240.88656108724999</v>
      </c>
      <c r="E10" s="142">
        <v>4.3608013340814802</v>
      </c>
      <c r="F10" s="138">
        <v>0.85262000000000004</v>
      </c>
      <c r="G10" s="138">
        <v>0.38238499999999997</v>
      </c>
      <c r="H10" s="138">
        <v>0.45607465252970669</v>
      </c>
      <c r="I10" s="138">
        <v>2.4255778443448763</v>
      </c>
      <c r="J10" s="138">
        <v>21.393812499999999</v>
      </c>
      <c r="K10" s="138">
        <v>-21.713666918000001</v>
      </c>
      <c r="L10" s="138">
        <v>-39.561695</v>
      </c>
      <c r="M10" s="138">
        <v>-0.49247193251296795</v>
      </c>
      <c r="N10" s="138">
        <v>-70.684184634000005</v>
      </c>
      <c r="O10" s="138">
        <v>-13.431966448000001</v>
      </c>
      <c r="P10" s="138">
        <v>-2.4122300000000001</v>
      </c>
      <c r="Q10" s="139">
        <v>5.5201563209285154E-2</v>
      </c>
      <c r="R10" s="140">
        <v>-329.74603200000001</v>
      </c>
      <c r="S10" s="139">
        <v>0.52682441976187944</v>
      </c>
      <c r="T10" s="141">
        <v>2.463542187214224</v>
      </c>
      <c r="U10" s="78">
        <v>2.3376575766666665</v>
      </c>
      <c r="V10" s="139">
        <v>0.32700963280563333</v>
      </c>
      <c r="W10" s="66" t="s">
        <v>33</v>
      </c>
    </row>
    <row r="11" spans="1:23" x14ac:dyDescent="0.25">
      <c r="A11" t="s">
        <v>39</v>
      </c>
      <c r="B11">
        <v>1</v>
      </c>
      <c r="C11" s="137">
        <v>43434</v>
      </c>
      <c r="D11" s="142">
        <v>1457.7804927845</v>
      </c>
      <c r="E11" s="142">
        <v>13.396262452477881</v>
      </c>
      <c r="F11" s="138">
        <v>1.190385</v>
      </c>
      <c r="G11" s="138">
        <v>0.5627375</v>
      </c>
      <c r="H11" s="138">
        <v>1.0304940626698802</v>
      </c>
      <c r="I11" s="138">
        <v>2.4136623948716185</v>
      </c>
      <c r="J11" s="138">
        <v>39.4769425</v>
      </c>
      <c r="K11" s="138">
        <v>8.1128228880250006</v>
      </c>
      <c r="L11" s="138">
        <v>-29.978649999999998</v>
      </c>
      <c r="M11" s="138">
        <v>-0.19646465968793386</v>
      </c>
      <c r="N11" s="138">
        <v>-206.93016075119999</v>
      </c>
      <c r="O11" s="138">
        <v>-17.547022111699999</v>
      </c>
      <c r="P11" s="138">
        <v>-4.5625299999999998</v>
      </c>
      <c r="Q11" s="139">
        <v>1.2584989535658533</v>
      </c>
      <c r="R11" s="140">
        <v>-448.16759999999999</v>
      </c>
      <c r="S11" s="139">
        <v>-2.5072780142094508</v>
      </c>
      <c r="T11" s="141">
        <v>2.53166752234445</v>
      </c>
      <c r="U11" s="78">
        <v>7.1813058333333331</v>
      </c>
      <c r="V11" s="139">
        <v>0.20595291866012699</v>
      </c>
      <c r="W11" s="66" t="s">
        <v>39</v>
      </c>
    </row>
    <row r="12" spans="1:23" x14ac:dyDescent="0.25">
      <c r="A12" t="s">
        <v>31</v>
      </c>
      <c r="B12">
        <v>1</v>
      </c>
      <c r="C12" s="137">
        <v>43373</v>
      </c>
      <c r="D12" s="142">
        <v>29.498404994925</v>
      </c>
      <c r="E12" s="142">
        <v>1.6604513421823477</v>
      </c>
      <c r="F12" s="138">
        <v>2.0741849999999999</v>
      </c>
      <c r="G12" s="138">
        <v>0.86700250000000001</v>
      </c>
      <c r="H12" s="138">
        <v>0.42718792853057419</v>
      </c>
      <c r="I12" s="138">
        <v>-9.0286707090253309</v>
      </c>
      <c r="J12" s="138">
        <v>24.279732500000001</v>
      </c>
      <c r="K12" s="138">
        <v>17.925438675999999</v>
      </c>
      <c r="L12" s="138">
        <v>2.2476324999999999</v>
      </c>
      <c r="M12" s="138">
        <v>-0.15075177412873975</v>
      </c>
      <c r="N12" s="138">
        <v>1.1555959724</v>
      </c>
      <c r="O12" s="138">
        <v>0.84957978199999995</v>
      </c>
      <c r="P12" s="138">
        <v>9.9669999999999995E-2</v>
      </c>
      <c r="Q12" s="139">
        <v>1.3322018497569119</v>
      </c>
      <c r="R12" s="140">
        <v>31.694929999999999</v>
      </c>
      <c r="S12" s="139">
        <v>-1.9511103245354455</v>
      </c>
      <c r="T12" s="141">
        <v>3.5807959351722691</v>
      </c>
      <c r="U12" s="78">
        <v>1.5112434349999999</v>
      </c>
      <c r="V12" s="139">
        <v>0.4181750733384384</v>
      </c>
      <c r="W12" s="66" t="s">
        <v>31</v>
      </c>
    </row>
    <row r="13" spans="1:23" x14ac:dyDescent="0.25">
      <c r="A13" t="s">
        <v>44</v>
      </c>
      <c r="B13">
        <v>1</v>
      </c>
      <c r="C13" s="137">
        <v>43373</v>
      </c>
      <c r="D13" s="142">
        <v>221.1949070105</v>
      </c>
      <c r="E13" s="142">
        <v>5.5207031698184057</v>
      </c>
      <c r="F13" s="138">
        <v>0.88893</v>
      </c>
      <c r="G13" s="138">
        <v>0.60591249999999997</v>
      </c>
      <c r="H13" s="138">
        <v>1.7171927956770094</v>
      </c>
      <c r="I13" s="138">
        <v>9.9067430377169252</v>
      </c>
      <c r="J13" s="138">
        <v>11.9481875</v>
      </c>
      <c r="K13" s="138">
        <v>3.8770666517499999</v>
      </c>
      <c r="L13" s="138">
        <v>-8.5479500000000002</v>
      </c>
      <c r="M13" s="138">
        <v>-6.8810140537311174E-2</v>
      </c>
      <c r="N13" s="138">
        <v>-64.134917361999996</v>
      </c>
      <c r="O13" s="138">
        <v>-13.214672839</v>
      </c>
      <c r="P13" s="138">
        <v>-1.53325</v>
      </c>
      <c r="Q13" s="139">
        <v>2.1413737870406586</v>
      </c>
      <c r="R13" s="140">
        <v>-265.2054</v>
      </c>
      <c r="S13" s="139">
        <v>-2.8652230843817268</v>
      </c>
      <c r="T13" s="141">
        <v>1.8078949896526433</v>
      </c>
      <c r="U13" s="78">
        <v>3.4137145000000002</v>
      </c>
      <c r="V13" s="139">
        <v>0.26873627192985183</v>
      </c>
      <c r="W13" s="66" t="s">
        <v>44</v>
      </c>
    </row>
    <row r="14" spans="1:23" x14ac:dyDescent="0.25">
      <c r="A14" t="s">
        <v>56</v>
      </c>
      <c r="B14">
        <v>1</v>
      </c>
      <c r="C14" s="137">
        <v>43465</v>
      </c>
      <c r="D14" s="142">
        <v>18.555522628975002</v>
      </c>
      <c r="E14" s="142">
        <v>1.6128558340591688</v>
      </c>
      <c r="F14" s="138">
        <v>1.9360275</v>
      </c>
      <c r="G14" s="138">
        <v>1.2611425000000001</v>
      </c>
      <c r="H14" s="138">
        <v>1.4489389611210139</v>
      </c>
      <c r="I14" s="138">
        <v>3.0216383675131313</v>
      </c>
      <c r="J14" s="138">
        <v>45.167232499999997</v>
      </c>
      <c r="K14" s="138">
        <v>12.7472256653</v>
      </c>
      <c r="L14" s="138">
        <v>7.0432899999999998</v>
      </c>
      <c r="M14" s="138">
        <v>8.7962628983029284E-2</v>
      </c>
      <c r="N14" s="138">
        <v>15.174099717300001</v>
      </c>
      <c r="O14" s="138">
        <v>10.290419332300001</v>
      </c>
      <c r="P14" s="138">
        <v>1.0016099999999999</v>
      </c>
      <c r="Q14" s="139">
        <v>0.91244878330287582</v>
      </c>
      <c r="R14" s="140">
        <v>56.27046</v>
      </c>
      <c r="S14" s="139">
        <v>0.44787117449142411</v>
      </c>
      <c r="T14" s="141">
        <v>0.30616022121034892</v>
      </c>
      <c r="U14" s="78">
        <v>0.59871150666666662</v>
      </c>
      <c r="V14" s="139">
        <v>0.35840299134133602</v>
      </c>
      <c r="W14" s="66" t="s">
        <v>56</v>
      </c>
    </row>
    <row r="15" spans="1:23" x14ac:dyDescent="0.25">
      <c r="A15" t="s">
        <v>63</v>
      </c>
      <c r="B15">
        <v>0.1</v>
      </c>
      <c r="C15" s="137">
        <v>43434</v>
      </c>
      <c r="D15" s="142">
        <v>75.434938529250005</v>
      </c>
      <c r="E15" s="142">
        <v>2.4623615706949917</v>
      </c>
      <c r="F15" s="138">
        <v>1.4155599999999999</v>
      </c>
      <c r="G15" s="138">
        <v>0.97641999999999995</v>
      </c>
      <c r="H15" s="138">
        <v>2.2938832401676561</v>
      </c>
      <c r="I15" s="138">
        <v>4.1192091459796831</v>
      </c>
      <c r="J15" s="138">
        <v>18.884245</v>
      </c>
      <c r="K15" s="138">
        <v>11.500158784950001</v>
      </c>
      <c r="L15" s="138">
        <v>6.9768074999999996</v>
      </c>
      <c r="M15" s="138">
        <v>7.3287179753129414E-2</v>
      </c>
      <c r="N15" s="138">
        <v>41.501570450499997</v>
      </c>
      <c r="O15" s="138">
        <v>17.0931132276</v>
      </c>
      <c r="P15" s="138">
        <v>0.55739000000000005</v>
      </c>
      <c r="Q15" s="139">
        <v>-0.16335149502645874</v>
      </c>
      <c r="R15" s="140">
        <v>28.793942000000001</v>
      </c>
      <c r="S15" s="139">
        <v>-2.5407725988721346</v>
      </c>
      <c r="T15" s="141">
        <v>2.6005702896605007</v>
      </c>
      <c r="U15" s="78">
        <v>0.48205109166666671</v>
      </c>
      <c r="V15" s="139">
        <v>0.30959624569086963</v>
      </c>
      <c r="W15" s="66" t="s">
        <v>63</v>
      </c>
    </row>
    <row r="16" spans="1:23" x14ac:dyDescent="0.25">
      <c r="A16" t="s">
        <v>43</v>
      </c>
      <c r="B16">
        <v>1</v>
      </c>
      <c r="C16" s="137">
        <v>43434</v>
      </c>
      <c r="D16" s="142">
        <v>147.26224854017499</v>
      </c>
      <c r="E16" s="142">
        <v>3.9147891188292521</v>
      </c>
      <c r="F16" s="138">
        <v>1.83127</v>
      </c>
      <c r="G16" s="138">
        <v>1.24501</v>
      </c>
      <c r="H16" s="138">
        <v>1.4862008643747211</v>
      </c>
      <c r="I16" s="138">
        <v>6.7631843954083122</v>
      </c>
      <c r="J16" s="138">
        <v>15.075505</v>
      </c>
      <c r="K16" s="138">
        <v>3.5387620387999998</v>
      </c>
      <c r="L16" s="138">
        <v>-17.351492499999999</v>
      </c>
      <c r="M16" s="138">
        <v>-0.17426571712549038</v>
      </c>
      <c r="N16" s="138">
        <v>-53.8037156846</v>
      </c>
      <c r="O16" s="138">
        <v>-21.2871302454</v>
      </c>
      <c r="P16" s="138">
        <v>-1.2984500000000001</v>
      </c>
      <c r="Q16" s="139">
        <v>0.78950751677045095</v>
      </c>
      <c r="R16" s="140">
        <v>-53.122217999999997</v>
      </c>
      <c r="S16" s="139">
        <v>0.26305906271285751</v>
      </c>
      <c r="T16" s="141">
        <v>0.38666619061649948</v>
      </c>
      <c r="U16" s="78">
        <v>0.19359271333333333</v>
      </c>
      <c r="V16" s="139">
        <v>0.2106880138194851</v>
      </c>
      <c r="W16" s="66" t="s">
        <v>43</v>
      </c>
    </row>
    <row r="17" spans="1:23" x14ac:dyDescent="0.25">
      <c r="A17" s="68" t="s">
        <v>122</v>
      </c>
      <c r="B17" s="69"/>
      <c r="C17" s="143"/>
      <c r="D17" s="144">
        <v>247.33880348805451</v>
      </c>
      <c r="E17" s="144">
        <v>4.4612753224717201</v>
      </c>
      <c r="F17" s="145">
        <v>1.4701731818181818</v>
      </c>
      <c r="G17" s="145">
        <v>0.83974045454545454</v>
      </c>
      <c r="H17" s="145">
        <v>1.6200931203512487</v>
      </c>
      <c r="I17" s="145">
        <v>4.4596897838444596</v>
      </c>
      <c r="J17" s="145">
        <v>26.044339772727277</v>
      </c>
      <c r="K17" s="145">
        <v>5.8376479431090909</v>
      </c>
      <c r="L17" s="145">
        <v>-6.345492045454546</v>
      </c>
      <c r="M17" s="145">
        <v>-7.8102344076392702E-2</v>
      </c>
      <c r="N17" s="145">
        <v>-35.295484121427265</v>
      </c>
      <c r="O17" s="145">
        <v>-2.4598725255818183</v>
      </c>
      <c r="P17" s="145">
        <v>-1.0678181818182052E-2</v>
      </c>
      <c r="Q17" s="146">
        <v>0.95770596240847927</v>
      </c>
      <c r="R17" s="147">
        <v>-32.933955636363635</v>
      </c>
      <c r="S17" s="146">
        <v>-1.2595010838972356</v>
      </c>
      <c r="T17" s="148">
        <v>2.0003177610580773</v>
      </c>
      <c r="U17" s="149">
        <v>7.6863130363636349</v>
      </c>
      <c r="V17" s="146">
        <v>0.26180439394923932</v>
      </c>
      <c r="W17" s="76" t="s">
        <v>123</v>
      </c>
    </row>
    <row r="18" spans="1:23" x14ac:dyDescent="0.25">
      <c r="C18" s="66"/>
      <c r="D18" s="142"/>
      <c r="E18" s="142"/>
      <c r="F18" s="138"/>
      <c r="G18" s="138"/>
      <c r="H18" s="138"/>
      <c r="I18" s="138"/>
      <c r="J18" s="138"/>
      <c r="K18" s="138"/>
      <c r="L18" s="138"/>
      <c r="M18" s="138"/>
      <c r="N18" s="138"/>
      <c r="O18" s="138"/>
      <c r="P18" s="138"/>
      <c r="Q18" s="139"/>
      <c r="R18" s="140"/>
      <c r="S18" s="139"/>
      <c r="T18" s="141"/>
      <c r="U18" s="78"/>
      <c r="V18" s="139"/>
      <c r="W18" s="66"/>
    </row>
    <row r="19" spans="1:23" x14ac:dyDescent="0.25">
      <c r="A19" s="56" t="s">
        <v>124</v>
      </c>
      <c r="B19" s="80"/>
      <c r="C19" s="86"/>
      <c r="D19" s="150"/>
      <c r="E19" s="150"/>
      <c r="F19" s="151"/>
      <c r="G19" s="151"/>
      <c r="H19" s="151"/>
      <c r="I19" s="151"/>
      <c r="J19" s="151"/>
      <c r="K19" s="151"/>
      <c r="L19" s="151"/>
      <c r="M19" s="151"/>
      <c r="N19" s="151"/>
      <c r="O19" s="151"/>
      <c r="P19" s="151"/>
      <c r="Q19" s="152"/>
      <c r="R19" s="153"/>
      <c r="S19" s="152"/>
      <c r="T19" s="154"/>
      <c r="U19" s="84"/>
      <c r="V19" s="152"/>
      <c r="W19" s="86"/>
    </row>
    <row r="20" spans="1:23" x14ac:dyDescent="0.25">
      <c r="A20" t="s">
        <v>48</v>
      </c>
      <c r="B20">
        <v>1</v>
      </c>
      <c r="C20" s="137">
        <v>43373</v>
      </c>
      <c r="D20" s="138">
        <v>14.096659002499999</v>
      </c>
      <c r="E20" s="138">
        <v>5.7080439531398621</v>
      </c>
      <c r="F20" s="138">
        <v>1.0837475000000001</v>
      </c>
      <c r="G20" s="138">
        <v>0.56789500000000004</v>
      </c>
      <c r="H20" s="138">
        <v>1.909673216714241</v>
      </c>
      <c r="I20" s="138">
        <v>7.2268692983811462</v>
      </c>
      <c r="J20" s="138">
        <v>23.55686</v>
      </c>
      <c r="K20" s="138">
        <v>22.887434664499999</v>
      </c>
      <c r="L20" s="138">
        <v>-1.4118275</v>
      </c>
      <c r="M20" s="138">
        <v>-1.9839892100763319E-2</v>
      </c>
      <c r="N20" s="138">
        <v>-19.065900518999999</v>
      </c>
      <c r="O20" s="138">
        <v>-3.0120126539999998</v>
      </c>
      <c r="P20" s="138">
        <v>-2.10954</v>
      </c>
      <c r="Q20" s="139">
        <v>-6.7083570979747691</v>
      </c>
      <c r="R20" s="140">
        <v>187.2406</v>
      </c>
      <c r="S20" s="139">
        <v>0.42629944863695202</v>
      </c>
      <c r="T20" s="141">
        <v>1.2858351316725649</v>
      </c>
      <c r="U20" s="78">
        <v>10.081298333333335</v>
      </c>
      <c r="V20" s="139">
        <v>0.38528589891825793</v>
      </c>
      <c r="W20" s="66" t="s">
        <v>48</v>
      </c>
    </row>
    <row r="21" spans="1:23" x14ac:dyDescent="0.25">
      <c r="A21" t="s">
        <v>13</v>
      </c>
      <c r="B21">
        <v>1</v>
      </c>
      <c r="C21" s="137">
        <v>43373</v>
      </c>
      <c r="D21" s="138">
        <v>44.804477510749997</v>
      </c>
      <c r="E21" s="138">
        <v>2.2544698733497599</v>
      </c>
      <c r="F21" s="138">
        <v>1.2474675</v>
      </c>
      <c r="G21" s="138">
        <v>0.82880750000000003</v>
      </c>
      <c r="H21" s="138">
        <v>2.1436531520426296</v>
      </c>
      <c r="I21" s="138">
        <v>5.9921829728989229</v>
      </c>
      <c r="J21" s="138">
        <v>56.015552499999998</v>
      </c>
      <c r="K21" s="138">
        <v>13.74409014075</v>
      </c>
      <c r="L21" s="138">
        <v>6.3996075000000001</v>
      </c>
      <c r="M21" s="138">
        <v>4.565574083750381E-2</v>
      </c>
      <c r="N21" s="138">
        <v>36.932124191</v>
      </c>
      <c r="O21" s="138">
        <v>16.558583424999998</v>
      </c>
      <c r="P21" s="138">
        <v>2.3006500000000001</v>
      </c>
      <c r="Q21" s="139">
        <v>3.0255421397248754</v>
      </c>
      <c r="R21" s="140">
        <v>48.662354000000001</v>
      </c>
      <c r="S21" s="139" t="s">
        <v>403</v>
      </c>
      <c r="T21" s="141">
        <v>0.20946250230719551</v>
      </c>
      <c r="U21" s="78">
        <v>0.84927923000000005</v>
      </c>
      <c r="V21" s="139" t="s">
        <v>403</v>
      </c>
      <c r="W21" s="66" t="s">
        <v>13</v>
      </c>
    </row>
    <row r="22" spans="1:23" x14ac:dyDescent="0.25">
      <c r="A22" t="s">
        <v>32</v>
      </c>
      <c r="B22">
        <v>1</v>
      </c>
      <c r="C22" s="137">
        <v>43373</v>
      </c>
      <c r="D22" s="138">
        <v>135.57628171549999</v>
      </c>
      <c r="E22" s="138">
        <v>3.8482283459540865</v>
      </c>
      <c r="F22" s="138">
        <v>1.492265</v>
      </c>
      <c r="G22" s="138">
        <v>0.93858249999999999</v>
      </c>
      <c r="H22" s="138">
        <v>1.9266812244624725</v>
      </c>
      <c r="I22" s="138">
        <v>4.6159609960189414</v>
      </c>
      <c r="J22" s="138">
        <v>47.034190000000002</v>
      </c>
      <c r="K22" s="138">
        <v>15.130894764500001</v>
      </c>
      <c r="L22" s="138">
        <v>-0.85936500000000005</v>
      </c>
      <c r="M22" s="138">
        <v>-1.1738150440847627E-2</v>
      </c>
      <c r="N22" s="138">
        <v>-6.869329649</v>
      </c>
      <c r="O22" s="138">
        <v>-1.545721643</v>
      </c>
      <c r="P22" s="138">
        <v>-0.8407</v>
      </c>
      <c r="Q22" s="139">
        <v>0.31891442673170189</v>
      </c>
      <c r="R22" s="140">
        <v>57.864724000000002</v>
      </c>
      <c r="S22" s="139">
        <v>0.33840394983754818</v>
      </c>
      <c r="T22" s="141">
        <v>0.83222623753229019</v>
      </c>
      <c r="U22" s="78">
        <v>2.2220189533333334</v>
      </c>
      <c r="V22" s="139">
        <v>0.32703455894706823</v>
      </c>
      <c r="W22" s="66" t="s">
        <v>32</v>
      </c>
    </row>
    <row r="23" spans="1:23" x14ac:dyDescent="0.25">
      <c r="A23" t="s">
        <v>81</v>
      </c>
      <c r="B23">
        <v>0.1</v>
      </c>
      <c r="C23" s="137">
        <v>43373</v>
      </c>
      <c r="D23" s="142" t="s">
        <v>403</v>
      </c>
      <c r="E23" s="142">
        <v>-28.928067981114804</v>
      </c>
      <c r="F23" s="138">
        <v>1.134015</v>
      </c>
      <c r="G23" s="138">
        <v>0.62646500000000005</v>
      </c>
      <c r="H23" s="138">
        <v>0.32040453481144504</v>
      </c>
      <c r="I23" s="138">
        <v>-4.0523354873647621</v>
      </c>
      <c r="J23" s="138">
        <v>8.1398825000000006</v>
      </c>
      <c r="K23" s="138">
        <v>-37.665372423249998</v>
      </c>
      <c r="L23" s="138">
        <v>-56.860527500000003</v>
      </c>
      <c r="M23" s="138">
        <v>-0.58112660187976062</v>
      </c>
      <c r="N23" s="138" t="s">
        <v>403</v>
      </c>
      <c r="O23" s="138">
        <v>-18.020603642000001</v>
      </c>
      <c r="P23" s="138">
        <v>-24.77224</v>
      </c>
      <c r="Q23" s="139">
        <v>-1.2378409462632645</v>
      </c>
      <c r="R23" s="140">
        <v>-389.25605999999999</v>
      </c>
      <c r="S23" s="139">
        <v>0.19825905719320924</v>
      </c>
      <c r="T23" s="141">
        <v>1.1231829696039586</v>
      </c>
      <c r="U23" s="78">
        <v>0.54558961833333341</v>
      </c>
      <c r="V23" s="139">
        <v>0.70856765958570933</v>
      </c>
      <c r="W23" s="66" t="s">
        <v>81</v>
      </c>
    </row>
    <row r="24" spans="1:23" x14ac:dyDescent="0.25">
      <c r="A24" t="s">
        <v>73</v>
      </c>
      <c r="B24">
        <v>1</v>
      </c>
      <c r="C24" s="137">
        <v>43373</v>
      </c>
      <c r="D24" s="142">
        <v>124.70096425849999</v>
      </c>
      <c r="E24" s="142">
        <v>3.1762159371209786</v>
      </c>
      <c r="F24" s="138">
        <v>1.612325</v>
      </c>
      <c r="G24" s="138">
        <v>0.77793999999999996</v>
      </c>
      <c r="H24" s="138">
        <v>1.3313667150228046</v>
      </c>
      <c r="I24" s="138">
        <v>1.6245398437526433</v>
      </c>
      <c r="J24" s="138">
        <v>20.442742500000001</v>
      </c>
      <c r="K24" s="138">
        <v>2.3221837650000001</v>
      </c>
      <c r="L24" s="138">
        <v>-2.1445850000000002</v>
      </c>
      <c r="M24" s="138">
        <v>-1.8320190505813166E-2</v>
      </c>
      <c r="N24" s="138">
        <v>-7.2591392140000002</v>
      </c>
      <c r="O24" s="138">
        <v>-2.5393532049999998</v>
      </c>
      <c r="P24" s="138">
        <v>-0.14354</v>
      </c>
      <c r="Q24" s="139">
        <v>-2.4719537787602399</v>
      </c>
      <c r="R24" s="140">
        <v>27.402228000000001</v>
      </c>
      <c r="S24" s="139">
        <v>-1.5667933392379467</v>
      </c>
      <c r="T24" s="141">
        <v>1.2958212047448447</v>
      </c>
      <c r="U24" s="78">
        <v>0.7937289683333334</v>
      </c>
      <c r="V24" s="139">
        <v>0.25465647845725559</v>
      </c>
      <c r="W24" s="66" t="s">
        <v>73</v>
      </c>
    </row>
    <row r="25" spans="1:23" x14ac:dyDescent="0.25">
      <c r="A25" t="s">
        <v>75</v>
      </c>
      <c r="B25">
        <v>1</v>
      </c>
      <c r="C25" s="137">
        <v>43373</v>
      </c>
      <c r="D25" s="142" t="s">
        <v>403</v>
      </c>
      <c r="E25" s="142">
        <v>-1.848534388496097</v>
      </c>
      <c r="F25" s="138">
        <v>0.31357000000000002</v>
      </c>
      <c r="G25" s="138">
        <v>0.28210499999999999</v>
      </c>
      <c r="H25" s="138">
        <v>1.7290803066461859</v>
      </c>
      <c r="I25" s="138">
        <v>36.598795285743066</v>
      </c>
      <c r="J25" s="138">
        <v>18.486562500000002</v>
      </c>
      <c r="K25" s="138">
        <v>-64.86542498275</v>
      </c>
      <c r="L25" s="138">
        <v>-95.882672499999998</v>
      </c>
      <c r="M25" s="138">
        <v>-0.84701636731046359</v>
      </c>
      <c r="N25" s="138" t="s">
        <v>403</v>
      </c>
      <c r="O25" s="155">
        <v>-130.51997182700001</v>
      </c>
      <c r="P25" s="138">
        <v>-2.5716299999999999</v>
      </c>
      <c r="Q25" s="139">
        <v>-0.22522768860758902</v>
      </c>
      <c r="R25" s="140">
        <v>-124.690912</v>
      </c>
      <c r="S25" s="139">
        <v>0.24899444415349614</v>
      </c>
      <c r="T25" s="141">
        <v>1.2510112000985194</v>
      </c>
      <c r="U25" s="78">
        <v>0.95201346666666664</v>
      </c>
      <c r="V25" s="139">
        <v>-0.14438687074901835</v>
      </c>
      <c r="W25" s="66" t="s">
        <v>75</v>
      </c>
    </row>
    <row r="26" spans="1:23" x14ac:dyDescent="0.25">
      <c r="A26" s="37" t="s">
        <v>27</v>
      </c>
      <c r="B26">
        <v>1</v>
      </c>
      <c r="C26" s="137">
        <v>43404</v>
      </c>
      <c r="D26" s="142">
        <v>14.245328854625001</v>
      </c>
      <c r="E26" s="142">
        <v>3.3273789239124207</v>
      </c>
      <c r="F26" s="138">
        <v>1.5168649999999999</v>
      </c>
      <c r="G26" s="138">
        <v>0.92304750000000002</v>
      </c>
      <c r="H26" s="138">
        <v>1.6413769815652175</v>
      </c>
      <c r="I26" s="138">
        <v>0.50267373137568061</v>
      </c>
      <c r="J26" s="138">
        <v>31.545034999999999</v>
      </c>
      <c r="K26" s="138">
        <v>11.761956287125001</v>
      </c>
      <c r="L26" s="138">
        <v>-6.3875875000000004</v>
      </c>
      <c r="M26" s="138">
        <v>-6.3624527997125008E-2</v>
      </c>
      <c r="N26" s="138">
        <v>-37.437903331199998</v>
      </c>
      <c r="O26" s="138">
        <v>-10.454721323399999</v>
      </c>
      <c r="P26" s="138">
        <v>-1.32637</v>
      </c>
      <c r="Q26" s="139">
        <v>0.67202347183220079</v>
      </c>
      <c r="R26" s="140">
        <v>0.84974000000000005</v>
      </c>
      <c r="S26" s="139">
        <v>0.18001581458335214</v>
      </c>
      <c r="T26" s="141">
        <v>1.1589178902563066</v>
      </c>
      <c r="U26" s="78">
        <v>0.1996291</v>
      </c>
      <c r="V26" s="139">
        <v>0.3031840943013755</v>
      </c>
      <c r="W26" s="66" t="s">
        <v>27</v>
      </c>
    </row>
    <row r="27" spans="1:23" x14ac:dyDescent="0.25">
      <c r="A27" s="68" t="s">
        <v>122</v>
      </c>
      <c r="B27" s="69"/>
      <c r="C27" s="156"/>
      <c r="D27" s="144">
        <v>66.684742268375004</v>
      </c>
      <c r="E27" s="144">
        <v>-1.7803236194476848</v>
      </c>
      <c r="F27" s="145">
        <v>1.2000364285714284</v>
      </c>
      <c r="G27" s="145">
        <v>0.70640607142857148</v>
      </c>
      <c r="H27" s="145">
        <v>1.5717480187521422</v>
      </c>
      <c r="I27" s="145">
        <v>7.5012409486865197</v>
      </c>
      <c r="J27" s="145">
        <v>29.317260714285712</v>
      </c>
      <c r="K27" s="145">
        <v>-5.2406053977321436</v>
      </c>
      <c r="L27" s="145">
        <v>-22.449565357142856</v>
      </c>
      <c r="M27" s="145">
        <v>-0.21371571277103849</v>
      </c>
      <c r="N27" s="145">
        <v>-6.7400297044399995</v>
      </c>
      <c r="O27" s="145">
        <v>-21.361971552771429</v>
      </c>
      <c r="P27" s="145">
        <v>-4.2090528571428569</v>
      </c>
      <c r="Q27" s="146">
        <v>-0.94669992475958331</v>
      </c>
      <c r="R27" s="147">
        <v>-27.418189428571427</v>
      </c>
      <c r="S27" s="146">
        <v>-2.9136770805564833E-2</v>
      </c>
      <c r="T27" s="148">
        <v>1.0223510194593828</v>
      </c>
      <c r="U27" s="149">
        <v>2.2347939528571432</v>
      </c>
      <c r="V27" s="146">
        <v>0.3057236365767747</v>
      </c>
      <c r="W27" s="76" t="s">
        <v>123</v>
      </c>
    </row>
    <row r="28" spans="1:23" x14ac:dyDescent="0.25">
      <c r="C28" s="137"/>
      <c r="D28" s="142"/>
      <c r="E28" s="142"/>
      <c r="F28" s="138"/>
      <c r="G28" s="138"/>
      <c r="H28" s="138"/>
      <c r="I28" s="138"/>
      <c r="J28" s="138"/>
      <c r="K28" s="138"/>
      <c r="L28" s="138"/>
      <c r="M28" s="138"/>
      <c r="N28" s="138"/>
      <c r="O28" s="138"/>
      <c r="P28" s="138"/>
      <c r="Q28" s="139"/>
      <c r="R28" s="140"/>
      <c r="S28" s="139"/>
      <c r="T28" s="141"/>
      <c r="U28" s="78"/>
      <c r="V28" s="139"/>
      <c r="W28" s="66"/>
    </row>
    <row r="29" spans="1:23" x14ac:dyDescent="0.25">
      <c r="A29" s="56" t="s">
        <v>125</v>
      </c>
      <c r="B29" s="80"/>
      <c r="C29" s="157"/>
      <c r="D29" s="150"/>
      <c r="E29" s="150"/>
      <c r="F29" s="151"/>
      <c r="G29" s="151"/>
      <c r="H29" s="151"/>
      <c r="I29" s="151"/>
      <c r="J29" s="151"/>
      <c r="K29" s="151"/>
      <c r="L29" s="151"/>
      <c r="M29" s="151"/>
      <c r="N29" s="151"/>
      <c r="O29" s="151"/>
      <c r="P29" s="151"/>
      <c r="Q29" s="152"/>
      <c r="R29" s="153"/>
      <c r="S29" s="152"/>
      <c r="T29" s="154"/>
      <c r="U29" s="84"/>
      <c r="V29" s="152"/>
      <c r="W29" s="86"/>
    </row>
    <row r="30" spans="1:23" x14ac:dyDescent="0.25">
      <c r="A30" t="s">
        <v>23</v>
      </c>
      <c r="B30">
        <v>1</v>
      </c>
      <c r="C30" s="137">
        <v>43465</v>
      </c>
      <c r="D30" s="138">
        <v>122.53150538345</v>
      </c>
      <c r="E30" s="138">
        <v>3.0326185797883909</v>
      </c>
      <c r="F30" s="138">
        <v>1.6604350000000001</v>
      </c>
      <c r="G30" s="138">
        <v>1.2685525</v>
      </c>
      <c r="H30" s="138">
        <v>3.5075464978110946</v>
      </c>
      <c r="I30" s="138">
        <v>8.6519783397743169</v>
      </c>
      <c r="J30" s="138">
        <v>35.664985000000001</v>
      </c>
      <c r="K30" s="138">
        <v>24.681664037425001</v>
      </c>
      <c r="L30" s="138">
        <v>7.5778924999999999</v>
      </c>
      <c r="M30" s="138">
        <v>7.99003052771219E-2</v>
      </c>
      <c r="N30" s="138">
        <v>9.5264315146000005</v>
      </c>
      <c r="O30" s="138">
        <v>3.1558143437999999</v>
      </c>
      <c r="P30" s="138">
        <v>15.756498828335801</v>
      </c>
      <c r="Q30" s="139">
        <v>-0.69925219455460264</v>
      </c>
      <c r="R30" s="140">
        <v>52661.458505125636</v>
      </c>
      <c r="S30" s="139">
        <v>0.30896045546024298</v>
      </c>
      <c r="T30" s="141">
        <v>45.25398229997905</v>
      </c>
      <c r="U30" s="78">
        <v>1556.2536453056848</v>
      </c>
      <c r="V30" s="139">
        <v>0.32156793629651204</v>
      </c>
      <c r="W30" s="66" t="s">
        <v>23</v>
      </c>
    </row>
    <row r="31" spans="1:23" x14ac:dyDescent="0.25">
      <c r="A31" t="s">
        <v>17</v>
      </c>
      <c r="B31">
        <v>1</v>
      </c>
      <c r="C31" s="137">
        <v>43465</v>
      </c>
      <c r="D31" s="138">
        <v>6.6909467214999996</v>
      </c>
      <c r="E31" s="138">
        <v>1.2449696276432545</v>
      </c>
      <c r="F31" s="138">
        <v>2.7475125</v>
      </c>
      <c r="G31" s="138">
        <v>1.4977324999999999</v>
      </c>
      <c r="H31" s="138">
        <v>16.99243588398198</v>
      </c>
      <c r="I31" s="138">
        <v>-0.88111685315357757</v>
      </c>
      <c r="J31" s="138">
        <v>31.05603</v>
      </c>
      <c r="K31" s="138">
        <v>11.477272866625</v>
      </c>
      <c r="L31" s="138">
        <v>11.433737499999999</v>
      </c>
      <c r="M31" s="138">
        <v>0.15783764214047394</v>
      </c>
      <c r="N31" s="138">
        <v>7.5311453004000004</v>
      </c>
      <c r="O31" s="138">
        <v>6.1006264085000002</v>
      </c>
      <c r="P31" s="138">
        <v>23.9513006</v>
      </c>
      <c r="Q31" s="139">
        <v>-0.16656641548377771</v>
      </c>
      <c r="R31" s="140">
        <v>12001.862951999999</v>
      </c>
      <c r="S31" s="139">
        <v>0.26658561521599844</v>
      </c>
      <c r="T31" s="141">
        <v>15.830043180285186</v>
      </c>
      <c r="U31" s="78">
        <v>116.58014861008333</v>
      </c>
      <c r="V31" s="139">
        <v>0.33065924222276544</v>
      </c>
      <c r="W31" s="66" t="s">
        <v>17</v>
      </c>
    </row>
    <row r="32" spans="1:23" x14ac:dyDescent="0.25">
      <c r="A32" t="s">
        <v>51</v>
      </c>
      <c r="B32">
        <v>10</v>
      </c>
      <c r="C32" s="137">
        <v>43373</v>
      </c>
      <c r="D32" s="138">
        <v>115.24631589425</v>
      </c>
      <c r="E32" s="138">
        <v>3.1074336151794522</v>
      </c>
      <c r="F32" s="138">
        <v>1.199635</v>
      </c>
      <c r="G32" s="138">
        <v>0.90461999999999998</v>
      </c>
      <c r="H32" s="138">
        <v>0.49809833404714332</v>
      </c>
      <c r="I32" s="138">
        <v>9.219427182829957</v>
      </c>
      <c r="J32" s="138">
        <v>14.919485</v>
      </c>
      <c r="K32" s="138">
        <v>6.2770880952499999</v>
      </c>
      <c r="L32" s="138">
        <v>9.5726700000000005</v>
      </c>
      <c r="M32" s="138">
        <v>0.15061488799112493</v>
      </c>
      <c r="N32" s="138">
        <v>13.489992884999999</v>
      </c>
      <c r="O32" s="138">
        <v>4.270197907</v>
      </c>
      <c r="P32" s="138">
        <v>84.520409999999998</v>
      </c>
      <c r="Q32" s="139">
        <v>5.6246864024084298</v>
      </c>
      <c r="R32" s="140">
        <v>775.6</v>
      </c>
      <c r="S32" s="139">
        <v>0.25894158399831158</v>
      </c>
      <c r="T32" s="141">
        <v>3.5011032203637495</v>
      </c>
      <c r="U32" s="78">
        <v>153.04633333333334</v>
      </c>
      <c r="V32" s="139">
        <v>0.30352582132474248</v>
      </c>
      <c r="W32" s="66" t="s">
        <v>51</v>
      </c>
    </row>
    <row r="33" spans="1:23" x14ac:dyDescent="0.25">
      <c r="A33" t="s">
        <v>19</v>
      </c>
      <c r="B33">
        <v>0.1</v>
      </c>
      <c r="C33" s="137">
        <v>43373</v>
      </c>
      <c r="D33" s="142">
        <v>217.30276212675</v>
      </c>
      <c r="E33" s="142">
        <v>3.6175164096376662</v>
      </c>
      <c r="F33" s="138">
        <v>3.5719075</v>
      </c>
      <c r="G33" s="138">
        <v>3.5057700000000001</v>
      </c>
      <c r="H33" s="138">
        <v>1.0687784961175151</v>
      </c>
      <c r="I33" s="138">
        <v>47.204575088525942</v>
      </c>
      <c r="J33" s="138">
        <v>55.413780000000003</v>
      </c>
      <c r="K33" s="138">
        <v>46.164890694999997</v>
      </c>
      <c r="L33" s="138">
        <v>21.248705000000001</v>
      </c>
      <c r="M33" s="138">
        <v>4.6665282816872947E-2</v>
      </c>
      <c r="N33" s="138">
        <v>105.49174232199999</v>
      </c>
      <c r="O33" s="138">
        <v>21.578561049000001</v>
      </c>
      <c r="P33" s="138">
        <v>5.79542</v>
      </c>
      <c r="Q33" s="139">
        <v>-0.2869216034415828</v>
      </c>
      <c r="R33" s="140">
        <v>1087.229</v>
      </c>
      <c r="S33" s="139">
        <v>0.64378702229108153</v>
      </c>
      <c r="T33" s="141">
        <v>3.4239323333003608</v>
      </c>
      <c r="U33" s="78">
        <v>5.6032216666666672</v>
      </c>
      <c r="V33" s="139">
        <v>0.36599526293208418</v>
      </c>
      <c r="W33" s="66" t="s">
        <v>19</v>
      </c>
    </row>
    <row r="34" spans="1:23" x14ac:dyDescent="0.25">
      <c r="A34" t="s">
        <v>49</v>
      </c>
      <c r="B34">
        <v>1</v>
      </c>
      <c r="C34" s="137">
        <v>43373</v>
      </c>
      <c r="D34" s="142">
        <v>39.636135369750001</v>
      </c>
      <c r="E34" s="142">
        <v>1.8132286998391465</v>
      </c>
      <c r="F34" s="138">
        <v>1.9621625</v>
      </c>
      <c r="G34" s="138">
        <v>1.92625</v>
      </c>
      <c r="H34" s="138">
        <v>0.30196544861218</v>
      </c>
      <c r="I34" s="138">
        <v>67.735799896241971</v>
      </c>
      <c r="J34" s="138">
        <v>54.009722500000002</v>
      </c>
      <c r="K34" s="138">
        <v>41.254038887</v>
      </c>
      <c r="L34" s="138">
        <v>13.675459999999999</v>
      </c>
      <c r="M34" s="138">
        <v>0.17131868516013848</v>
      </c>
      <c r="N34" s="138">
        <v>13.803395471</v>
      </c>
      <c r="O34" s="138">
        <v>6.0506808010000004</v>
      </c>
      <c r="P34" s="138">
        <v>2.5481799999999999</v>
      </c>
      <c r="Q34" s="139">
        <v>1.173887832456447</v>
      </c>
      <c r="R34" s="140">
        <v>161.9554</v>
      </c>
      <c r="S34" s="139">
        <v>0.31436612397243757</v>
      </c>
      <c r="T34" s="141">
        <v>5.1967682172970537</v>
      </c>
      <c r="U34" s="78">
        <v>1.3351774999999999</v>
      </c>
      <c r="V34" s="139">
        <v>0.51120660299379383</v>
      </c>
      <c r="W34" s="66" t="s">
        <v>49</v>
      </c>
    </row>
    <row r="35" spans="1:23" x14ac:dyDescent="0.25">
      <c r="A35" t="s">
        <v>35</v>
      </c>
      <c r="B35">
        <v>1</v>
      </c>
      <c r="C35" s="137" t="s">
        <v>403</v>
      </c>
      <c r="D35" s="142">
        <v>53.070854230499997</v>
      </c>
      <c r="E35" s="142">
        <v>2.1054996028594122</v>
      </c>
      <c r="F35" s="138">
        <v>0.73687000000000002</v>
      </c>
      <c r="G35" s="138">
        <v>0.57437000000000005</v>
      </c>
      <c r="H35" s="138">
        <v>6.3942353532335607</v>
      </c>
      <c r="I35" s="138" t="s">
        <v>403</v>
      </c>
      <c r="J35" s="138">
        <v>3.8364050000000001</v>
      </c>
      <c r="K35" s="138">
        <v>-32.453873579000003</v>
      </c>
      <c r="L35" s="140">
        <v>-179.84099000000001</v>
      </c>
      <c r="M35" s="138">
        <v>-1.1990851234201394</v>
      </c>
      <c r="N35" s="138">
        <v>-122.865522048</v>
      </c>
      <c r="O35" s="138">
        <v>-67.050732021000002</v>
      </c>
      <c r="P35" s="138">
        <v>-17.32281858</v>
      </c>
      <c r="Q35" s="139" t="s">
        <v>403</v>
      </c>
      <c r="R35" s="140">
        <v>-1715.5043258000001</v>
      </c>
      <c r="S35" s="139">
        <v>1.8697044626314665</v>
      </c>
      <c r="T35" s="141">
        <v>1.3164196076232471</v>
      </c>
      <c r="U35" s="78">
        <v>1.023923682225</v>
      </c>
      <c r="V35" s="139">
        <v>1.5653048918550825</v>
      </c>
      <c r="W35" s="66" t="s">
        <v>35</v>
      </c>
    </row>
    <row r="36" spans="1:23" x14ac:dyDescent="0.25">
      <c r="A36" t="s">
        <v>50</v>
      </c>
      <c r="B36">
        <v>1</v>
      </c>
      <c r="C36" s="137">
        <v>43373</v>
      </c>
      <c r="D36" s="142">
        <v>26.668057918974998</v>
      </c>
      <c r="E36" s="142">
        <v>2.0528863715221211</v>
      </c>
      <c r="F36" s="138">
        <v>1.32965</v>
      </c>
      <c r="G36" s="138">
        <v>1.1668175000000001</v>
      </c>
      <c r="H36" s="138" t="s">
        <v>403</v>
      </c>
      <c r="I36" s="138" t="s">
        <v>403</v>
      </c>
      <c r="J36" s="138" t="s">
        <v>403</v>
      </c>
      <c r="K36" s="138">
        <v>-8.5647527090499995</v>
      </c>
      <c r="L36" s="138" t="s">
        <v>403</v>
      </c>
      <c r="M36" s="138" t="s">
        <v>403</v>
      </c>
      <c r="N36" s="138">
        <v>16.945484997499999</v>
      </c>
      <c r="O36" s="138">
        <v>9.0203309229999995</v>
      </c>
      <c r="P36" s="138" t="s">
        <v>403</v>
      </c>
      <c r="Q36" s="139">
        <v>4.1220436539475118</v>
      </c>
      <c r="R36" s="140">
        <v>153.28120000000001</v>
      </c>
      <c r="S36" s="139">
        <v>-1.833637679358912</v>
      </c>
      <c r="T36" s="141">
        <v>4.4756371942476294</v>
      </c>
      <c r="U36" s="78">
        <v>1.5713758333333332</v>
      </c>
      <c r="V36" s="139">
        <v>0.2078788248755401</v>
      </c>
      <c r="W36" s="66" t="s">
        <v>50</v>
      </c>
    </row>
    <row r="37" spans="1:23" x14ac:dyDescent="0.25">
      <c r="A37" t="s">
        <v>78</v>
      </c>
      <c r="B37">
        <v>10</v>
      </c>
      <c r="C37" s="137">
        <v>43465</v>
      </c>
      <c r="D37" s="142" t="s">
        <v>403</v>
      </c>
      <c r="E37" s="142">
        <v>-1.6490620054729073</v>
      </c>
      <c r="F37" s="138">
        <v>0.28215249999999997</v>
      </c>
      <c r="G37" s="138">
        <v>0.22627749999999999</v>
      </c>
      <c r="H37" s="138">
        <v>0.75474939951248587</v>
      </c>
      <c r="I37" s="138">
        <v>3.9350208938945599</v>
      </c>
      <c r="J37" s="138">
        <v>44.4741675</v>
      </c>
      <c r="K37" s="138">
        <v>1.6088520688000001</v>
      </c>
      <c r="L37" s="138">
        <v>10.2393225</v>
      </c>
      <c r="M37" s="138">
        <v>0.10781951836556804</v>
      </c>
      <c r="N37" s="138" t="s">
        <v>403</v>
      </c>
      <c r="O37" s="138">
        <v>3.3297715921000002</v>
      </c>
      <c r="P37" s="138">
        <v>3.7870000000000001E-2</v>
      </c>
      <c r="Q37" s="139">
        <v>-1.371613245620636</v>
      </c>
      <c r="R37" s="140">
        <v>-12.611791999999999</v>
      </c>
      <c r="S37" s="139">
        <v>-1.9548702388975534</v>
      </c>
      <c r="T37" s="141">
        <v>0.86287880702580622</v>
      </c>
      <c r="U37" s="78">
        <v>0.47453863499999999</v>
      </c>
      <c r="V37" s="139">
        <v>-0.15475094142659773</v>
      </c>
      <c r="W37" s="66" t="s">
        <v>78</v>
      </c>
    </row>
    <row r="38" spans="1:23" x14ac:dyDescent="0.25">
      <c r="A38" s="68" t="s">
        <v>122</v>
      </c>
      <c r="B38" s="69"/>
      <c r="C38" s="69"/>
      <c r="D38" s="144">
        <v>83.020939663596423</v>
      </c>
      <c r="E38" s="144">
        <v>1.9156363626245674</v>
      </c>
      <c r="F38" s="145">
        <v>1.686290625</v>
      </c>
      <c r="G38" s="145">
        <v>1.38379875</v>
      </c>
      <c r="H38" s="145">
        <v>4.2168299161879945</v>
      </c>
      <c r="I38" s="145">
        <v>22.644280758018862</v>
      </c>
      <c r="J38" s="145">
        <v>34.19636785714286</v>
      </c>
      <c r="K38" s="145">
        <v>11.305647545256251</v>
      </c>
      <c r="L38" s="145">
        <v>-15.156171785714287</v>
      </c>
      <c r="M38" s="145">
        <v>-6.9275543095548467E-2</v>
      </c>
      <c r="N38" s="145">
        <v>6.2746672060714257</v>
      </c>
      <c r="O38" s="145">
        <v>-1.6930936245750006</v>
      </c>
      <c r="P38" s="145">
        <v>16.469551549762254</v>
      </c>
      <c r="Q38" s="146">
        <v>1.199466347101684</v>
      </c>
      <c r="R38" s="147">
        <v>8139.1588674157047</v>
      </c>
      <c r="S38" s="146">
        <v>-1.577033183586582E-2</v>
      </c>
      <c r="T38" s="148">
        <v>9.9825956075152593</v>
      </c>
      <c r="U38" s="149">
        <v>229.48604557079082</v>
      </c>
      <c r="V38" s="146">
        <v>0.4314234551342403</v>
      </c>
      <c r="W38" s="76" t="s">
        <v>123</v>
      </c>
    </row>
    <row r="39" spans="1:23" ht="26.25" customHeight="1" x14ac:dyDescent="0.25">
      <c r="A39" s="95"/>
      <c r="B39" s="30"/>
      <c r="C39" s="30"/>
      <c r="D39" s="158"/>
      <c r="E39" s="158"/>
      <c r="F39" s="30"/>
      <c r="G39" s="30"/>
      <c r="H39" s="30"/>
      <c r="I39" s="30"/>
      <c r="J39" s="30"/>
      <c r="K39" s="30"/>
      <c r="L39" s="30"/>
      <c r="M39" s="30"/>
      <c r="N39" s="30"/>
      <c r="O39" s="30"/>
      <c r="P39" s="30"/>
      <c r="Q39" s="30"/>
      <c r="R39" s="30"/>
      <c r="S39" s="30"/>
      <c r="T39" s="30"/>
      <c r="U39" s="30"/>
      <c r="V39" s="30"/>
      <c r="W39" s="95"/>
    </row>
    <row r="40" spans="1:23" x14ac:dyDescent="0.25">
      <c r="A40" s="123" t="s">
        <v>4</v>
      </c>
      <c r="B40" s="124" t="s">
        <v>138</v>
      </c>
      <c r="C40" s="125" t="s">
        <v>139</v>
      </c>
      <c r="D40" s="159" t="s">
        <v>140</v>
      </c>
      <c r="E40" s="160"/>
      <c r="F40" s="126" t="s">
        <v>141</v>
      </c>
      <c r="G40" s="127"/>
      <c r="H40" s="126" t="s">
        <v>142</v>
      </c>
      <c r="I40" s="127"/>
      <c r="J40" s="123" t="s">
        <v>143</v>
      </c>
      <c r="K40" s="161"/>
      <c r="L40" s="161"/>
      <c r="M40" s="161"/>
      <c r="N40" s="161"/>
      <c r="O40" s="161"/>
      <c r="P40" s="161"/>
      <c r="Q40" s="161"/>
      <c r="R40" s="161"/>
      <c r="S40" s="161"/>
      <c r="T40" s="161"/>
      <c r="U40" s="161"/>
      <c r="V40" s="162"/>
      <c r="W40" s="123" t="s">
        <v>4</v>
      </c>
    </row>
    <row r="41" spans="1:23" ht="24.75" customHeight="1" x14ac:dyDescent="0.25">
      <c r="A41" s="129"/>
      <c r="B41" s="130"/>
      <c r="C41" s="131"/>
      <c r="D41" s="132" t="s">
        <v>144</v>
      </c>
      <c r="E41" s="132" t="s">
        <v>145</v>
      </c>
      <c r="F41" s="132" t="s">
        <v>146</v>
      </c>
      <c r="G41" s="132" t="s">
        <v>147</v>
      </c>
      <c r="H41" s="132" t="s">
        <v>148</v>
      </c>
      <c r="I41" s="132" t="s">
        <v>149</v>
      </c>
      <c r="J41" s="132" t="s">
        <v>150</v>
      </c>
      <c r="K41" s="132" t="s">
        <v>151</v>
      </c>
      <c r="L41" s="132" t="s">
        <v>152</v>
      </c>
      <c r="M41" s="132" t="s">
        <v>153</v>
      </c>
      <c r="N41" s="132" t="s">
        <v>154</v>
      </c>
      <c r="O41" s="132" t="s">
        <v>155</v>
      </c>
      <c r="P41" s="132" t="s">
        <v>156</v>
      </c>
      <c r="Q41" s="163" t="s">
        <v>246</v>
      </c>
      <c r="R41" s="163" t="s">
        <v>158</v>
      </c>
      <c r="S41" s="163" t="s">
        <v>159</v>
      </c>
      <c r="T41" s="163" t="s">
        <v>160</v>
      </c>
      <c r="U41" s="163" t="s">
        <v>161</v>
      </c>
      <c r="V41" s="163" t="s">
        <v>162</v>
      </c>
      <c r="W41" s="129"/>
    </row>
    <row r="42" spans="1:23" x14ac:dyDescent="0.25">
      <c r="A42" s="56" t="s">
        <v>126</v>
      </c>
      <c r="B42" s="80"/>
      <c r="C42" s="80"/>
      <c r="D42" s="80"/>
      <c r="E42" s="80"/>
      <c r="F42" s="80"/>
      <c r="G42" s="80"/>
      <c r="H42" s="80"/>
      <c r="I42" s="80"/>
      <c r="J42" s="80"/>
      <c r="K42" s="80"/>
      <c r="L42" s="80"/>
      <c r="M42" s="80"/>
      <c r="N42" s="80"/>
      <c r="O42" s="80"/>
      <c r="P42" s="80"/>
      <c r="Q42" s="80"/>
      <c r="R42" s="80"/>
      <c r="S42" s="80"/>
      <c r="T42" s="80"/>
      <c r="U42" s="80"/>
      <c r="V42" s="80"/>
      <c r="W42" s="80"/>
    </row>
    <row r="43" spans="1:23" x14ac:dyDescent="0.25">
      <c r="A43" t="s">
        <v>77</v>
      </c>
      <c r="B43">
        <v>1</v>
      </c>
      <c r="C43" s="137">
        <v>43373</v>
      </c>
      <c r="D43" s="138">
        <v>52.937867467750003</v>
      </c>
      <c r="E43" s="138">
        <v>8.7425165216232728</v>
      </c>
      <c r="F43" s="66" t="s">
        <v>403</v>
      </c>
      <c r="G43" s="138" t="s">
        <v>403</v>
      </c>
      <c r="H43" s="138" t="s">
        <v>403</v>
      </c>
      <c r="I43" s="138" t="s">
        <v>403</v>
      </c>
      <c r="J43" s="138" t="s">
        <v>403</v>
      </c>
      <c r="K43" s="138">
        <v>30.34731196025</v>
      </c>
      <c r="L43" s="138">
        <v>23.924757499999998</v>
      </c>
      <c r="M43" s="138" t="s">
        <v>403</v>
      </c>
      <c r="N43" s="138" t="s">
        <v>403</v>
      </c>
      <c r="O43" s="138">
        <v>3.333062993</v>
      </c>
      <c r="P43" s="138">
        <v>8.8466100000000001</v>
      </c>
      <c r="Q43" s="139">
        <v>0.51421681341483927</v>
      </c>
      <c r="R43" s="140">
        <v>5135.8757999999998</v>
      </c>
      <c r="S43" s="139">
        <v>0.4419433374419024</v>
      </c>
      <c r="T43" s="141">
        <v>0.21370488875665247</v>
      </c>
      <c r="U43" s="155" t="s">
        <v>403</v>
      </c>
      <c r="V43" s="139" t="s">
        <v>403</v>
      </c>
      <c r="W43" s="66" t="s">
        <v>77</v>
      </c>
    </row>
    <row r="44" spans="1:23" x14ac:dyDescent="0.25">
      <c r="A44" t="s">
        <v>68</v>
      </c>
      <c r="B44">
        <v>1</v>
      </c>
      <c r="C44" s="137">
        <v>43373</v>
      </c>
      <c r="D44" s="138">
        <v>40.200047427949997</v>
      </c>
      <c r="E44" s="138">
        <v>5.2642027343655196</v>
      </c>
      <c r="F44" s="66" t="s">
        <v>403</v>
      </c>
      <c r="G44" s="138" t="s">
        <v>403</v>
      </c>
      <c r="H44" s="138" t="s">
        <v>403</v>
      </c>
      <c r="I44" s="138" t="s">
        <v>403</v>
      </c>
      <c r="J44" s="138" t="s">
        <v>403</v>
      </c>
      <c r="K44" s="138">
        <v>46.034930168850003</v>
      </c>
      <c r="L44" s="138">
        <v>26.089297500000001</v>
      </c>
      <c r="M44" s="138" t="s">
        <v>403</v>
      </c>
      <c r="N44" s="138" t="s">
        <v>403</v>
      </c>
      <c r="O44" s="138">
        <v>5.2349463730999997</v>
      </c>
      <c r="P44" s="138">
        <v>20.220510000000001</v>
      </c>
      <c r="Q44" s="139">
        <v>0.22868365467355267</v>
      </c>
      <c r="R44" s="140">
        <v>5576.6578</v>
      </c>
      <c r="S44" s="139">
        <v>0.4443546727085339</v>
      </c>
      <c r="T44" s="141">
        <v>0.11877595403933269</v>
      </c>
      <c r="U44" s="155" t="s">
        <v>403</v>
      </c>
      <c r="V44" s="139" t="s">
        <v>403</v>
      </c>
      <c r="W44" s="66" t="s">
        <v>68</v>
      </c>
    </row>
    <row r="45" spans="1:23" x14ac:dyDescent="0.25">
      <c r="A45" t="s">
        <v>20</v>
      </c>
      <c r="B45">
        <v>1</v>
      </c>
      <c r="C45" s="137">
        <v>43373</v>
      </c>
      <c r="D45" s="138">
        <v>14.772408488425</v>
      </c>
      <c r="E45" s="138">
        <v>8.3328470429503678</v>
      </c>
      <c r="F45" s="66" t="s">
        <v>403</v>
      </c>
      <c r="G45" s="138" t="s">
        <v>403</v>
      </c>
      <c r="H45" s="138" t="s">
        <v>403</v>
      </c>
      <c r="I45" s="138" t="s">
        <v>403</v>
      </c>
      <c r="J45" s="138" t="s">
        <v>403</v>
      </c>
      <c r="K45" s="138">
        <v>33.239519069575003</v>
      </c>
      <c r="L45" s="138">
        <v>21.399715</v>
      </c>
      <c r="M45" s="138" t="s">
        <v>403</v>
      </c>
      <c r="N45" s="138" t="s">
        <v>403</v>
      </c>
      <c r="O45" s="138">
        <v>3.0666074713000002</v>
      </c>
      <c r="P45" s="138">
        <v>13.21773</v>
      </c>
      <c r="Q45" s="139">
        <v>0.41617433801649772</v>
      </c>
      <c r="R45" s="140">
        <v>3287.6370000000002</v>
      </c>
      <c r="S45" s="139">
        <v>0.2514115024190462</v>
      </c>
      <c r="T45" s="141">
        <v>0.2967938002163697</v>
      </c>
      <c r="U45" s="155" t="s">
        <v>403</v>
      </c>
      <c r="V45" s="139" t="s">
        <v>403</v>
      </c>
      <c r="W45" s="66" t="s">
        <v>20</v>
      </c>
    </row>
    <row r="46" spans="1:23" x14ac:dyDescent="0.25">
      <c r="A46" t="s">
        <v>58</v>
      </c>
      <c r="B46">
        <v>1</v>
      </c>
      <c r="C46" s="137">
        <v>43373</v>
      </c>
      <c r="D46" s="138">
        <v>13.021223223150001</v>
      </c>
      <c r="E46" s="138">
        <v>11.694662326481915</v>
      </c>
      <c r="F46" s="66" t="s">
        <v>403</v>
      </c>
      <c r="G46" s="138" t="s">
        <v>403</v>
      </c>
      <c r="H46" s="138" t="s">
        <v>403</v>
      </c>
      <c r="I46" s="138" t="s">
        <v>403</v>
      </c>
      <c r="J46" s="138" t="s">
        <v>403</v>
      </c>
      <c r="K46" s="138">
        <v>27.360498318025002</v>
      </c>
      <c r="L46" s="138">
        <v>18.054030000000001</v>
      </c>
      <c r="M46" s="138" t="s">
        <v>403</v>
      </c>
      <c r="N46" s="138" t="s">
        <v>403</v>
      </c>
      <c r="O46" s="138">
        <v>2.1748384680999999</v>
      </c>
      <c r="P46" s="138">
        <v>1.98289</v>
      </c>
      <c r="Q46" s="139">
        <v>0.31536713183255771</v>
      </c>
      <c r="R46" s="140">
        <v>4055.6984000000002</v>
      </c>
      <c r="S46" s="139">
        <v>0.23440528615677203</v>
      </c>
      <c r="T46" s="141">
        <v>0.12621584070722022</v>
      </c>
      <c r="U46" s="155" t="s">
        <v>403</v>
      </c>
      <c r="V46" s="139" t="s">
        <v>403</v>
      </c>
      <c r="W46" s="66" t="s">
        <v>58</v>
      </c>
    </row>
    <row r="47" spans="1:23" x14ac:dyDescent="0.25">
      <c r="A47" t="s">
        <v>36</v>
      </c>
      <c r="B47">
        <v>1</v>
      </c>
      <c r="C47" s="137">
        <v>43373</v>
      </c>
      <c r="D47" s="142">
        <v>55.936517549500003</v>
      </c>
      <c r="E47" s="142">
        <v>7.8896128874761322</v>
      </c>
      <c r="F47" s="66" t="s">
        <v>403</v>
      </c>
      <c r="G47" s="138" t="s">
        <v>403</v>
      </c>
      <c r="H47" s="138" t="s">
        <v>403</v>
      </c>
      <c r="I47" s="138" t="s">
        <v>403</v>
      </c>
      <c r="J47" s="138" t="s">
        <v>403</v>
      </c>
      <c r="K47" s="138">
        <v>43.510131464750003</v>
      </c>
      <c r="L47" s="138">
        <v>14.831685</v>
      </c>
      <c r="M47" s="138" t="s">
        <v>403</v>
      </c>
      <c r="N47" s="138" t="s">
        <v>403</v>
      </c>
      <c r="O47" s="138">
        <v>4.6481824830000003</v>
      </c>
      <c r="P47" s="138">
        <v>2.7276199999999999</v>
      </c>
      <c r="Q47" s="139">
        <v>0.17760433386837882</v>
      </c>
      <c r="R47" s="140">
        <v>2497.1379999999999</v>
      </c>
      <c r="S47" s="139">
        <v>0.32074619730095888</v>
      </c>
      <c r="T47" s="141">
        <v>0.27661379060006563</v>
      </c>
      <c r="U47" s="155" t="s">
        <v>403</v>
      </c>
      <c r="V47" s="139" t="s">
        <v>403</v>
      </c>
      <c r="W47" s="66" t="s">
        <v>36</v>
      </c>
    </row>
    <row r="48" spans="1:23" x14ac:dyDescent="0.25">
      <c r="A48" t="s">
        <v>60</v>
      </c>
      <c r="B48">
        <v>1</v>
      </c>
      <c r="C48" s="137">
        <v>43373</v>
      </c>
      <c r="D48" s="142">
        <v>81.069165944749997</v>
      </c>
      <c r="E48" s="142">
        <v>3.908637833624188</v>
      </c>
      <c r="F48" s="66">
        <v>1.23464</v>
      </c>
      <c r="G48" s="138">
        <v>1.23464</v>
      </c>
      <c r="H48" s="138">
        <v>5.7004125239372087E-2</v>
      </c>
      <c r="I48" s="138" t="s">
        <v>403</v>
      </c>
      <c r="J48" s="138">
        <v>96.362462500000007</v>
      </c>
      <c r="K48" s="138">
        <v>53.212284391499999</v>
      </c>
      <c r="L48" s="138">
        <v>245.11699999999999</v>
      </c>
      <c r="M48" s="138">
        <v>2.590393646881886</v>
      </c>
      <c r="N48" s="138">
        <v>56.755521403000003</v>
      </c>
      <c r="O48" s="138">
        <v>13.209992712</v>
      </c>
      <c r="P48" s="138">
        <v>42.587339999999998</v>
      </c>
      <c r="Q48" s="139">
        <v>0.63193721810614889</v>
      </c>
      <c r="R48" s="140">
        <v>1183.9255700000001</v>
      </c>
      <c r="S48" s="139" t="s">
        <v>403</v>
      </c>
      <c r="T48" s="141" t="s">
        <v>403</v>
      </c>
      <c r="U48" s="155">
        <v>0.93782904</v>
      </c>
      <c r="V48" s="139" t="s">
        <v>403</v>
      </c>
      <c r="W48" s="66" t="s">
        <v>60</v>
      </c>
    </row>
    <row r="49" spans="1:23" x14ac:dyDescent="0.25">
      <c r="A49" t="s">
        <v>64</v>
      </c>
      <c r="B49">
        <v>1</v>
      </c>
      <c r="C49" s="137">
        <v>43373</v>
      </c>
      <c r="D49" s="142">
        <v>15.159457687274999</v>
      </c>
      <c r="E49" s="142">
        <v>8.909644177518091</v>
      </c>
      <c r="F49" s="66" t="s">
        <v>403</v>
      </c>
      <c r="G49" s="138" t="s">
        <v>403</v>
      </c>
      <c r="H49" s="138" t="s">
        <v>403</v>
      </c>
      <c r="I49" s="138" t="s">
        <v>403</v>
      </c>
      <c r="J49" s="138" t="s">
        <v>403</v>
      </c>
      <c r="K49" s="138">
        <v>22.376317105049999</v>
      </c>
      <c r="L49" s="138">
        <v>14.382315</v>
      </c>
      <c r="M49" s="138" t="s">
        <v>403</v>
      </c>
      <c r="N49" s="138" t="s">
        <v>403</v>
      </c>
      <c r="O49" s="138">
        <v>2.9565953069000002</v>
      </c>
      <c r="P49" s="138">
        <v>1.3823799999999999</v>
      </c>
      <c r="Q49" s="139">
        <v>0.15579305827303891</v>
      </c>
      <c r="R49" s="140">
        <v>860.98860000000002</v>
      </c>
      <c r="S49" s="139">
        <v>0.3591102504484549</v>
      </c>
      <c r="T49" s="141">
        <v>0.77313562929157897</v>
      </c>
      <c r="U49" s="155" t="s">
        <v>403</v>
      </c>
      <c r="V49" s="139" t="s">
        <v>403</v>
      </c>
      <c r="W49" s="66" t="s">
        <v>64</v>
      </c>
    </row>
    <row r="50" spans="1:23" x14ac:dyDescent="0.25">
      <c r="A50" t="s">
        <v>74</v>
      </c>
      <c r="B50">
        <v>1</v>
      </c>
      <c r="C50" s="137">
        <v>43373</v>
      </c>
      <c r="D50" s="142">
        <v>40.915016531275</v>
      </c>
      <c r="E50" s="142">
        <v>8.58260397326403</v>
      </c>
      <c r="F50" s="66">
        <v>1.0824450000000001</v>
      </c>
      <c r="G50" s="138">
        <v>1.0824450000000001</v>
      </c>
      <c r="H50" s="138">
        <v>0.13107776093256354</v>
      </c>
      <c r="I50" s="138" t="s">
        <v>403</v>
      </c>
      <c r="J50" s="138">
        <v>97.880392499999999</v>
      </c>
      <c r="K50" s="138">
        <v>52.298145324075001</v>
      </c>
      <c r="L50" s="138">
        <v>37.253007500000002</v>
      </c>
      <c r="M50" s="138">
        <v>0.16842419152046231</v>
      </c>
      <c r="N50" s="138">
        <v>43.795701808700002</v>
      </c>
      <c r="O50" s="138">
        <v>4.3766289505999998</v>
      </c>
      <c r="P50" s="138">
        <v>0.82837000000000005</v>
      </c>
      <c r="Q50" s="139">
        <v>0.59865405085581513</v>
      </c>
      <c r="R50" s="140">
        <v>339.35595999999998</v>
      </c>
      <c r="S50" s="139">
        <v>0.44046064722207356</v>
      </c>
      <c r="T50" s="141">
        <v>0.92532448485427288</v>
      </c>
      <c r="U50" s="155">
        <v>0.73598920999999995</v>
      </c>
      <c r="V50" s="139">
        <v>0.4235567995461722</v>
      </c>
      <c r="W50" s="66" t="s">
        <v>74</v>
      </c>
    </row>
    <row r="51" spans="1:23" x14ac:dyDescent="0.25">
      <c r="A51" s="68" t="s">
        <v>122</v>
      </c>
      <c r="B51" s="69"/>
      <c r="C51" s="156"/>
      <c r="D51" s="144">
        <v>39.251463040009376</v>
      </c>
      <c r="E51" s="144">
        <v>7.91559093716294</v>
      </c>
      <c r="F51" s="145">
        <v>1.1585425</v>
      </c>
      <c r="G51" s="145">
        <v>1.1585425</v>
      </c>
      <c r="H51" s="145">
        <v>9.4040943085967818E-2</v>
      </c>
      <c r="I51" s="145" t="s">
        <v>403</v>
      </c>
      <c r="J51" s="145">
        <v>97.12142750000001</v>
      </c>
      <c r="K51" s="145">
        <v>38.547392225259379</v>
      </c>
      <c r="L51" s="145">
        <v>50.131475937499999</v>
      </c>
      <c r="M51" s="145">
        <v>1.3794089192011743</v>
      </c>
      <c r="N51" s="145">
        <v>50.275611605850003</v>
      </c>
      <c r="O51" s="145">
        <v>4.8751068447499994</v>
      </c>
      <c r="P51" s="145">
        <v>11.474181250000001</v>
      </c>
      <c r="Q51" s="146">
        <v>0.37980382488010367</v>
      </c>
      <c r="R51" s="147">
        <v>2867.1596412499998</v>
      </c>
      <c r="S51" s="148">
        <v>0.35606169909967739</v>
      </c>
      <c r="T51" s="148">
        <v>0.39008062692364176</v>
      </c>
      <c r="U51" s="164">
        <v>0.83690912500000003</v>
      </c>
      <c r="V51" s="146">
        <v>0.4235567995461722</v>
      </c>
      <c r="W51" s="76" t="s">
        <v>123</v>
      </c>
    </row>
    <row r="52" spans="1:23" ht="6.75" customHeight="1" x14ac:dyDescent="0.25">
      <c r="C52" s="137"/>
      <c r="D52" s="142"/>
      <c r="E52" s="142"/>
      <c r="F52" s="66"/>
      <c r="Q52" s="141"/>
      <c r="R52" s="140"/>
      <c r="S52" s="141"/>
      <c r="T52" s="141"/>
      <c r="U52" s="165"/>
      <c r="V52" s="139"/>
      <c r="W52" s="66"/>
    </row>
    <row r="53" spans="1:23" x14ac:dyDescent="0.25">
      <c r="A53" s="56" t="s">
        <v>127</v>
      </c>
      <c r="B53" s="80"/>
      <c r="C53" s="157"/>
      <c r="D53" s="150"/>
      <c r="E53" s="150"/>
      <c r="F53" s="86"/>
      <c r="G53" s="80"/>
      <c r="H53" s="80"/>
      <c r="I53" s="80"/>
      <c r="J53" s="80"/>
      <c r="K53" s="80"/>
      <c r="L53" s="80"/>
      <c r="M53" s="80"/>
      <c r="N53" s="80"/>
      <c r="O53" s="80"/>
      <c r="P53" s="80"/>
      <c r="Q53" s="154"/>
      <c r="R53" s="153"/>
      <c r="S53" s="154"/>
      <c r="T53" s="154"/>
      <c r="U53" s="166"/>
      <c r="V53" s="152"/>
      <c r="W53" s="86"/>
    </row>
    <row r="54" spans="1:23" x14ac:dyDescent="0.25">
      <c r="A54" t="s">
        <v>45</v>
      </c>
      <c r="B54">
        <v>1</v>
      </c>
      <c r="C54" s="137">
        <v>43373</v>
      </c>
      <c r="D54" s="142">
        <v>0</v>
      </c>
      <c r="E54" s="142">
        <v>1.6537585844464946</v>
      </c>
      <c r="F54" s="66">
        <v>1.5443125</v>
      </c>
      <c r="G54" s="138">
        <v>1.5443125</v>
      </c>
      <c r="H54" s="138">
        <v>0.40419912674876579</v>
      </c>
      <c r="I54" s="138" t="s">
        <v>403</v>
      </c>
      <c r="J54" s="138">
        <v>37.857827499999999</v>
      </c>
      <c r="K54" s="138">
        <v>27.482278687499999</v>
      </c>
      <c r="L54" s="138">
        <v>567.49247000000003</v>
      </c>
      <c r="M54" s="138">
        <v>5.5522815463603683</v>
      </c>
      <c r="N54" s="155">
        <v>197.13710643499999</v>
      </c>
      <c r="O54" s="155">
        <v>125.017914279</v>
      </c>
      <c r="P54" s="155">
        <v>190.45753999999999</v>
      </c>
      <c r="Q54" s="139">
        <v>74.489831184108837</v>
      </c>
      <c r="R54" s="140">
        <v>3463.0267600000002</v>
      </c>
      <c r="S54" s="139">
        <v>1.5737611647080354</v>
      </c>
      <c r="T54" s="141">
        <v>3.4543744603406297</v>
      </c>
      <c r="U54" s="155">
        <v>1.3738027183333332</v>
      </c>
      <c r="V54" s="139">
        <v>0.28729273183713167</v>
      </c>
      <c r="W54" s="66" t="s">
        <v>45</v>
      </c>
    </row>
    <row r="55" spans="1:23" x14ac:dyDescent="0.25">
      <c r="A55" t="s">
        <v>55</v>
      </c>
      <c r="B55">
        <v>1</v>
      </c>
      <c r="C55" s="137">
        <v>43373</v>
      </c>
      <c r="D55" s="138">
        <v>0</v>
      </c>
      <c r="E55" s="138">
        <v>1.6352151582425452</v>
      </c>
      <c r="F55" s="66">
        <v>1.9927125000000001</v>
      </c>
      <c r="G55" s="138">
        <v>1.9622925</v>
      </c>
      <c r="H55" s="138">
        <v>0.54251971088322826</v>
      </c>
      <c r="I55" s="138">
        <v>65.305103849479991</v>
      </c>
      <c r="J55" s="138">
        <v>47.8551225</v>
      </c>
      <c r="K55" s="138">
        <v>32.339723696249997</v>
      </c>
      <c r="L55" s="138">
        <v>399.89689249999998</v>
      </c>
      <c r="M55" s="138">
        <v>3.7967487963118831</v>
      </c>
      <c r="N55" s="155">
        <v>191.938107677</v>
      </c>
      <c r="O55" s="155">
        <v>121.144185744</v>
      </c>
      <c r="P55" s="138">
        <v>55.800530000000002</v>
      </c>
      <c r="Q55" s="139">
        <v>30.084105323269206</v>
      </c>
      <c r="R55" s="140">
        <v>1843.6482000000001</v>
      </c>
      <c r="S55" s="139">
        <v>0.4582528348867394</v>
      </c>
      <c r="T55" s="141">
        <v>0.89166425532497628</v>
      </c>
      <c r="U55" s="155">
        <v>0.92132803333333335</v>
      </c>
      <c r="V55" s="139">
        <v>0.31326313929157834</v>
      </c>
      <c r="W55" s="66" t="s">
        <v>55</v>
      </c>
    </row>
    <row r="56" spans="1:23" x14ac:dyDescent="0.25">
      <c r="A56" t="s">
        <v>61</v>
      </c>
      <c r="B56">
        <v>1</v>
      </c>
      <c r="C56" s="137">
        <v>43373</v>
      </c>
      <c r="D56" s="138">
        <v>8.6555723305000001</v>
      </c>
      <c r="E56" s="138">
        <v>2.4292571789476152</v>
      </c>
      <c r="F56" s="66">
        <v>1.3680425000000001</v>
      </c>
      <c r="G56" s="138">
        <v>1.3652025000000001</v>
      </c>
      <c r="H56" s="138">
        <v>1.6442539658697903</v>
      </c>
      <c r="I56" s="140">
        <v>1683.8744169687168</v>
      </c>
      <c r="J56" s="138">
        <v>14.7960425</v>
      </c>
      <c r="K56" s="138">
        <v>3.9666696699999999</v>
      </c>
      <c r="L56" s="138">
        <v>10.799765000000001</v>
      </c>
      <c r="M56" s="138">
        <v>0.10080054472701099</v>
      </c>
      <c r="N56" s="138">
        <v>44.637354213999998</v>
      </c>
      <c r="O56" s="138">
        <v>16.964490043000001</v>
      </c>
      <c r="P56" s="138">
        <v>1.70584</v>
      </c>
      <c r="Q56" s="139">
        <v>-0.12045653327215633</v>
      </c>
      <c r="R56" s="140">
        <v>124.71554999999999</v>
      </c>
      <c r="S56" s="139">
        <v>0.57240400331137442</v>
      </c>
      <c r="T56" s="141">
        <v>0.64403721214950937</v>
      </c>
      <c r="U56" s="155">
        <v>1.11107114</v>
      </c>
      <c r="V56" s="139">
        <v>0.38923721855072091</v>
      </c>
      <c r="W56" s="66" t="s">
        <v>61</v>
      </c>
    </row>
    <row r="57" spans="1:23" x14ac:dyDescent="0.25">
      <c r="A57" t="s">
        <v>21</v>
      </c>
      <c r="B57">
        <v>1</v>
      </c>
      <c r="C57" s="137">
        <v>43465</v>
      </c>
      <c r="D57" s="138">
        <v>5.9787687749999997E-3</v>
      </c>
      <c r="E57" s="138">
        <v>1.1250990622142265</v>
      </c>
      <c r="F57" s="66">
        <v>2.3908974999999999</v>
      </c>
      <c r="G57" s="138">
        <v>1.5619400000000001</v>
      </c>
      <c r="H57" s="138">
        <v>0.31112263100510823</v>
      </c>
      <c r="I57" s="138">
        <v>1.2300068184200628</v>
      </c>
      <c r="J57" s="138">
        <v>27.236519999999999</v>
      </c>
      <c r="K57" s="140">
        <v>1825.7141567819499</v>
      </c>
      <c r="L57" s="140">
        <v>74842.276305000007</v>
      </c>
      <c r="M57" s="138">
        <v>-1.6855614882303176</v>
      </c>
      <c r="N57" s="138">
        <v>29.125466728900001</v>
      </c>
      <c r="O57" s="138">
        <v>25.3283714061</v>
      </c>
      <c r="P57" s="138">
        <v>3.1545299999999998</v>
      </c>
      <c r="Q57" s="139" t="s">
        <v>403</v>
      </c>
      <c r="R57" s="140">
        <v>83.364707999999993</v>
      </c>
      <c r="S57" s="139">
        <v>0.47590187047384491</v>
      </c>
      <c r="T57" s="141">
        <v>4.7723423291916758</v>
      </c>
      <c r="U57" s="155">
        <v>0.15221784333333335</v>
      </c>
      <c r="V57" s="139">
        <v>0.62299811363788149</v>
      </c>
      <c r="W57" s="66" t="s">
        <v>21</v>
      </c>
    </row>
    <row r="58" spans="1:23" x14ac:dyDescent="0.25">
      <c r="A58" t="s">
        <v>79</v>
      </c>
      <c r="B58">
        <v>1</v>
      </c>
      <c r="C58" s="137">
        <v>43465</v>
      </c>
      <c r="D58" s="142">
        <v>25.2480787605</v>
      </c>
      <c r="E58" s="142">
        <v>1.7021259823941319</v>
      </c>
      <c r="F58" s="66">
        <v>1.869475</v>
      </c>
      <c r="G58" s="138">
        <v>0.75602250000000004</v>
      </c>
      <c r="H58" s="138">
        <v>1.2026137399522938</v>
      </c>
      <c r="I58" s="138">
        <v>1.4578276811224953</v>
      </c>
      <c r="J58" s="138">
        <v>30.580942499999999</v>
      </c>
      <c r="K58" s="138">
        <v>5.8821073843000002</v>
      </c>
      <c r="L58" s="138">
        <v>1.2045775000000001</v>
      </c>
      <c r="M58" s="138">
        <v>1.1490528027829587E-2</v>
      </c>
      <c r="N58" s="138">
        <v>1.7937601948999999</v>
      </c>
      <c r="O58" s="138">
        <v>1.0573748716</v>
      </c>
      <c r="P58" s="138">
        <v>5.3499999999999997E-3</v>
      </c>
      <c r="Q58" s="139">
        <v>0.63166673313975497</v>
      </c>
      <c r="R58" s="140">
        <v>88.900248000000005</v>
      </c>
      <c r="S58" s="139">
        <v>0.14463446809458036</v>
      </c>
      <c r="T58" s="141">
        <v>0.58885017619698876</v>
      </c>
      <c r="U58" s="155">
        <v>1.7138172516666668</v>
      </c>
      <c r="V58" s="139">
        <v>0.27145353145101936</v>
      </c>
      <c r="W58" s="66" t="s">
        <v>79</v>
      </c>
    </row>
    <row r="59" spans="1:23" x14ac:dyDescent="0.25">
      <c r="A59" t="s">
        <v>59</v>
      </c>
      <c r="B59">
        <v>0.1</v>
      </c>
      <c r="C59" s="137">
        <v>43373</v>
      </c>
      <c r="D59" s="142">
        <v>19.759304407575002</v>
      </c>
      <c r="E59" s="142">
        <v>4.2293705560945369</v>
      </c>
      <c r="F59" s="66">
        <v>1.3577275</v>
      </c>
      <c r="G59" s="138">
        <v>1.3006225</v>
      </c>
      <c r="H59" s="138">
        <v>1.6589561853959653</v>
      </c>
      <c r="I59" s="138">
        <v>39.803064288066373</v>
      </c>
      <c r="J59" s="138">
        <v>15.23339</v>
      </c>
      <c r="K59" s="138">
        <v>5.2857897295249998</v>
      </c>
      <c r="L59" s="138">
        <v>3.1960899999999999</v>
      </c>
      <c r="M59" s="138">
        <v>2.255936414367261E-2</v>
      </c>
      <c r="N59" s="138">
        <v>23.324122047199999</v>
      </c>
      <c r="O59" s="138">
        <v>4.9109118542000001</v>
      </c>
      <c r="P59" s="138">
        <v>3.0095399999999999</v>
      </c>
      <c r="Q59" s="139">
        <v>-0.1269530003159175</v>
      </c>
      <c r="R59" s="140">
        <v>28.301416</v>
      </c>
      <c r="S59" s="139">
        <v>-2.5205931303698406</v>
      </c>
      <c r="T59" s="141">
        <v>2.3225377473468987</v>
      </c>
      <c r="U59" s="155">
        <v>1.2062576266666667</v>
      </c>
      <c r="V59" s="139">
        <v>0.26967763167430125</v>
      </c>
      <c r="W59" s="66" t="s">
        <v>59</v>
      </c>
    </row>
    <row r="60" spans="1:23" x14ac:dyDescent="0.25">
      <c r="A60" t="s">
        <v>76</v>
      </c>
      <c r="B60">
        <v>1</v>
      </c>
      <c r="C60" s="137">
        <v>43373</v>
      </c>
      <c r="D60" s="142">
        <v>145.34645340657499</v>
      </c>
      <c r="E60" s="142">
        <v>3.4250184360895575</v>
      </c>
      <c r="F60" s="66">
        <v>1.38008</v>
      </c>
      <c r="G60" s="138">
        <v>0.93137499999999995</v>
      </c>
      <c r="H60" s="138">
        <v>1.1598837660220216</v>
      </c>
      <c r="I60" s="138">
        <v>0.65581479925759556</v>
      </c>
      <c r="J60" s="138">
        <v>22.176662499999999</v>
      </c>
      <c r="K60" s="138">
        <v>1.51490945055</v>
      </c>
      <c r="L60" s="138">
        <v>-8.8995875000000009</v>
      </c>
      <c r="M60" s="138">
        <v>-3.055970999086164E-2</v>
      </c>
      <c r="N60" s="138">
        <v>9.5172821825000007</v>
      </c>
      <c r="O60" s="138">
        <v>2.7957390906000001</v>
      </c>
      <c r="P60" s="138">
        <v>0.27371000000000001</v>
      </c>
      <c r="Q60" s="139">
        <v>5.6775751412715616</v>
      </c>
      <c r="R60" s="140">
        <v>28.100518000000001</v>
      </c>
      <c r="S60" s="139">
        <v>-2.7829852783309423</v>
      </c>
      <c r="T60" s="141">
        <v>5.5780301997533481</v>
      </c>
      <c r="U60" s="155">
        <v>0.39166174333333331</v>
      </c>
      <c r="V60" s="139">
        <v>0.28854324054935065</v>
      </c>
      <c r="W60" s="66" t="s">
        <v>76</v>
      </c>
    </row>
    <row r="61" spans="1:23" x14ac:dyDescent="0.25">
      <c r="A61" t="s">
        <v>53</v>
      </c>
      <c r="B61">
        <v>0.1</v>
      </c>
      <c r="C61" s="137">
        <v>43373</v>
      </c>
      <c r="D61" s="142">
        <v>42.591083220999998</v>
      </c>
      <c r="E61" s="142">
        <v>4.5097114251543537</v>
      </c>
      <c r="F61" s="66">
        <v>1.1836275000000001</v>
      </c>
      <c r="G61" s="138">
        <v>0.76713249999999999</v>
      </c>
      <c r="H61" s="138">
        <v>1.6971135072076862</v>
      </c>
      <c r="I61" s="138" t="s">
        <v>403</v>
      </c>
      <c r="J61" s="138">
        <v>35.7061925</v>
      </c>
      <c r="K61" s="138">
        <v>9.2628106612500005</v>
      </c>
      <c r="L61" s="138">
        <v>-6.1949350000000001</v>
      </c>
      <c r="M61" s="138">
        <v>-8.2668814717846317E-2</v>
      </c>
      <c r="N61" s="138">
        <v>-49.006337500999997</v>
      </c>
      <c r="O61" s="138">
        <v>-13.983193264000001</v>
      </c>
      <c r="P61" s="138">
        <v>-1.5750200000000001</v>
      </c>
      <c r="Q61" s="139">
        <v>-1.2217507008674779</v>
      </c>
      <c r="R61" s="140">
        <v>-10.797332000000001</v>
      </c>
      <c r="S61" s="139">
        <v>-2.1661063728942223</v>
      </c>
      <c r="T61" s="141">
        <v>2.2024643408684184</v>
      </c>
      <c r="U61" s="155">
        <v>0.83395659833333335</v>
      </c>
      <c r="V61" s="139">
        <v>0.20882387135923763</v>
      </c>
      <c r="W61" s="66" t="s">
        <v>53</v>
      </c>
    </row>
    <row r="62" spans="1:23" x14ac:dyDescent="0.25">
      <c r="A62" t="s">
        <v>9</v>
      </c>
      <c r="B62">
        <v>1</v>
      </c>
      <c r="C62" s="137">
        <v>43281</v>
      </c>
      <c r="D62" s="142">
        <v>12.275948498749999</v>
      </c>
      <c r="E62" s="142">
        <v>13.213224370768046</v>
      </c>
      <c r="F62" s="66">
        <v>1.3447275000000001</v>
      </c>
      <c r="G62" s="138">
        <v>0.77902000000000005</v>
      </c>
      <c r="H62" s="138">
        <v>0.70080460374443454</v>
      </c>
      <c r="I62" s="138">
        <v>1.930544853621146</v>
      </c>
      <c r="J62" s="138">
        <v>31.159565000000001</v>
      </c>
      <c r="K62" s="138">
        <v>14.039742329899999</v>
      </c>
      <c r="L62" s="138">
        <v>4.0053549999999998</v>
      </c>
      <c r="M62" s="138">
        <v>3.7261887426456503E-2</v>
      </c>
      <c r="N62" s="138">
        <v>38.166273295400003</v>
      </c>
      <c r="O62" s="138">
        <v>2.7917581785999999</v>
      </c>
      <c r="P62" s="138">
        <v>0.64480999999999999</v>
      </c>
      <c r="Q62" s="139">
        <v>-1.3675841828107638</v>
      </c>
      <c r="R62" s="140">
        <v>5.7419120000000001</v>
      </c>
      <c r="S62" s="139">
        <v>0.21072681993760334</v>
      </c>
      <c r="T62" s="141">
        <v>0.77268552102333932</v>
      </c>
      <c r="U62" s="155">
        <v>0.255730285</v>
      </c>
      <c r="V62" s="139">
        <v>0.19719478697761472</v>
      </c>
      <c r="W62" s="66" t="s">
        <v>9</v>
      </c>
    </row>
    <row r="63" spans="1:23" x14ac:dyDescent="0.25">
      <c r="A63" t="s">
        <v>7</v>
      </c>
      <c r="B63">
        <v>1</v>
      </c>
      <c r="C63" s="137">
        <v>43373</v>
      </c>
      <c r="D63" s="142" t="s">
        <v>403</v>
      </c>
      <c r="E63" s="142">
        <v>-6.9593699025027544E-2</v>
      </c>
      <c r="F63" s="66">
        <v>2.08425E-2</v>
      </c>
      <c r="G63" s="138">
        <v>2.08425E-2</v>
      </c>
      <c r="H63" s="138" t="s">
        <v>403</v>
      </c>
      <c r="I63" s="138" t="s">
        <v>403</v>
      </c>
      <c r="J63" s="138" t="s">
        <v>403</v>
      </c>
      <c r="K63" s="138" t="s">
        <v>403</v>
      </c>
      <c r="L63" s="138" t="s">
        <v>403</v>
      </c>
      <c r="M63" s="138" t="s">
        <v>403</v>
      </c>
      <c r="N63" s="138" t="s">
        <v>403</v>
      </c>
      <c r="O63" s="155">
        <v>-180.45389160900001</v>
      </c>
      <c r="P63" s="138">
        <v>-1.37287</v>
      </c>
      <c r="Q63" s="139">
        <v>0.55335465813674523</v>
      </c>
      <c r="R63" s="140">
        <v>-8.9276579999999992</v>
      </c>
      <c r="S63" s="139">
        <v>0.82890221932149855</v>
      </c>
      <c r="T63" s="141">
        <v>2.8737777368047506</v>
      </c>
      <c r="U63" s="155">
        <v>0</v>
      </c>
      <c r="V63" s="139" t="s">
        <v>403</v>
      </c>
      <c r="W63" s="66" t="s">
        <v>7</v>
      </c>
    </row>
    <row r="64" spans="1:23" x14ac:dyDescent="0.25">
      <c r="A64" s="68" t="s">
        <v>122</v>
      </c>
      <c r="B64" s="69"/>
      <c r="C64" s="156"/>
      <c r="D64" s="144">
        <v>28.209157710408334</v>
      </c>
      <c r="E64" s="144">
        <v>3.3853187055326481</v>
      </c>
      <c r="F64" s="145">
        <v>1.4452444999999998</v>
      </c>
      <c r="G64" s="145">
        <v>1.09887625</v>
      </c>
      <c r="H64" s="145">
        <v>1.0357185818699213</v>
      </c>
      <c r="I64" s="164">
        <v>256.3223970369549</v>
      </c>
      <c r="J64" s="164">
        <v>29.178029444444444</v>
      </c>
      <c r="K64" s="164">
        <v>213.94313204346943</v>
      </c>
      <c r="L64" s="147">
        <v>8423.7529924999999</v>
      </c>
      <c r="M64" s="145">
        <v>0.85803918378424404</v>
      </c>
      <c r="N64" s="145">
        <v>54.070348363766669</v>
      </c>
      <c r="O64" s="145">
        <v>10.557366059410001</v>
      </c>
      <c r="P64" s="145">
        <v>25.210395999999996</v>
      </c>
      <c r="Q64" s="167">
        <v>12.066643180295532</v>
      </c>
      <c r="R64" s="147">
        <v>564.60743220000018</v>
      </c>
      <c r="S64" s="148">
        <v>-0.32051014008613288</v>
      </c>
      <c r="T64" s="148">
        <v>2.4100763979000535</v>
      </c>
      <c r="U64" s="164">
        <v>0.79598432400000008</v>
      </c>
      <c r="V64" s="146">
        <v>0.31649825170320406</v>
      </c>
      <c r="W64" s="76" t="s">
        <v>123</v>
      </c>
    </row>
    <row r="65" spans="1:23" ht="7.5" customHeight="1" x14ac:dyDescent="0.25">
      <c r="C65" s="137"/>
      <c r="D65" s="142"/>
      <c r="E65" s="142"/>
      <c r="F65" s="66"/>
      <c r="Q65" s="141"/>
      <c r="R65" s="140"/>
      <c r="S65" s="141"/>
      <c r="T65" s="141"/>
      <c r="U65" s="165"/>
      <c r="V65" s="139"/>
      <c r="W65" s="66"/>
    </row>
    <row r="66" spans="1:23" x14ac:dyDescent="0.25">
      <c r="A66" s="56" t="s">
        <v>128</v>
      </c>
      <c r="B66" s="80"/>
      <c r="C66" s="157"/>
      <c r="D66" s="150"/>
      <c r="E66" s="150"/>
      <c r="F66" s="86"/>
      <c r="G66" s="80"/>
      <c r="H66" s="80"/>
      <c r="I66" s="80"/>
      <c r="J66" s="80"/>
      <c r="K66" s="80"/>
      <c r="L66" s="80"/>
      <c r="M66" s="80"/>
      <c r="N66" s="80"/>
      <c r="O66" s="80"/>
      <c r="P66" s="80"/>
      <c r="Q66" s="154"/>
      <c r="R66" s="153"/>
      <c r="S66" s="154"/>
      <c r="T66" s="154"/>
      <c r="U66" s="166"/>
      <c r="V66" s="152"/>
      <c r="W66" s="86"/>
    </row>
    <row r="67" spans="1:23" x14ac:dyDescent="0.25">
      <c r="A67" t="s">
        <v>37</v>
      </c>
      <c r="B67">
        <v>1</v>
      </c>
      <c r="C67" s="137">
        <v>43373</v>
      </c>
      <c r="D67" s="142" t="s">
        <v>403</v>
      </c>
      <c r="E67" s="142">
        <v>9.1377357353738624</v>
      </c>
      <c r="F67" s="66">
        <v>1.8291975</v>
      </c>
      <c r="G67" s="138">
        <v>1.7804175</v>
      </c>
      <c r="H67" s="138" t="s">
        <v>403</v>
      </c>
      <c r="I67" s="138" t="s">
        <v>403</v>
      </c>
      <c r="J67" s="138" t="s">
        <v>403</v>
      </c>
      <c r="K67" s="138" t="s">
        <v>403</v>
      </c>
      <c r="L67" s="138" t="s">
        <v>403</v>
      </c>
      <c r="M67" s="138" t="s">
        <v>403</v>
      </c>
      <c r="N67" s="138">
        <v>30.639261679000001</v>
      </c>
      <c r="O67" s="138">
        <v>5.5541136780000002</v>
      </c>
      <c r="P67" s="138" t="s">
        <v>403</v>
      </c>
      <c r="Q67" s="139" t="s">
        <v>403</v>
      </c>
      <c r="R67" s="140">
        <v>4766</v>
      </c>
      <c r="S67" s="139">
        <v>0.60263241907821286</v>
      </c>
      <c r="T67" s="141">
        <v>3.5728048934166314</v>
      </c>
      <c r="U67" s="155">
        <v>13.573892666666666</v>
      </c>
      <c r="V67" s="139">
        <v>0.72169888504464708</v>
      </c>
      <c r="W67" s="66" t="s">
        <v>37</v>
      </c>
    </row>
    <row r="68" spans="1:23" x14ac:dyDescent="0.25">
      <c r="A68" t="s">
        <v>34</v>
      </c>
      <c r="B68">
        <v>1</v>
      </c>
      <c r="C68" s="137">
        <v>43465</v>
      </c>
      <c r="D68" s="138" t="s">
        <v>403</v>
      </c>
      <c r="E68" s="138">
        <v>1.8704401647638731</v>
      </c>
      <c r="F68" s="66">
        <v>4.7032299999999996</v>
      </c>
      <c r="G68" s="138">
        <v>4.69191</v>
      </c>
      <c r="H68" s="138">
        <v>9.6502991032733937E-2</v>
      </c>
      <c r="I68" s="138" t="s">
        <v>403</v>
      </c>
      <c r="J68" s="138">
        <v>65.4032725</v>
      </c>
      <c r="K68" s="138">
        <v>52.083159616374999</v>
      </c>
      <c r="L68" s="138">
        <v>14.444825</v>
      </c>
      <c r="M68" s="138">
        <v>3.5848386126496427E-2</v>
      </c>
      <c r="N68" s="138">
        <v>-1.3450839891999999</v>
      </c>
      <c r="O68" s="138">
        <v>-0.16349724500000001</v>
      </c>
      <c r="P68" s="138">
        <v>-3.9807700000000001</v>
      </c>
      <c r="Q68" s="139">
        <v>-9.2502307527278713</v>
      </c>
      <c r="R68" s="140">
        <v>5164.4358000000002</v>
      </c>
      <c r="S68" s="139">
        <v>1.1481590958273875</v>
      </c>
      <c r="T68" s="141">
        <v>2.5766597493384271</v>
      </c>
      <c r="U68" s="155">
        <v>3.5522290000000001</v>
      </c>
      <c r="V68" s="139">
        <v>0.29437543064667171</v>
      </c>
      <c r="W68" s="66" t="s">
        <v>34</v>
      </c>
    </row>
    <row r="69" spans="1:23" x14ac:dyDescent="0.25">
      <c r="A69" t="s">
        <v>15</v>
      </c>
      <c r="B69">
        <v>0.1</v>
      </c>
      <c r="C69" s="137">
        <v>43373</v>
      </c>
      <c r="D69" s="138" t="s">
        <v>403</v>
      </c>
      <c r="E69" s="138">
        <v>16.541271194249909</v>
      </c>
      <c r="F69" s="66">
        <v>1.6349400000000001</v>
      </c>
      <c r="G69" s="138">
        <v>1.5089275</v>
      </c>
      <c r="H69" s="138" t="s">
        <v>403</v>
      </c>
      <c r="I69" s="138" t="s">
        <v>403</v>
      </c>
      <c r="J69" s="138" t="s">
        <v>403</v>
      </c>
      <c r="K69" s="138" t="s">
        <v>403</v>
      </c>
      <c r="L69" s="138" t="s">
        <v>403</v>
      </c>
      <c r="M69" s="138" t="s">
        <v>403</v>
      </c>
      <c r="N69" s="138">
        <v>-22.151739874</v>
      </c>
      <c r="O69" s="138">
        <v>3.429767472</v>
      </c>
      <c r="P69" s="138" t="s">
        <v>403</v>
      </c>
      <c r="Q69" s="139" t="s">
        <v>403</v>
      </c>
      <c r="R69" s="140">
        <v>-895</v>
      </c>
      <c r="S69" s="139">
        <v>2.0487332747657625</v>
      </c>
      <c r="T69" s="141">
        <v>17.409483234409624</v>
      </c>
      <c r="U69" s="155">
        <v>16.523061166666665</v>
      </c>
      <c r="V69" s="139">
        <v>0.61682291561831537</v>
      </c>
      <c r="W69" s="66" t="s">
        <v>15</v>
      </c>
    </row>
    <row r="70" spans="1:23" x14ac:dyDescent="0.25">
      <c r="A70" t="s">
        <v>10</v>
      </c>
      <c r="B70">
        <v>1</v>
      </c>
      <c r="C70" s="137">
        <v>43373</v>
      </c>
      <c r="D70" s="138" t="s">
        <v>403</v>
      </c>
      <c r="E70" s="138">
        <v>1.9195094636333943</v>
      </c>
      <c r="F70" s="66">
        <v>3.0602399999999998</v>
      </c>
      <c r="G70" s="138">
        <v>1.7611600000000001</v>
      </c>
      <c r="H70" s="138">
        <v>0.10205832846171335</v>
      </c>
      <c r="I70" s="138">
        <v>1.8064202344418705</v>
      </c>
      <c r="J70" s="138">
        <v>57.245602499999997</v>
      </c>
      <c r="K70" s="138">
        <v>-11.642929265499999</v>
      </c>
      <c r="L70" s="138">
        <v>408.80867999999998</v>
      </c>
      <c r="M70" s="138">
        <v>2.3406347437582129</v>
      </c>
      <c r="N70" s="138">
        <v>41.990147378000003</v>
      </c>
      <c r="O70" s="138">
        <v>23.024312956999999</v>
      </c>
      <c r="P70" s="138">
        <v>12.4978</v>
      </c>
      <c r="Q70" s="139">
        <v>0.94031993086435173</v>
      </c>
      <c r="R70" s="140">
        <v>1937.7408</v>
      </c>
      <c r="S70" s="139">
        <v>1.5707425549172895</v>
      </c>
      <c r="T70" s="141">
        <v>4.0616268668777673</v>
      </c>
      <c r="U70" s="155">
        <v>3.6134750000000002</v>
      </c>
      <c r="V70" s="139">
        <v>2.9822983680543427</v>
      </c>
      <c r="W70" s="66" t="s">
        <v>10</v>
      </c>
    </row>
    <row r="71" spans="1:23" x14ac:dyDescent="0.25">
      <c r="A71" s="68" t="s">
        <v>122</v>
      </c>
      <c r="B71" s="69"/>
      <c r="C71" s="156"/>
      <c r="D71" s="144" t="s">
        <v>403</v>
      </c>
      <c r="E71" s="144">
        <v>7.3672391395052594</v>
      </c>
      <c r="F71" s="145">
        <v>2.8069018749999999</v>
      </c>
      <c r="G71" s="145">
        <v>2.4356037500000003</v>
      </c>
      <c r="H71" s="145">
        <v>9.9280659747223637E-2</v>
      </c>
      <c r="I71" s="145">
        <v>1.8064202344418705</v>
      </c>
      <c r="J71" s="145">
        <v>61.324437500000002</v>
      </c>
      <c r="K71" s="145">
        <v>20.220115175437499</v>
      </c>
      <c r="L71" s="145">
        <v>211.62675249999998</v>
      </c>
      <c r="M71" s="145">
        <v>1.1882415649423546</v>
      </c>
      <c r="N71" s="145">
        <v>12.283146298450001</v>
      </c>
      <c r="O71" s="145">
        <v>7.9611742154999998</v>
      </c>
      <c r="P71" s="145">
        <v>4.2585150000000001</v>
      </c>
      <c r="Q71" s="146">
        <v>-4.1549554109317599</v>
      </c>
      <c r="R71" s="147">
        <v>2743.2941499999997</v>
      </c>
      <c r="S71" s="148">
        <v>1.3425668361471632</v>
      </c>
      <c r="T71" s="148">
        <v>6.9051436860106126</v>
      </c>
      <c r="U71" s="164">
        <v>9.3156644583333321</v>
      </c>
      <c r="V71" s="146">
        <v>1.1537988998409943</v>
      </c>
      <c r="W71" s="76" t="s">
        <v>123</v>
      </c>
    </row>
    <row r="72" spans="1:23" ht="5.25" customHeight="1" x14ac:dyDescent="0.25">
      <c r="C72" s="137"/>
      <c r="D72" s="142"/>
      <c r="E72" s="142"/>
      <c r="F72" s="66"/>
      <c r="Q72" s="141"/>
      <c r="R72" s="140"/>
      <c r="S72" s="141"/>
      <c r="T72" s="141"/>
      <c r="U72" s="165"/>
      <c r="V72" s="139"/>
      <c r="W72" s="66"/>
    </row>
    <row r="73" spans="1:23" x14ac:dyDescent="0.25">
      <c r="A73" s="56" t="s">
        <v>129</v>
      </c>
      <c r="B73" s="80"/>
      <c r="C73" s="157"/>
      <c r="D73" s="150"/>
      <c r="E73" s="150"/>
      <c r="F73" s="86"/>
      <c r="G73" s="80"/>
      <c r="H73" s="80"/>
      <c r="I73" s="80"/>
      <c r="J73" s="80"/>
      <c r="K73" s="80"/>
      <c r="L73" s="80"/>
      <c r="M73" s="80"/>
      <c r="N73" s="80"/>
      <c r="O73" s="80"/>
      <c r="P73" s="80"/>
      <c r="Q73" s="154"/>
      <c r="R73" s="153"/>
      <c r="S73" s="154"/>
      <c r="T73" s="154"/>
      <c r="U73" s="166"/>
      <c r="V73" s="152"/>
      <c r="W73" s="86"/>
    </row>
    <row r="74" spans="1:23" x14ac:dyDescent="0.25">
      <c r="A74" t="s">
        <v>67</v>
      </c>
      <c r="B74">
        <v>1</v>
      </c>
      <c r="C74" s="137">
        <v>43465</v>
      </c>
      <c r="D74" s="142">
        <v>17.789043262275001</v>
      </c>
      <c r="E74" s="142">
        <v>1.3259617296181314</v>
      </c>
      <c r="F74" s="66">
        <v>1.5469725000000001</v>
      </c>
      <c r="G74" s="138">
        <v>0.4119025</v>
      </c>
      <c r="H74" s="138">
        <v>0.85815895101119455</v>
      </c>
      <c r="I74" s="138">
        <v>13.317650631102541</v>
      </c>
      <c r="J74" s="138">
        <v>28.172284999999999</v>
      </c>
      <c r="K74" s="138">
        <v>17.704238079425</v>
      </c>
      <c r="L74" s="138">
        <v>16.288270000000001</v>
      </c>
      <c r="M74" s="138">
        <v>0.19622341077727876</v>
      </c>
      <c r="N74" s="138">
        <v>15.5526617902</v>
      </c>
      <c r="O74" s="138">
        <v>11.8195043783</v>
      </c>
      <c r="P74" s="138">
        <v>2.9384100000000002</v>
      </c>
      <c r="Q74" s="139">
        <v>1.3885769271327639</v>
      </c>
      <c r="R74" s="140">
        <v>7205.2067999999999</v>
      </c>
      <c r="S74" s="139">
        <v>0.44492656672514008</v>
      </c>
      <c r="T74" s="141">
        <v>0.67329814695266932</v>
      </c>
      <c r="U74" s="155">
        <v>37.491127166666665</v>
      </c>
      <c r="V74" s="139">
        <v>0.3585982856896488</v>
      </c>
      <c r="W74" s="66" t="s">
        <v>67</v>
      </c>
    </row>
    <row r="75" spans="1:23" x14ac:dyDescent="0.25">
      <c r="A75" t="s">
        <v>8</v>
      </c>
      <c r="B75">
        <v>0.01</v>
      </c>
      <c r="C75" s="137">
        <v>43373</v>
      </c>
      <c r="D75" s="138">
        <v>117.081658471</v>
      </c>
      <c r="E75" s="138">
        <v>3.3055390495969168</v>
      </c>
      <c r="F75" s="66">
        <v>1.1049225</v>
      </c>
      <c r="G75" s="138">
        <v>0.72169499999999998</v>
      </c>
      <c r="H75" s="138">
        <v>1.3123012807503811</v>
      </c>
      <c r="I75" s="138">
        <v>8.7794546101352804</v>
      </c>
      <c r="J75" s="138">
        <v>28.995652499999998</v>
      </c>
      <c r="K75" s="138">
        <v>21.07054886925</v>
      </c>
      <c r="L75" s="138">
        <v>7.9904349999999997</v>
      </c>
      <c r="M75" s="138">
        <v>4.0322660765899701E-3</v>
      </c>
      <c r="N75" s="138">
        <v>44.946216694999997</v>
      </c>
      <c r="O75" s="138">
        <v>10.702122106999999</v>
      </c>
      <c r="P75" s="138">
        <v>2.48807</v>
      </c>
      <c r="Q75" s="139">
        <v>-0.43817630723611467</v>
      </c>
      <c r="R75" s="140">
        <v>544.95443799999998</v>
      </c>
      <c r="S75" s="139" t="s">
        <v>403</v>
      </c>
      <c r="T75" s="141">
        <v>0.9792893111525609</v>
      </c>
      <c r="U75" s="155">
        <v>9.7515087324999996</v>
      </c>
      <c r="V75" s="139" t="s">
        <v>403</v>
      </c>
      <c r="W75" s="66" t="s">
        <v>8</v>
      </c>
    </row>
    <row r="76" spans="1:23" x14ac:dyDescent="0.25">
      <c r="A76" t="s">
        <v>57</v>
      </c>
      <c r="B76">
        <v>0</v>
      </c>
      <c r="C76" s="137">
        <v>43465</v>
      </c>
      <c r="D76" s="138">
        <v>56.90696988485</v>
      </c>
      <c r="E76" s="138">
        <v>2.2340276202961706</v>
      </c>
      <c r="F76" s="66">
        <v>1.4041625</v>
      </c>
      <c r="G76" s="138">
        <v>0.4882975</v>
      </c>
      <c r="H76" s="138">
        <v>1.0205238941983992</v>
      </c>
      <c r="I76" s="138">
        <v>-1.9383386920884771</v>
      </c>
      <c r="J76" s="138">
        <v>30.295692500000001</v>
      </c>
      <c r="K76" s="138">
        <v>24.452034219649999</v>
      </c>
      <c r="L76" s="138">
        <v>13.6352525</v>
      </c>
      <c r="M76" s="138">
        <v>-1.4541986402715508E-2</v>
      </c>
      <c r="N76" s="138">
        <v>30.281827618400001</v>
      </c>
      <c r="O76" s="138">
        <v>15.4350409758</v>
      </c>
      <c r="P76" s="138">
        <v>1.6947399999999999</v>
      </c>
      <c r="Q76" s="139">
        <v>0.43535847212190149</v>
      </c>
      <c r="R76" s="140">
        <v>1917.322028</v>
      </c>
      <c r="S76" s="139">
        <v>0.74708110226938729</v>
      </c>
      <c r="T76" s="141">
        <v>0.79023479771360172</v>
      </c>
      <c r="U76" s="155">
        <v>12.131490980000001</v>
      </c>
      <c r="V76" s="139">
        <v>0.3256212877635265</v>
      </c>
      <c r="W76" s="66" t="s">
        <v>57</v>
      </c>
    </row>
    <row r="77" spans="1:23" x14ac:dyDescent="0.25">
      <c r="A77" t="s">
        <v>54</v>
      </c>
      <c r="B77">
        <v>1</v>
      </c>
      <c r="C77" s="137">
        <v>43373</v>
      </c>
      <c r="D77" s="138">
        <v>17.968281436000002</v>
      </c>
      <c r="E77" s="138">
        <v>4.0713145227980352</v>
      </c>
      <c r="F77" s="66">
        <v>0.71679000000000004</v>
      </c>
      <c r="G77" s="138">
        <v>0.40736499999999998</v>
      </c>
      <c r="H77" s="138">
        <v>2.2015073190854184</v>
      </c>
      <c r="I77" s="138">
        <v>14.838176852009159</v>
      </c>
      <c r="J77" s="138">
        <v>40.91198</v>
      </c>
      <c r="K77" s="138">
        <v>18.814356912000001</v>
      </c>
      <c r="L77" s="138">
        <v>12.935537500000001</v>
      </c>
      <c r="M77" s="138">
        <v>4.1069513054162671E-3</v>
      </c>
      <c r="N77" s="138">
        <v>76.535841747999996</v>
      </c>
      <c r="O77" s="138">
        <v>26.961809842000001</v>
      </c>
      <c r="P77" s="138">
        <v>3.5230100000000002</v>
      </c>
      <c r="Q77" s="139">
        <v>-0.15215105237375026</v>
      </c>
      <c r="R77" s="140">
        <v>436.66512399999999</v>
      </c>
      <c r="S77" s="139">
        <v>1.1243362260098513</v>
      </c>
      <c r="T77" s="141">
        <v>2.0410956523495849</v>
      </c>
      <c r="U77" s="155">
        <v>4.0941286033333331</v>
      </c>
      <c r="V77" s="139">
        <v>0.29667645623007677</v>
      </c>
      <c r="W77" s="66" t="s">
        <v>54</v>
      </c>
    </row>
    <row r="78" spans="1:23" x14ac:dyDescent="0.25">
      <c r="A78" t="s">
        <v>18</v>
      </c>
      <c r="B78">
        <v>1</v>
      </c>
      <c r="C78" s="137">
        <v>43373</v>
      </c>
      <c r="D78" s="142">
        <v>226.57338113874999</v>
      </c>
      <c r="E78" s="142">
        <v>4.7247395503689997</v>
      </c>
      <c r="F78" s="66">
        <v>1.2831874999999999</v>
      </c>
      <c r="G78" s="138">
        <v>1.0605374999999999</v>
      </c>
      <c r="H78" s="138">
        <v>1.3002403966474514</v>
      </c>
      <c r="I78" s="138">
        <v>10.324591074776109</v>
      </c>
      <c r="J78" s="138">
        <v>24.828175000000002</v>
      </c>
      <c r="K78" s="138">
        <v>13.491097967749999</v>
      </c>
      <c r="L78" s="138">
        <v>4.7988925</v>
      </c>
      <c r="M78" s="138">
        <v>3.1553027332194145E-2</v>
      </c>
      <c r="N78" s="138">
        <v>32.605532611000001</v>
      </c>
      <c r="O78" s="138">
        <v>7.2316807709999997</v>
      </c>
      <c r="P78" s="138">
        <v>2.0901100000000001</v>
      </c>
      <c r="Q78" s="139">
        <v>24.46697700142877</v>
      </c>
      <c r="R78" s="140">
        <v>-33.6434</v>
      </c>
      <c r="S78" s="139">
        <v>-2.0314499041000316</v>
      </c>
      <c r="T78" s="141">
        <v>1.2467554904885394</v>
      </c>
      <c r="U78" s="155">
        <v>6.3776401666666667</v>
      </c>
      <c r="V78" s="139">
        <v>0.27317182596549827</v>
      </c>
      <c r="W78" s="66" t="s">
        <v>18</v>
      </c>
    </row>
    <row r="79" spans="1:23" x14ac:dyDescent="0.25">
      <c r="A79" t="s">
        <v>29</v>
      </c>
      <c r="B79">
        <v>1</v>
      </c>
      <c r="C79" s="137">
        <v>43343</v>
      </c>
      <c r="D79" s="142">
        <v>105.138708544</v>
      </c>
      <c r="E79" s="142">
        <v>3.5525795716032431</v>
      </c>
      <c r="F79" s="66">
        <v>1.1879774999999999</v>
      </c>
      <c r="G79" s="138">
        <v>0.52354250000000002</v>
      </c>
      <c r="H79" s="138">
        <v>0.93272694755350438</v>
      </c>
      <c r="I79" s="138">
        <v>1.234625625029401</v>
      </c>
      <c r="J79" s="138">
        <v>26.681822499999999</v>
      </c>
      <c r="K79" s="138">
        <v>16.86305114975</v>
      </c>
      <c r="L79" s="138">
        <v>4.7860725000000004</v>
      </c>
      <c r="M79" s="138">
        <v>-2.3154010568261204E-4</v>
      </c>
      <c r="N79" s="138">
        <v>16.112762290999999</v>
      </c>
      <c r="O79" s="138">
        <v>4.7684154469999998</v>
      </c>
      <c r="P79" s="138">
        <v>1.3532200000000001</v>
      </c>
      <c r="Q79" s="139">
        <v>-0.86360794609441682</v>
      </c>
      <c r="R79" s="140">
        <v>72.478909999999999</v>
      </c>
      <c r="S79" s="139">
        <v>-3.9142716683211454E-2</v>
      </c>
      <c r="T79" s="141">
        <v>0.35915835756614378</v>
      </c>
      <c r="U79" s="155">
        <v>1.3304759866666667</v>
      </c>
      <c r="V79" s="139">
        <v>0.2157263593153933</v>
      </c>
      <c r="W79" s="66" t="s">
        <v>29</v>
      </c>
    </row>
    <row r="80" spans="1:23" x14ac:dyDescent="0.25">
      <c r="A80" t="s">
        <v>41</v>
      </c>
      <c r="B80">
        <v>0.1</v>
      </c>
      <c r="C80" s="137">
        <v>43434</v>
      </c>
      <c r="D80" s="142">
        <v>411.48681746264998</v>
      </c>
      <c r="E80" s="142">
        <v>7.16664173968553</v>
      </c>
      <c r="F80" s="66">
        <v>0.67762250000000002</v>
      </c>
      <c r="G80" s="138">
        <v>0.448015</v>
      </c>
      <c r="H80" s="138">
        <v>0.77411934688283723</v>
      </c>
      <c r="I80" s="138">
        <v>7.7843998054694268</v>
      </c>
      <c r="J80" s="138">
        <v>24.759282500000001</v>
      </c>
      <c r="K80" s="138">
        <v>14.527873082299999</v>
      </c>
      <c r="L80" s="138">
        <v>-33.386387499999998</v>
      </c>
      <c r="M80" s="138">
        <v>-0.27448343468113934</v>
      </c>
      <c r="N80" s="138">
        <v>-180.82687788609999</v>
      </c>
      <c r="O80" s="138">
        <v>-25.1012302229</v>
      </c>
      <c r="P80" s="138">
        <v>-0.217</v>
      </c>
      <c r="Q80" s="139">
        <v>1.0484739783263513</v>
      </c>
      <c r="R80" s="140">
        <v>-736.60260000000005</v>
      </c>
      <c r="S80" s="139">
        <v>0.73056699318724494</v>
      </c>
      <c r="T80" s="141">
        <v>1.6019281457316412</v>
      </c>
      <c r="U80" s="155">
        <v>3.5155433333333335</v>
      </c>
      <c r="V80" s="139">
        <v>0.22436808489956883</v>
      </c>
      <c r="W80" s="66" t="s">
        <v>41</v>
      </c>
    </row>
    <row r="81" spans="1:23" x14ac:dyDescent="0.25">
      <c r="A81" t="s">
        <v>28</v>
      </c>
      <c r="B81" s="37">
        <v>1</v>
      </c>
      <c r="C81" s="168" t="s">
        <v>403</v>
      </c>
      <c r="D81" s="142" t="s">
        <v>403</v>
      </c>
      <c r="E81" s="142" t="s">
        <v>403</v>
      </c>
      <c r="F81" s="66" t="s">
        <v>403</v>
      </c>
      <c r="G81" s="138" t="s">
        <v>403</v>
      </c>
      <c r="H81" s="138" t="s">
        <v>403</v>
      </c>
      <c r="I81" s="138" t="s">
        <v>403</v>
      </c>
      <c r="J81" s="138" t="s">
        <v>403</v>
      </c>
      <c r="K81" s="138" t="s">
        <v>403</v>
      </c>
      <c r="L81" s="138" t="s">
        <v>403</v>
      </c>
      <c r="M81" s="138" t="s">
        <v>403</v>
      </c>
      <c r="N81" s="138" t="s">
        <v>403</v>
      </c>
      <c r="O81" s="138" t="s">
        <v>403</v>
      </c>
      <c r="P81" s="138" t="s">
        <v>403</v>
      </c>
      <c r="Q81" s="139" t="s">
        <v>403</v>
      </c>
      <c r="R81" s="140" t="s">
        <v>403</v>
      </c>
      <c r="S81" s="139" t="s">
        <v>403</v>
      </c>
      <c r="T81" s="141" t="s">
        <v>403</v>
      </c>
      <c r="U81" s="155" t="s">
        <v>403</v>
      </c>
      <c r="V81" s="139" t="s">
        <v>403</v>
      </c>
      <c r="W81" s="66" t="s">
        <v>28</v>
      </c>
    </row>
    <row r="82" spans="1:23" x14ac:dyDescent="0.25">
      <c r="A82" t="s">
        <v>69</v>
      </c>
      <c r="B82">
        <v>1</v>
      </c>
      <c r="C82" s="137">
        <v>43465</v>
      </c>
      <c r="D82" s="142">
        <v>152.13213750887499</v>
      </c>
      <c r="E82" s="142">
        <v>3.603937286263263</v>
      </c>
      <c r="F82" s="66">
        <v>0.97480999999999995</v>
      </c>
      <c r="G82" s="138">
        <v>0.64434749999999996</v>
      </c>
      <c r="H82" s="138">
        <v>1.0491036791208543</v>
      </c>
      <c r="I82" s="138">
        <v>4.9415776697030882</v>
      </c>
      <c r="J82" s="138">
        <v>9.9606525000000001</v>
      </c>
      <c r="K82" s="138">
        <v>-4.222175745575</v>
      </c>
      <c r="L82" s="138">
        <v>-8.7860975000000003</v>
      </c>
      <c r="M82" s="138">
        <v>-6.8768090012427494E-2</v>
      </c>
      <c r="N82" s="138">
        <v>-36.928646025600003</v>
      </c>
      <c r="O82" s="138">
        <v>-10.4497411503</v>
      </c>
      <c r="P82" s="138">
        <v>-0.88224000000000002</v>
      </c>
      <c r="Q82" s="139">
        <v>-0.51198903592156331</v>
      </c>
      <c r="R82" s="140">
        <v>-7.2774919999999996</v>
      </c>
      <c r="S82" s="139">
        <v>-9.2830045693370167E-2</v>
      </c>
      <c r="T82" s="141">
        <v>48.975749972881978</v>
      </c>
      <c r="U82" s="155">
        <v>0.40992541833333329</v>
      </c>
      <c r="V82" s="139">
        <v>0.21209828656348573</v>
      </c>
      <c r="W82" s="66" t="s">
        <v>69</v>
      </c>
    </row>
    <row r="83" spans="1:23" x14ac:dyDescent="0.25">
      <c r="A83" t="s">
        <v>47</v>
      </c>
      <c r="B83">
        <v>1</v>
      </c>
      <c r="C83" s="137">
        <v>43281</v>
      </c>
      <c r="D83" s="142">
        <v>290.3018615835</v>
      </c>
      <c r="E83" s="142">
        <v>6.1910382898754994</v>
      </c>
      <c r="F83" s="66">
        <v>1.151275</v>
      </c>
      <c r="G83" s="138">
        <v>0.81842000000000004</v>
      </c>
      <c r="H83" s="138">
        <v>1.7165763936976504</v>
      </c>
      <c r="I83" s="138">
        <v>4.5030774340881923</v>
      </c>
      <c r="J83" s="138">
        <v>34.145672500000003</v>
      </c>
      <c r="K83" s="138">
        <v>-3.4341631255</v>
      </c>
      <c r="L83" s="138">
        <v>-12.269932499999999</v>
      </c>
      <c r="M83" s="138">
        <v>-0.11125061154238357</v>
      </c>
      <c r="N83" s="138">
        <v>-61.535570733</v>
      </c>
      <c r="O83" s="138">
        <v>-19.033275761999999</v>
      </c>
      <c r="P83" s="138">
        <v>-5.2544000000000004</v>
      </c>
      <c r="Q83" s="139">
        <v>0.16464320027950041</v>
      </c>
      <c r="R83" s="140">
        <v>-30.881</v>
      </c>
      <c r="S83" s="139">
        <v>0.80087870041295339</v>
      </c>
      <c r="T83" s="141">
        <v>1.548365165201971</v>
      </c>
      <c r="U83" s="155">
        <v>0.4570008333333333</v>
      </c>
      <c r="V83" s="139">
        <v>0.20755236378432551</v>
      </c>
      <c r="W83" s="66" t="s">
        <v>47</v>
      </c>
    </row>
    <row r="84" spans="1:23" x14ac:dyDescent="0.25">
      <c r="A84" s="68" t="s">
        <v>122</v>
      </c>
      <c r="B84" s="69"/>
      <c r="C84" s="69"/>
      <c r="D84" s="144">
        <v>155.04209547687776</v>
      </c>
      <c r="E84" s="144">
        <v>4.0195310400117545</v>
      </c>
      <c r="F84" s="145">
        <v>1.1164133333333333</v>
      </c>
      <c r="G84" s="145">
        <v>0.61379138888888884</v>
      </c>
      <c r="H84" s="145">
        <v>1.2405842454386322</v>
      </c>
      <c r="I84" s="145">
        <v>7.0872461122471906</v>
      </c>
      <c r="J84" s="145">
        <v>27.63902388888889</v>
      </c>
      <c r="K84" s="145">
        <v>13.251873489894443</v>
      </c>
      <c r="L84" s="145">
        <v>0.66578250000000117</v>
      </c>
      <c r="M84" s="145">
        <v>-2.5928889694763264E-2</v>
      </c>
      <c r="N84" s="145">
        <v>-7.0284724323444472</v>
      </c>
      <c r="O84" s="145">
        <v>2.4815918206555541</v>
      </c>
      <c r="P84" s="145">
        <v>0.85932444444444434</v>
      </c>
      <c r="Q84" s="146">
        <v>2.8375672486292718</v>
      </c>
      <c r="R84" s="147">
        <v>1040.9136453333331</v>
      </c>
      <c r="S84" s="148">
        <v>0.2105458652659955</v>
      </c>
      <c r="T84" s="148">
        <v>6.4684305600042986</v>
      </c>
      <c r="U84" s="164">
        <v>8.395426802314816</v>
      </c>
      <c r="V84" s="146">
        <v>0.26422661877644049</v>
      </c>
      <c r="W84" s="76" t="s">
        <v>123</v>
      </c>
    </row>
    <row r="85" spans="1:23" ht="26.25" customHeight="1" x14ac:dyDescent="0.25">
      <c r="A85" s="95"/>
      <c r="B85" s="30"/>
      <c r="C85" s="30"/>
      <c r="D85" s="158"/>
      <c r="E85" s="158"/>
      <c r="F85" s="30"/>
      <c r="G85" s="30"/>
      <c r="H85" s="30"/>
      <c r="I85" s="30"/>
      <c r="J85" s="30"/>
      <c r="K85" s="30"/>
      <c r="L85" s="30"/>
      <c r="M85" s="30"/>
      <c r="N85" s="30"/>
      <c r="O85" s="30"/>
      <c r="P85" s="30"/>
      <c r="Q85" s="30"/>
      <c r="R85" s="30"/>
      <c r="S85" s="30"/>
      <c r="T85" s="30"/>
      <c r="U85" s="30"/>
      <c r="V85" s="30"/>
      <c r="W85" s="95"/>
    </row>
    <row r="86" spans="1:23" x14ac:dyDescent="0.25">
      <c r="A86" s="123" t="s">
        <v>4</v>
      </c>
      <c r="B86" s="124" t="s">
        <v>138</v>
      </c>
      <c r="C86" s="125" t="s">
        <v>139</v>
      </c>
      <c r="D86" s="159" t="s">
        <v>140</v>
      </c>
      <c r="E86" s="160"/>
      <c r="F86" s="126" t="s">
        <v>141</v>
      </c>
      <c r="G86" s="127"/>
      <c r="H86" s="126" t="s">
        <v>142</v>
      </c>
      <c r="I86" s="127"/>
      <c r="J86" s="123" t="s">
        <v>143</v>
      </c>
      <c r="K86" s="161"/>
      <c r="L86" s="161"/>
      <c r="M86" s="161"/>
      <c r="N86" s="161"/>
      <c r="O86" s="161"/>
      <c r="P86" s="161"/>
      <c r="Q86" s="161"/>
      <c r="R86" s="161"/>
      <c r="S86" s="161"/>
      <c r="T86" s="161"/>
      <c r="U86" s="161"/>
      <c r="V86" s="162"/>
      <c r="W86" s="123" t="s">
        <v>4</v>
      </c>
    </row>
    <row r="87" spans="1:23" ht="36" x14ac:dyDescent="0.25">
      <c r="A87" s="129"/>
      <c r="B87" s="130"/>
      <c r="C87" s="131"/>
      <c r="D87" s="169" t="s">
        <v>144</v>
      </c>
      <c r="E87" s="169" t="s">
        <v>145</v>
      </c>
      <c r="F87" s="132" t="s">
        <v>146</v>
      </c>
      <c r="G87" s="132" t="s">
        <v>147</v>
      </c>
      <c r="H87" s="132" t="s">
        <v>148</v>
      </c>
      <c r="I87" s="132" t="s">
        <v>149</v>
      </c>
      <c r="J87" s="132" t="s">
        <v>150</v>
      </c>
      <c r="K87" s="132" t="s">
        <v>151</v>
      </c>
      <c r="L87" s="132" t="s">
        <v>152</v>
      </c>
      <c r="M87" s="132" t="s">
        <v>153</v>
      </c>
      <c r="N87" s="132" t="s">
        <v>154</v>
      </c>
      <c r="O87" s="132" t="s">
        <v>155</v>
      </c>
      <c r="P87" s="163" t="s">
        <v>156</v>
      </c>
      <c r="Q87" s="163" t="s">
        <v>246</v>
      </c>
      <c r="R87" s="163" t="s">
        <v>158</v>
      </c>
      <c r="S87" s="163" t="s">
        <v>159</v>
      </c>
      <c r="T87" s="163" t="s">
        <v>160</v>
      </c>
      <c r="U87" s="163" t="s">
        <v>161</v>
      </c>
      <c r="V87" s="163" t="s">
        <v>162</v>
      </c>
      <c r="W87" s="129"/>
    </row>
    <row r="88" spans="1:23" x14ac:dyDescent="0.25">
      <c r="A88" s="56" t="s">
        <v>130</v>
      </c>
      <c r="B88" s="80"/>
      <c r="C88" s="80"/>
      <c r="D88" s="80"/>
      <c r="E88" s="80"/>
      <c r="F88" s="80"/>
      <c r="G88" s="80"/>
      <c r="H88" s="80"/>
      <c r="I88" s="80"/>
      <c r="J88" s="80"/>
      <c r="K88" s="80"/>
      <c r="L88" s="80"/>
      <c r="M88" s="80"/>
      <c r="N88" s="80"/>
      <c r="O88" s="80"/>
      <c r="P88" s="80"/>
      <c r="Q88" s="80"/>
      <c r="R88" s="80"/>
      <c r="S88" s="80"/>
      <c r="T88" s="80"/>
      <c r="U88" s="80"/>
      <c r="V88" s="80"/>
      <c r="W88" s="80"/>
    </row>
    <row r="89" spans="1:23" x14ac:dyDescent="0.25">
      <c r="A89" t="s">
        <v>11</v>
      </c>
      <c r="B89">
        <v>1</v>
      </c>
      <c r="C89" s="137">
        <v>43373</v>
      </c>
      <c r="D89" s="138">
        <v>55.06808223825</v>
      </c>
      <c r="E89" s="138">
        <v>2.673433631190683</v>
      </c>
      <c r="F89" s="138">
        <v>1.6952575000000001</v>
      </c>
      <c r="G89" s="138">
        <v>1.3466100000000001</v>
      </c>
      <c r="H89" s="138">
        <v>0.75036536242564944</v>
      </c>
      <c r="I89" s="138">
        <v>2.8560125021107288</v>
      </c>
      <c r="J89" s="138">
        <v>51.636567499999998</v>
      </c>
      <c r="K89" s="138">
        <v>14.76619960525</v>
      </c>
      <c r="L89" s="138">
        <v>-4.5620000000000001E-2</v>
      </c>
      <c r="M89" s="138">
        <v>-0.2267295727191041</v>
      </c>
      <c r="N89" s="138">
        <v>0.35282287400000001</v>
      </c>
      <c r="O89" s="138">
        <v>9.3538239999999995E-2</v>
      </c>
      <c r="P89" s="138">
        <v>1.9210000000000001E-2</v>
      </c>
      <c r="Q89" s="139">
        <v>1.3042297428946588</v>
      </c>
      <c r="R89" s="140">
        <v>22.514203999999999</v>
      </c>
      <c r="S89" s="139">
        <v>0.58298572984812802</v>
      </c>
      <c r="T89" s="139">
        <v>26.196975527261774</v>
      </c>
      <c r="U89" s="155">
        <v>0.52194717000000002</v>
      </c>
      <c r="V89" s="139">
        <v>0.32546301058312488</v>
      </c>
      <c r="W89" s="66" t="s">
        <v>11</v>
      </c>
    </row>
    <row r="90" spans="1:23" x14ac:dyDescent="0.25">
      <c r="A90" t="s">
        <v>46</v>
      </c>
      <c r="B90">
        <v>1</v>
      </c>
      <c r="C90" s="137">
        <v>43373</v>
      </c>
      <c r="D90" s="138">
        <v>77.627249323749993</v>
      </c>
      <c r="E90" s="138">
        <v>3.2547099148398613</v>
      </c>
      <c r="F90" s="138">
        <v>1.5129524999999999</v>
      </c>
      <c r="G90" s="138">
        <v>0.93125500000000005</v>
      </c>
      <c r="H90" s="138">
        <v>0.97724921485698857</v>
      </c>
      <c r="I90" s="138">
        <v>0.42299563888514013</v>
      </c>
      <c r="J90" s="138">
        <v>41.073689999999999</v>
      </c>
      <c r="K90" s="138">
        <v>24.325228004749999</v>
      </c>
      <c r="L90" s="138">
        <v>3.2663924999999998</v>
      </c>
      <c r="M90" s="138">
        <v>0.13023083919235434</v>
      </c>
      <c r="N90" s="138">
        <v>21.084219710999999</v>
      </c>
      <c r="O90" s="138">
        <v>10.900692476</v>
      </c>
      <c r="P90" s="138">
        <v>0.43933</v>
      </c>
      <c r="Q90" s="139">
        <v>5.2118968391029386</v>
      </c>
      <c r="R90" s="140">
        <v>6.6666780000000001</v>
      </c>
      <c r="S90" s="139">
        <v>-1.3787081549425237</v>
      </c>
      <c r="T90" s="139">
        <v>7.0902392727767003</v>
      </c>
      <c r="U90" s="155">
        <v>0.12510801333333332</v>
      </c>
      <c r="V90" s="139">
        <v>0.15745418337692807</v>
      </c>
      <c r="W90" s="66" t="s">
        <v>46</v>
      </c>
    </row>
    <row r="91" spans="1:23" x14ac:dyDescent="0.25">
      <c r="A91" s="68" t="s">
        <v>122</v>
      </c>
      <c r="B91" s="69"/>
      <c r="C91" s="156"/>
      <c r="D91" s="145">
        <v>66.347665780999989</v>
      </c>
      <c r="E91" s="145">
        <v>2.9640717730152719</v>
      </c>
      <c r="F91" s="145">
        <v>1.6041050000000001</v>
      </c>
      <c r="G91" s="145">
        <v>1.1389325000000001</v>
      </c>
      <c r="H91" s="145">
        <v>0.86380728864131906</v>
      </c>
      <c r="I91" s="145">
        <v>1.6395040704979345</v>
      </c>
      <c r="J91" s="145">
        <v>46.355128749999999</v>
      </c>
      <c r="K91" s="145">
        <v>19.545713804999998</v>
      </c>
      <c r="L91" s="145">
        <v>1.6103862499999999</v>
      </c>
      <c r="M91" s="145">
        <v>-4.8249366763374879E-2</v>
      </c>
      <c r="N91" s="145">
        <v>10.7185212925</v>
      </c>
      <c r="O91" s="145">
        <v>5.4971153580000003</v>
      </c>
      <c r="P91" s="145">
        <v>0.22927</v>
      </c>
      <c r="Q91" s="148">
        <v>3.2580632909987988</v>
      </c>
      <c r="R91" s="147">
        <v>14.590441</v>
      </c>
      <c r="S91" s="146">
        <v>-0.39786121254719786</v>
      </c>
      <c r="T91" s="146">
        <v>16.643607400019238</v>
      </c>
      <c r="U91" s="164">
        <v>0.32352759166666667</v>
      </c>
      <c r="V91" s="146">
        <v>0.24145859698002647</v>
      </c>
      <c r="W91" s="76" t="s">
        <v>123</v>
      </c>
    </row>
    <row r="92" spans="1:23" x14ac:dyDescent="0.25">
      <c r="C92" s="137"/>
      <c r="D92" s="138"/>
      <c r="E92" s="138"/>
      <c r="F92" s="138"/>
      <c r="G92" s="138"/>
      <c r="H92" s="138"/>
      <c r="I92" s="138"/>
      <c r="J92" s="138"/>
      <c r="K92" s="138"/>
      <c r="L92" s="138"/>
      <c r="M92" s="138"/>
      <c r="N92" s="138"/>
      <c r="O92" s="138"/>
      <c r="P92" s="138"/>
      <c r="Q92" s="141"/>
      <c r="R92" s="140"/>
      <c r="S92" s="141"/>
      <c r="T92" s="141"/>
      <c r="U92" s="155"/>
      <c r="V92" s="139"/>
      <c r="W92" s="66"/>
    </row>
    <row r="93" spans="1:23" x14ac:dyDescent="0.25">
      <c r="A93" s="56" t="s">
        <v>131</v>
      </c>
      <c r="B93" s="80"/>
      <c r="C93" s="157"/>
      <c r="D93" s="150"/>
      <c r="E93" s="150"/>
      <c r="F93" s="151"/>
      <c r="G93" s="151"/>
      <c r="H93" s="151"/>
      <c r="I93" s="151"/>
      <c r="J93" s="151"/>
      <c r="K93" s="151"/>
      <c r="L93" s="151"/>
      <c r="M93" s="151"/>
      <c r="N93" s="151"/>
      <c r="O93" s="151"/>
      <c r="P93" s="151"/>
      <c r="Q93" s="154"/>
      <c r="R93" s="153"/>
      <c r="S93" s="154"/>
      <c r="T93" s="154"/>
      <c r="U93" s="166"/>
      <c r="V93" s="152"/>
      <c r="W93" s="86"/>
    </row>
    <row r="94" spans="1:23" x14ac:dyDescent="0.25">
      <c r="A94" t="s">
        <v>22</v>
      </c>
      <c r="B94">
        <v>1</v>
      </c>
      <c r="C94" s="137">
        <v>43373</v>
      </c>
      <c r="D94" s="142">
        <v>30.440767636349999</v>
      </c>
      <c r="E94" s="142">
        <v>3.3817290939515563</v>
      </c>
      <c r="F94" s="138">
        <v>0.96750499999999995</v>
      </c>
      <c r="G94" s="138">
        <v>0.95923499999999995</v>
      </c>
      <c r="H94" s="138">
        <v>1.9433959543689663</v>
      </c>
      <c r="I94" s="138">
        <v>326.54318470482457</v>
      </c>
      <c r="J94" s="138" t="s">
        <v>403</v>
      </c>
      <c r="K94" s="138">
        <v>15.17281625695</v>
      </c>
      <c r="L94" s="138">
        <v>9.0986925000000003</v>
      </c>
      <c r="M94" s="138">
        <v>3.3463057125917225E-2</v>
      </c>
      <c r="N94" s="138">
        <v>69.301737324599998</v>
      </c>
      <c r="O94" s="138">
        <v>19.756966185</v>
      </c>
      <c r="P94" s="138">
        <v>4.7536100000000001</v>
      </c>
      <c r="Q94" s="139">
        <v>0.40031376782497463</v>
      </c>
      <c r="R94" s="140">
        <v>484.14844799999997</v>
      </c>
      <c r="S94" s="139">
        <v>-3.4349408399826173</v>
      </c>
      <c r="T94" s="141">
        <v>3.6576101405493784</v>
      </c>
      <c r="U94" s="155">
        <v>2.7863415866666665</v>
      </c>
      <c r="V94" s="139">
        <v>0.5024501399348491</v>
      </c>
      <c r="W94" s="66" t="s">
        <v>22</v>
      </c>
    </row>
    <row r="95" spans="1:23" x14ac:dyDescent="0.25">
      <c r="A95" t="s">
        <v>40</v>
      </c>
      <c r="B95">
        <v>1</v>
      </c>
      <c r="C95" s="137">
        <v>43373</v>
      </c>
      <c r="D95" s="138">
        <v>3231.5544029877501</v>
      </c>
      <c r="E95" s="138">
        <v>10.169330616874252</v>
      </c>
      <c r="F95" s="138">
        <v>1.3705274999999999</v>
      </c>
      <c r="G95" s="138">
        <v>1.2759450000000001</v>
      </c>
      <c r="H95" s="138">
        <v>0.56357658022355694</v>
      </c>
      <c r="I95" s="138">
        <v>12.213149406736674</v>
      </c>
      <c r="J95" s="138">
        <v>50.837387499999998</v>
      </c>
      <c r="K95" s="138">
        <v>37.934197820999998</v>
      </c>
      <c r="L95" s="138">
        <v>6.2376575000000001</v>
      </c>
      <c r="M95" s="138">
        <v>-0.2365979154756146</v>
      </c>
      <c r="N95" s="138">
        <v>-111.692450701</v>
      </c>
      <c r="O95" s="138">
        <v>-5.7297206039999997</v>
      </c>
      <c r="P95" s="138">
        <v>-4.2196600000000002</v>
      </c>
      <c r="Q95" s="139">
        <v>-0.36795537603385275</v>
      </c>
      <c r="R95" s="140">
        <v>-963.382116</v>
      </c>
      <c r="S95" s="139">
        <v>-2.4597379966320361</v>
      </c>
      <c r="T95" s="141">
        <v>24.301042797514064</v>
      </c>
      <c r="U95" s="155">
        <v>16.808797551666665</v>
      </c>
      <c r="V95" s="139">
        <v>0.49706228793660623</v>
      </c>
      <c r="W95" s="66" t="s">
        <v>40</v>
      </c>
    </row>
    <row r="96" spans="1:23" x14ac:dyDescent="0.25">
      <c r="A96" t="s">
        <v>16</v>
      </c>
      <c r="B96">
        <v>1</v>
      </c>
      <c r="C96" s="137">
        <v>43373</v>
      </c>
      <c r="D96" s="138">
        <v>356.93816692374998</v>
      </c>
      <c r="E96" s="138">
        <v>17.420151635327382</v>
      </c>
      <c r="F96" s="138">
        <v>0.86270250000000004</v>
      </c>
      <c r="G96" s="138">
        <v>0.82687999999999995</v>
      </c>
      <c r="H96" s="138">
        <v>1.2748989841257268</v>
      </c>
      <c r="I96" s="138">
        <v>47.632711416419816</v>
      </c>
      <c r="J96" s="138" t="s">
        <v>403</v>
      </c>
      <c r="K96" s="138">
        <v>14.3238928475</v>
      </c>
      <c r="L96" s="138">
        <v>4.4682725000000003</v>
      </c>
      <c r="M96" s="138">
        <v>-5.6008766126468712E-2</v>
      </c>
      <c r="N96" s="138">
        <v>123.844629428</v>
      </c>
      <c r="O96" s="138">
        <v>6.745267868</v>
      </c>
      <c r="P96" s="138">
        <v>2.36707</v>
      </c>
      <c r="Q96" s="139">
        <v>5.2888341161227626</v>
      </c>
      <c r="R96" s="140">
        <v>257.16120000000001</v>
      </c>
      <c r="S96" s="139">
        <v>-1.9203033282409938</v>
      </c>
      <c r="T96" s="141">
        <v>2.1769314476166666</v>
      </c>
      <c r="U96" s="155">
        <v>8.4518628333333332</v>
      </c>
      <c r="V96" s="139">
        <v>0.5243684953058545</v>
      </c>
      <c r="W96" s="66" t="s">
        <v>16</v>
      </c>
    </row>
    <row r="97" spans="1:23" x14ac:dyDescent="0.25">
      <c r="A97" t="s">
        <v>71</v>
      </c>
      <c r="B97">
        <v>1</v>
      </c>
      <c r="C97" s="137">
        <v>43373</v>
      </c>
      <c r="D97" s="138">
        <v>65.05626456425</v>
      </c>
      <c r="E97" s="138">
        <v>2.2772672062687813</v>
      </c>
      <c r="F97" s="138">
        <v>3.1323349999999999</v>
      </c>
      <c r="G97" s="138">
        <v>3.1323349999999999</v>
      </c>
      <c r="H97" s="138">
        <v>0.83560776509172052</v>
      </c>
      <c r="I97" s="140" t="s">
        <v>403</v>
      </c>
      <c r="J97" s="138">
        <v>65.535137500000005</v>
      </c>
      <c r="K97" s="138">
        <v>62.005931325749998</v>
      </c>
      <c r="L97" s="138">
        <v>42.781565000000001</v>
      </c>
      <c r="M97" s="138">
        <v>0.22949667336247076</v>
      </c>
      <c r="N97" s="138">
        <v>90.969757239000003</v>
      </c>
      <c r="O97" s="138">
        <v>40.393095502000001</v>
      </c>
      <c r="P97" s="138">
        <v>7.4065399999999997</v>
      </c>
      <c r="Q97" s="139">
        <v>0.17376832166818468</v>
      </c>
      <c r="R97" s="140">
        <v>773.413636</v>
      </c>
      <c r="S97" s="139">
        <v>-2.8733011442401271</v>
      </c>
      <c r="T97" s="141">
        <v>19.649991684999364</v>
      </c>
      <c r="U97" s="155">
        <v>2.1753559683333337</v>
      </c>
      <c r="V97" s="139">
        <v>0.62675304218990724</v>
      </c>
      <c r="W97" s="66" t="s">
        <v>71</v>
      </c>
    </row>
    <row r="98" spans="1:23" x14ac:dyDescent="0.25">
      <c r="A98" t="s">
        <v>72</v>
      </c>
      <c r="B98">
        <v>1</v>
      </c>
      <c r="C98" s="137">
        <v>43373</v>
      </c>
      <c r="D98" s="142">
        <v>89.586889815000006</v>
      </c>
      <c r="E98" s="142">
        <v>3.0167530799800408</v>
      </c>
      <c r="F98" s="138">
        <v>0.81438750000000004</v>
      </c>
      <c r="G98" s="138">
        <v>0.81398999999999999</v>
      </c>
      <c r="H98" s="138">
        <v>0.84844266145604108</v>
      </c>
      <c r="I98" s="155">
        <v>6187.7076057788508</v>
      </c>
      <c r="J98" s="138" t="s">
        <v>403</v>
      </c>
      <c r="K98" s="138">
        <v>8.5033137252500008</v>
      </c>
      <c r="L98" s="138">
        <v>-12.004275</v>
      </c>
      <c r="M98" s="138">
        <v>-0.18446289393511586</v>
      </c>
      <c r="N98" s="138">
        <v>-36.577054953999998</v>
      </c>
      <c r="O98" s="138">
        <v>-11.057171922</v>
      </c>
      <c r="P98" s="138">
        <v>5.0000000000000001E-9</v>
      </c>
      <c r="Q98" s="139">
        <v>0.88051280653132258</v>
      </c>
      <c r="R98" s="140">
        <v>-480.73700000000002</v>
      </c>
      <c r="S98" s="139">
        <v>-2.340221585645903</v>
      </c>
      <c r="T98" s="141">
        <v>2.3926755461872289</v>
      </c>
      <c r="U98" s="155">
        <v>5.1943535000000001</v>
      </c>
      <c r="V98" s="139">
        <v>0.52079339188884854</v>
      </c>
      <c r="W98" s="66" t="s">
        <v>72</v>
      </c>
    </row>
    <row r="99" spans="1:23" x14ac:dyDescent="0.25">
      <c r="A99" t="s">
        <v>38</v>
      </c>
      <c r="B99">
        <v>1</v>
      </c>
      <c r="C99" s="137">
        <v>43373</v>
      </c>
      <c r="D99" s="142">
        <v>0</v>
      </c>
      <c r="E99" s="142">
        <v>5.7025776673662918</v>
      </c>
      <c r="F99" s="138">
        <v>1.1332774999999999</v>
      </c>
      <c r="G99" s="138">
        <v>1.1218925</v>
      </c>
      <c r="H99" s="138">
        <v>1.8233669966972657</v>
      </c>
      <c r="I99" s="138">
        <v>198.61055636430865</v>
      </c>
      <c r="J99" s="138">
        <v>19.690294999999999</v>
      </c>
      <c r="K99" s="138">
        <v>2.5738597962499998</v>
      </c>
      <c r="L99" s="138">
        <v>-3.1516225000000002</v>
      </c>
      <c r="M99" s="138">
        <v>-3.1008567084580763E-2</v>
      </c>
      <c r="N99" s="138">
        <v>23.034787482999999</v>
      </c>
      <c r="O99" s="138">
        <v>3.5551161429999998</v>
      </c>
      <c r="P99" s="138">
        <v>0.87822999999999996</v>
      </c>
      <c r="Q99" s="139">
        <v>-0.1316209549568067</v>
      </c>
      <c r="R99" s="140">
        <v>258.593456</v>
      </c>
      <c r="S99" s="139">
        <v>-2.765228758058119</v>
      </c>
      <c r="T99" s="141">
        <v>4.6322390888215654</v>
      </c>
      <c r="U99" s="155">
        <v>2.2921197433333336</v>
      </c>
      <c r="V99" s="139">
        <v>0.53600052382271524</v>
      </c>
      <c r="W99" s="66" t="s">
        <v>38</v>
      </c>
    </row>
    <row r="100" spans="1:23" x14ac:dyDescent="0.25">
      <c r="A100" t="s">
        <v>62</v>
      </c>
      <c r="B100">
        <v>1</v>
      </c>
      <c r="C100" s="137">
        <v>43404</v>
      </c>
      <c r="D100" s="142">
        <v>122.263247052975</v>
      </c>
      <c r="E100" s="142">
        <v>2.7778647032712409</v>
      </c>
      <c r="F100" s="138">
        <v>4.1817349999999998</v>
      </c>
      <c r="G100" s="138">
        <v>4.1076275000000004</v>
      </c>
      <c r="H100" s="138">
        <v>0.33150113306415979</v>
      </c>
      <c r="I100" s="155">
        <v>33.468869406194045</v>
      </c>
      <c r="J100" s="138" t="s">
        <v>403</v>
      </c>
      <c r="K100" s="138">
        <v>51.510887130299999</v>
      </c>
      <c r="L100" s="138">
        <v>3.0682499999999999</v>
      </c>
      <c r="M100" s="138">
        <v>-0.21804494294722318</v>
      </c>
      <c r="N100" s="138">
        <v>-0.93516702039999999</v>
      </c>
      <c r="O100" s="138">
        <v>-0.31213875930000001</v>
      </c>
      <c r="P100" s="138">
        <v>-0.32768999999999998</v>
      </c>
      <c r="Q100" s="139">
        <v>-1.5511740936449181</v>
      </c>
      <c r="R100" s="140">
        <v>99.398185999999995</v>
      </c>
      <c r="S100" s="139">
        <v>-2.5323286384195973</v>
      </c>
      <c r="T100" s="141">
        <v>2.0268718326696518</v>
      </c>
      <c r="U100" s="155">
        <v>1.9524587516666667</v>
      </c>
      <c r="V100" s="139">
        <v>0.42354387158062989</v>
      </c>
      <c r="W100" s="66" t="s">
        <v>62</v>
      </c>
    </row>
    <row r="101" spans="1:23" x14ac:dyDescent="0.25">
      <c r="A101" t="s">
        <v>42</v>
      </c>
      <c r="B101">
        <v>1</v>
      </c>
      <c r="C101" s="137">
        <v>43373</v>
      </c>
      <c r="D101" s="142">
        <v>0</v>
      </c>
      <c r="E101" s="142">
        <v>2.6221547441900941</v>
      </c>
      <c r="F101" s="138">
        <v>1.1515575</v>
      </c>
      <c r="G101" s="138">
        <v>1.1477999999999999</v>
      </c>
      <c r="H101" s="138">
        <v>1.8605973023315583</v>
      </c>
      <c r="I101" s="155">
        <v>561.95017291787451</v>
      </c>
      <c r="J101" s="138">
        <v>40.9601525</v>
      </c>
      <c r="K101" s="138">
        <v>28.4023089895</v>
      </c>
      <c r="L101" s="138">
        <v>34.338922500000002</v>
      </c>
      <c r="M101" s="138">
        <v>0.17300256707171227</v>
      </c>
      <c r="N101" s="138">
        <v>115.0605436532</v>
      </c>
      <c r="O101" s="138">
        <v>38.179529406500002</v>
      </c>
      <c r="P101" s="138">
        <v>6.8804800000000004</v>
      </c>
      <c r="Q101" s="139">
        <v>0.33842423294287904</v>
      </c>
      <c r="R101" s="140">
        <v>315.34339999999997</v>
      </c>
      <c r="S101" s="139">
        <v>1.3631551901262644</v>
      </c>
      <c r="T101" s="141">
        <v>3.5594744534247522</v>
      </c>
      <c r="U101" s="155">
        <v>1.0177866666666666</v>
      </c>
      <c r="V101" s="139">
        <v>0.60235136755933172</v>
      </c>
      <c r="W101" s="66" t="s">
        <v>42</v>
      </c>
    </row>
    <row r="102" spans="1:23" x14ac:dyDescent="0.25">
      <c r="A102" t="s">
        <v>25</v>
      </c>
      <c r="B102">
        <v>1</v>
      </c>
      <c r="C102" s="137">
        <v>43373</v>
      </c>
      <c r="D102" s="142">
        <v>47.647932861999998</v>
      </c>
      <c r="E102" s="142">
        <v>1.9622276205415448</v>
      </c>
      <c r="F102" s="138">
        <v>1.2160325000000001</v>
      </c>
      <c r="G102" s="138">
        <v>1.19478</v>
      </c>
      <c r="H102" s="138">
        <v>0.24933791646385348</v>
      </c>
      <c r="I102" s="138">
        <v>15.07830951584652</v>
      </c>
      <c r="J102" s="138" t="s">
        <v>403</v>
      </c>
      <c r="K102" s="155">
        <v>202.57552353874999</v>
      </c>
      <c r="L102" s="138">
        <v>284.92335250000002</v>
      </c>
      <c r="M102" s="138">
        <v>1.3713702428670267</v>
      </c>
      <c r="N102" s="138">
        <v>122.544240325</v>
      </c>
      <c r="O102" s="138">
        <v>59.814913208</v>
      </c>
      <c r="P102" s="138">
        <v>11.73489</v>
      </c>
      <c r="Q102" s="139">
        <v>0.38369693917758663</v>
      </c>
      <c r="R102" s="140">
        <v>3106.4074000000001</v>
      </c>
      <c r="S102" s="139">
        <v>-3.35539508931942</v>
      </c>
      <c r="T102" s="141">
        <v>1.3859569620848144</v>
      </c>
      <c r="U102" s="155">
        <v>2.5984596666666664</v>
      </c>
      <c r="V102" s="139">
        <v>0.42366345558960083</v>
      </c>
      <c r="W102" s="66" t="s">
        <v>25</v>
      </c>
    </row>
    <row r="103" spans="1:23" x14ac:dyDescent="0.25">
      <c r="A103" t="s">
        <v>80</v>
      </c>
      <c r="B103">
        <v>1</v>
      </c>
      <c r="C103" s="137">
        <v>43465</v>
      </c>
      <c r="D103" s="142">
        <v>121.77006124397499</v>
      </c>
      <c r="E103" s="142">
        <v>4.1718907895369073</v>
      </c>
      <c r="F103" s="138">
        <v>1.0262325000000001</v>
      </c>
      <c r="G103" s="138">
        <v>0.99104999999999999</v>
      </c>
      <c r="H103" s="138">
        <v>0.66087407514680652</v>
      </c>
      <c r="I103" s="138">
        <v>26.221638950965609</v>
      </c>
      <c r="J103" s="138">
        <v>52.241372499999997</v>
      </c>
      <c r="K103" s="138">
        <v>43.562209399375</v>
      </c>
      <c r="L103" s="138">
        <v>27.280650000000001</v>
      </c>
      <c r="M103" s="138">
        <v>0.36717822030941549</v>
      </c>
      <c r="N103" s="138">
        <v>71.329331601500002</v>
      </c>
      <c r="O103" s="138">
        <v>22.108180646000001</v>
      </c>
      <c r="P103" s="138">
        <v>4.1210800000000001</v>
      </c>
      <c r="Q103" s="139">
        <v>12.446554508455614</v>
      </c>
      <c r="R103" s="140">
        <v>1305.6201799999999</v>
      </c>
      <c r="S103" s="139">
        <v>-2.707277162348849</v>
      </c>
      <c r="T103" s="141">
        <v>2.2973832810646075</v>
      </c>
      <c r="U103" s="155">
        <v>2.5932683016666664</v>
      </c>
      <c r="V103" s="139">
        <v>0.40981935269475955</v>
      </c>
      <c r="W103" s="66" t="s">
        <v>80</v>
      </c>
    </row>
    <row r="104" spans="1:23" x14ac:dyDescent="0.25">
      <c r="A104" s="68" t="s">
        <v>122</v>
      </c>
      <c r="B104" s="69"/>
      <c r="C104" s="156"/>
      <c r="D104" s="144">
        <v>406.52577330860498</v>
      </c>
      <c r="E104" s="144">
        <v>5.3501947157308098</v>
      </c>
      <c r="F104" s="145">
        <v>1.58562925</v>
      </c>
      <c r="G104" s="145">
        <v>1.5571535000000001</v>
      </c>
      <c r="H104" s="145">
        <v>1.0391599368969655</v>
      </c>
      <c r="I104" s="164">
        <v>823.26957760689129</v>
      </c>
      <c r="J104" s="145">
        <v>45.852868999999998</v>
      </c>
      <c r="K104" s="145">
        <v>46.656494083062498</v>
      </c>
      <c r="L104" s="145">
        <v>39.7041465</v>
      </c>
      <c r="M104" s="145">
        <v>0.14483876751675395</v>
      </c>
      <c r="N104" s="145">
        <v>46.688035437890008</v>
      </c>
      <c r="O104" s="145">
        <v>17.345403767320001</v>
      </c>
      <c r="P104" s="145">
        <v>3.3594550005000001</v>
      </c>
      <c r="Q104" s="146">
        <v>1.7861354268087744</v>
      </c>
      <c r="R104" s="147">
        <v>515.59667899999999</v>
      </c>
      <c r="S104" s="146">
        <v>-2.3025579352761398</v>
      </c>
      <c r="T104" s="148">
        <v>6.6080177234932096</v>
      </c>
      <c r="U104" s="164">
        <v>4.5870804569999999</v>
      </c>
      <c r="V104" s="146">
        <v>0.50668059285031031</v>
      </c>
      <c r="W104" s="76" t="s">
        <v>123</v>
      </c>
    </row>
    <row r="105" spans="1:23" x14ac:dyDescent="0.25">
      <c r="C105" s="137"/>
      <c r="D105" s="142"/>
      <c r="E105" s="142"/>
      <c r="F105" s="138"/>
      <c r="G105" s="138"/>
      <c r="H105" s="138"/>
      <c r="I105" s="138"/>
      <c r="J105" s="138"/>
      <c r="K105" s="138"/>
      <c r="L105" s="138"/>
      <c r="M105" s="138"/>
      <c r="N105" s="138"/>
      <c r="O105" s="138"/>
      <c r="P105" s="138"/>
      <c r="Q105" s="141"/>
      <c r="R105" s="140"/>
      <c r="S105" s="141"/>
      <c r="T105" s="141"/>
      <c r="U105" s="155"/>
      <c r="V105" s="139"/>
      <c r="W105" s="66"/>
    </row>
    <row r="106" spans="1:23" x14ac:dyDescent="0.25">
      <c r="A106" s="56" t="s">
        <v>132</v>
      </c>
      <c r="B106" s="80"/>
      <c r="C106" s="157"/>
      <c r="D106" s="150"/>
      <c r="E106" s="150"/>
      <c r="F106" s="151"/>
      <c r="G106" s="151"/>
      <c r="H106" s="151"/>
      <c r="I106" s="151"/>
      <c r="J106" s="151"/>
      <c r="K106" s="151"/>
      <c r="L106" s="151"/>
      <c r="M106" s="151"/>
      <c r="N106" s="151"/>
      <c r="O106" s="151"/>
      <c r="P106" s="151"/>
      <c r="Q106" s="154"/>
      <c r="R106" s="153"/>
      <c r="S106" s="154"/>
      <c r="T106" s="154"/>
      <c r="U106" s="166"/>
      <c r="V106" s="152"/>
      <c r="W106" s="86"/>
    </row>
    <row r="107" spans="1:23" x14ac:dyDescent="0.25">
      <c r="A107" t="s">
        <v>65</v>
      </c>
      <c r="B107">
        <v>1</v>
      </c>
      <c r="C107" s="137">
        <v>43404</v>
      </c>
      <c r="D107" s="142">
        <v>1.2950889803000001</v>
      </c>
      <c r="E107" s="142">
        <v>1.2514246247208951</v>
      </c>
      <c r="F107" s="138">
        <v>3.4192049999999998</v>
      </c>
      <c r="G107" s="138">
        <v>3.3374899999999998</v>
      </c>
      <c r="H107" s="138">
        <v>0.70701186341951394</v>
      </c>
      <c r="I107" s="138">
        <v>21.993389403950303</v>
      </c>
      <c r="J107" s="138">
        <v>48.181885000000001</v>
      </c>
      <c r="K107" s="138">
        <v>25.275175434074999</v>
      </c>
      <c r="L107" s="138">
        <v>27.996524999999998</v>
      </c>
      <c r="M107" s="138">
        <v>0.29039155948794132</v>
      </c>
      <c r="N107" s="138">
        <v>26.4725022993</v>
      </c>
      <c r="O107" s="138">
        <v>20.375619237399999</v>
      </c>
      <c r="P107" s="138">
        <v>0.44817000000000001</v>
      </c>
      <c r="Q107" s="139">
        <v>1.5706038845768888</v>
      </c>
      <c r="R107" s="140">
        <v>288.89729999999997</v>
      </c>
      <c r="S107" s="139">
        <v>0.44930733388877098</v>
      </c>
      <c r="T107" s="141">
        <v>0.88618285913490091</v>
      </c>
      <c r="U107" s="155">
        <v>0.95505934333333342</v>
      </c>
      <c r="V107" s="139">
        <v>0.37320082407059463</v>
      </c>
      <c r="W107" s="66" t="s">
        <v>65</v>
      </c>
    </row>
    <row r="108" spans="1:23" x14ac:dyDescent="0.25">
      <c r="A108" s="68" t="s">
        <v>122</v>
      </c>
      <c r="B108" s="69"/>
      <c r="C108" s="156"/>
      <c r="D108" s="145">
        <v>1.2950889803000001</v>
      </c>
      <c r="E108" s="145">
        <v>1.2514246247208951</v>
      </c>
      <c r="F108" s="145">
        <v>3.4192049999999998</v>
      </c>
      <c r="G108" s="145">
        <v>3.3374899999999998</v>
      </c>
      <c r="H108" s="145">
        <v>0.70701186341951394</v>
      </c>
      <c r="I108" s="145">
        <v>21.993389403950303</v>
      </c>
      <c r="J108" s="145">
        <v>48.181885000000001</v>
      </c>
      <c r="K108" s="145">
        <v>25.275175434074999</v>
      </c>
      <c r="L108" s="145">
        <v>27.996524999999998</v>
      </c>
      <c r="M108" s="145">
        <v>0.29039155948794132</v>
      </c>
      <c r="N108" s="145">
        <v>26.4725022993</v>
      </c>
      <c r="O108" s="145">
        <v>20.375619237399999</v>
      </c>
      <c r="P108" s="145">
        <v>0.44817000000000001</v>
      </c>
      <c r="Q108" s="146">
        <v>1.5706038845768888</v>
      </c>
      <c r="R108" s="147">
        <v>288.89729999999997</v>
      </c>
      <c r="S108" s="148">
        <v>0.44930733388877098</v>
      </c>
      <c r="T108" s="148">
        <v>0.88618285913490091</v>
      </c>
      <c r="U108" s="164">
        <v>0.95505934333333342</v>
      </c>
      <c r="V108" s="146">
        <v>0.37320082407059463</v>
      </c>
      <c r="W108" s="76" t="s">
        <v>123</v>
      </c>
    </row>
    <row r="109" spans="1:23" x14ac:dyDescent="0.25">
      <c r="C109" s="137"/>
      <c r="D109" s="138"/>
      <c r="E109" s="138"/>
      <c r="F109" s="138"/>
      <c r="G109" s="138"/>
      <c r="H109" s="138"/>
      <c r="I109" s="138"/>
      <c r="J109" s="138"/>
      <c r="K109" s="138"/>
      <c r="L109" s="138"/>
      <c r="M109" s="138"/>
      <c r="N109" s="138"/>
      <c r="O109" s="138"/>
      <c r="P109" s="138"/>
      <c r="Q109" s="141"/>
      <c r="R109" s="140"/>
      <c r="S109" s="141"/>
      <c r="T109" s="141"/>
      <c r="U109" s="155"/>
      <c r="V109" s="139"/>
      <c r="W109" s="66"/>
    </row>
    <row r="110" spans="1:23" x14ac:dyDescent="0.25">
      <c r="A110" s="56" t="s">
        <v>133</v>
      </c>
      <c r="B110" s="80"/>
      <c r="C110" s="157"/>
      <c r="D110" s="151"/>
      <c r="E110" s="151"/>
      <c r="F110" s="151"/>
      <c r="G110" s="151"/>
      <c r="H110" s="151"/>
      <c r="I110" s="151"/>
      <c r="J110" s="151"/>
      <c r="K110" s="151"/>
      <c r="L110" s="151"/>
      <c r="M110" s="151"/>
      <c r="N110" s="151"/>
      <c r="O110" s="151"/>
      <c r="P110" s="151"/>
      <c r="Q110" s="154"/>
      <c r="R110" s="153"/>
      <c r="S110" s="154"/>
      <c r="T110" s="154"/>
      <c r="U110" s="166"/>
      <c r="V110" s="152"/>
      <c r="W110" s="86"/>
    </row>
    <row r="111" spans="1:23" x14ac:dyDescent="0.25">
      <c r="A111" t="s">
        <v>12</v>
      </c>
      <c r="B111">
        <v>1</v>
      </c>
      <c r="C111" s="137">
        <v>43465</v>
      </c>
      <c r="D111" s="142">
        <v>333.65411107134997</v>
      </c>
      <c r="E111" s="142">
        <v>6.785094879360182</v>
      </c>
      <c r="F111" s="138">
        <v>0.76857500000000001</v>
      </c>
      <c r="G111" s="138">
        <v>0.71586749999999999</v>
      </c>
      <c r="H111" s="138">
        <v>16.155060859281644</v>
      </c>
      <c r="I111" s="138">
        <v>13.128761428699111</v>
      </c>
      <c r="J111" s="138">
        <v>72.581490000000002</v>
      </c>
      <c r="K111" s="138">
        <v>14.392252270249999</v>
      </c>
      <c r="L111" s="138">
        <v>6.9350550000000002</v>
      </c>
      <c r="M111" s="138">
        <v>4.2256080247657188E-2</v>
      </c>
      <c r="N111" s="138">
        <v>19.106891903499999</v>
      </c>
      <c r="O111" s="138">
        <v>3.4480802050000001</v>
      </c>
      <c r="P111" s="138">
        <v>23.1645347661056</v>
      </c>
      <c r="Q111" s="139">
        <v>-0.51778891723211473</v>
      </c>
      <c r="R111" s="140">
        <v>66791.739105029643</v>
      </c>
      <c r="S111" s="139">
        <v>0.28423230325362492</v>
      </c>
      <c r="T111" s="141">
        <v>1.6719495450326314</v>
      </c>
      <c r="U111" s="155">
        <v>976.63352155403777</v>
      </c>
      <c r="V111" s="139">
        <v>0.32670199805907196</v>
      </c>
      <c r="W111" s="66" t="s">
        <v>12</v>
      </c>
    </row>
    <row r="112" spans="1:23" x14ac:dyDescent="0.25">
      <c r="A112" t="s">
        <v>14</v>
      </c>
      <c r="B112">
        <v>1</v>
      </c>
      <c r="C112" s="137">
        <v>43373</v>
      </c>
      <c r="D112" s="138">
        <v>54.508914956749997</v>
      </c>
      <c r="E112" s="138">
        <v>2.0147818682800676</v>
      </c>
      <c r="F112" s="138">
        <v>0.56067</v>
      </c>
      <c r="G112" s="138">
        <v>0.51237999999999995</v>
      </c>
      <c r="H112" s="138">
        <v>0.6168032948254546</v>
      </c>
      <c r="I112" s="138">
        <v>19.251371082055009</v>
      </c>
      <c r="J112" s="138">
        <v>78.143839999999997</v>
      </c>
      <c r="K112" s="138">
        <v>22.159596337250001</v>
      </c>
      <c r="L112" s="138">
        <v>-10.352415000000001</v>
      </c>
      <c r="M112" s="138">
        <v>-0.46134531743397256</v>
      </c>
      <c r="N112" s="138">
        <v>-24.950587316</v>
      </c>
      <c r="O112" s="138">
        <v>-10.75915548</v>
      </c>
      <c r="P112" s="138">
        <v>-6.5789499999999999</v>
      </c>
      <c r="Q112" s="139">
        <v>-0.63365981844242714</v>
      </c>
      <c r="R112" s="140">
        <v>-1408.2</v>
      </c>
      <c r="S112" s="139">
        <v>0.2322988681393372</v>
      </c>
      <c r="T112" s="141">
        <v>0.37793259217108188</v>
      </c>
      <c r="U112" s="155">
        <v>40.352666666666664</v>
      </c>
      <c r="V112" s="139">
        <v>0.24094622495240414</v>
      </c>
      <c r="W112" s="66" t="s">
        <v>14</v>
      </c>
    </row>
    <row r="113" spans="1:23" x14ac:dyDescent="0.25">
      <c r="A113" t="s">
        <v>70</v>
      </c>
      <c r="B113">
        <v>1</v>
      </c>
      <c r="C113" s="137">
        <v>43373</v>
      </c>
      <c r="D113" s="138">
        <v>216.61795284600001</v>
      </c>
      <c r="E113" s="138">
        <v>5.7306050549163734</v>
      </c>
      <c r="F113" s="138">
        <v>0.49283500000000002</v>
      </c>
      <c r="G113" s="138">
        <v>0.46638499999999999</v>
      </c>
      <c r="H113" s="138">
        <v>0.58698220123778755</v>
      </c>
      <c r="I113" s="138">
        <v>70.470534876341446</v>
      </c>
      <c r="J113" s="138">
        <v>78.302679999999995</v>
      </c>
      <c r="K113" s="138">
        <v>23.7821182325</v>
      </c>
      <c r="L113" s="138">
        <v>-9.8787075000000009</v>
      </c>
      <c r="M113" s="138">
        <v>-0.42291518290022329</v>
      </c>
      <c r="N113" s="138">
        <v>-60.218745167999998</v>
      </c>
      <c r="O113" s="138">
        <v>-16.032023001999999</v>
      </c>
      <c r="P113" s="138">
        <v>-71.555850000000007</v>
      </c>
      <c r="Q113" s="139">
        <v>-0.58025439127801337</v>
      </c>
      <c r="R113" s="140">
        <v>-3999.3846366666667</v>
      </c>
      <c r="S113" s="139" t="s">
        <v>403</v>
      </c>
      <c r="T113" s="141" t="s">
        <v>403</v>
      </c>
      <c r="U113" s="155">
        <v>28.399728509999999</v>
      </c>
      <c r="V113" s="139" t="s">
        <v>403</v>
      </c>
      <c r="W113" s="66" t="s">
        <v>70</v>
      </c>
    </row>
    <row r="114" spans="1:23" x14ac:dyDescent="0.25">
      <c r="A114" t="s">
        <v>52</v>
      </c>
      <c r="B114">
        <v>1</v>
      </c>
      <c r="C114" s="137">
        <v>43373</v>
      </c>
      <c r="D114" s="138">
        <v>27.493112843999999</v>
      </c>
      <c r="E114" s="138">
        <v>2.425661837191547</v>
      </c>
      <c r="F114" s="138">
        <v>1.4082049999999999</v>
      </c>
      <c r="G114" s="138">
        <v>1.2515050000000001</v>
      </c>
      <c r="H114" s="138">
        <v>1.4080692675598991</v>
      </c>
      <c r="I114" s="138" t="s">
        <v>403</v>
      </c>
      <c r="J114" s="138">
        <v>38.140652500000002</v>
      </c>
      <c r="K114" s="138">
        <v>9.8153887874999999</v>
      </c>
      <c r="L114" s="138">
        <v>3.6363724999999998</v>
      </c>
      <c r="M114" s="138">
        <v>1.5267092477226537E-2</v>
      </c>
      <c r="N114" s="138">
        <v>12.846153097</v>
      </c>
      <c r="O114" s="138">
        <v>5.149486488</v>
      </c>
      <c r="P114" s="138">
        <v>5.4103500000000002</v>
      </c>
      <c r="Q114" s="139">
        <v>-0.91158763156902367</v>
      </c>
      <c r="R114" s="140">
        <v>-389.38080600000001</v>
      </c>
      <c r="S114" s="139">
        <v>1.1064857259477709</v>
      </c>
      <c r="T114" s="141">
        <v>12.414269386851881</v>
      </c>
      <c r="U114" s="155">
        <v>13.159574579999999</v>
      </c>
      <c r="V114" s="139">
        <v>4.5775629842795373E-2</v>
      </c>
      <c r="W114" s="66" t="s">
        <v>52</v>
      </c>
    </row>
    <row r="115" spans="1:23" x14ac:dyDescent="0.25">
      <c r="A115" s="108" t="s">
        <v>122</v>
      </c>
      <c r="B115" s="109"/>
      <c r="C115" s="109"/>
      <c r="D115" s="170">
        <v>158.06852292952502</v>
      </c>
      <c r="E115" s="170">
        <v>4.2390359099370425</v>
      </c>
      <c r="F115" s="171">
        <v>0.80757125000000007</v>
      </c>
      <c r="G115" s="171">
        <v>0.73653437499999996</v>
      </c>
      <c r="H115" s="171">
        <v>4.6917289057261966</v>
      </c>
      <c r="I115" s="171">
        <v>34.283555795698526</v>
      </c>
      <c r="J115" s="171">
        <v>66.792165624999996</v>
      </c>
      <c r="K115" s="171">
        <v>17.537338906875</v>
      </c>
      <c r="L115" s="171">
        <v>-2.4149237500000003</v>
      </c>
      <c r="M115" s="171">
        <v>-0.20668433190232802</v>
      </c>
      <c r="N115" s="171">
        <v>-13.304071870874999</v>
      </c>
      <c r="O115" s="171">
        <v>-4.5484029472499996</v>
      </c>
      <c r="P115" s="171">
        <v>-12.389978808473602</v>
      </c>
      <c r="Q115" s="172">
        <v>-0.66082268963039481</v>
      </c>
      <c r="R115" s="173">
        <v>15248.693415590744</v>
      </c>
      <c r="S115" s="172">
        <v>0.54100563244691102</v>
      </c>
      <c r="T115" s="174">
        <v>4.8213838413518646</v>
      </c>
      <c r="U115" s="175">
        <v>264.6363728276761</v>
      </c>
      <c r="V115" s="172">
        <v>0.20447461761809049</v>
      </c>
      <c r="W115" s="116" t="s">
        <v>123</v>
      </c>
    </row>
    <row r="116" spans="1:23" x14ac:dyDescent="0.25">
      <c r="A116" s="121"/>
      <c r="D116" s="176"/>
      <c r="E116" s="176"/>
      <c r="W116" s="121"/>
    </row>
    <row r="117" spans="1:23" x14ac:dyDescent="0.25">
      <c r="A117" s="121" t="s">
        <v>135</v>
      </c>
      <c r="D117" s="176"/>
      <c r="E117" s="176"/>
      <c r="W117" s="121"/>
    </row>
    <row r="118" spans="1:23" x14ac:dyDescent="0.25">
      <c r="D118" s="176"/>
      <c r="E118" s="176"/>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pageMargins left="0.2" right="0.2" top="0.65" bottom="0.5" header="0.3" footer="0.3"/>
  <pageSetup scale="72"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Z119"/>
  <sheetViews>
    <sheetView zoomScaleNormal="100" zoomScaleSheetLayoutView="100" workbookViewId="0">
      <selection sqref="A1:XFD1048576"/>
    </sheetView>
  </sheetViews>
  <sheetFormatPr baseColWidth="10" defaultRowHeight="15" x14ac:dyDescent="0.25"/>
  <cols>
    <col min="1" max="1" width="6.5703125" customWidth="1"/>
    <col min="2" max="2" width="8" customWidth="1"/>
    <col min="3" max="3" width="7.140625" customWidth="1"/>
    <col min="4" max="4" width="9.28515625" bestFit="1" customWidth="1"/>
    <col min="5" max="5" width="1.140625" style="37" customWidth="1"/>
    <col min="6" max="6" width="8.28515625" bestFit="1" customWidth="1"/>
    <col min="7" max="7" width="7.42578125" customWidth="1"/>
    <col min="8" max="8" width="7.28515625" customWidth="1"/>
    <col min="9" max="9" width="7.7109375" customWidth="1"/>
    <col min="10" max="10" width="1.5703125" style="37" customWidth="1"/>
    <col min="11" max="11" width="7.85546875" customWidth="1"/>
    <col min="12" max="12" width="8.28515625" bestFit="1" customWidth="1"/>
    <col min="13" max="13" width="7.7109375" bestFit="1" customWidth="1"/>
    <col min="14" max="14" width="8.28515625" bestFit="1" customWidth="1"/>
    <col min="15" max="15" width="1.28515625" style="37" customWidth="1"/>
    <col min="16" max="16" width="9.140625" customWidth="1"/>
    <col min="17" max="19" width="7.7109375" customWidth="1"/>
    <col min="20" max="20" width="1.42578125" style="37" customWidth="1"/>
    <col min="21" max="21" width="9.28515625" customWidth="1"/>
    <col min="22" max="22" width="8.140625" customWidth="1"/>
    <col min="23" max="23" width="7.7109375" customWidth="1"/>
    <col min="24" max="24" width="7.5703125" customWidth="1"/>
    <col min="25" max="25" width="0.42578125" style="37" customWidth="1"/>
    <col min="26" max="26" width="7.85546875" style="66" customWidth="1"/>
  </cols>
  <sheetData>
    <row r="1" spans="1:26" ht="26.25" x14ac:dyDescent="0.4">
      <c r="A1" s="177" t="s">
        <v>163</v>
      </c>
    </row>
    <row r="2" spans="1:26" x14ac:dyDescent="0.25">
      <c r="A2" s="178" t="s">
        <v>164</v>
      </c>
    </row>
    <row r="3" spans="1:26" ht="26.25" customHeight="1" x14ac:dyDescent="0.25">
      <c r="B3" s="179" t="s">
        <v>165</v>
      </c>
      <c r="C3" s="179" t="s">
        <v>166</v>
      </c>
      <c r="D3" s="179" t="s">
        <v>167</v>
      </c>
      <c r="E3" s="180"/>
      <c r="F3" s="179" t="s">
        <v>168</v>
      </c>
      <c r="G3" s="180" t="s">
        <v>169</v>
      </c>
      <c r="H3" s="179" t="s">
        <v>170</v>
      </c>
      <c r="I3" s="179" t="s">
        <v>171</v>
      </c>
      <c r="J3" s="180"/>
      <c r="K3" s="179" t="s">
        <v>172</v>
      </c>
      <c r="L3" s="179" t="s">
        <v>173</v>
      </c>
      <c r="M3" s="180" t="s">
        <v>174</v>
      </c>
      <c r="N3" s="179" t="s">
        <v>175</v>
      </c>
      <c r="O3" s="180"/>
      <c r="P3" s="179" t="s">
        <v>176</v>
      </c>
      <c r="Q3" s="179" t="s">
        <v>177</v>
      </c>
      <c r="R3" s="179" t="s">
        <v>178</v>
      </c>
      <c r="S3" s="180" t="s">
        <v>179</v>
      </c>
      <c r="T3" s="180"/>
      <c r="U3" s="179" t="s">
        <v>180</v>
      </c>
      <c r="V3" s="179" t="s">
        <v>181</v>
      </c>
      <c r="W3" s="179" t="s">
        <v>182</v>
      </c>
      <c r="X3" s="179" t="s">
        <v>183</v>
      </c>
      <c r="Y3" s="181"/>
      <c r="Z3" s="182"/>
    </row>
    <row r="4" spans="1:26" ht="15.75" customHeight="1" x14ac:dyDescent="0.25">
      <c r="A4" s="183" t="s">
        <v>4</v>
      </c>
      <c r="B4" s="184">
        <v>2018</v>
      </c>
      <c r="C4" s="185"/>
      <c r="D4" s="186"/>
      <c r="E4" s="187"/>
      <c r="F4" s="188">
        <v>2017</v>
      </c>
      <c r="G4" s="188"/>
      <c r="H4" s="188"/>
      <c r="I4" s="188"/>
      <c r="J4" s="187"/>
      <c r="K4" s="188">
        <v>2016</v>
      </c>
      <c r="L4" s="188"/>
      <c r="M4" s="188"/>
      <c r="N4" s="188"/>
      <c r="O4" s="187"/>
      <c r="P4" s="188">
        <v>2015</v>
      </c>
      <c r="Q4" s="188"/>
      <c r="R4" s="188"/>
      <c r="S4" s="188"/>
      <c r="T4" s="187"/>
      <c r="U4" s="188">
        <v>2014</v>
      </c>
      <c r="V4" s="188"/>
      <c r="W4" s="188"/>
      <c r="X4" s="188"/>
      <c r="Y4" s="187"/>
      <c r="Z4" s="189" t="s">
        <v>4</v>
      </c>
    </row>
    <row r="5" spans="1:26" ht="17.25" customHeight="1" x14ac:dyDescent="0.25">
      <c r="A5" s="190"/>
      <c r="B5" s="191" t="s">
        <v>184</v>
      </c>
      <c r="C5" s="191" t="s">
        <v>185</v>
      </c>
      <c r="D5" s="192" t="s">
        <v>186</v>
      </c>
      <c r="E5" s="193"/>
      <c r="F5" s="192" t="s">
        <v>187</v>
      </c>
      <c r="G5" s="192" t="s">
        <v>184</v>
      </c>
      <c r="H5" s="192" t="s">
        <v>185</v>
      </c>
      <c r="I5" s="192" t="s">
        <v>188</v>
      </c>
      <c r="J5" s="194"/>
      <c r="K5" s="192" t="s">
        <v>189</v>
      </c>
      <c r="L5" s="192" t="s">
        <v>184</v>
      </c>
      <c r="M5" s="192" t="s">
        <v>185</v>
      </c>
      <c r="N5" s="192" t="s">
        <v>186</v>
      </c>
      <c r="O5" s="194"/>
      <c r="P5" s="192" t="s">
        <v>187</v>
      </c>
      <c r="Q5" s="192" t="s">
        <v>184</v>
      </c>
      <c r="R5" s="192" t="s">
        <v>185</v>
      </c>
      <c r="S5" s="192" t="s">
        <v>188</v>
      </c>
      <c r="T5" s="194"/>
      <c r="U5" s="192" t="s">
        <v>187</v>
      </c>
      <c r="V5" s="192" t="s">
        <v>190</v>
      </c>
      <c r="W5" s="192" t="s">
        <v>185</v>
      </c>
      <c r="X5" s="192" t="s">
        <v>188</v>
      </c>
      <c r="Y5" s="194"/>
      <c r="Z5" s="195"/>
    </row>
    <row r="6" spans="1:26" x14ac:dyDescent="0.25">
      <c r="A6" s="196" t="s">
        <v>121</v>
      </c>
      <c r="B6" s="197"/>
      <c r="C6" s="197"/>
      <c r="D6" s="198"/>
      <c r="E6" s="199"/>
      <c r="F6" s="200"/>
      <c r="G6" s="201"/>
      <c r="H6" s="201"/>
      <c r="I6" s="202"/>
      <c r="J6" s="199"/>
      <c r="K6" s="200"/>
      <c r="L6" s="201"/>
      <c r="M6" s="201"/>
      <c r="N6" s="202"/>
      <c r="O6" s="199"/>
      <c r="P6" s="200"/>
      <c r="Q6" s="201"/>
      <c r="R6" s="201"/>
      <c r="S6" s="202"/>
      <c r="T6" s="199"/>
      <c r="U6" s="200"/>
      <c r="V6" s="201"/>
      <c r="W6" s="201"/>
      <c r="X6" s="202"/>
      <c r="Y6" s="199"/>
      <c r="Z6" s="203"/>
    </row>
    <row r="7" spans="1:26" x14ac:dyDescent="0.25">
      <c r="A7" t="s">
        <v>24</v>
      </c>
      <c r="B7" s="204">
        <v>-102.68899999999999</v>
      </c>
      <c r="C7" s="204">
        <v>-236.22900000000001</v>
      </c>
      <c r="D7" s="204">
        <v>86.673000000000002</v>
      </c>
      <c r="E7" s="205"/>
      <c r="F7" s="204">
        <v>47.640999999999998</v>
      </c>
      <c r="G7" s="204">
        <v>-19.117999999999999</v>
      </c>
      <c r="H7" s="204">
        <v>-36.006999999999998</v>
      </c>
      <c r="I7" s="204">
        <v>129.28899999999999</v>
      </c>
      <c r="J7" s="204"/>
      <c r="K7" s="204">
        <v>123.002</v>
      </c>
      <c r="L7" s="204">
        <v>81.331999999999994</v>
      </c>
      <c r="M7" s="204">
        <v>28.393000000000001</v>
      </c>
      <c r="N7" s="204">
        <v>221.03899999999999</v>
      </c>
      <c r="O7" s="204"/>
      <c r="P7" s="204">
        <v>215.65899999999999</v>
      </c>
      <c r="Q7" s="204">
        <v>121.053</v>
      </c>
      <c r="R7" s="204">
        <v>55.84</v>
      </c>
      <c r="S7" s="204">
        <v>141.26400000000001</v>
      </c>
      <c r="T7" s="204"/>
      <c r="U7" s="204">
        <v>136.84100000000001</v>
      </c>
      <c r="V7" s="204">
        <v>168.851</v>
      </c>
      <c r="W7" s="204">
        <v>73.283000000000001</v>
      </c>
      <c r="X7" s="204">
        <v>160.49600000000001</v>
      </c>
      <c r="Z7" s="66" t="s">
        <v>24</v>
      </c>
    </row>
    <row r="8" spans="1:26" x14ac:dyDescent="0.25">
      <c r="A8" t="s">
        <v>30</v>
      </c>
      <c r="B8" s="204">
        <v>299.404</v>
      </c>
      <c r="C8" s="204">
        <v>356.54899999999998</v>
      </c>
      <c r="D8" s="204">
        <v>189.48400000000001</v>
      </c>
      <c r="E8" s="205"/>
      <c r="F8" s="204">
        <v>62.875999999999998</v>
      </c>
      <c r="G8" s="204">
        <v>54.158999999999999</v>
      </c>
      <c r="H8" s="204">
        <v>137.15600000000001</v>
      </c>
      <c r="I8" s="204">
        <v>-87.914000000000001</v>
      </c>
      <c r="J8" s="205"/>
      <c r="K8" s="204">
        <v>270.07400000000001</v>
      </c>
      <c r="L8" s="204">
        <v>189.98500000000001</v>
      </c>
      <c r="M8" s="204">
        <v>-0.30099999999999999</v>
      </c>
      <c r="N8" s="204" t="s">
        <v>403</v>
      </c>
      <c r="O8" s="205"/>
      <c r="P8" s="204" t="s">
        <v>403</v>
      </c>
      <c r="Q8" s="204" t="s">
        <v>403</v>
      </c>
      <c r="R8" s="204" t="s">
        <v>403</v>
      </c>
      <c r="S8" s="204" t="s">
        <v>403</v>
      </c>
      <c r="T8" s="205"/>
      <c r="U8" s="204" t="s">
        <v>403</v>
      </c>
      <c r="V8" s="204" t="s">
        <v>403</v>
      </c>
      <c r="W8" s="204" t="s">
        <v>403</v>
      </c>
      <c r="X8" s="204" t="s">
        <v>403</v>
      </c>
      <c r="Z8" s="66" t="s">
        <v>30</v>
      </c>
    </row>
    <row r="9" spans="1:26" x14ac:dyDescent="0.25">
      <c r="A9" t="s">
        <v>26</v>
      </c>
      <c r="B9" s="204">
        <v>-1107.191</v>
      </c>
      <c r="C9" s="204">
        <v>-966.12099999999998</v>
      </c>
      <c r="D9" s="206">
        <v>6.8680000000000003</v>
      </c>
      <c r="E9" s="207"/>
      <c r="F9" s="204">
        <v>-178.36500000000001</v>
      </c>
      <c r="G9" s="204">
        <v>-8.3239999999999998</v>
      </c>
      <c r="H9" s="204">
        <v>-40.198</v>
      </c>
      <c r="I9" s="204">
        <v>39.457000000000001</v>
      </c>
      <c r="J9" s="205"/>
      <c r="K9" s="204">
        <v>-10.75</v>
      </c>
      <c r="L9" s="204">
        <v>-7.7510000000000003</v>
      </c>
      <c r="M9" s="204">
        <v>-2.4489999999999998</v>
      </c>
      <c r="N9" s="204">
        <v>23.488</v>
      </c>
      <c r="O9" s="205"/>
      <c r="P9" s="204">
        <v>636.52200000000005</v>
      </c>
      <c r="Q9" s="204">
        <v>251.506</v>
      </c>
      <c r="R9" s="204">
        <v>146.93299999999999</v>
      </c>
      <c r="S9" s="204">
        <v>60.137999999999998</v>
      </c>
      <c r="T9" s="205"/>
      <c r="U9" s="204">
        <v>50.539000000000001</v>
      </c>
      <c r="V9" s="204">
        <v>132.41999999999999</v>
      </c>
      <c r="W9" s="204">
        <v>278.29399999999998</v>
      </c>
      <c r="X9" s="204">
        <v>209.881</v>
      </c>
      <c r="Z9" s="66" t="s">
        <v>26</v>
      </c>
    </row>
    <row r="10" spans="1:26" x14ac:dyDescent="0.25">
      <c r="A10" t="s">
        <v>66</v>
      </c>
      <c r="B10" s="204">
        <v>462.11556000000002</v>
      </c>
      <c r="C10" s="204">
        <v>181.88889</v>
      </c>
      <c r="D10" s="206">
        <v>67.675470000000004</v>
      </c>
      <c r="E10" s="207"/>
      <c r="F10" s="204">
        <v>147.43633</v>
      </c>
      <c r="G10" s="204">
        <v>133.13142999999999</v>
      </c>
      <c r="H10" s="204">
        <v>79.73724</v>
      </c>
      <c r="I10" s="204">
        <v>-21.15429</v>
      </c>
      <c r="J10" s="205"/>
      <c r="K10" s="204">
        <v>108.50599</v>
      </c>
      <c r="L10" s="204">
        <v>144.86473000000001</v>
      </c>
      <c r="M10" s="204">
        <v>63.787999999999997</v>
      </c>
      <c r="N10" s="204">
        <v>66.914580000000001</v>
      </c>
      <c r="O10" s="205"/>
      <c r="P10" s="204">
        <v>172.15217999999999</v>
      </c>
      <c r="Q10" s="204">
        <v>63.35989</v>
      </c>
      <c r="R10" s="204">
        <v>65.481780000000001</v>
      </c>
      <c r="S10" s="204">
        <v>26.36909</v>
      </c>
      <c r="T10" s="205"/>
      <c r="U10" s="204">
        <v>55.121870000000001</v>
      </c>
      <c r="V10" s="204">
        <v>70.677930000000003</v>
      </c>
      <c r="W10" s="204">
        <v>55.65043</v>
      </c>
      <c r="X10" s="204">
        <v>22.957170000000001</v>
      </c>
      <c r="Z10" s="66" t="s">
        <v>66</v>
      </c>
    </row>
    <row r="11" spans="1:26" x14ac:dyDescent="0.25">
      <c r="A11" t="s">
        <v>33</v>
      </c>
      <c r="B11" s="204">
        <v>-963.65</v>
      </c>
      <c r="C11" s="204">
        <v>-1019.953</v>
      </c>
      <c r="D11" s="206">
        <v>81.088999999999999</v>
      </c>
      <c r="E11" s="207"/>
      <c r="F11" s="204">
        <v>38.231000000000002</v>
      </c>
      <c r="G11" s="204">
        <v>240.60900000000001</v>
      </c>
      <c r="H11" s="204">
        <v>-25.324000000000002</v>
      </c>
      <c r="I11" s="204">
        <v>-84.292000000000002</v>
      </c>
      <c r="J11" s="205"/>
      <c r="K11" s="204">
        <v>11.15035</v>
      </c>
      <c r="L11" s="204">
        <v>171.01219</v>
      </c>
      <c r="M11" s="204">
        <v>142.00602000000001</v>
      </c>
      <c r="N11" s="204">
        <v>-93.426860000000005</v>
      </c>
      <c r="O11" s="205"/>
      <c r="P11" s="204">
        <v>-75.209850000000003</v>
      </c>
      <c r="Q11" s="204">
        <v>30.426909999999999</v>
      </c>
      <c r="R11" s="204">
        <v>8.4748900000000003</v>
      </c>
      <c r="S11" s="204">
        <v>-28.784800000000001</v>
      </c>
      <c r="T11" s="205"/>
      <c r="U11" s="204">
        <v>71.178600000000003</v>
      </c>
      <c r="V11" s="204">
        <v>114.33148</v>
      </c>
      <c r="W11" s="204">
        <v>20.538910000000001</v>
      </c>
      <c r="X11" s="204">
        <v>92.829470000000001</v>
      </c>
      <c r="Z11" s="66" t="s">
        <v>33</v>
      </c>
    </row>
    <row r="12" spans="1:26" x14ac:dyDescent="0.25">
      <c r="A12" t="s">
        <v>39</v>
      </c>
      <c r="B12" s="204">
        <v>-1278.6279999999999</v>
      </c>
      <c r="C12" s="204">
        <v>-717.25099999999998</v>
      </c>
      <c r="D12" s="206">
        <v>-341.82100000000003</v>
      </c>
      <c r="E12" s="207"/>
      <c r="F12" s="204">
        <v>164.93199999999999</v>
      </c>
      <c r="G12" s="204">
        <v>-197.78200000000001</v>
      </c>
      <c r="H12" s="204">
        <v>-42.975999999999999</v>
      </c>
      <c r="I12" s="204">
        <v>-25.33</v>
      </c>
      <c r="J12" s="205"/>
      <c r="K12" s="204">
        <v>-34.238999999999997</v>
      </c>
      <c r="L12" s="204">
        <v>-46.521000000000001</v>
      </c>
      <c r="M12" s="204">
        <v>-136.17099999999999</v>
      </c>
      <c r="N12" s="204">
        <v>54.515000000000001</v>
      </c>
      <c r="O12" s="205"/>
      <c r="P12" s="204">
        <v>7.556</v>
      </c>
      <c r="Q12" s="204">
        <v>22.353999999999999</v>
      </c>
      <c r="R12" s="204">
        <v>39.213999999999999</v>
      </c>
      <c r="S12" s="204">
        <v>-10.617000000000001</v>
      </c>
      <c r="T12" s="205"/>
      <c r="U12" s="204">
        <v>13.494999999999999</v>
      </c>
      <c r="V12" s="204">
        <v>33.337000000000003</v>
      </c>
      <c r="W12" s="204">
        <v>100.41800000000001</v>
      </c>
      <c r="X12" s="204">
        <v>60.917000000000002</v>
      </c>
      <c r="Z12" s="66" t="s">
        <v>39</v>
      </c>
    </row>
    <row r="13" spans="1:26" x14ac:dyDescent="0.25">
      <c r="A13" t="s">
        <v>31</v>
      </c>
      <c r="B13" s="204">
        <v>20.502960000000002</v>
      </c>
      <c r="C13" s="204">
        <v>-61.718380000000003</v>
      </c>
      <c r="D13" s="206">
        <v>70.872069999999994</v>
      </c>
      <c r="E13" s="207"/>
      <c r="F13" s="204">
        <v>21.76361</v>
      </c>
      <c r="G13" s="204">
        <v>35.43862</v>
      </c>
      <c r="H13" s="204">
        <v>6.9365899999999998</v>
      </c>
      <c r="I13" s="204">
        <v>38.456409999999998</v>
      </c>
      <c r="J13" s="205"/>
      <c r="K13" s="204">
        <v>15.45801</v>
      </c>
      <c r="L13" s="204">
        <v>7.5793600000000003</v>
      </c>
      <c r="M13" s="204">
        <v>13.27849</v>
      </c>
      <c r="N13" s="204">
        <v>10.62628</v>
      </c>
      <c r="O13" s="205"/>
      <c r="P13" s="204">
        <v>20.49605</v>
      </c>
      <c r="Q13" s="204">
        <v>17.591159999999999</v>
      </c>
      <c r="R13" s="204">
        <v>-0.99341000000000002</v>
      </c>
      <c r="S13" s="204">
        <v>-11.30813</v>
      </c>
      <c r="T13" s="205"/>
      <c r="U13" s="204">
        <v>-12.36307</v>
      </c>
      <c r="V13" s="204">
        <v>1.4978199999999999</v>
      </c>
      <c r="W13" s="204">
        <v>-19.128399999999999</v>
      </c>
      <c r="X13" s="204">
        <v>-11.88734</v>
      </c>
      <c r="Z13" s="66" t="s">
        <v>31</v>
      </c>
    </row>
    <row r="14" spans="1:26" x14ac:dyDescent="0.25">
      <c r="A14" t="s">
        <v>44</v>
      </c>
      <c r="B14" s="204">
        <v>122.563</v>
      </c>
      <c r="C14" s="204">
        <v>-107.38200000000001</v>
      </c>
      <c r="D14" s="206">
        <v>-76.325000000000003</v>
      </c>
      <c r="E14" s="207"/>
      <c r="F14" s="204">
        <v>-476.24599999999998</v>
      </c>
      <c r="G14" s="204">
        <v>-84.46</v>
      </c>
      <c r="H14" s="204">
        <v>-120.789</v>
      </c>
      <c r="I14" s="204">
        <v>-183.864</v>
      </c>
      <c r="J14" s="205"/>
      <c r="K14" s="204">
        <v>-154.33099999999999</v>
      </c>
      <c r="L14" s="204">
        <v>-74.522999999999996</v>
      </c>
      <c r="M14" s="204">
        <v>-178.41300000000001</v>
      </c>
      <c r="N14" s="204">
        <v>-77.816999999999993</v>
      </c>
      <c r="O14" s="205"/>
      <c r="P14" s="204">
        <v>-102.17100000000001</v>
      </c>
      <c r="Q14" s="204">
        <v>-13.497999999999999</v>
      </c>
      <c r="R14" s="204">
        <v>9.3569999999999993</v>
      </c>
      <c r="S14" s="204">
        <v>-7.4109999999999996</v>
      </c>
      <c r="T14" s="205"/>
      <c r="U14" s="204">
        <v>-25.6</v>
      </c>
      <c r="V14" s="204">
        <v>-0.63800000000000001</v>
      </c>
      <c r="W14" s="204">
        <v>-46.795000000000002</v>
      </c>
      <c r="X14" s="204">
        <v>-4.5369999999999999</v>
      </c>
      <c r="Z14" s="66" t="s">
        <v>44</v>
      </c>
    </row>
    <row r="15" spans="1:26" x14ac:dyDescent="0.25">
      <c r="A15" t="s">
        <v>56</v>
      </c>
      <c r="B15" s="204">
        <v>49.696899999999999</v>
      </c>
      <c r="C15" s="204">
        <v>36.966470000000001</v>
      </c>
      <c r="D15" s="206">
        <v>27.73066</v>
      </c>
      <c r="E15" s="207"/>
      <c r="F15" s="204">
        <v>26.24663</v>
      </c>
      <c r="G15" s="204">
        <v>23.64254</v>
      </c>
      <c r="H15" s="204">
        <v>20.70468</v>
      </c>
      <c r="I15" s="204">
        <v>22.670179999999998</v>
      </c>
      <c r="J15" s="205"/>
      <c r="K15" s="204">
        <v>21.422599999999999</v>
      </c>
      <c r="L15" s="204">
        <v>23.128789999999999</v>
      </c>
      <c r="M15" s="204">
        <v>20.674990000000001</v>
      </c>
      <c r="N15" s="204">
        <v>18.364540000000002</v>
      </c>
      <c r="O15" s="205"/>
      <c r="P15" s="204">
        <v>5.2500900000000001</v>
      </c>
      <c r="Q15" s="204">
        <v>4.2694000000000001</v>
      </c>
      <c r="R15" s="204">
        <v>3.6802299999999999</v>
      </c>
      <c r="S15" s="204">
        <v>8.9833999999999996</v>
      </c>
      <c r="T15" s="205"/>
      <c r="U15" s="204">
        <v>5.2039900000000001</v>
      </c>
      <c r="V15" s="204">
        <v>9.2091399999999997</v>
      </c>
      <c r="W15" s="204">
        <v>3.4625699999999999</v>
      </c>
      <c r="X15" s="204">
        <v>6.8643700000000001</v>
      </c>
      <c r="Z15" s="66" t="s">
        <v>56</v>
      </c>
    </row>
    <row r="16" spans="1:26" x14ac:dyDescent="0.25">
      <c r="A16" t="s">
        <v>63</v>
      </c>
      <c r="B16" s="204">
        <v>35.086669999999998</v>
      </c>
      <c r="C16" s="204">
        <v>20.25554</v>
      </c>
      <c r="D16" s="206">
        <v>8.8888599999999993</v>
      </c>
      <c r="E16" s="207"/>
      <c r="F16" s="204">
        <v>1.24299</v>
      </c>
      <c r="G16" s="204">
        <v>3.25502</v>
      </c>
      <c r="H16" s="204">
        <v>7.0986599999999997</v>
      </c>
      <c r="I16" s="204">
        <v>4.6051000000000002</v>
      </c>
      <c r="J16" s="205"/>
      <c r="K16" s="204">
        <v>3.0802499999999999</v>
      </c>
      <c r="L16" s="204">
        <v>1.1099000000000001</v>
      </c>
      <c r="M16" s="204">
        <v>0.30985000000000001</v>
      </c>
      <c r="N16" s="204">
        <v>14.327389999999999</v>
      </c>
      <c r="O16" s="205"/>
      <c r="P16" s="204">
        <v>8.0861000000000001</v>
      </c>
      <c r="Q16" s="204">
        <v>7.2681699999999996</v>
      </c>
      <c r="R16" s="204">
        <v>3.8726600000000002</v>
      </c>
      <c r="S16" s="204">
        <v>4.9247199999999998</v>
      </c>
      <c r="T16" s="205"/>
      <c r="U16" s="204">
        <v>5.3063500000000001</v>
      </c>
      <c r="V16" s="204">
        <v>-1.45482</v>
      </c>
      <c r="W16" s="204">
        <v>2.9600399999999998</v>
      </c>
      <c r="X16" s="204">
        <v>8.6744900000000005</v>
      </c>
      <c r="Z16" s="66" t="s">
        <v>63</v>
      </c>
    </row>
    <row r="17" spans="1:26" x14ac:dyDescent="0.25">
      <c r="A17" t="s">
        <v>43</v>
      </c>
      <c r="B17" s="204">
        <v>-45.393830000000001</v>
      </c>
      <c r="C17" s="204">
        <v>-49.605789999999999</v>
      </c>
      <c r="D17" s="206">
        <v>-13.03365</v>
      </c>
      <c r="E17" s="207"/>
      <c r="F17" s="204">
        <v>-10.47104</v>
      </c>
      <c r="G17" s="204">
        <v>-19.097660000000001</v>
      </c>
      <c r="H17" s="204">
        <v>-34.04139</v>
      </c>
      <c r="I17" s="204">
        <v>-11.84224</v>
      </c>
      <c r="J17" s="205"/>
      <c r="K17" s="204">
        <v>-7.4233700000000002</v>
      </c>
      <c r="L17" s="204">
        <v>-9.5234500000000004</v>
      </c>
      <c r="M17" s="204">
        <v>-18.846419999999998</v>
      </c>
      <c r="N17" s="204">
        <v>-17.478059999999999</v>
      </c>
      <c r="O17" s="205"/>
      <c r="P17" s="204">
        <v>-7.3851899999999997</v>
      </c>
      <c r="Q17" s="204">
        <v>-11.91394</v>
      </c>
      <c r="R17" s="204">
        <v>-10.61247</v>
      </c>
      <c r="S17" s="204">
        <v>-14.93309</v>
      </c>
      <c r="T17" s="205"/>
      <c r="U17" s="204">
        <v>-3.03301</v>
      </c>
      <c r="V17" s="204">
        <v>-0.96943999999999997</v>
      </c>
      <c r="W17" s="204">
        <v>-2.9477099999999998</v>
      </c>
      <c r="X17" s="204">
        <v>-7.1043000000000003</v>
      </c>
      <c r="Z17" s="66" t="s">
        <v>43</v>
      </c>
    </row>
    <row r="18" spans="1:26" x14ac:dyDescent="0.25">
      <c r="A18" s="68" t="s">
        <v>122</v>
      </c>
      <c r="B18" s="208">
        <v>-228.0166127272727</v>
      </c>
      <c r="C18" s="208">
        <v>-232.96366090909089</v>
      </c>
      <c r="D18" s="209">
        <v>9.8274009090909118</v>
      </c>
      <c r="E18" s="209"/>
      <c r="F18" s="208">
        <v>-14.064770909090914</v>
      </c>
      <c r="G18" s="208">
        <v>14.677631818181823</v>
      </c>
      <c r="H18" s="208">
        <v>-4.3365654545454539</v>
      </c>
      <c r="I18" s="208">
        <v>-16.356258181818188</v>
      </c>
      <c r="J18" s="208"/>
      <c r="K18" s="208">
        <v>31.449984545454548</v>
      </c>
      <c r="L18" s="208">
        <v>43.699410909090908</v>
      </c>
      <c r="M18" s="208">
        <v>-6.1572790909090891</v>
      </c>
      <c r="N18" s="208">
        <v>22.055287</v>
      </c>
      <c r="O18" s="208"/>
      <c r="P18" s="208">
        <v>88.095538000000005</v>
      </c>
      <c r="Q18" s="208">
        <v>49.241658999999999</v>
      </c>
      <c r="R18" s="208">
        <v>32.124768000000003</v>
      </c>
      <c r="S18" s="208">
        <v>16.862519000000002</v>
      </c>
      <c r="T18" s="208"/>
      <c r="U18" s="208">
        <v>29.668973000000001</v>
      </c>
      <c r="V18" s="208">
        <v>52.726210999999999</v>
      </c>
      <c r="W18" s="208">
        <v>46.573584000000004</v>
      </c>
      <c r="X18" s="208">
        <v>53.909086000000002</v>
      </c>
      <c r="Y18" s="210"/>
      <c r="Z18" s="76" t="s">
        <v>123</v>
      </c>
    </row>
    <row r="19" spans="1:26" x14ac:dyDescent="0.25">
      <c r="B19" s="204"/>
      <c r="C19" s="204"/>
      <c r="D19" s="206"/>
      <c r="E19" s="207"/>
      <c r="F19" s="204"/>
      <c r="G19" s="204"/>
      <c r="H19" s="204"/>
      <c r="I19" s="204"/>
      <c r="J19" s="205"/>
      <c r="K19" s="204"/>
      <c r="L19" s="204"/>
      <c r="M19" s="204"/>
      <c r="N19" s="204"/>
      <c r="O19" s="205"/>
      <c r="P19" s="204"/>
      <c r="Q19" s="204"/>
      <c r="R19" s="204"/>
      <c r="S19" s="204"/>
      <c r="T19" s="205"/>
      <c r="U19" s="204"/>
      <c r="V19" s="204"/>
      <c r="W19" s="204"/>
      <c r="X19" s="204"/>
    </row>
    <row r="20" spans="1:26" x14ac:dyDescent="0.25">
      <c r="A20" s="56" t="s">
        <v>124</v>
      </c>
      <c r="B20" s="211"/>
      <c r="C20" s="211"/>
      <c r="D20" s="211"/>
      <c r="E20" s="212"/>
      <c r="F20" s="211"/>
      <c r="G20" s="211"/>
      <c r="H20" s="211"/>
      <c r="I20" s="211"/>
      <c r="J20" s="212"/>
      <c r="K20" s="211"/>
      <c r="L20" s="211"/>
      <c r="M20" s="211"/>
      <c r="N20" s="211"/>
      <c r="O20" s="212"/>
      <c r="P20" s="211"/>
      <c r="Q20" s="211"/>
      <c r="R20" s="211"/>
      <c r="S20" s="211"/>
      <c r="T20" s="212"/>
      <c r="U20" s="211"/>
      <c r="V20" s="211"/>
      <c r="W20" s="211"/>
      <c r="X20" s="211"/>
      <c r="Y20" s="213"/>
      <c r="Z20" s="86"/>
    </row>
    <row r="21" spans="1:26" x14ac:dyDescent="0.25">
      <c r="A21" t="s">
        <v>48</v>
      </c>
      <c r="B21" s="204">
        <v>-797.39099999999996</v>
      </c>
      <c r="C21" s="204">
        <v>-103.44499999999999</v>
      </c>
      <c r="D21" s="204">
        <v>270.44900000000001</v>
      </c>
      <c r="E21" s="205"/>
      <c r="F21" s="204">
        <v>250.66900000000001</v>
      </c>
      <c r="G21" s="204">
        <v>311.322</v>
      </c>
      <c r="H21" s="204">
        <v>209.68600000000001</v>
      </c>
      <c r="I21" s="204">
        <v>115.605</v>
      </c>
      <c r="J21" s="205"/>
      <c r="K21" s="204">
        <v>75.741</v>
      </c>
      <c r="L21" s="204">
        <v>151.124</v>
      </c>
      <c r="M21" s="204">
        <v>118.90300000000001</v>
      </c>
      <c r="N21" s="204">
        <v>81.715999999999994</v>
      </c>
      <c r="O21" s="205"/>
      <c r="P21" s="204">
        <v>460.28699999999998</v>
      </c>
      <c r="Q21" s="204">
        <v>94.893000000000001</v>
      </c>
      <c r="R21" s="204">
        <v>3.6850000000000001</v>
      </c>
      <c r="S21" s="204">
        <v>-36.591999999999999</v>
      </c>
      <c r="T21" s="205"/>
      <c r="U21" s="204">
        <v>88.832999999999998</v>
      </c>
      <c r="V21" s="204">
        <v>10.071999999999999</v>
      </c>
      <c r="W21" s="204">
        <v>19.042999999999999</v>
      </c>
      <c r="X21" s="204">
        <v>18.972000000000001</v>
      </c>
      <c r="Z21" s="66" t="s">
        <v>48</v>
      </c>
    </row>
    <row r="22" spans="1:26" x14ac:dyDescent="0.25">
      <c r="A22" t="s">
        <v>13</v>
      </c>
      <c r="B22" s="204">
        <v>16.8596</v>
      </c>
      <c r="C22" s="204">
        <v>-8.3234999999999992</v>
      </c>
      <c r="D22" s="204">
        <v>62.148699999999998</v>
      </c>
      <c r="E22" s="205"/>
      <c r="F22" s="204">
        <v>37.531210000000002</v>
      </c>
      <c r="G22" s="204">
        <v>11.58013</v>
      </c>
      <c r="H22" s="204">
        <v>7.8194499999999998</v>
      </c>
      <c r="I22" s="204">
        <v>38.13991</v>
      </c>
      <c r="J22" s="205"/>
      <c r="K22" s="204">
        <v>43.879300000000001</v>
      </c>
      <c r="L22" s="204">
        <v>10.68247</v>
      </c>
      <c r="M22" s="204">
        <v>-12.857530000000001</v>
      </c>
      <c r="N22" s="204">
        <v>32.024459999999998</v>
      </c>
      <c r="O22" s="205"/>
      <c r="P22" s="204">
        <v>36.382959999999997</v>
      </c>
      <c r="Q22" s="204">
        <v>-9.0560000000000002E-2</v>
      </c>
      <c r="R22" s="204">
        <v>-9.0117600000000007</v>
      </c>
      <c r="S22" s="204">
        <v>38.695650000000001</v>
      </c>
      <c r="T22" s="205"/>
      <c r="U22" s="204" t="s">
        <v>403</v>
      </c>
      <c r="V22" s="204" t="s">
        <v>403</v>
      </c>
      <c r="W22" s="204" t="s">
        <v>403</v>
      </c>
      <c r="X22" s="204" t="s">
        <v>403</v>
      </c>
      <c r="Z22" s="66" t="s">
        <v>13</v>
      </c>
    </row>
    <row r="23" spans="1:26" x14ac:dyDescent="0.25">
      <c r="A23" t="s">
        <v>32</v>
      </c>
      <c r="B23" s="204">
        <v>-47.000830000000001</v>
      </c>
      <c r="C23" s="204">
        <v>-69.008700000000005</v>
      </c>
      <c r="D23" s="206">
        <v>51.095039999999997</v>
      </c>
      <c r="E23" s="207"/>
      <c r="F23" s="204">
        <v>27.665109999999999</v>
      </c>
      <c r="G23" s="204">
        <v>32.380650000000003</v>
      </c>
      <c r="H23" s="204">
        <v>-4.4762700000000004</v>
      </c>
      <c r="I23" s="204">
        <v>17.712129999999998</v>
      </c>
      <c r="J23" s="205"/>
      <c r="K23" s="204">
        <v>17.778700000000001</v>
      </c>
      <c r="L23" s="204">
        <v>38.018979999999999</v>
      </c>
      <c r="M23" s="204">
        <v>47.596550000000001</v>
      </c>
      <c r="N23" s="204">
        <v>60.259680000000003</v>
      </c>
      <c r="O23" s="205"/>
      <c r="P23" s="204">
        <v>61.296759999999999</v>
      </c>
      <c r="Q23" s="204">
        <v>44.310339999999997</v>
      </c>
      <c r="R23" s="204">
        <v>36.494169999999997</v>
      </c>
      <c r="S23" s="204">
        <v>26.29635</v>
      </c>
      <c r="T23" s="205"/>
      <c r="U23" s="204">
        <v>24.36073</v>
      </c>
      <c r="V23" s="204">
        <v>15.573840000000001</v>
      </c>
      <c r="W23" s="204">
        <v>19.054410000000001</v>
      </c>
      <c r="X23" s="204">
        <v>16.31654</v>
      </c>
      <c r="Z23" s="66" t="s">
        <v>32</v>
      </c>
    </row>
    <row r="24" spans="1:26" x14ac:dyDescent="0.25">
      <c r="A24" t="s">
        <v>81</v>
      </c>
      <c r="B24" s="204">
        <v>-1074.0540000000001</v>
      </c>
      <c r="C24" s="204">
        <v>-479.95100000000002</v>
      </c>
      <c r="D24" s="206">
        <v>-78.557000000000002</v>
      </c>
      <c r="E24" s="207"/>
      <c r="F24" s="204">
        <v>-146.75377</v>
      </c>
      <c r="G24" s="204">
        <v>-158.41900000000001</v>
      </c>
      <c r="H24" s="204">
        <v>-6.5730000000000004</v>
      </c>
      <c r="I24" s="204">
        <v>-40.228999999999999</v>
      </c>
      <c r="J24" s="205"/>
      <c r="K24" s="204">
        <v>117.69077</v>
      </c>
      <c r="L24" s="204">
        <v>-37.810339999999997</v>
      </c>
      <c r="M24" s="204">
        <v>-51.093029999999999</v>
      </c>
      <c r="N24" s="204">
        <v>-24.010829999999999</v>
      </c>
      <c r="O24" s="205"/>
      <c r="P24" s="204">
        <v>-46.50694</v>
      </c>
      <c r="Q24" s="204">
        <v>6.5173500000000004</v>
      </c>
      <c r="R24" s="204">
        <v>0.10542</v>
      </c>
      <c r="S24" s="204">
        <v>-5.1926600000000001</v>
      </c>
      <c r="T24" s="205"/>
      <c r="U24" s="204">
        <v>-19.813269999999999</v>
      </c>
      <c r="V24" s="204">
        <v>5.3183699999999998</v>
      </c>
      <c r="W24" s="204">
        <v>4.4263300000000001</v>
      </c>
      <c r="X24" s="204">
        <v>-8.6443700000000003</v>
      </c>
      <c r="Z24" s="66" t="s">
        <v>81</v>
      </c>
    </row>
    <row r="25" spans="1:26" x14ac:dyDescent="0.25">
      <c r="A25" t="s">
        <v>73</v>
      </c>
      <c r="B25" s="204">
        <v>-12.35873</v>
      </c>
      <c r="C25" s="204">
        <v>8.3961400000000008</v>
      </c>
      <c r="D25" s="206">
        <v>-2.3243399999999999</v>
      </c>
      <c r="E25" s="207"/>
      <c r="F25" s="204">
        <v>-15.766249999999999</v>
      </c>
      <c r="G25" s="204">
        <v>-13.05484</v>
      </c>
      <c r="H25" s="204">
        <v>23.1599</v>
      </c>
      <c r="I25" s="204">
        <v>4.6884100000000002</v>
      </c>
      <c r="J25" s="205"/>
      <c r="K25" s="204">
        <v>-16.585319999999999</v>
      </c>
      <c r="L25" s="204">
        <v>-7.34727</v>
      </c>
      <c r="M25" s="204">
        <v>27.226990000000001</v>
      </c>
      <c r="N25" s="204">
        <v>33.319679999999998</v>
      </c>
      <c r="O25" s="205"/>
      <c r="P25" s="204">
        <v>25.463760000000001</v>
      </c>
      <c r="Q25" s="204">
        <v>28.598790000000001</v>
      </c>
      <c r="R25" s="204">
        <v>38.927379999999999</v>
      </c>
      <c r="S25" s="204">
        <v>12.34252</v>
      </c>
      <c r="T25" s="205"/>
      <c r="U25" s="204">
        <v>4.9409900000000002</v>
      </c>
      <c r="V25" s="204">
        <v>7.3041700000000001</v>
      </c>
      <c r="W25" s="204">
        <v>10.94145</v>
      </c>
      <c r="X25" s="204">
        <v>9.3152299999999997</v>
      </c>
      <c r="Z25" s="66" t="s">
        <v>73</v>
      </c>
    </row>
    <row r="26" spans="1:26" x14ac:dyDescent="0.25">
      <c r="A26" t="s">
        <v>75</v>
      </c>
      <c r="B26" s="204">
        <v>-46.287350000000004</v>
      </c>
      <c r="C26" s="204">
        <v>-37.778570000000002</v>
      </c>
      <c r="D26" s="206">
        <v>-94.149619999999999</v>
      </c>
      <c r="E26" s="207"/>
      <c r="F26" s="204">
        <v>-79.895790000000005</v>
      </c>
      <c r="G26" s="204">
        <v>-38.994149999999998</v>
      </c>
      <c r="H26" s="204">
        <v>-47.612389999999998</v>
      </c>
      <c r="I26" s="204">
        <v>-11.03715</v>
      </c>
      <c r="J26" s="205"/>
      <c r="K26" s="204">
        <v>-36.870089999999998</v>
      </c>
      <c r="L26" s="204">
        <v>-21.786300000000001</v>
      </c>
      <c r="M26" s="204">
        <v>-24.564730000000001</v>
      </c>
      <c r="N26" s="204">
        <v>-53.903530000000003</v>
      </c>
      <c r="O26" s="205"/>
      <c r="P26" s="204">
        <v>-124.11233</v>
      </c>
      <c r="Q26" s="204">
        <v>-38.235860000000002</v>
      </c>
      <c r="R26" s="204">
        <v>-30.975280000000001</v>
      </c>
      <c r="S26" s="204">
        <v>-31.401050000000001</v>
      </c>
      <c r="T26" s="205"/>
      <c r="U26" s="204">
        <v>-42.047620000000002</v>
      </c>
      <c r="V26" s="204">
        <v>-94.224000000000004</v>
      </c>
      <c r="W26" s="204">
        <v>-46.927300000000002</v>
      </c>
      <c r="X26" s="204">
        <v>-106.94365999999999</v>
      </c>
      <c r="Z26" s="66" t="s">
        <v>75</v>
      </c>
    </row>
    <row r="27" spans="1:26" x14ac:dyDescent="0.25">
      <c r="A27" s="37" t="s">
        <v>27</v>
      </c>
      <c r="B27" s="204">
        <v>-7.3767300000000002</v>
      </c>
      <c r="C27" s="204">
        <v>-22.49164</v>
      </c>
      <c r="D27" s="206">
        <v>3.70689</v>
      </c>
      <c r="E27" s="207"/>
      <c r="F27" s="204">
        <v>0.96038000000000001</v>
      </c>
      <c r="G27" s="204">
        <v>6.3529900000000001</v>
      </c>
      <c r="H27" s="204">
        <v>3.0487000000000002</v>
      </c>
      <c r="I27" s="204">
        <v>2.79487</v>
      </c>
      <c r="J27" s="205"/>
      <c r="K27" s="204">
        <v>-1.93221</v>
      </c>
      <c r="L27" s="204">
        <v>1.4232499999999999</v>
      </c>
      <c r="M27" s="204">
        <v>1.8363700000000001</v>
      </c>
      <c r="N27" s="204">
        <v>3.6273200000000001</v>
      </c>
      <c r="O27" s="205"/>
      <c r="P27" s="204">
        <v>1.43876</v>
      </c>
      <c r="Q27" s="204">
        <v>4.7427099999999998</v>
      </c>
      <c r="R27" s="204">
        <v>6.1170499999999999</v>
      </c>
      <c r="S27" s="204">
        <v>2.9045299999999998</v>
      </c>
      <c r="T27" s="205"/>
      <c r="U27" s="204">
        <v>1.47583</v>
      </c>
      <c r="V27" s="204">
        <v>4.0152900000000002</v>
      </c>
      <c r="W27" s="204">
        <v>2.19617</v>
      </c>
      <c r="X27" s="204">
        <v>2.7638699999999998</v>
      </c>
      <c r="Z27" s="66" t="s">
        <v>27</v>
      </c>
    </row>
    <row r="28" spans="1:26" x14ac:dyDescent="0.25">
      <c r="A28" s="68" t="s">
        <v>122</v>
      </c>
      <c r="B28" s="208">
        <v>-281.08700571428568</v>
      </c>
      <c r="C28" s="208">
        <v>-101.8003242857143</v>
      </c>
      <c r="D28" s="209">
        <v>30.338381428571427</v>
      </c>
      <c r="E28" s="209"/>
      <c r="F28" s="208">
        <v>10.629984285714286</v>
      </c>
      <c r="G28" s="208">
        <v>21.595397142857141</v>
      </c>
      <c r="H28" s="208">
        <v>26.436055714285711</v>
      </c>
      <c r="I28" s="208">
        <v>18.239167142857148</v>
      </c>
      <c r="J28" s="208"/>
      <c r="K28" s="208">
        <v>28.528878571428571</v>
      </c>
      <c r="L28" s="208">
        <v>19.186398571428565</v>
      </c>
      <c r="M28" s="208">
        <v>15.292517142857145</v>
      </c>
      <c r="N28" s="208">
        <v>19.004682857142857</v>
      </c>
      <c r="O28" s="208"/>
      <c r="P28" s="208">
        <v>59.178567142857126</v>
      </c>
      <c r="Q28" s="208">
        <v>20.105109999999996</v>
      </c>
      <c r="R28" s="208">
        <v>6.4774257142857143</v>
      </c>
      <c r="S28" s="208">
        <v>1.00762</v>
      </c>
      <c r="T28" s="208"/>
      <c r="U28" s="208">
        <v>9.6249433333333325</v>
      </c>
      <c r="V28" s="208">
        <v>-8.6567216666666678</v>
      </c>
      <c r="W28" s="208">
        <v>1.4556766666666652</v>
      </c>
      <c r="X28" s="208">
        <v>-11.370065000000002</v>
      </c>
      <c r="Y28" s="210"/>
      <c r="Z28" s="76" t="s">
        <v>123</v>
      </c>
    </row>
    <row r="29" spans="1:26" x14ac:dyDescent="0.25">
      <c r="B29" s="204"/>
      <c r="C29" s="204"/>
      <c r="D29" s="206"/>
      <c r="E29" s="207"/>
      <c r="F29" s="204"/>
      <c r="G29" s="204"/>
      <c r="H29" s="204"/>
      <c r="I29" s="204"/>
      <c r="J29" s="205"/>
      <c r="K29" s="204"/>
      <c r="L29" s="204"/>
      <c r="M29" s="204"/>
      <c r="N29" s="204"/>
      <c r="O29" s="205"/>
      <c r="P29" s="204"/>
      <c r="Q29" s="204"/>
      <c r="R29" s="204"/>
      <c r="S29" s="204"/>
      <c r="T29" s="205"/>
      <c r="U29" s="204"/>
      <c r="V29" s="204"/>
      <c r="W29" s="204"/>
      <c r="X29" s="204"/>
    </row>
    <row r="30" spans="1:26" x14ac:dyDescent="0.25">
      <c r="A30" s="56" t="s">
        <v>125</v>
      </c>
      <c r="B30" s="211"/>
      <c r="C30" s="211"/>
      <c r="D30" s="211"/>
      <c r="E30" s="212"/>
      <c r="F30" s="211"/>
      <c r="G30" s="211"/>
      <c r="H30" s="211"/>
      <c r="I30" s="211"/>
      <c r="J30" s="212"/>
      <c r="K30" s="211"/>
      <c r="L30" s="211"/>
      <c r="M30" s="211"/>
      <c r="N30" s="211"/>
      <c r="O30" s="212"/>
      <c r="P30" s="211"/>
      <c r="Q30" s="211"/>
      <c r="R30" s="211"/>
      <c r="S30" s="211"/>
      <c r="T30" s="212"/>
      <c r="U30" s="211"/>
      <c r="V30" s="211"/>
      <c r="W30" s="211"/>
      <c r="X30" s="211"/>
      <c r="Y30" s="213"/>
      <c r="Z30" s="86"/>
    </row>
    <row r="31" spans="1:26" x14ac:dyDescent="0.25">
      <c r="A31" t="s">
        <v>23</v>
      </c>
      <c r="B31" s="204">
        <v>67758.065073992606</v>
      </c>
      <c r="C31" s="214">
        <v>75039.193086547195</v>
      </c>
      <c r="D31" s="204">
        <v>42360.863644616598</v>
      </c>
      <c r="E31" s="205"/>
      <c r="F31" s="204">
        <v>-30747.664019806201</v>
      </c>
      <c r="G31" s="204">
        <v>1454.6953881191901</v>
      </c>
      <c r="H31" s="204">
        <v>1587.1203460061099</v>
      </c>
      <c r="I31" s="204">
        <v>21891.7012487992</v>
      </c>
      <c r="J31" s="205"/>
      <c r="K31" s="204">
        <v>12232.122218123701</v>
      </c>
      <c r="L31" s="204">
        <v>-77494.863297431701</v>
      </c>
      <c r="M31" s="204">
        <v>1730.4519703666799</v>
      </c>
      <c r="N31" s="204">
        <v>-5094.6399443284599</v>
      </c>
      <c r="O31" s="205"/>
      <c r="P31" s="204">
        <v>-120684.53368019599</v>
      </c>
      <c r="Q31" s="204">
        <v>-8971.1156340240104</v>
      </c>
      <c r="R31" s="204">
        <v>1557.1720502901401</v>
      </c>
      <c r="S31" s="204">
        <v>14707.6767771622</v>
      </c>
      <c r="T31" s="205"/>
      <c r="U31" s="204">
        <v>-112581.49988709101</v>
      </c>
      <c r="V31" s="204">
        <v>-18408.838807313201</v>
      </c>
      <c r="W31" s="204">
        <v>18213.465916790901</v>
      </c>
      <c r="X31" s="204">
        <v>18994.452760412099</v>
      </c>
      <c r="Z31" s="66" t="s">
        <v>23</v>
      </c>
    </row>
    <row r="32" spans="1:26" x14ac:dyDescent="0.25">
      <c r="A32" t="s">
        <v>17</v>
      </c>
      <c r="B32" s="204">
        <v>10193.146559999999</v>
      </c>
      <c r="C32" s="204">
        <v>4861.4809679999998</v>
      </c>
      <c r="D32" s="204">
        <v>4725.5081300000002</v>
      </c>
      <c r="E32" s="205"/>
      <c r="F32" s="204">
        <v>2979.3538079999998</v>
      </c>
      <c r="G32" s="204">
        <v>1812.8208059999999</v>
      </c>
      <c r="H32" s="204">
        <v>1237.5455440000001</v>
      </c>
      <c r="I32" s="204">
        <v>1745.460695</v>
      </c>
      <c r="J32" s="205"/>
      <c r="K32" s="204">
        <v>-120.664794</v>
      </c>
      <c r="L32" s="204">
        <v>71.231489999999994</v>
      </c>
      <c r="M32" s="204">
        <v>-405.72007500000001</v>
      </c>
      <c r="N32" s="204">
        <v>151.29669999999999</v>
      </c>
      <c r="O32" s="205"/>
      <c r="P32" s="204">
        <v>-850.97524559999999</v>
      </c>
      <c r="Q32" s="204">
        <v>-3343.7990168000001</v>
      </c>
      <c r="R32" s="204">
        <v>603.23856379999995</v>
      </c>
      <c r="S32" s="204">
        <v>2248.6753709999998</v>
      </c>
      <c r="T32" s="205"/>
      <c r="U32" s="204">
        <v>2003.7444250000001</v>
      </c>
      <c r="V32" s="204">
        <v>684.59186999999997</v>
      </c>
      <c r="W32" s="204">
        <v>3316.3089924999999</v>
      </c>
      <c r="X32" s="204">
        <v>3380.04</v>
      </c>
      <c r="Z32" s="66" t="s">
        <v>17</v>
      </c>
    </row>
    <row r="33" spans="1:26" x14ac:dyDescent="0.25">
      <c r="A33" t="s">
        <v>51</v>
      </c>
      <c r="B33" s="204">
        <v>13203</v>
      </c>
      <c r="C33" s="204">
        <v>1993</v>
      </c>
      <c r="D33" s="206">
        <v>6067</v>
      </c>
      <c r="E33" s="207"/>
      <c r="F33" s="204">
        <v>12010</v>
      </c>
      <c r="G33" s="204">
        <v>93</v>
      </c>
      <c r="H33" s="204">
        <v>212</v>
      </c>
      <c r="I33" s="204">
        <v>25</v>
      </c>
      <c r="J33" s="205"/>
      <c r="K33" s="204">
        <v>1721</v>
      </c>
      <c r="L33" s="204">
        <v>-30211</v>
      </c>
      <c r="M33" s="204">
        <v>-743</v>
      </c>
      <c r="N33" s="204">
        <v>996</v>
      </c>
      <c r="O33" s="205"/>
      <c r="P33" s="204">
        <v>-1695</v>
      </c>
      <c r="Q33" s="204">
        <v>1850</v>
      </c>
      <c r="R33" s="204">
        <v>2297</v>
      </c>
      <c r="S33" s="204">
        <v>2127</v>
      </c>
      <c r="T33" s="205"/>
      <c r="U33" s="204">
        <v>1383</v>
      </c>
      <c r="V33" s="204">
        <v>3212</v>
      </c>
      <c r="W33" s="204">
        <v>1526</v>
      </c>
      <c r="X33" s="204">
        <v>2881</v>
      </c>
      <c r="Z33" s="66" t="s">
        <v>51</v>
      </c>
    </row>
    <row r="34" spans="1:26" x14ac:dyDescent="0.25">
      <c r="A34" t="s">
        <v>19</v>
      </c>
      <c r="B34" s="204">
        <v>784.35699999999997</v>
      </c>
      <c r="C34" s="204">
        <v>1099.9590000000001</v>
      </c>
      <c r="D34" s="206">
        <v>1734.894</v>
      </c>
      <c r="E34" s="207"/>
      <c r="F34" s="204">
        <v>974.70799999999997</v>
      </c>
      <c r="G34" s="204">
        <v>518.10199999999998</v>
      </c>
      <c r="H34" s="204">
        <v>635.64</v>
      </c>
      <c r="I34" s="204">
        <v>664.81500000000005</v>
      </c>
      <c r="J34" s="205"/>
      <c r="K34" s="204">
        <v>462.00700000000001</v>
      </c>
      <c r="L34" s="204">
        <v>151.23400000000001</v>
      </c>
      <c r="M34" s="204">
        <v>369.52800000000002</v>
      </c>
      <c r="N34" s="204">
        <v>-52.091999999999999</v>
      </c>
      <c r="O34" s="205"/>
      <c r="P34" s="204">
        <v>-160.96100000000001</v>
      </c>
      <c r="Q34" s="204">
        <v>-171.16</v>
      </c>
      <c r="R34" s="204">
        <v>114.873</v>
      </c>
      <c r="S34" s="204">
        <v>45.14</v>
      </c>
      <c r="T34" s="205"/>
      <c r="U34" s="204">
        <v>27.132999999999999</v>
      </c>
      <c r="V34" s="204">
        <v>40.512</v>
      </c>
      <c r="W34" s="204">
        <v>114.989</v>
      </c>
      <c r="X34" s="204">
        <v>-77.650000000000006</v>
      </c>
      <c r="Z34" s="66" t="s">
        <v>19</v>
      </c>
    </row>
    <row r="35" spans="1:26" x14ac:dyDescent="0.25">
      <c r="A35" t="s">
        <v>49</v>
      </c>
      <c r="B35" s="204">
        <v>509.86799999999999</v>
      </c>
      <c r="C35" s="204">
        <v>234.542</v>
      </c>
      <c r="D35" s="206">
        <v>136.447</v>
      </c>
      <c r="E35" s="207"/>
      <c r="F35" s="204">
        <v>238.74600000000001</v>
      </c>
      <c r="G35" s="204">
        <v>300.29000000000002</v>
      </c>
      <c r="H35" s="204">
        <v>100.449</v>
      </c>
      <c r="I35" s="204">
        <v>202.37100000000001</v>
      </c>
      <c r="J35" s="205"/>
      <c r="K35" s="204">
        <v>17.690999999999999</v>
      </c>
      <c r="L35" s="204">
        <v>-117.157</v>
      </c>
      <c r="M35" s="204">
        <v>129.16800000000001</v>
      </c>
      <c r="N35" s="204">
        <v>-288.52800000000002</v>
      </c>
      <c r="O35" s="205"/>
      <c r="P35" s="204">
        <v>-353.82799999999997</v>
      </c>
      <c r="Q35" s="204">
        <v>-72.73</v>
      </c>
      <c r="R35" s="204">
        <v>-59.405999999999999</v>
      </c>
      <c r="S35" s="204">
        <v>-31.699000000000002</v>
      </c>
      <c r="T35" s="205"/>
      <c r="U35" s="204">
        <v>-102.937</v>
      </c>
      <c r="V35" s="204">
        <v>-44.368000000000002</v>
      </c>
      <c r="W35" s="204">
        <v>-53.531999999999996</v>
      </c>
      <c r="X35" s="204">
        <v>-55.787999999999997</v>
      </c>
      <c r="Z35" s="66" t="s">
        <v>49</v>
      </c>
    </row>
    <row r="36" spans="1:26" x14ac:dyDescent="0.25">
      <c r="A36" t="s">
        <v>35</v>
      </c>
      <c r="B36" s="204" t="s">
        <v>403</v>
      </c>
      <c r="C36" s="204" t="s">
        <v>403</v>
      </c>
      <c r="D36" s="206" t="s">
        <v>403</v>
      </c>
      <c r="E36" s="207"/>
      <c r="F36" s="204" t="s">
        <v>403</v>
      </c>
      <c r="G36" s="204" t="s">
        <v>403</v>
      </c>
      <c r="H36" s="204" t="s">
        <v>403</v>
      </c>
      <c r="I36" s="204" t="s">
        <v>403</v>
      </c>
      <c r="J36" s="205"/>
      <c r="K36" s="204" t="s">
        <v>403</v>
      </c>
      <c r="L36" s="204" t="s">
        <v>403</v>
      </c>
      <c r="M36" s="204" t="s">
        <v>403</v>
      </c>
      <c r="N36" s="204" t="s">
        <v>403</v>
      </c>
      <c r="O36" s="205"/>
      <c r="P36" s="204" t="s">
        <v>403</v>
      </c>
      <c r="Q36" s="204" t="s">
        <v>403</v>
      </c>
      <c r="R36" s="204" t="s">
        <v>403</v>
      </c>
      <c r="S36" s="204" t="s">
        <v>403</v>
      </c>
      <c r="T36" s="205"/>
      <c r="U36" s="204" t="s">
        <v>403</v>
      </c>
      <c r="V36" s="204" t="s">
        <v>403</v>
      </c>
      <c r="W36" s="204" t="s">
        <v>403</v>
      </c>
      <c r="X36" s="204" t="s">
        <v>403</v>
      </c>
      <c r="Z36" s="66" t="s">
        <v>35</v>
      </c>
    </row>
    <row r="37" spans="1:26" x14ac:dyDescent="0.25">
      <c r="A37" t="s">
        <v>50</v>
      </c>
      <c r="B37" s="204">
        <v>612.24300000000005</v>
      </c>
      <c r="C37" s="204">
        <v>119.53100000000001</v>
      </c>
      <c r="D37" s="206">
        <v>-68.808999999999997</v>
      </c>
      <c r="E37" s="207"/>
      <c r="F37" s="204" t="s">
        <v>403</v>
      </c>
      <c r="G37" s="204">
        <v>-85.909000000000006</v>
      </c>
      <c r="H37" s="204">
        <v>-170.08099999999999</v>
      </c>
      <c r="I37" s="204">
        <v>-52.32</v>
      </c>
      <c r="J37" s="205"/>
      <c r="K37" s="204">
        <v>73.686000000000007</v>
      </c>
      <c r="L37" s="204">
        <v>-5.7220000000000004</v>
      </c>
      <c r="M37" s="204">
        <v>16.131</v>
      </c>
      <c r="N37" s="204">
        <v>-42.048000000000002</v>
      </c>
      <c r="O37" s="205"/>
      <c r="P37" s="204">
        <v>161.65600000000001</v>
      </c>
      <c r="Q37" s="204">
        <v>-1.7609999999999999</v>
      </c>
      <c r="R37" s="204">
        <v>152.27000000000001</v>
      </c>
      <c r="S37" s="204">
        <v>47.677</v>
      </c>
      <c r="T37" s="205"/>
      <c r="U37" s="204">
        <v>141.83099999999999</v>
      </c>
      <c r="V37" s="204">
        <v>52.389000000000003</v>
      </c>
      <c r="W37" s="204">
        <v>37.180999999999997</v>
      </c>
      <c r="X37" s="204">
        <v>27.917000000000002</v>
      </c>
      <c r="Z37" s="66" t="s">
        <v>50</v>
      </c>
    </row>
    <row r="38" spans="1:26" x14ac:dyDescent="0.25">
      <c r="A38" t="s">
        <v>78</v>
      </c>
      <c r="B38" s="204">
        <v>40.398560000000003</v>
      </c>
      <c r="C38" s="204">
        <v>7.5888799999999996</v>
      </c>
      <c r="D38" s="206">
        <v>-10.4849</v>
      </c>
      <c r="E38" s="207"/>
      <c r="F38" s="204">
        <v>-13.44412</v>
      </c>
      <c r="G38" s="204">
        <v>-32.569020000000002</v>
      </c>
      <c r="H38" s="204">
        <v>4.8068099999999996</v>
      </c>
      <c r="I38" s="204">
        <v>0.75758999999999999</v>
      </c>
      <c r="J38" s="205"/>
      <c r="K38" s="204">
        <v>-9.1258900000000001</v>
      </c>
      <c r="L38" s="204">
        <v>-12.80939</v>
      </c>
      <c r="M38" s="204">
        <v>-22.38015</v>
      </c>
      <c r="N38" s="204">
        <v>2.5847899999999999</v>
      </c>
      <c r="O38" s="205"/>
      <c r="P38" s="204">
        <v>-36.134869999999999</v>
      </c>
      <c r="Q38" s="204">
        <v>-9.0703399999999998</v>
      </c>
      <c r="R38" s="204">
        <v>-10.63109</v>
      </c>
      <c r="S38" s="204">
        <v>-12.83756</v>
      </c>
      <c r="T38" s="205"/>
      <c r="U38" s="204">
        <v>-10.11947</v>
      </c>
      <c r="V38" s="204">
        <v>-3.4775299999999998</v>
      </c>
      <c r="W38" s="204">
        <v>-21.182749999999999</v>
      </c>
      <c r="X38" s="204">
        <v>-11.536479999999999</v>
      </c>
      <c r="Z38" s="66" t="s">
        <v>78</v>
      </c>
    </row>
    <row r="39" spans="1:26" x14ac:dyDescent="0.25">
      <c r="A39" s="68" t="s">
        <v>122</v>
      </c>
      <c r="B39" s="208">
        <v>13300.15402771323</v>
      </c>
      <c r="C39" s="215">
        <v>11907.899276363885</v>
      </c>
      <c r="D39" s="209">
        <v>7849.3455535166568</v>
      </c>
      <c r="E39" s="216"/>
      <c r="F39" s="208">
        <v>-2426.3833886343668</v>
      </c>
      <c r="G39" s="208">
        <v>580.06145344559854</v>
      </c>
      <c r="H39" s="208">
        <v>515.35438571515863</v>
      </c>
      <c r="I39" s="208">
        <v>3496.826504828457</v>
      </c>
      <c r="J39" s="217"/>
      <c r="K39" s="208">
        <v>2053.8165048748147</v>
      </c>
      <c r="L39" s="208">
        <v>-15374.155171061671</v>
      </c>
      <c r="M39" s="208">
        <v>153.45410648095429</v>
      </c>
      <c r="N39" s="208">
        <v>-618.20377918977999</v>
      </c>
      <c r="O39" s="217"/>
      <c r="P39" s="208">
        <v>-17659.96811368514</v>
      </c>
      <c r="Q39" s="208">
        <v>-1531.3765701177158</v>
      </c>
      <c r="R39" s="208">
        <v>664.93093201287718</v>
      </c>
      <c r="S39" s="208">
        <v>2733.090369737457</v>
      </c>
      <c r="T39" s="217"/>
      <c r="U39" s="208">
        <v>-15591.263990298716</v>
      </c>
      <c r="V39" s="208">
        <v>-2066.7416381876001</v>
      </c>
      <c r="W39" s="208">
        <v>3304.747165612986</v>
      </c>
      <c r="X39" s="208">
        <v>3591.2050400588714</v>
      </c>
      <c r="Y39" s="210"/>
      <c r="Z39" s="76" t="s">
        <v>123</v>
      </c>
    </row>
    <row r="40" spans="1:26" x14ac:dyDescent="0.25">
      <c r="B40" s="204"/>
      <c r="C40" s="204"/>
      <c r="D40" s="206"/>
      <c r="E40" s="207"/>
      <c r="F40" s="204"/>
      <c r="G40" s="204"/>
      <c r="H40" s="204"/>
      <c r="I40" s="204"/>
      <c r="J40" s="205"/>
      <c r="K40" s="204"/>
      <c r="L40" s="204"/>
      <c r="M40" s="204"/>
      <c r="N40" s="204"/>
      <c r="O40" s="205"/>
      <c r="P40" s="204"/>
      <c r="Q40" s="204"/>
      <c r="R40" s="204"/>
      <c r="S40" s="204"/>
      <c r="T40" s="205"/>
      <c r="U40" s="204"/>
      <c r="V40" s="204"/>
      <c r="W40" s="204"/>
      <c r="X40" s="204"/>
    </row>
    <row r="41" spans="1:26" ht="26.25" customHeight="1" x14ac:dyDescent="0.25">
      <c r="B41" s="204"/>
      <c r="C41" s="204"/>
      <c r="D41" s="204"/>
      <c r="E41" s="205"/>
      <c r="F41" s="204"/>
      <c r="G41" s="204"/>
      <c r="H41" s="204"/>
      <c r="I41" s="204"/>
      <c r="J41" s="205"/>
      <c r="K41" s="204"/>
      <c r="L41" s="204"/>
      <c r="M41" s="204"/>
      <c r="N41" s="204"/>
      <c r="O41" s="205"/>
      <c r="P41" s="204"/>
      <c r="Q41" s="204"/>
      <c r="R41" s="204"/>
      <c r="S41" s="204"/>
      <c r="T41" s="205"/>
      <c r="U41" s="204"/>
      <c r="V41" s="204"/>
      <c r="W41" s="204"/>
      <c r="X41" s="204"/>
    </row>
    <row r="42" spans="1:26" ht="13.5" customHeight="1" x14ac:dyDescent="0.25">
      <c r="A42" s="183" t="s">
        <v>4</v>
      </c>
      <c r="B42" s="184">
        <v>2018</v>
      </c>
      <c r="C42" s="185"/>
      <c r="D42" s="186"/>
      <c r="E42" s="187"/>
      <c r="F42" s="188">
        <v>2017</v>
      </c>
      <c r="G42" s="188"/>
      <c r="H42" s="188"/>
      <c r="I42" s="188"/>
      <c r="J42" s="187"/>
      <c r="K42" s="188">
        <v>2016</v>
      </c>
      <c r="L42" s="188"/>
      <c r="M42" s="188"/>
      <c r="N42" s="188"/>
      <c r="O42" s="187"/>
      <c r="P42" s="188">
        <v>2015</v>
      </c>
      <c r="Q42" s="188"/>
      <c r="R42" s="188"/>
      <c r="S42" s="188"/>
      <c r="T42" s="187"/>
      <c r="U42" s="188">
        <v>2014</v>
      </c>
      <c r="V42" s="188"/>
      <c r="W42" s="188"/>
      <c r="X42" s="188"/>
      <c r="Y42" s="187"/>
      <c r="Z42" s="189" t="s">
        <v>4</v>
      </c>
    </row>
    <row r="43" spans="1:26" x14ac:dyDescent="0.25">
      <c r="A43" s="190"/>
      <c r="B43" s="191" t="s">
        <v>184</v>
      </c>
      <c r="C43" s="191" t="s">
        <v>185</v>
      </c>
      <c r="D43" s="192" t="s">
        <v>186</v>
      </c>
      <c r="E43" s="193"/>
      <c r="F43" s="192" t="s">
        <v>187</v>
      </c>
      <c r="G43" s="192" t="s">
        <v>184</v>
      </c>
      <c r="H43" s="192" t="s">
        <v>185</v>
      </c>
      <c r="I43" s="192" t="s">
        <v>188</v>
      </c>
      <c r="J43" s="194"/>
      <c r="K43" s="192" t="s">
        <v>189</v>
      </c>
      <c r="L43" s="192" t="s">
        <v>184</v>
      </c>
      <c r="M43" s="192" t="s">
        <v>185</v>
      </c>
      <c r="N43" s="192" t="s">
        <v>186</v>
      </c>
      <c r="O43" s="194"/>
      <c r="P43" s="192" t="s">
        <v>187</v>
      </c>
      <c r="Q43" s="192" t="s">
        <v>184</v>
      </c>
      <c r="R43" s="192" t="s">
        <v>185</v>
      </c>
      <c r="S43" s="192" t="s">
        <v>188</v>
      </c>
      <c r="T43" s="194"/>
      <c r="U43" s="192" t="s">
        <v>187</v>
      </c>
      <c r="V43" s="192" t="s">
        <v>190</v>
      </c>
      <c r="W43" s="192" t="s">
        <v>185</v>
      </c>
      <c r="X43" s="192" t="s">
        <v>188</v>
      </c>
      <c r="Y43" s="194"/>
      <c r="Z43" s="195"/>
    </row>
    <row r="44" spans="1:26" x14ac:dyDescent="0.25">
      <c r="A44" s="56" t="s">
        <v>126</v>
      </c>
      <c r="B44" s="211"/>
      <c r="C44" s="211"/>
      <c r="D44" s="211"/>
      <c r="E44" s="212"/>
      <c r="F44" s="211"/>
      <c r="G44" s="211"/>
      <c r="H44" s="211"/>
      <c r="I44" s="211"/>
      <c r="J44" s="212"/>
      <c r="K44" s="211"/>
      <c r="L44" s="211"/>
      <c r="M44" s="211"/>
      <c r="N44" s="211"/>
      <c r="O44" s="212"/>
      <c r="P44" s="211"/>
      <c r="Q44" s="211"/>
      <c r="R44" s="211"/>
      <c r="S44" s="211"/>
      <c r="T44" s="212"/>
      <c r="U44" s="211"/>
      <c r="V44" s="211"/>
      <c r="W44" s="211"/>
      <c r="X44" s="211"/>
      <c r="Y44" s="213"/>
      <c r="Z44" s="86"/>
    </row>
    <row r="45" spans="1:26" x14ac:dyDescent="0.25">
      <c r="A45" t="s">
        <v>77</v>
      </c>
      <c r="B45" s="204">
        <v>4212</v>
      </c>
      <c r="C45" s="204">
        <v>2781.636</v>
      </c>
      <c r="D45" s="204">
        <v>2953.277</v>
      </c>
      <c r="E45" s="205"/>
      <c r="F45" s="204">
        <v>2676.05</v>
      </c>
      <c r="G45" s="204">
        <v>2124</v>
      </c>
      <c r="H45" s="204">
        <v>2228.2109999999998</v>
      </c>
      <c r="I45" s="204">
        <v>1612.548</v>
      </c>
      <c r="J45" s="205"/>
      <c r="K45" s="204">
        <v>1771.9960000000001</v>
      </c>
      <c r="L45" s="204">
        <v>1522.6579999999999</v>
      </c>
      <c r="M45" s="204">
        <v>1375</v>
      </c>
      <c r="N45" s="204">
        <v>1348.223</v>
      </c>
      <c r="O45" s="205"/>
      <c r="P45" s="204">
        <v>1244.732</v>
      </c>
      <c r="Q45" s="204">
        <v>1186.8579999999999</v>
      </c>
      <c r="R45" s="204">
        <v>948.40599999999995</v>
      </c>
      <c r="S45" s="204">
        <v>958.40099999999995</v>
      </c>
      <c r="T45" s="205"/>
      <c r="U45" s="204">
        <v>882.59699999999998</v>
      </c>
      <c r="V45" s="204">
        <v>931.24800000000005</v>
      </c>
      <c r="W45" s="204">
        <v>693.24400000000003</v>
      </c>
      <c r="X45" s="204">
        <v>830.70100000000002</v>
      </c>
      <c r="Z45" s="66" t="s">
        <v>77</v>
      </c>
    </row>
    <row r="46" spans="1:26" x14ac:dyDescent="0.25">
      <c r="A46" t="s">
        <v>68</v>
      </c>
      <c r="B46" s="204">
        <v>3828.1469999999999</v>
      </c>
      <c r="C46" s="204">
        <v>3115.6489999999999</v>
      </c>
      <c r="D46" s="204">
        <v>3542.183</v>
      </c>
      <c r="E46" s="205"/>
      <c r="F46" s="204">
        <v>3011.65</v>
      </c>
      <c r="G46" s="204">
        <v>2733.6190000000001</v>
      </c>
      <c r="H46" s="204">
        <v>2223.509</v>
      </c>
      <c r="I46" s="204">
        <v>2005.248</v>
      </c>
      <c r="J46" s="205"/>
      <c r="K46" s="204">
        <v>1695.2529999999999</v>
      </c>
      <c r="L46" s="204">
        <v>1632.692</v>
      </c>
      <c r="M46" s="204">
        <v>1805.258</v>
      </c>
      <c r="N46" s="204">
        <v>1407.6289999999999</v>
      </c>
      <c r="O46" s="205"/>
      <c r="P46" s="204">
        <v>1966.866</v>
      </c>
      <c r="Q46" s="204">
        <v>3043.0230000000001</v>
      </c>
      <c r="R46" s="204">
        <v>824.16700000000003</v>
      </c>
      <c r="S46" s="204">
        <v>1114.2190000000001</v>
      </c>
      <c r="T46" s="205"/>
      <c r="U46" s="204">
        <v>574.98199999999997</v>
      </c>
      <c r="V46" s="204">
        <v>985.60900000000004</v>
      </c>
      <c r="W46" s="204">
        <v>732.60199999999998</v>
      </c>
      <c r="X46" s="204">
        <v>1186.338</v>
      </c>
      <c r="Z46" s="66" t="s">
        <v>68</v>
      </c>
    </row>
    <row r="47" spans="1:26" x14ac:dyDescent="0.25">
      <c r="A47" t="s">
        <v>20</v>
      </c>
      <c r="B47" s="204">
        <v>3007.8409999999999</v>
      </c>
      <c r="C47" s="204">
        <v>2123.92</v>
      </c>
      <c r="D47" s="206">
        <v>1545.298</v>
      </c>
      <c r="E47" s="207"/>
      <c r="F47" s="204">
        <v>1420.91</v>
      </c>
      <c r="G47" s="204">
        <v>1134.58</v>
      </c>
      <c r="H47" s="204">
        <v>-282.995</v>
      </c>
      <c r="I47" s="204">
        <v>1605.77</v>
      </c>
      <c r="J47" s="205"/>
      <c r="K47" s="204">
        <v>582.40499999999997</v>
      </c>
      <c r="L47" s="204">
        <v>932.92499999999995</v>
      </c>
      <c r="M47" s="204">
        <v>963.25800000000004</v>
      </c>
      <c r="N47" s="204">
        <v>1165.0840000000001</v>
      </c>
      <c r="O47" s="205"/>
      <c r="P47" s="204">
        <v>1188.261</v>
      </c>
      <c r="Q47" s="204">
        <v>998.07</v>
      </c>
      <c r="R47" s="204">
        <v>667.21</v>
      </c>
      <c r="S47" s="204">
        <v>930.94600000000003</v>
      </c>
      <c r="T47" s="205"/>
      <c r="U47" s="204">
        <v>814.35699999999997</v>
      </c>
      <c r="V47" s="204">
        <v>628.97</v>
      </c>
      <c r="W47" s="204">
        <v>399.05099999999999</v>
      </c>
      <c r="X47" s="204">
        <v>1362.1179999999999</v>
      </c>
      <c r="Z47" s="66" t="s">
        <v>20</v>
      </c>
    </row>
    <row r="48" spans="1:26" x14ac:dyDescent="0.25">
      <c r="A48" t="s">
        <v>58</v>
      </c>
      <c r="B48" s="204">
        <v>3000.701</v>
      </c>
      <c r="C48" s="204">
        <v>2281.2649999999999</v>
      </c>
      <c r="D48" s="206">
        <v>1695.742</v>
      </c>
      <c r="E48" s="207"/>
      <c r="F48" s="204">
        <v>1579.4680000000001</v>
      </c>
      <c r="G48" s="204">
        <v>930.83699999999999</v>
      </c>
      <c r="H48" s="204">
        <v>1165.037</v>
      </c>
      <c r="I48" s="204">
        <v>1530.663</v>
      </c>
      <c r="J48" s="205"/>
      <c r="K48" s="204">
        <v>1657.962</v>
      </c>
      <c r="L48" s="204">
        <v>1324.6579999999999</v>
      </c>
      <c r="M48" s="204">
        <v>1364.0609999999999</v>
      </c>
      <c r="N48" s="204">
        <v>839.899</v>
      </c>
      <c r="O48" s="205"/>
      <c r="P48" s="204">
        <v>1436.856</v>
      </c>
      <c r="Q48" s="204">
        <v>1006.088</v>
      </c>
      <c r="R48" s="204">
        <v>905.08500000000004</v>
      </c>
      <c r="S48" s="204">
        <v>860.50900000000001</v>
      </c>
      <c r="T48" s="205"/>
      <c r="U48" s="204">
        <v>807.89700000000005</v>
      </c>
      <c r="V48" s="204">
        <v>821.87900000000002</v>
      </c>
      <c r="W48" s="204">
        <v>629.00599999999997</v>
      </c>
      <c r="X48" s="204">
        <v>974.25900000000001</v>
      </c>
      <c r="Z48" s="66" t="s">
        <v>58</v>
      </c>
    </row>
    <row r="49" spans="1:26" x14ac:dyDescent="0.25">
      <c r="A49" t="s">
        <v>36</v>
      </c>
      <c r="B49" s="204">
        <v>1760.7539999999999</v>
      </c>
      <c r="C49" s="204">
        <v>1495.2</v>
      </c>
      <c r="D49" s="206">
        <v>822.15499999999997</v>
      </c>
      <c r="E49" s="207"/>
      <c r="F49" s="204">
        <v>1031.6790000000001</v>
      </c>
      <c r="G49" s="204">
        <v>1639.558</v>
      </c>
      <c r="H49" s="204">
        <v>884.78499999999997</v>
      </c>
      <c r="I49" s="204">
        <v>752.24900000000002</v>
      </c>
      <c r="J49" s="205"/>
      <c r="K49" s="204">
        <v>851.92399999999998</v>
      </c>
      <c r="L49" s="204">
        <v>841.15599999999995</v>
      </c>
      <c r="M49" s="204">
        <v>822.33500000000004</v>
      </c>
      <c r="N49" s="204">
        <v>753.577</v>
      </c>
      <c r="O49" s="205"/>
      <c r="P49" s="204">
        <v>735.65499999999997</v>
      </c>
      <c r="Q49" s="204">
        <v>602.21900000000005</v>
      </c>
      <c r="R49" s="204">
        <v>473.416</v>
      </c>
      <c r="S49" s="204">
        <v>575.46400000000006</v>
      </c>
      <c r="T49" s="205"/>
      <c r="U49" s="204">
        <v>453.61700000000002</v>
      </c>
      <c r="V49" s="204">
        <v>454.42500000000001</v>
      </c>
      <c r="W49" s="204">
        <v>393.60300000000001</v>
      </c>
      <c r="X49" s="204">
        <v>874.33199999999999</v>
      </c>
      <c r="Z49" s="66" t="s">
        <v>36</v>
      </c>
    </row>
    <row r="50" spans="1:26" x14ac:dyDescent="0.25">
      <c r="A50" t="s">
        <v>60</v>
      </c>
      <c r="B50" s="204">
        <v>1509.7485300000001</v>
      </c>
      <c r="C50" s="204">
        <v>925.12660000000005</v>
      </c>
      <c r="D50" s="206">
        <v>475.56831</v>
      </c>
      <c r="E50" s="207"/>
      <c r="F50" s="204">
        <v>416.35762999999997</v>
      </c>
      <c r="G50" s="204">
        <v>302.29617000000002</v>
      </c>
      <c r="H50" s="204">
        <v>262.25869999999998</v>
      </c>
      <c r="I50" s="204">
        <v>135.98909</v>
      </c>
      <c r="J50" s="205"/>
      <c r="K50" s="204" t="s">
        <v>403</v>
      </c>
      <c r="L50" s="204" t="s">
        <v>403</v>
      </c>
      <c r="M50" s="204" t="s">
        <v>403</v>
      </c>
      <c r="N50" s="204" t="s">
        <v>403</v>
      </c>
      <c r="O50" s="205"/>
      <c r="P50" s="204" t="s">
        <v>403</v>
      </c>
      <c r="Q50" s="204" t="s">
        <v>403</v>
      </c>
      <c r="R50" s="204" t="s">
        <v>403</v>
      </c>
      <c r="S50" s="204" t="s">
        <v>403</v>
      </c>
      <c r="T50" s="205"/>
      <c r="U50" s="204" t="s">
        <v>403</v>
      </c>
      <c r="V50" s="204" t="s">
        <v>403</v>
      </c>
      <c r="W50" s="204" t="s">
        <v>403</v>
      </c>
      <c r="X50" s="204" t="s">
        <v>403</v>
      </c>
      <c r="Z50" s="66" t="s">
        <v>60</v>
      </c>
    </row>
    <row r="51" spans="1:26" x14ac:dyDescent="0.25">
      <c r="A51" t="s">
        <v>64</v>
      </c>
      <c r="B51" s="204">
        <v>541.68899999999996</v>
      </c>
      <c r="C51" s="204">
        <v>468.673</v>
      </c>
      <c r="D51" s="206">
        <v>531.37900000000002</v>
      </c>
      <c r="E51" s="207"/>
      <c r="F51" s="204">
        <v>482.24099999999999</v>
      </c>
      <c r="G51" s="204">
        <v>436.14699999999999</v>
      </c>
      <c r="H51" s="204">
        <v>408.02699999999999</v>
      </c>
      <c r="I51" s="204">
        <v>221.626</v>
      </c>
      <c r="J51" s="205"/>
      <c r="K51" s="204">
        <v>136.35499999999999</v>
      </c>
      <c r="L51" s="204">
        <v>103.631</v>
      </c>
      <c r="M51" s="204">
        <v>144.96299999999999</v>
      </c>
      <c r="N51" s="204">
        <v>230.37899999999999</v>
      </c>
      <c r="O51" s="205"/>
      <c r="P51" s="204">
        <v>522.71600000000001</v>
      </c>
      <c r="Q51" s="204">
        <v>217.47200000000001</v>
      </c>
      <c r="R51" s="204">
        <v>169.54499999999999</v>
      </c>
      <c r="S51" s="204">
        <v>176.08099999999999</v>
      </c>
      <c r="T51" s="205"/>
      <c r="U51" s="204">
        <v>46.295000000000002</v>
      </c>
      <c r="V51" s="204">
        <v>145.26900000000001</v>
      </c>
      <c r="W51" s="204">
        <v>155.98599999999999</v>
      </c>
      <c r="X51" s="204">
        <v>202.422</v>
      </c>
      <c r="Z51" s="66" t="s">
        <v>64</v>
      </c>
    </row>
    <row r="52" spans="1:26" x14ac:dyDescent="0.25">
      <c r="A52" t="s">
        <v>74</v>
      </c>
      <c r="B52" s="204">
        <v>295.13029</v>
      </c>
      <c r="C52" s="204">
        <v>184.61172999999999</v>
      </c>
      <c r="D52" s="206">
        <v>132.62880000000001</v>
      </c>
      <c r="E52" s="207"/>
      <c r="F52" s="204">
        <v>102.95681999999999</v>
      </c>
      <c r="G52" s="204">
        <v>225.96592000000001</v>
      </c>
      <c r="H52" s="204">
        <v>126.50736999999999</v>
      </c>
      <c r="I52" s="204">
        <v>58.993490000000001</v>
      </c>
      <c r="J52" s="205"/>
      <c r="K52" s="204">
        <v>-273.18453</v>
      </c>
      <c r="L52" s="204">
        <v>132.61247</v>
      </c>
      <c r="M52" s="204">
        <v>141.72747000000001</v>
      </c>
      <c r="N52" s="204">
        <v>120.05844</v>
      </c>
      <c r="O52" s="205"/>
      <c r="P52" s="204">
        <v>-42.072040000000001</v>
      </c>
      <c r="Q52" s="204">
        <v>-4.2868899999999996</v>
      </c>
      <c r="R52" s="204">
        <v>117.96357</v>
      </c>
      <c r="S52" s="204">
        <v>119.62826</v>
      </c>
      <c r="T52" s="205"/>
      <c r="U52" s="204">
        <v>40.367629999999998</v>
      </c>
      <c r="V52" s="204">
        <v>103.36821</v>
      </c>
      <c r="W52" s="204">
        <v>80.68486</v>
      </c>
      <c r="X52" s="204">
        <v>121.83654</v>
      </c>
      <c r="Z52" s="66" t="s">
        <v>74</v>
      </c>
    </row>
    <row r="53" spans="1:26" x14ac:dyDescent="0.25">
      <c r="A53" s="68" t="s">
        <v>122</v>
      </c>
      <c r="B53" s="208">
        <v>2269.5013524999999</v>
      </c>
      <c r="C53" s="208">
        <v>1672.0101662500001</v>
      </c>
      <c r="D53" s="209">
        <v>1462.2788887500003</v>
      </c>
      <c r="E53" s="209"/>
      <c r="F53" s="208">
        <v>1340.1640562500002</v>
      </c>
      <c r="G53" s="208">
        <v>1190.8753862500002</v>
      </c>
      <c r="H53" s="208">
        <v>876.91750875000002</v>
      </c>
      <c r="I53" s="208">
        <v>990.38582250000013</v>
      </c>
      <c r="J53" s="208"/>
      <c r="K53" s="208">
        <v>917.53006714285709</v>
      </c>
      <c r="L53" s="208">
        <v>927.19035285714278</v>
      </c>
      <c r="M53" s="208">
        <v>945.22892428571413</v>
      </c>
      <c r="N53" s="208">
        <v>837.83563428571426</v>
      </c>
      <c r="O53" s="208"/>
      <c r="P53" s="208">
        <v>1007.5734228571429</v>
      </c>
      <c r="Q53" s="208">
        <v>1007.0633014285713</v>
      </c>
      <c r="R53" s="208">
        <v>586.54179571428574</v>
      </c>
      <c r="S53" s="208">
        <v>676.46403714285714</v>
      </c>
      <c r="T53" s="208"/>
      <c r="U53" s="208">
        <v>517.15894714285719</v>
      </c>
      <c r="V53" s="208">
        <v>581.53831571428577</v>
      </c>
      <c r="W53" s="208">
        <v>440.59669428571425</v>
      </c>
      <c r="X53" s="208">
        <v>793.14379142857149</v>
      </c>
      <c r="Y53" s="210"/>
      <c r="Z53" s="76" t="s">
        <v>123</v>
      </c>
    </row>
    <row r="54" spans="1:26" ht="7.5" customHeight="1" x14ac:dyDescent="0.25">
      <c r="B54" s="204"/>
      <c r="C54" s="204"/>
      <c r="D54" s="206"/>
      <c r="E54" s="207"/>
      <c r="F54" s="204"/>
      <c r="G54" s="204"/>
      <c r="H54" s="204"/>
      <c r="I54" s="204"/>
      <c r="J54" s="205"/>
      <c r="K54" s="204"/>
      <c r="L54" s="204"/>
      <c r="M54" s="204"/>
      <c r="N54" s="204"/>
      <c r="O54" s="205"/>
      <c r="P54" s="204"/>
      <c r="Q54" s="204"/>
      <c r="R54" s="204"/>
      <c r="S54" s="204"/>
      <c r="T54" s="205"/>
      <c r="U54" s="204"/>
      <c r="V54" s="204"/>
      <c r="W54" s="204"/>
      <c r="X54" s="204"/>
    </row>
    <row r="55" spans="1:26" x14ac:dyDescent="0.25">
      <c r="A55" s="56" t="s">
        <v>127</v>
      </c>
      <c r="B55" s="211"/>
      <c r="C55" s="211"/>
      <c r="D55" s="211"/>
      <c r="E55" s="212"/>
      <c r="F55" s="211"/>
      <c r="G55" s="211"/>
      <c r="H55" s="211"/>
      <c r="I55" s="211"/>
      <c r="J55" s="212"/>
      <c r="K55" s="211"/>
      <c r="L55" s="211"/>
      <c r="M55" s="211"/>
      <c r="N55" s="211"/>
      <c r="O55" s="212"/>
      <c r="P55" s="211"/>
      <c r="Q55" s="211"/>
      <c r="R55" s="211"/>
      <c r="S55" s="211"/>
      <c r="T55" s="212"/>
      <c r="U55" s="211"/>
      <c r="V55" s="211"/>
      <c r="W55" s="211"/>
      <c r="X55" s="211"/>
      <c r="Y55" s="213"/>
      <c r="Z55" s="86"/>
    </row>
    <row r="56" spans="1:26" x14ac:dyDescent="0.25">
      <c r="A56" t="s">
        <v>45</v>
      </c>
      <c r="B56" s="204">
        <v>16265.49876</v>
      </c>
      <c r="C56" s="204">
        <v>215.46609000000001</v>
      </c>
      <c r="D56" s="204">
        <v>134.80141</v>
      </c>
      <c r="E56" s="205"/>
      <c r="F56" s="204">
        <v>217.65065000000001</v>
      </c>
      <c r="G56" s="204">
        <v>100.93375</v>
      </c>
      <c r="H56" s="204">
        <v>74.424319999999994</v>
      </c>
      <c r="I56" s="204">
        <v>74.631479999999996</v>
      </c>
      <c r="J56" s="205"/>
      <c r="K56" s="204">
        <v>89.189350000000005</v>
      </c>
      <c r="L56" s="204">
        <v>90.307389999999998</v>
      </c>
      <c r="M56" s="218">
        <v>57.349429999999998</v>
      </c>
      <c r="N56" s="218">
        <v>54.455860000000001</v>
      </c>
      <c r="O56" s="205"/>
      <c r="P56" s="204">
        <v>-43.990180000000002</v>
      </c>
      <c r="Q56" s="204">
        <v>49.575029999999998</v>
      </c>
      <c r="R56" s="204">
        <v>45.541330000000002</v>
      </c>
      <c r="S56" s="204">
        <v>24.100539999999999</v>
      </c>
      <c r="T56" s="205"/>
      <c r="U56" s="204">
        <v>21.317699999999999</v>
      </c>
      <c r="V56" s="204">
        <v>23.100850000000001</v>
      </c>
      <c r="W56" s="204">
        <v>25.547989999999999</v>
      </c>
      <c r="X56" s="204">
        <v>-51.844769999999997</v>
      </c>
      <c r="Z56" s="66" t="s">
        <v>45</v>
      </c>
    </row>
    <row r="57" spans="1:26" x14ac:dyDescent="0.25">
      <c r="A57" t="s">
        <v>55</v>
      </c>
      <c r="B57" s="204">
        <v>8329.2664000000004</v>
      </c>
      <c r="C57" s="204">
        <v>267.95902000000001</v>
      </c>
      <c r="D57" s="204">
        <v>201.85955000000001</v>
      </c>
      <c r="E57" s="205"/>
      <c r="F57" s="204">
        <v>129.00845000000001</v>
      </c>
      <c r="G57" s="204">
        <v>98.566590000000005</v>
      </c>
      <c r="H57" s="204">
        <v>87.49324</v>
      </c>
      <c r="I57" s="204">
        <v>74.819190000000006</v>
      </c>
      <c r="J57" s="205"/>
      <c r="K57" s="204">
        <v>33.845869999999998</v>
      </c>
      <c r="L57" s="204">
        <v>40.383519999999997</v>
      </c>
      <c r="M57" s="204">
        <v>38.095219999999998</v>
      </c>
      <c r="N57" s="204">
        <v>52.090850000000003</v>
      </c>
      <c r="O57" s="205"/>
      <c r="P57" s="204">
        <v>26.012070000000001</v>
      </c>
      <c r="Q57" s="204">
        <v>3.0806</v>
      </c>
      <c r="R57" s="204">
        <v>12.69045</v>
      </c>
      <c r="S57" s="204">
        <v>24.929549999999999</v>
      </c>
      <c r="T57" s="205"/>
      <c r="U57" s="204">
        <v>-4.2421499999999996</v>
      </c>
      <c r="V57" s="204">
        <v>5.5738599999999998</v>
      </c>
      <c r="W57" s="204">
        <v>6.2876799999999999</v>
      </c>
      <c r="X57" s="204">
        <v>22.602730000000001</v>
      </c>
      <c r="Z57" s="66" t="s">
        <v>55</v>
      </c>
    </row>
    <row r="58" spans="1:26" x14ac:dyDescent="0.25">
      <c r="A58" t="s">
        <v>61</v>
      </c>
      <c r="B58" s="204">
        <v>61.341999999999999</v>
      </c>
      <c r="C58" s="204">
        <v>69.742999999999995</v>
      </c>
      <c r="D58" s="206">
        <v>87.24</v>
      </c>
      <c r="E58" s="207"/>
      <c r="F58" s="204">
        <v>68.186999999999998</v>
      </c>
      <c r="G58" s="204">
        <v>42.146999999999998</v>
      </c>
      <c r="H58" s="204">
        <v>102.443</v>
      </c>
      <c r="I58" s="204">
        <v>35.865000000000002</v>
      </c>
      <c r="J58" s="205"/>
      <c r="K58" s="204">
        <v>59.624000000000002</v>
      </c>
      <c r="L58" s="204">
        <v>44.052</v>
      </c>
      <c r="M58" s="204">
        <v>14.319000000000001</v>
      </c>
      <c r="N58" s="204">
        <v>25.744</v>
      </c>
      <c r="O58" s="205"/>
      <c r="P58" s="204">
        <v>45.916809999999998</v>
      </c>
      <c r="Q58" s="204">
        <v>12.076180000000001</v>
      </c>
      <c r="R58" s="204">
        <v>19.488199999999999</v>
      </c>
      <c r="S58" s="204">
        <v>22.630559999999999</v>
      </c>
      <c r="T58" s="205"/>
      <c r="U58" s="204">
        <v>34.849780000000003</v>
      </c>
      <c r="V58" s="204">
        <v>11.97682</v>
      </c>
      <c r="W58" s="204">
        <v>9.7357399999999998</v>
      </c>
      <c r="X58" s="204">
        <v>9.2265899999999998</v>
      </c>
      <c r="Z58" s="66" t="s">
        <v>61</v>
      </c>
    </row>
    <row r="59" spans="1:26" x14ac:dyDescent="0.25">
      <c r="A59" t="s">
        <v>21</v>
      </c>
      <c r="B59" s="204">
        <v>3.2984100000000001</v>
      </c>
      <c r="C59" s="204">
        <v>150.51616000000001</v>
      </c>
      <c r="D59" s="206">
        <v>305.73761999999999</v>
      </c>
      <c r="E59" s="207"/>
      <c r="F59" s="204">
        <v>30.652059999999999</v>
      </c>
      <c r="G59" s="204">
        <v>0.76742999999999995</v>
      </c>
      <c r="H59" s="204">
        <v>14.430580000000001</v>
      </c>
      <c r="I59" s="204">
        <v>-0.71997999999999995</v>
      </c>
      <c r="J59" s="205"/>
      <c r="K59" s="204">
        <v>5.0508699999999997</v>
      </c>
      <c r="L59" s="204">
        <v>-0.54352</v>
      </c>
      <c r="M59" s="204">
        <v>14.18685</v>
      </c>
      <c r="N59" s="204">
        <v>43.54768</v>
      </c>
      <c r="O59" s="205"/>
      <c r="P59" s="204">
        <v>57.644590000000001</v>
      </c>
      <c r="Q59" s="204">
        <v>-1.22333</v>
      </c>
      <c r="R59" s="204">
        <v>-2.8014299999999999</v>
      </c>
      <c r="S59" s="204">
        <v>10.349880000000001</v>
      </c>
      <c r="T59" s="205"/>
      <c r="U59" s="204">
        <v>-15.223140000000001</v>
      </c>
      <c r="V59" s="204">
        <v>18.569189999999999</v>
      </c>
      <c r="W59" s="204">
        <v>-2.5369100000000002</v>
      </c>
      <c r="X59" s="204">
        <v>73.943150000000003</v>
      </c>
      <c r="Z59" s="66" t="s">
        <v>21</v>
      </c>
    </row>
    <row r="60" spans="1:26" x14ac:dyDescent="0.25">
      <c r="A60" t="s">
        <v>79</v>
      </c>
      <c r="B60" s="204">
        <v>56.72569</v>
      </c>
      <c r="C60" s="204">
        <v>23.279730000000001</v>
      </c>
      <c r="D60" s="206">
        <v>26.178789999999999</v>
      </c>
      <c r="E60" s="207"/>
      <c r="F60" s="204">
        <v>37.667029999999997</v>
      </c>
      <c r="G60" s="204">
        <v>33.531790000000001</v>
      </c>
      <c r="H60" s="204">
        <v>7.51539</v>
      </c>
      <c r="I60" s="204">
        <v>7.42476</v>
      </c>
      <c r="J60" s="205"/>
      <c r="K60" s="204">
        <v>33.27337</v>
      </c>
      <c r="L60" s="204">
        <v>46.247869999999999</v>
      </c>
      <c r="M60" s="204">
        <v>14.99508</v>
      </c>
      <c r="N60" s="204">
        <v>73.918970000000002</v>
      </c>
      <c r="O60" s="205"/>
      <c r="P60" s="204">
        <v>93.859300000000005</v>
      </c>
      <c r="Q60" s="204">
        <v>67.537030000000001</v>
      </c>
      <c r="R60" s="204">
        <v>39.597920000000002</v>
      </c>
      <c r="S60" s="204">
        <v>37.57546</v>
      </c>
      <c r="T60" s="205"/>
      <c r="U60" s="204">
        <v>39.4208</v>
      </c>
      <c r="V60" s="204">
        <v>45.087829999999997</v>
      </c>
      <c r="W60" s="204">
        <v>28.66771</v>
      </c>
      <c r="X60" s="204">
        <v>39.037509999999997</v>
      </c>
      <c r="Z60" s="66" t="s">
        <v>79</v>
      </c>
    </row>
    <row r="61" spans="1:26" x14ac:dyDescent="0.25">
      <c r="A61" t="s">
        <v>59</v>
      </c>
      <c r="B61" s="204">
        <v>10.66722</v>
      </c>
      <c r="C61" s="204">
        <v>12.21838</v>
      </c>
      <c r="D61" s="206">
        <v>18.733650000000001</v>
      </c>
      <c r="E61" s="207"/>
      <c r="F61" s="204">
        <v>48.667020000000001</v>
      </c>
      <c r="G61" s="204">
        <v>3.6675800000000001</v>
      </c>
      <c r="H61" s="204">
        <v>16.72148</v>
      </c>
      <c r="I61" s="204">
        <v>7.43574</v>
      </c>
      <c r="J61" s="205"/>
      <c r="K61" s="204">
        <v>48.117069999999998</v>
      </c>
      <c r="L61" s="204">
        <v>-12.241289999999999</v>
      </c>
      <c r="M61" s="204">
        <v>12.517849999999999</v>
      </c>
      <c r="N61" s="204">
        <v>-11.8429</v>
      </c>
      <c r="O61" s="205"/>
      <c r="P61" s="204">
        <v>1.88575</v>
      </c>
      <c r="Q61" s="204">
        <v>-2.5537100000000001</v>
      </c>
      <c r="R61" s="204">
        <v>3.1218900000000001</v>
      </c>
      <c r="S61" s="204">
        <v>3.1249899999999999</v>
      </c>
      <c r="T61" s="205"/>
      <c r="U61" s="204">
        <v>6.6935700000000002</v>
      </c>
      <c r="V61" s="204">
        <v>15.66968</v>
      </c>
      <c r="W61" s="204">
        <v>-0.20041999999999999</v>
      </c>
      <c r="X61" s="204">
        <v>-20.22064</v>
      </c>
      <c r="Z61" s="66" t="s">
        <v>59</v>
      </c>
    </row>
    <row r="62" spans="1:26" x14ac:dyDescent="0.25">
      <c r="A62" t="s">
        <v>76</v>
      </c>
      <c r="B62" s="204">
        <v>36.904220000000002</v>
      </c>
      <c r="C62" s="204">
        <v>5.5265899999999997</v>
      </c>
      <c r="D62" s="206">
        <v>-27.051110000000001</v>
      </c>
      <c r="E62" s="207"/>
      <c r="F62" s="204">
        <v>5.1477599999999999</v>
      </c>
      <c r="G62" s="204">
        <v>43.843609999999998</v>
      </c>
      <c r="H62" s="204">
        <v>28.593679999999999</v>
      </c>
      <c r="I62" s="204">
        <v>-8.7820599999999995</v>
      </c>
      <c r="J62" s="205"/>
      <c r="K62" s="204">
        <v>24.434100000000001</v>
      </c>
      <c r="L62" s="204">
        <v>21.31326</v>
      </c>
      <c r="M62" s="204">
        <v>17.54617</v>
      </c>
      <c r="N62" s="204">
        <v>-12.682399999999999</v>
      </c>
      <c r="O62" s="205"/>
      <c r="P62" s="204">
        <v>2.70764</v>
      </c>
      <c r="Q62" s="204">
        <v>-9.3114899999999992</v>
      </c>
      <c r="R62" s="204">
        <v>-1.9644999999999999</v>
      </c>
      <c r="S62" s="204">
        <v>-9.7165300000000006</v>
      </c>
      <c r="T62" s="205"/>
      <c r="U62" s="204">
        <v>15.55325</v>
      </c>
      <c r="V62" s="204">
        <v>5.9498899999999999</v>
      </c>
      <c r="W62" s="204">
        <v>-8.0534499999999998</v>
      </c>
      <c r="X62" s="204">
        <v>-9.6523500000000002</v>
      </c>
      <c r="Z62" s="66" t="s">
        <v>76</v>
      </c>
    </row>
    <row r="63" spans="1:26" x14ac:dyDescent="0.25">
      <c r="A63" t="s">
        <v>53</v>
      </c>
      <c r="B63" s="204">
        <v>-41.851939999999999</v>
      </c>
      <c r="C63" s="204">
        <v>-18.83737</v>
      </c>
      <c r="D63" s="206">
        <v>4.4381300000000001</v>
      </c>
      <c r="E63" s="207"/>
      <c r="F63" s="204">
        <v>-13.049759999999999</v>
      </c>
      <c r="G63" s="204">
        <v>5.2244799999999998</v>
      </c>
      <c r="H63" s="204">
        <v>11.44408</v>
      </c>
      <c r="I63" s="204">
        <v>-13.20166</v>
      </c>
      <c r="J63" s="205"/>
      <c r="K63" s="204">
        <v>-19.508959999999998</v>
      </c>
      <c r="L63" s="204">
        <v>1.8480099999999999</v>
      </c>
      <c r="M63" s="204">
        <v>0.46537000000000001</v>
      </c>
      <c r="N63" s="204">
        <v>17.508279999999999</v>
      </c>
      <c r="O63" s="205"/>
      <c r="P63" s="204">
        <v>10.631080000000001</v>
      </c>
      <c r="Q63" s="204">
        <v>19.740970000000001</v>
      </c>
      <c r="R63" s="204">
        <v>24.062270000000002</v>
      </c>
      <c r="S63" s="204">
        <v>17.45993</v>
      </c>
      <c r="T63" s="205"/>
      <c r="U63" s="204">
        <v>2.8028599999999999</v>
      </c>
      <c r="V63" s="204">
        <v>1.4856499999999999</v>
      </c>
      <c r="W63" s="204">
        <v>34.448929999999997</v>
      </c>
      <c r="X63" s="204">
        <v>16.767710000000001</v>
      </c>
      <c r="Z63" s="66" t="s">
        <v>53</v>
      </c>
    </row>
    <row r="64" spans="1:26" x14ac:dyDescent="0.25">
      <c r="A64" t="s">
        <v>9</v>
      </c>
      <c r="B64" s="204">
        <v>-1.8260700000000001</v>
      </c>
      <c r="C64" s="204">
        <v>4.9677600000000002</v>
      </c>
      <c r="D64" s="206">
        <v>5.5297599999999996</v>
      </c>
      <c r="E64" s="207"/>
      <c r="F64" s="204">
        <v>5.5141999999999998</v>
      </c>
      <c r="G64" s="204">
        <v>-2.9081600000000001</v>
      </c>
      <c r="H64" s="204">
        <v>2.94712</v>
      </c>
      <c r="I64" s="204">
        <v>5.41927</v>
      </c>
      <c r="J64" s="205"/>
      <c r="K64" s="204">
        <v>6.0571799999999998</v>
      </c>
      <c r="L64" s="204">
        <v>-5.4100900000000003</v>
      </c>
      <c r="M64" s="204">
        <v>2.71313</v>
      </c>
      <c r="N64" s="204">
        <v>2.5049399999999999</v>
      </c>
      <c r="O64" s="205"/>
      <c r="P64" s="204">
        <v>-0.50175000000000003</v>
      </c>
      <c r="Q64" s="204">
        <v>-1.2654799999999999</v>
      </c>
      <c r="R64" s="204">
        <v>1.6167400000000001</v>
      </c>
      <c r="S64" s="204">
        <v>1.34531</v>
      </c>
      <c r="T64" s="205"/>
      <c r="U64" s="204">
        <v>2.2804899999999999</v>
      </c>
      <c r="V64" s="204">
        <v>1.70072</v>
      </c>
      <c r="W64" s="204">
        <v>4.06881</v>
      </c>
      <c r="X64" s="204">
        <v>0.40638999999999997</v>
      </c>
      <c r="Z64" s="66" t="s">
        <v>9</v>
      </c>
    </row>
    <row r="65" spans="1:26" x14ac:dyDescent="0.25">
      <c r="A65" t="s">
        <v>7</v>
      </c>
      <c r="B65" s="204">
        <v>-1.1170599999999999</v>
      </c>
      <c r="C65" s="204">
        <v>-2.5009999999999999</v>
      </c>
      <c r="D65" s="206">
        <v>-1.3388500000000001</v>
      </c>
      <c r="E65" s="207"/>
      <c r="F65" s="204">
        <v>-3.85745</v>
      </c>
      <c r="G65" s="204">
        <v>-1.1521600000000001</v>
      </c>
      <c r="H65" s="204">
        <v>-1.21644</v>
      </c>
      <c r="I65" s="204">
        <v>-3.52461</v>
      </c>
      <c r="J65" s="205"/>
      <c r="K65" s="204">
        <v>-3.7904599999999999</v>
      </c>
      <c r="L65" s="204">
        <v>-1.5459400000000001</v>
      </c>
      <c r="M65" s="204">
        <v>-0.72997999999999996</v>
      </c>
      <c r="N65" s="204">
        <v>-1.0503899999999999</v>
      </c>
      <c r="O65" s="205"/>
      <c r="P65" s="204">
        <v>-22.24953</v>
      </c>
      <c r="Q65" s="204">
        <v>-0.77768000000000004</v>
      </c>
      <c r="R65" s="204">
        <v>-0.52551000000000003</v>
      </c>
      <c r="S65" s="204">
        <v>-0.60009000000000001</v>
      </c>
      <c r="T65" s="205"/>
      <c r="U65" s="204">
        <v>-0.34059</v>
      </c>
      <c r="V65" s="204">
        <v>1.2749999999999999E-2</v>
      </c>
      <c r="W65" s="204">
        <v>0.20721000000000001</v>
      </c>
      <c r="X65" s="204">
        <v>7.9210000000000003E-2</v>
      </c>
      <c r="Z65" s="66" t="s">
        <v>7</v>
      </c>
    </row>
    <row r="66" spans="1:26" x14ac:dyDescent="0.25">
      <c r="A66" s="68" t="s">
        <v>122</v>
      </c>
      <c r="B66" s="208">
        <v>2471.8907630000003</v>
      </c>
      <c r="C66" s="208">
        <v>72.833836000000019</v>
      </c>
      <c r="D66" s="209">
        <v>75.612895000000009</v>
      </c>
      <c r="E66" s="216"/>
      <c r="F66" s="208">
        <v>52.558695999999998</v>
      </c>
      <c r="G66" s="208">
        <v>32.462191000000004</v>
      </c>
      <c r="H66" s="208">
        <v>34.479644999999998</v>
      </c>
      <c r="I66" s="208">
        <v>17.936713000000005</v>
      </c>
      <c r="J66" s="217"/>
      <c r="K66" s="208">
        <v>27.629239000000002</v>
      </c>
      <c r="L66" s="208">
        <v>22.441120999999999</v>
      </c>
      <c r="M66" s="208">
        <v>17.145811999999999</v>
      </c>
      <c r="N66" s="208">
        <v>24.419489000000002</v>
      </c>
      <c r="O66" s="217"/>
      <c r="P66" s="208">
        <v>17.191578</v>
      </c>
      <c r="Q66" s="208">
        <v>13.687812000000003</v>
      </c>
      <c r="R66" s="208">
        <v>14.082736000000001</v>
      </c>
      <c r="S66" s="208">
        <v>13.119960000000003</v>
      </c>
      <c r="T66" s="217"/>
      <c r="U66" s="208">
        <v>10.311256999999999</v>
      </c>
      <c r="V66" s="208">
        <v>12.912724000000001</v>
      </c>
      <c r="W66" s="208">
        <v>9.8173290000000026</v>
      </c>
      <c r="X66" s="208">
        <v>8.0345530000000025</v>
      </c>
      <c r="Y66" s="210"/>
      <c r="Z66" s="76" t="s">
        <v>123</v>
      </c>
    </row>
    <row r="67" spans="1:26" ht="8.25" customHeight="1" x14ac:dyDescent="0.25">
      <c r="B67" s="204"/>
      <c r="C67" s="204"/>
      <c r="D67" s="206"/>
      <c r="E67" s="207"/>
      <c r="F67" s="204"/>
      <c r="G67" s="204"/>
      <c r="H67" s="204"/>
      <c r="I67" s="204"/>
      <c r="J67" s="205"/>
      <c r="K67" s="204"/>
      <c r="L67" s="204"/>
      <c r="M67" s="204"/>
      <c r="N67" s="204"/>
      <c r="O67" s="205"/>
      <c r="P67" s="204"/>
      <c r="Q67" s="204"/>
      <c r="R67" s="204"/>
      <c r="S67" s="204"/>
      <c r="T67" s="205"/>
      <c r="U67" s="204"/>
      <c r="V67" s="204"/>
      <c r="W67" s="204"/>
      <c r="X67" s="204"/>
    </row>
    <row r="68" spans="1:26" x14ac:dyDescent="0.25">
      <c r="A68" s="56" t="s">
        <v>128</v>
      </c>
      <c r="B68" s="211"/>
      <c r="C68" s="211"/>
      <c r="D68" s="211"/>
      <c r="E68" s="212"/>
      <c r="F68" s="211"/>
      <c r="G68" s="211"/>
      <c r="H68" s="211"/>
      <c r="I68" s="211"/>
      <c r="J68" s="212"/>
      <c r="K68" s="211"/>
      <c r="L68" s="211"/>
      <c r="M68" s="211"/>
      <c r="N68" s="211"/>
      <c r="O68" s="212"/>
      <c r="P68" s="211"/>
      <c r="Q68" s="211"/>
      <c r="R68" s="211"/>
      <c r="S68" s="211"/>
      <c r="T68" s="212"/>
      <c r="U68" s="211"/>
      <c r="V68" s="211"/>
      <c r="W68" s="211"/>
      <c r="X68" s="211"/>
      <c r="Y68" s="213"/>
      <c r="Z68" s="86"/>
    </row>
    <row r="69" spans="1:26" x14ac:dyDescent="0.25">
      <c r="A69" t="s">
        <v>37</v>
      </c>
      <c r="B69" s="204">
        <v>9447</v>
      </c>
      <c r="C69" s="204" t="s">
        <v>403</v>
      </c>
      <c r="D69" s="204">
        <v>507</v>
      </c>
      <c r="E69" s="205"/>
      <c r="F69" s="204">
        <v>8171</v>
      </c>
      <c r="G69" s="204">
        <v>202</v>
      </c>
      <c r="H69" s="204">
        <v>930</v>
      </c>
      <c r="I69" s="204">
        <v>1166</v>
      </c>
      <c r="J69" s="205"/>
      <c r="K69" s="204">
        <v>-989</v>
      </c>
      <c r="L69" s="204">
        <v>551</v>
      </c>
      <c r="M69" s="204">
        <v>9037</v>
      </c>
      <c r="N69" s="204">
        <v>-21</v>
      </c>
      <c r="O69" s="205"/>
      <c r="P69" s="204">
        <v>-213</v>
      </c>
      <c r="Q69" s="204">
        <v>-275.69200000000001</v>
      </c>
      <c r="R69" s="204">
        <v>2703.6959999999999</v>
      </c>
      <c r="S69" s="204">
        <v>-249.21</v>
      </c>
      <c r="T69" s="205"/>
      <c r="U69" s="204">
        <v>2</v>
      </c>
      <c r="V69" s="204">
        <v>3</v>
      </c>
      <c r="W69" s="204">
        <v>-422.536</v>
      </c>
      <c r="X69" s="204">
        <v>-70.352000000000004</v>
      </c>
      <c r="Z69" s="66" t="s">
        <v>37</v>
      </c>
    </row>
    <row r="70" spans="1:26" x14ac:dyDescent="0.25">
      <c r="A70" t="s">
        <v>34</v>
      </c>
      <c r="B70" s="204">
        <v>7086.99</v>
      </c>
      <c r="C70" s="204">
        <v>3258.9780000000001</v>
      </c>
      <c r="D70" s="204">
        <v>598.90200000000004</v>
      </c>
      <c r="E70" s="205"/>
      <c r="F70" s="204">
        <v>9360.9140000000007</v>
      </c>
      <c r="G70" s="204">
        <v>1881.1420000000001</v>
      </c>
      <c r="H70" s="204">
        <v>901.93499999999995</v>
      </c>
      <c r="I70" s="204">
        <v>355.61700000000002</v>
      </c>
      <c r="J70" s="205"/>
      <c r="K70" s="204">
        <v>1250.8340000000001</v>
      </c>
      <c r="L70" s="204">
        <v>752.09</v>
      </c>
      <c r="M70" s="204">
        <v>1150.1310000000001</v>
      </c>
      <c r="N70" s="204">
        <v>6675.884</v>
      </c>
      <c r="O70" s="205"/>
      <c r="P70" s="204">
        <v>276.23700000000002</v>
      </c>
      <c r="Q70" s="204">
        <v>103.002</v>
      </c>
      <c r="R70" s="204">
        <v>1839.027</v>
      </c>
      <c r="S70" s="204">
        <v>99.96</v>
      </c>
      <c r="T70" s="205"/>
      <c r="U70" s="204">
        <v>193.732</v>
      </c>
      <c r="V70" s="204">
        <v>147.672</v>
      </c>
      <c r="W70" s="204">
        <v>87.557000000000002</v>
      </c>
      <c r="X70" s="204">
        <v>48.877000000000002</v>
      </c>
      <c r="Z70" s="66" t="s">
        <v>34</v>
      </c>
    </row>
    <row r="71" spans="1:26" x14ac:dyDescent="0.25">
      <c r="A71" t="s">
        <v>15</v>
      </c>
      <c r="B71" s="204">
        <v>2103</v>
      </c>
      <c r="C71" s="204" t="s">
        <v>403</v>
      </c>
      <c r="D71" s="206">
        <v>203</v>
      </c>
      <c r="E71" s="207"/>
      <c r="F71" s="204">
        <v>4198</v>
      </c>
      <c r="G71" s="204">
        <v>-130</v>
      </c>
      <c r="H71" s="204">
        <v>515</v>
      </c>
      <c r="I71" s="204">
        <v>1262</v>
      </c>
      <c r="J71" s="205"/>
      <c r="K71" s="204">
        <v>-352</v>
      </c>
      <c r="L71" s="204">
        <v>606</v>
      </c>
      <c r="M71" s="204">
        <v>5127</v>
      </c>
      <c r="N71" s="204">
        <v>4</v>
      </c>
      <c r="O71" s="205"/>
      <c r="P71" s="204">
        <v>-483</v>
      </c>
      <c r="Q71" s="204">
        <v>-288</v>
      </c>
      <c r="R71" s="204">
        <v>602.00900000000001</v>
      </c>
      <c r="S71" s="204">
        <v>288</v>
      </c>
      <c r="T71" s="205"/>
      <c r="U71" s="204">
        <v>-94</v>
      </c>
      <c r="V71" s="204">
        <v>-122.005</v>
      </c>
      <c r="W71" s="204">
        <v>-394.14400000000001</v>
      </c>
      <c r="X71" s="204">
        <v>-162.208</v>
      </c>
      <c r="Z71" s="66" t="s">
        <v>15</v>
      </c>
    </row>
    <row r="72" spans="1:26" x14ac:dyDescent="0.25">
      <c r="A72" t="s">
        <v>10</v>
      </c>
      <c r="B72" s="204">
        <v>2608.96</v>
      </c>
      <c r="C72" s="204">
        <v>1344.6030000000001</v>
      </c>
      <c r="D72" s="206">
        <v>319.41500000000002</v>
      </c>
      <c r="E72" s="207"/>
      <c r="F72" s="204">
        <v>851.09900000000005</v>
      </c>
      <c r="G72" s="204">
        <v>310.11900000000003</v>
      </c>
      <c r="H72" s="204">
        <v>267.52199999999999</v>
      </c>
      <c r="I72" s="204">
        <v>860.48599999999999</v>
      </c>
      <c r="J72" s="205"/>
      <c r="K72" s="204">
        <v>653.99599999999998</v>
      </c>
      <c r="L72" s="204">
        <v>138.44200000000001</v>
      </c>
      <c r="M72" s="204">
        <v>397.55900000000003</v>
      </c>
      <c r="N72" s="204">
        <v>347.21899999999999</v>
      </c>
      <c r="O72" s="205"/>
      <c r="P72" s="204">
        <v>654.24099999999999</v>
      </c>
      <c r="Q72" s="204">
        <v>206.738</v>
      </c>
      <c r="R72" s="204">
        <v>877.17600000000004</v>
      </c>
      <c r="S72" s="204">
        <v>170.54300000000001</v>
      </c>
      <c r="T72" s="205"/>
      <c r="U72" s="204">
        <v>250.506</v>
      </c>
      <c r="V72" s="204">
        <v>512.43499999999995</v>
      </c>
      <c r="W72" s="204">
        <v>-2.2029999999999998</v>
      </c>
      <c r="X72" s="204">
        <v>196.19900000000001</v>
      </c>
      <c r="Z72" s="66" t="s">
        <v>10</v>
      </c>
    </row>
    <row r="73" spans="1:26" x14ac:dyDescent="0.25">
      <c r="A73" s="68" t="s">
        <v>122</v>
      </c>
      <c r="B73" s="208">
        <v>5311.4874999999993</v>
      </c>
      <c r="C73" s="208">
        <v>2301.7905000000001</v>
      </c>
      <c r="D73" s="209">
        <v>407.07925</v>
      </c>
      <c r="E73" s="209"/>
      <c r="F73" s="208">
        <v>5645.2532499999998</v>
      </c>
      <c r="G73" s="208">
        <v>565.81524999999999</v>
      </c>
      <c r="H73" s="208">
        <v>653.61424999999997</v>
      </c>
      <c r="I73" s="208">
        <v>911.02575000000002</v>
      </c>
      <c r="J73" s="208"/>
      <c r="K73" s="208">
        <v>140.95750000000001</v>
      </c>
      <c r="L73" s="208">
        <v>511.88300000000004</v>
      </c>
      <c r="M73" s="208">
        <v>3927.9224999999997</v>
      </c>
      <c r="N73" s="208">
        <v>1751.52575</v>
      </c>
      <c r="O73" s="208"/>
      <c r="P73" s="208">
        <v>58.619500000000002</v>
      </c>
      <c r="Q73" s="208">
        <v>-63.488</v>
      </c>
      <c r="R73" s="208">
        <v>1505.4770000000001</v>
      </c>
      <c r="S73" s="208">
        <v>77.323250000000002</v>
      </c>
      <c r="T73" s="208"/>
      <c r="U73" s="208">
        <v>88.0595</v>
      </c>
      <c r="V73" s="208">
        <v>135.27549999999999</v>
      </c>
      <c r="W73" s="208">
        <v>-182.83150000000001</v>
      </c>
      <c r="X73" s="208">
        <v>3.1290000000000049</v>
      </c>
      <c r="Y73" s="210"/>
      <c r="Z73" s="76" t="s">
        <v>123</v>
      </c>
    </row>
    <row r="74" spans="1:26" ht="8.25" customHeight="1" x14ac:dyDescent="0.25">
      <c r="B74" s="204"/>
      <c r="C74" s="204"/>
      <c r="D74" s="206"/>
      <c r="E74" s="207"/>
      <c r="F74" s="204"/>
      <c r="G74" s="204"/>
      <c r="H74" s="204"/>
      <c r="I74" s="204"/>
      <c r="J74" s="205"/>
      <c r="K74" s="204"/>
      <c r="L74" s="204"/>
      <c r="M74" s="204"/>
      <c r="N74" s="204"/>
      <c r="O74" s="205"/>
      <c r="P74" s="204"/>
      <c r="Q74" s="204"/>
      <c r="R74" s="204"/>
      <c r="S74" s="204"/>
      <c r="T74" s="205"/>
      <c r="U74" s="204"/>
      <c r="V74" s="204"/>
      <c r="W74" s="204"/>
      <c r="X74" s="204"/>
    </row>
    <row r="75" spans="1:26" x14ac:dyDescent="0.25">
      <c r="A75" s="56" t="s">
        <v>129</v>
      </c>
      <c r="B75" s="211"/>
      <c r="C75" s="211"/>
      <c r="D75" s="211"/>
      <c r="E75" s="212"/>
      <c r="F75" s="211"/>
      <c r="G75" s="211"/>
      <c r="H75" s="211"/>
      <c r="I75" s="211"/>
      <c r="J75" s="212"/>
      <c r="K75" s="211"/>
      <c r="L75" s="211"/>
      <c r="M75" s="211"/>
      <c r="N75" s="211"/>
      <c r="O75" s="212"/>
      <c r="P75" s="211"/>
      <c r="Q75" s="211"/>
      <c r="R75" s="211"/>
      <c r="S75" s="211"/>
      <c r="T75" s="212"/>
      <c r="U75" s="211"/>
      <c r="V75" s="211"/>
      <c r="W75" s="211"/>
      <c r="X75" s="211"/>
      <c r="Y75" s="213"/>
      <c r="Z75" s="86"/>
    </row>
    <row r="76" spans="1:26" x14ac:dyDescent="0.25">
      <c r="A76" t="s">
        <v>67</v>
      </c>
      <c r="B76" s="204">
        <v>3034.56</v>
      </c>
      <c r="C76" s="204">
        <v>435.89400000000001</v>
      </c>
      <c r="D76" s="204">
        <v>2554.3530000000001</v>
      </c>
      <c r="E76" s="205"/>
      <c r="F76" s="204">
        <v>848.08199999999999</v>
      </c>
      <c r="G76" s="204">
        <v>1609.1369999999999</v>
      </c>
      <c r="H76" s="204">
        <v>1255.1110000000001</v>
      </c>
      <c r="I76" s="204">
        <v>1857.4259999999999</v>
      </c>
      <c r="J76" s="205"/>
      <c r="K76" s="204">
        <v>943.64499999999998</v>
      </c>
      <c r="L76" s="204">
        <v>1307.441</v>
      </c>
      <c r="M76" s="204">
        <v>811.99400000000003</v>
      </c>
      <c r="N76" s="204">
        <v>640.19899999999996</v>
      </c>
      <c r="O76" s="205"/>
      <c r="P76" s="204">
        <v>155.042</v>
      </c>
      <c r="Q76" s="204">
        <v>499.30399999999997</v>
      </c>
      <c r="R76" s="204">
        <v>361.31599999999997</v>
      </c>
      <c r="S76" s="204">
        <v>741.26800000000003</v>
      </c>
      <c r="T76" s="205"/>
      <c r="U76" s="204">
        <v>624.99300000000005</v>
      </c>
      <c r="V76" s="204">
        <v>-10.952</v>
      </c>
      <c r="W76" s="204">
        <v>869.41600000000005</v>
      </c>
      <c r="X76" s="204">
        <v>888.26599999999996</v>
      </c>
      <c r="Z76" s="66" t="s">
        <v>67</v>
      </c>
    </row>
    <row r="77" spans="1:26" x14ac:dyDescent="0.25">
      <c r="A77" t="s">
        <v>8</v>
      </c>
      <c r="B77" s="204">
        <v>100.80507</v>
      </c>
      <c r="C77" s="204">
        <v>179.42474000000001</v>
      </c>
      <c r="D77" s="204">
        <v>526.12893999999994</v>
      </c>
      <c r="E77" s="205"/>
      <c r="F77" s="204">
        <v>665.24377000000004</v>
      </c>
      <c r="G77" s="204">
        <v>295.33672999999999</v>
      </c>
      <c r="H77" s="204">
        <v>276.13103000000001</v>
      </c>
      <c r="I77" s="204">
        <v>354.13085000000001</v>
      </c>
      <c r="J77" s="205"/>
      <c r="K77" s="204">
        <v>218.01402999999999</v>
      </c>
      <c r="L77" s="204">
        <v>120.91001</v>
      </c>
      <c r="M77" s="204">
        <v>35.750489999999999</v>
      </c>
      <c r="N77" s="204">
        <v>127.42547999999999</v>
      </c>
      <c r="O77" s="205"/>
      <c r="P77" s="204" t="s">
        <v>403</v>
      </c>
      <c r="Q77" s="204" t="s">
        <v>403</v>
      </c>
      <c r="R77" s="204" t="s">
        <v>403</v>
      </c>
      <c r="S77" s="204" t="s">
        <v>403</v>
      </c>
      <c r="T77" s="205"/>
      <c r="U77" s="204" t="s">
        <v>403</v>
      </c>
      <c r="V77" s="204" t="s">
        <v>403</v>
      </c>
      <c r="W77" s="204" t="s">
        <v>403</v>
      </c>
      <c r="X77" s="204" t="s">
        <v>403</v>
      </c>
      <c r="Z77" s="66" t="s">
        <v>8</v>
      </c>
    </row>
    <row r="78" spans="1:26" x14ac:dyDescent="0.25">
      <c r="A78" t="s">
        <v>57</v>
      </c>
      <c r="B78" s="204">
        <v>1667.3850399999999</v>
      </c>
      <c r="C78" s="204">
        <v>828.25053000000003</v>
      </c>
      <c r="D78" s="206">
        <v>1114.40066</v>
      </c>
      <c r="E78" s="207"/>
      <c r="F78" s="204">
        <v>910.77777000000003</v>
      </c>
      <c r="G78" s="204">
        <v>787.63156000000004</v>
      </c>
      <c r="H78" s="204">
        <v>573.65854999999999</v>
      </c>
      <c r="I78" s="204">
        <v>535.10389999999995</v>
      </c>
      <c r="J78" s="205"/>
      <c r="K78" s="204">
        <v>386.65726999999998</v>
      </c>
      <c r="L78" s="204">
        <v>454.02001999999999</v>
      </c>
      <c r="M78" s="204">
        <v>397.71875999999997</v>
      </c>
      <c r="N78" s="204">
        <v>536.40148999999997</v>
      </c>
      <c r="O78" s="205"/>
      <c r="P78" s="204">
        <v>96.145489999999995</v>
      </c>
      <c r="Q78" s="204">
        <v>163.21404000000001</v>
      </c>
      <c r="R78" s="204">
        <v>177.38575</v>
      </c>
      <c r="S78" s="204">
        <v>299.35773</v>
      </c>
      <c r="T78" s="205"/>
      <c r="U78" s="204">
        <v>370.91737000000001</v>
      </c>
      <c r="V78" s="204">
        <v>429.25727000000001</v>
      </c>
      <c r="W78" s="204">
        <v>241.16394</v>
      </c>
      <c r="X78" s="204">
        <v>200.83044000000001</v>
      </c>
      <c r="Z78" s="66" t="s">
        <v>57</v>
      </c>
    </row>
    <row r="79" spans="1:26" x14ac:dyDescent="0.25">
      <c r="A79" t="s">
        <v>54</v>
      </c>
      <c r="B79" s="204">
        <v>304.83645000000001</v>
      </c>
      <c r="C79" s="204">
        <v>359.54099000000002</v>
      </c>
      <c r="D79" s="206">
        <v>238.74958000000001</v>
      </c>
      <c r="E79" s="207"/>
      <c r="F79" s="204">
        <v>337.17189999999999</v>
      </c>
      <c r="G79" s="204">
        <v>331.26825000000002</v>
      </c>
      <c r="H79" s="204">
        <v>194.64167</v>
      </c>
      <c r="I79" s="204">
        <v>200.70214000000001</v>
      </c>
      <c r="J79" s="205"/>
      <c r="K79" s="204">
        <v>207.67632</v>
      </c>
      <c r="L79" s="204">
        <v>143.61825999999999</v>
      </c>
      <c r="M79" s="204">
        <v>63.983930000000001</v>
      </c>
      <c r="N79" s="204">
        <v>-24.472539999999999</v>
      </c>
      <c r="O79" s="205"/>
      <c r="P79" s="204">
        <v>-79.292180000000002</v>
      </c>
      <c r="Q79" s="204">
        <v>30.944669999999999</v>
      </c>
      <c r="R79" s="204">
        <v>60.350090000000002</v>
      </c>
      <c r="S79" s="204">
        <v>52.355670000000003</v>
      </c>
      <c r="T79" s="205"/>
      <c r="U79" s="204">
        <v>36.170569999999998</v>
      </c>
      <c r="V79" s="204">
        <v>2.5209299999999999</v>
      </c>
      <c r="W79" s="204">
        <v>32.77178</v>
      </c>
      <c r="X79" s="204">
        <v>-12.51882</v>
      </c>
      <c r="Z79" s="66" t="s">
        <v>54</v>
      </c>
    </row>
    <row r="80" spans="1:26" x14ac:dyDescent="0.25">
      <c r="A80" t="s">
        <v>18</v>
      </c>
      <c r="B80" s="204">
        <v>552.55700000000002</v>
      </c>
      <c r="C80" s="204">
        <v>21.696999999999999</v>
      </c>
      <c r="D80" s="206">
        <v>328.93099999999998</v>
      </c>
      <c r="E80" s="207"/>
      <c r="F80" s="204">
        <v>-37.289000000000001</v>
      </c>
      <c r="G80" s="204">
        <v>267.42599999999999</v>
      </c>
      <c r="H80" s="204">
        <v>82.125</v>
      </c>
      <c r="I80" s="204">
        <v>179.96100000000001</v>
      </c>
      <c r="J80" s="205"/>
      <c r="K80" s="204">
        <v>-401.37</v>
      </c>
      <c r="L80" s="204">
        <v>-2.0539999999999998</v>
      </c>
      <c r="M80" s="204">
        <v>-182.756</v>
      </c>
      <c r="N80" s="204">
        <v>-188.19300000000001</v>
      </c>
      <c r="O80" s="205"/>
      <c r="P80" s="204">
        <v>-308.28800000000001</v>
      </c>
      <c r="Q80" s="204">
        <v>-92.27</v>
      </c>
      <c r="R80" s="204">
        <v>-16.183</v>
      </c>
      <c r="S80" s="204">
        <v>-43.58</v>
      </c>
      <c r="T80" s="205"/>
      <c r="U80" s="204">
        <v>-125.97199999999999</v>
      </c>
      <c r="V80" s="204">
        <v>-127.35</v>
      </c>
      <c r="W80" s="204">
        <v>32.262999999999998</v>
      </c>
      <c r="X80" s="204">
        <v>9.266</v>
      </c>
      <c r="Z80" s="66" t="s">
        <v>18</v>
      </c>
    </row>
    <row r="81" spans="1:26" x14ac:dyDescent="0.25">
      <c r="A81" t="s">
        <v>29</v>
      </c>
      <c r="B81" s="204">
        <v>7.30844</v>
      </c>
      <c r="C81" s="204">
        <v>53.584060000000001</v>
      </c>
      <c r="D81" s="206">
        <v>17.4345</v>
      </c>
      <c r="E81" s="207"/>
      <c r="F81" s="204">
        <v>19.825050000000001</v>
      </c>
      <c r="G81" s="204">
        <v>29.99222</v>
      </c>
      <c r="H81" s="204">
        <v>11.328569999999999</v>
      </c>
      <c r="I81" s="204">
        <v>9.9432100000000005</v>
      </c>
      <c r="J81" s="205"/>
      <c r="K81" s="204">
        <v>14.41009</v>
      </c>
      <c r="L81" s="204">
        <v>39.077860000000001</v>
      </c>
      <c r="M81" s="204">
        <v>19.996390000000002</v>
      </c>
      <c r="N81" s="204">
        <v>63.221629999999998</v>
      </c>
      <c r="O81" s="205"/>
      <c r="P81" s="204">
        <v>31.901710000000001</v>
      </c>
      <c r="Q81" s="204">
        <v>24.188420000000001</v>
      </c>
      <c r="R81" s="204">
        <v>19.37575</v>
      </c>
      <c r="S81" s="204">
        <v>18.241009999999999</v>
      </c>
      <c r="T81" s="205"/>
      <c r="U81" s="204">
        <v>14.338039999999999</v>
      </c>
      <c r="V81" s="204">
        <v>17.512029999999999</v>
      </c>
      <c r="W81" s="204">
        <v>25.636569999999999</v>
      </c>
      <c r="X81" s="204">
        <v>24.931920000000002</v>
      </c>
      <c r="Z81" s="66" t="s">
        <v>29</v>
      </c>
    </row>
    <row r="82" spans="1:26" x14ac:dyDescent="0.25">
      <c r="A82" t="s">
        <v>41</v>
      </c>
      <c r="B82" s="204">
        <v>57.241999999999997</v>
      </c>
      <c r="C82" s="204">
        <v>-1180.8810000000001</v>
      </c>
      <c r="D82" s="206">
        <v>-548.12599999999998</v>
      </c>
      <c r="E82" s="207"/>
      <c r="F82" s="204">
        <v>-518.61900000000003</v>
      </c>
      <c r="G82" s="204">
        <v>-49.487000000000002</v>
      </c>
      <c r="H82" s="204">
        <v>-115.904</v>
      </c>
      <c r="I82" s="204">
        <v>-834.52700000000004</v>
      </c>
      <c r="J82" s="205"/>
      <c r="K82" s="204">
        <v>-81.245000000000005</v>
      </c>
      <c r="L82" s="204">
        <v>-170.066</v>
      </c>
      <c r="M82" s="204">
        <v>-141.297</v>
      </c>
      <c r="N82" s="204">
        <v>166.316</v>
      </c>
      <c r="O82" s="205"/>
      <c r="P82" s="204">
        <v>-264.625</v>
      </c>
      <c r="Q82" s="204">
        <v>-0.46700000000000003</v>
      </c>
      <c r="R82" s="204">
        <v>-1.327</v>
      </c>
      <c r="S82" s="204">
        <v>53.488</v>
      </c>
      <c r="T82" s="205"/>
      <c r="U82" s="204">
        <v>22.439</v>
      </c>
      <c r="V82" s="204">
        <v>35.36</v>
      </c>
      <c r="W82" s="204">
        <v>-35.125</v>
      </c>
      <c r="X82" s="204">
        <v>44.146999999999998</v>
      </c>
      <c r="Z82" s="66" t="s">
        <v>41</v>
      </c>
    </row>
    <row r="83" spans="1:26" x14ac:dyDescent="0.25">
      <c r="A83" t="s">
        <v>28</v>
      </c>
      <c r="B83" s="205" t="s">
        <v>403</v>
      </c>
      <c r="C83" s="205" t="s">
        <v>403</v>
      </c>
      <c r="D83" s="206" t="s">
        <v>403</v>
      </c>
      <c r="E83" s="207"/>
      <c r="F83" s="204" t="s">
        <v>403</v>
      </c>
      <c r="G83" s="204" t="s">
        <v>403</v>
      </c>
      <c r="H83" s="204" t="s">
        <v>403</v>
      </c>
      <c r="I83" s="204" t="s">
        <v>403</v>
      </c>
      <c r="J83" s="205"/>
      <c r="K83" s="204" t="s">
        <v>403</v>
      </c>
      <c r="L83" s="204" t="s">
        <v>403</v>
      </c>
      <c r="M83" s="204" t="s">
        <v>403</v>
      </c>
      <c r="N83" s="204" t="s">
        <v>403</v>
      </c>
      <c r="O83" s="205"/>
      <c r="P83" s="204" t="s">
        <v>403</v>
      </c>
      <c r="Q83" s="204" t="s">
        <v>403</v>
      </c>
      <c r="R83" s="204" t="s">
        <v>403</v>
      </c>
      <c r="S83" s="204" t="s">
        <v>403</v>
      </c>
      <c r="T83" s="205"/>
      <c r="U83" s="204" t="s">
        <v>403</v>
      </c>
      <c r="V83" s="204" t="s">
        <v>403</v>
      </c>
      <c r="W83" s="204" t="s">
        <v>403</v>
      </c>
      <c r="X83" s="204" t="s">
        <v>403</v>
      </c>
      <c r="Z83" s="66" t="s">
        <v>28</v>
      </c>
    </row>
    <row r="84" spans="1:26" x14ac:dyDescent="0.25">
      <c r="A84" t="s">
        <v>69</v>
      </c>
      <c r="B84" s="204">
        <v>-26.661570000000001</v>
      </c>
      <c r="C84" s="204">
        <v>-2.5581800000000001</v>
      </c>
      <c r="D84" s="206">
        <v>-0.34200000000000003</v>
      </c>
      <c r="E84" s="207"/>
      <c r="F84" s="204">
        <v>4.5223300000000002</v>
      </c>
      <c r="G84" s="204">
        <v>4.6324899999999998</v>
      </c>
      <c r="H84" s="204">
        <v>-11.005000000000001</v>
      </c>
      <c r="I84" s="204">
        <v>9.9198000000000004</v>
      </c>
      <c r="J84" s="205"/>
      <c r="K84" s="204">
        <v>2.3709099999999999</v>
      </c>
      <c r="L84" s="204">
        <v>-1.18876</v>
      </c>
      <c r="M84" s="204">
        <v>2.2932800000000002</v>
      </c>
      <c r="N84" s="204">
        <v>10.08705</v>
      </c>
      <c r="O84" s="205"/>
      <c r="P84" s="204">
        <v>3.6339000000000001</v>
      </c>
      <c r="Q84" s="204">
        <v>1.36538</v>
      </c>
      <c r="R84" s="204">
        <v>2.6122299999999998</v>
      </c>
      <c r="S84" s="204">
        <v>-4.4082100000000004</v>
      </c>
      <c r="T84" s="205"/>
      <c r="U84" s="204">
        <v>0.95864000000000005</v>
      </c>
      <c r="V84" s="204">
        <v>0.67083000000000004</v>
      </c>
      <c r="W84" s="204">
        <v>-3.2575099999999999</v>
      </c>
      <c r="X84" s="204">
        <v>2.9218000000000002</v>
      </c>
      <c r="Z84" s="66" t="s">
        <v>69</v>
      </c>
    </row>
    <row r="85" spans="1:26" x14ac:dyDescent="0.25">
      <c r="A85" t="s">
        <v>47</v>
      </c>
      <c r="B85" s="204">
        <v>-9.5640000000000001</v>
      </c>
      <c r="C85" s="204">
        <v>-11.449</v>
      </c>
      <c r="D85" s="206">
        <v>-2.6579999999999999</v>
      </c>
      <c r="E85" s="207"/>
      <c r="F85" s="204">
        <v>-51.651000000000003</v>
      </c>
      <c r="G85" s="204">
        <v>-21.317</v>
      </c>
      <c r="H85" s="204">
        <v>-17.53</v>
      </c>
      <c r="I85" s="204">
        <v>-14.459</v>
      </c>
      <c r="J85" s="205"/>
      <c r="K85" s="204">
        <v>-15.241</v>
      </c>
      <c r="L85" s="204">
        <v>-10.343</v>
      </c>
      <c r="M85" s="204">
        <v>-1.5980000000000001</v>
      </c>
      <c r="N85" s="204">
        <v>-5.4589999999999996</v>
      </c>
      <c r="O85" s="205"/>
      <c r="P85" s="204">
        <v>7.7080000000000002</v>
      </c>
      <c r="Q85" s="204">
        <v>-2.9000000000000001E-2</v>
      </c>
      <c r="R85" s="204">
        <v>-0.81499999999999995</v>
      </c>
      <c r="S85" s="204">
        <v>7.4260000000000002</v>
      </c>
      <c r="T85" s="205"/>
      <c r="U85" s="204">
        <v>0.154</v>
      </c>
      <c r="V85" s="204">
        <v>1.5649999999999999</v>
      </c>
      <c r="W85" s="204">
        <v>-10.085000000000001</v>
      </c>
      <c r="X85" s="204">
        <v>4.9189999999999996</v>
      </c>
      <c r="Z85" s="66" t="s">
        <v>47</v>
      </c>
    </row>
    <row r="86" spans="1:26" x14ac:dyDescent="0.25">
      <c r="A86" s="68" t="s">
        <v>122</v>
      </c>
      <c r="B86" s="208">
        <v>632.05204777777772</v>
      </c>
      <c r="C86" s="208">
        <v>75.944793333333294</v>
      </c>
      <c r="D86" s="209">
        <v>469.87463111111106</v>
      </c>
      <c r="E86" s="209"/>
      <c r="F86" s="208">
        <v>242.00709111111104</v>
      </c>
      <c r="G86" s="208">
        <v>361.62447222222221</v>
      </c>
      <c r="H86" s="208">
        <v>249.83964666666665</v>
      </c>
      <c r="I86" s="208">
        <v>255.35565555555553</v>
      </c>
      <c r="J86" s="208"/>
      <c r="K86" s="208">
        <v>141.65751333333336</v>
      </c>
      <c r="L86" s="208">
        <v>209.0461544444444</v>
      </c>
      <c r="M86" s="208">
        <v>111.78731666666667</v>
      </c>
      <c r="N86" s="208">
        <v>147.2806788888889</v>
      </c>
      <c r="O86" s="208"/>
      <c r="P86" s="208">
        <v>-44.721760000000003</v>
      </c>
      <c r="Q86" s="208">
        <v>78.281313749999981</v>
      </c>
      <c r="R86" s="208">
        <v>75.33935249999999</v>
      </c>
      <c r="S86" s="208">
        <v>140.51852499999998</v>
      </c>
      <c r="T86" s="208"/>
      <c r="U86" s="208">
        <v>117.99982749999999</v>
      </c>
      <c r="V86" s="208">
        <v>43.57300750000001</v>
      </c>
      <c r="W86" s="208">
        <v>144.0979725</v>
      </c>
      <c r="X86" s="208">
        <v>145.34541750000002</v>
      </c>
      <c r="Y86" s="210"/>
      <c r="Z86" s="76" t="s">
        <v>123</v>
      </c>
    </row>
    <row r="87" spans="1:26" ht="26.25" customHeight="1" x14ac:dyDescent="0.25">
      <c r="A87" s="95"/>
      <c r="B87" s="219"/>
      <c r="C87" s="219"/>
      <c r="D87" s="220"/>
      <c r="E87" s="221"/>
      <c r="F87" s="219"/>
      <c r="G87" s="219"/>
      <c r="H87" s="219"/>
      <c r="I87" s="219"/>
      <c r="J87" s="222"/>
      <c r="K87" s="219"/>
      <c r="L87" s="219"/>
      <c r="M87" s="219"/>
      <c r="N87" s="219"/>
      <c r="O87" s="222"/>
      <c r="P87" s="219"/>
      <c r="Q87" s="219"/>
      <c r="R87" s="219"/>
      <c r="S87" s="219"/>
      <c r="T87" s="222"/>
      <c r="U87" s="219"/>
      <c r="V87" s="219"/>
      <c r="W87" s="219"/>
      <c r="X87" s="219"/>
      <c r="Y87" s="223"/>
      <c r="Z87" s="101"/>
    </row>
    <row r="88" spans="1:26" x14ac:dyDescent="0.25">
      <c r="A88" s="183" t="s">
        <v>4</v>
      </c>
      <c r="B88" s="184">
        <v>2018</v>
      </c>
      <c r="C88" s="185"/>
      <c r="D88" s="186"/>
      <c r="E88" s="187"/>
      <c r="F88" s="188">
        <v>2017</v>
      </c>
      <c r="G88" s="188"/>
      <c r="H88" s="188"/>
      <c r="I88" s="188"/>
      <c r="J88" s="187"/>
      <c r="K88" s="188">
        <v>2016</v>
      </c>
      <c r="L88" s="188"/>
      <c r="M88" s="188"/>
      <c r="N88" s="188"/>
      <c r="O88" s="187"/>
      <c r="P88" s="188">
        <v>2015</v>
      </c>
      <c r="Q88" s="188"/>
      <c r="R88" s="188"/>
      <c r="S88" s="188"/>
      <c r="T88" s="187"/>
      <c r="U88" s="188">
        <v>2014</v>
      </c>
      <c r="V88" s="188"/>
      <c r="W88" s="188"/>
      <c r="X88" s="188"/>
      <c r="Y88" s="187"/>
      <c r="Z88" s="189" t="s">
        <v>4</v>
      </c>
    </row>
    <row r="89" spans="1:26" x14ac:dyDescent="0.25">
      <c r="A89" s="190"/>
      <c r="B89" s="191" t="s">
        <v>184</v>
      </c>
      <c r="C89" s="191" t="s">
        <v>185</v>
      </c>
      <c r="D89" s="192" t="s">
        <v>186</v>
      </c>
      <c r="E89" s="193"/>
      <c r="F89" s="192" t="s">
        <v>187</v>
      </c>
      <c r="G89" s="192" t="s">
        <v>184</v>
      </c>
      <c r="H89" s="192" t="s">
        <v>185</v>
      </c>
      <c r="I89" s="192" t="s">
        <v>188</v>
      </c>
      <c r="J89" s="194"/>
      <c r="K89" s="192" t="s">
        <v>189</v>
      </c>
      <c r="L89" s="192" t="s">
        <v>184</v>
      </c>
      <c r="M89" s="192" t="s">
        <v>185</v>
      </c>
      <c r="N89" s="192" t="s">
        <v>186</v>
      </c>
      <c r="O89" s="194"/>
      <c r="P89" s="192" t="s">
        <v>187</v>
      </c>
      <c r="Q89" s="192" t="s">
        <v>184</v>
      </c>
      <c r="R89" s="192" t="s">
        <v>185</v>
      </c>
      <c r="S89" s="192" t="s">
        <v>188</v>
      </c>
      <c r="T89" s="194"/>
      <c r="U89" s="192" t="s">
        <v>187</v>
      </c>
      <c r="V89" s="192" t="s">
        <v>190</v>
      </c>
      <c r="W89" s="192" t="s">
        <v>185</v>
      </c>
      <c r="X89" s="192" t="s">
        <v>188</v>
      </c>
      <c r="Y89" s="194"/>
      <c r="Z89" s="195"/>
    </row>
    <row r="90" spans="1:26" x14ac:dyDescent="0.25">
      <c r="A90" s="56" t="s">
        <v>130</v>
      </c>
      <c r="B90" s="211"/>
      <c r="C90" s="211"/>
      <c r="D90" s="211"/>
      <c r="E90" s="212"/>
      <c r="F90" s="211"/>
      <c r="G90" s="211"/>
      <c r="H90" s="211"/>
      <c r="I90" s="211"/>
      <c r="J90" s="212"/>
      <c r="K90" s="211"/>
      <c r="L90" s="211"/>
      <c r="M90" s="211"/>
      <c r="N90" s="211"/>
      <c r="O90" s="212"/>
      <c r="P90" s="211"/>
      <c r="Q90" s="211"/>
      <c r="R90" s="211"/>
      <c r="S90" s="211"/>
      <c r="T90" s="212"/>
      <c r="U90" s="211"/>
      <c r="V90" s="211"/>
      <c r="W90" s="211"/>
      <c r="X90" s="211"/>
      <c r="Y90" s="213"/>
      <c r="Z90" s="86"/>
    </row>
    <row r="91" spans="1:26" x14ac:dyDescent="0.25">
      <c r="A91" t="s">
        <v>11</v>
      </c>
      <c r="B91" s="204">
        <v>12.56948</v>
      </c>
      <c r="C91" s="204">
        <v>-41.315750000000001</v>
      </c>
      <c r="D91" s="204">
        <v>20.261119999999998</v>
      </c>
      <c r="E91" s="205"/>
      <c r="F91" s="204">
        <v>10.03572</v>
      </c>
      <c r="G91" s="204">
        <v>17.650919999999999</v>
      </c>
      <c r="H91" s="204">
        <v>2.3791699999999998</v>
      </c>
      <c r="I91" s="204">
        <v>10.63012</v>
      </c>
      <c r="J91" s="205"/>
      <c r="K91" s="204">
        <v>69.602189999999993</v>
      </c>
      <c r="L91" s="204">
        <v>20.317519999999998</v>
      </c>
      <c r="M91" s="204">
        <v>5.0203100000000003</v>
      </c>
      <c r="N91" s="204">
        <v>-0.14488000000000001</v>
      </c>
      <c r="O91" s="205"/>
      <c r="P91" s="204" t="s">
        <v>403</v>
      </c>
      <c r="Q91" s="204" t="s">
        <v>403</v>
      </c>
      <c r="R91" s="204" t="s">
        <v>403</v>
      </c>
      <c r="S91" s="204" t="s">
        <v>403</v>
      </c>
      <c r="T91" s="205"/>
      <c r="U91" s="204" t="s">
        <v>403</v>
      </c>
      <c r="V91" s="204" t="s">
        <v>403</v>
      </c>
      <c r="W91" s="204" t="s">
        <v>403</v>
      </c>
      <c r="X91" s="204" t="s">
        <v>403</v>
      </c>
      <c r="Z91" s="66" t="s">
        <v>11</v>
      </c>
    </row>
    <row r="92" spans="1:26" x14ac:dyDescent="0.25">
      <c r="A92" t="s">
        <v>46</v>
      </c>
      <c r="B92" s="204">
        <v>20.646730000000002</v>
      </c>
      <c r="C92" s="204">
        <v>3.3237399999999999</v>
      </c>
      <c r="D92" s="204">
        <v>-2.0512199999999998</v>
      </c>
      <c r="E92" s="205"/>
      <c r="F92" s="204">
        <v>-3.2082299999999999</v>
      </c>
      <c r="G92" s="204">
        <v>-0.92839000000000005</v>
      </c>
      <c r="H92" s="204">
        <v>2.0605099999999998</v>
      </c>
      <c r="I92" s="204">
        <v>2.00379</v>
      </c>
      <c r="J92" s="205"/>
      <c r="K92" s="204">
        <v>7.5257899999999998</v>
      </c>
      <c r="L92" s="204">
        <v>-0.41177000000000002</v>
      </c>
      <c r="M92" s="204">
        <v>1.8685499999999999</v>
      </c>
      <c r="N92" s="204">
        <v>1.1801299999999999</v>
      </c>
      <c r="O92" s="205"/>
      <c r="P92" s="204">
        <v>6.0059100000000001</v>
      </c>
      <c r="Q92" s="204">
        <v>-3.0125500000000001</v>
      </c>
      <c r="R92" s="204">
        <v>-3.2687900000000001</v>
      </c>
      <c r="S92" s="204">
        <v>-0.45202999999999999</v>
      </c>
      <c r="T92" s="205"/>
      <c r="U92" s="204">
        <v>-3.3644699999999998</v>
      </c>
      <c r="V92" s="204">
        <v>5.8523699999999996</v>
      </c>
      <c r="W92" s="204">
        <v>-5.7577400000000001</v>
      </c>
      <c r="X92" s="204">
        <v>11.616059999999999</v>
      </c>
      <c r="Z92" s="66" t="s">
        <v>46</v>
      </c>
    </row>
    <row r="93" spans="1:26" x14ac:dyDescent="0.25">
      <c r="A93" s="68" t="s">
        <v>122</v>
      </c>
      <c r="B93" s="208">
        <v>16.608105000000002</v>
      </c>
      <c r="C93" s="208">
        <v>-18.996005</v>
      </c>
      <c r="D93" s="209">
        <v>9.1049499999999988</v>
      </c>
      <c r="E93" s="216"/>
      <c r="F93" s="208">
        <v>3.4137449999999996</v>
      </c>
      <c r="G93" s="208">
        <v>8.3612649999999995</v>
      </c>
      <c r="H93" s="208">
        <v>2.2198399999999996</v>
      </c>
      <c r="I93" s="208">
        <v>6.3169550000000001</v>
      </c>
      <c r="J93" s="217"/>
      <c r="K93" s="208">
        <v>38.563989999999997</v>
      </c>
      <c r="L93" s="208">
        <v>9.9528749999999988</v>
      </c>
      <c r="M93" s="208">
        <v>3.4444300000000001</v>
      </c>
      <c r="N93" s="208">
        <v>0.517625</v>
      </c>
      <c r="O93" s="217"/>
      <c r="P93" s="208">
        <v>6.0059100000000001</v>
      </c>
      <c r="Q93" s="208">
        <v>-3.0125500000000001</v>
      </c>
      <c r="R93" s="208">
        <v>-3.2687900000000001</v>
      </c>
      <c r="S93" s="208">
        <v>-0.45202999999999999</v>
      </c>
      <c r="T93" s="217"/>
      <c r="U93" s="208">
        <v>-3.3644699999999998</v>
      </c>
      <c r="V93" s="208">
        <v>5.8523699999999996</v>
      </c>
      <c r="W93" s="208">
        <v>-5.7577400000000001</v>
      </c>
      <c r="X93" s="208">
        <v>11.616059999999999</v>
      </c>
      <c r="Y93" s="210"/>
      <c r="Z93" s="76" t="s">
        <v>123</v>
      </c>
    </row>
    <row r="94" spans="1:26" x14ac:dyDescent="0.25">
      <c r="B94" s="204"/>
      <c r="C94" s="204"/>
      <c r="D94" s="206"/>
      <c r="E94" s="207"/>
      <c r="F94" s="204"/>
      <c r="G94" s="204"/>
      <c r="H94" s="204"/>
      <c r="I94" s="204"/>
      <c r="J94" s="205"/>
      <c r="K94" s="204"/>
      <c r="L94" s="204"/>
      <c r="M94" s="204"/>
      <c r="N94" s="204"/>
      <c r="O94" s="205"/>
      <c r="P94" s="204"/>
      <c r="Q94" s="204"/>
      <c r="R94" s="204"/>
      <c r="S94" s="204"/>
      <c r="T94" s="205"/>
      <c r="U94" s="204"/>
      <c r="V94" s="204"/>
      <c r="W94" s="204"/>
      <c r="X94" s="204"/>
    </row>
    <row r="95" spans="1:26" x14ac:dyDescent="0.25">
      <c r="A95" s="56" t="s">
        <v>131</v>
      </c>
      <c r="B95" s="211"/>
      <c r="C95" s="211"/>
      <c r="D95" s="211"/>
      <c r="E95" s="212"/>
      <c r="F95" s="211"/>
      <c r="G95" s="211"/>
      <c r="H95" s="211"/>
      <c r="I95" s="211"/>
      <c r="J95" s="212"/>
      <c r="K95" s="211"/>
      <c r="L95" s="211"/>
      <c r="M95" s="211"/>
      <c r="N95" s="211"/>
      <c r="O95" s="212"/>
      <c r="P95" s="211"/>
      <c r="Q95" s="211"/>
      <c r="R95" s="211"/>
      <c r="S95" s="211"/>
      <c r="T95" s="212"/>
      <c r="U95" s="211"/>
      <c r="V95" s="211"/>
      <c r="W95" s="211"/>
      <c r="X95" s="211"/>
      <c r="Y95" s="213"/>
      <c r="Z95" s="86"/>
    </row>
    <row r="96" spans="1:26" x14ac:dyDescent="0.25">
      <c r="A96" t="s">
        <v>22</v>
      </c>
      <c r="B96" s="204">
        <v>829.65272000000004</v>
      </c>
      <c r="C96" s="204">
        <v>592.47630000000004</v>
      </c>
      <c r="D96" s="204">
        <v>-23.90381</v>
      </c>
      <c r="E96" s="205"/>
      <c r="F96" s="204">
        <v>149.26545999999999</v>
      </c>
      <c r="G96" s="204">
        <v>245.37494000000001</v>
      </c>
      <c r="H96" s="204">
        <v>174.26070000000001</v>
      </c>
      <c r="I96" s="204">
        <v>-25.925999999999998</v>
      </c>
      <c r="J96" s="205"/>
      <c r="K96" s="204">
        <v>365.65839999999997</v>
      </c>
      <c r="L96" s="204">
        <v>-29.433949999999999</v>
      </c>
      <c r="M96" s="204">
        <v>-44.531739999999999</v>
      </c>
      <c r="N96" s="204">
        <v>-49.951390000000004</v>
      </c>
      <c r="O96" s="205"/>
      <c r="P96" s="204">
        <v>76.804839999999999</v>
      </c>
      <c r="Q96" s="204">
        <v>56.600029999999997</v>
      </c>
      <c r="R96" s="204">
        <v>125.44410999999999</v>
      </c>
      <c r="S96" s="204">
        <v>-44.952179999999998</v>
      </c>
      <c r="T96" s="205"/>
      <c r="U96" s="204">
        <v>-60.207610000000003</v>
      </c>
      <c r="V96" s="204">
        <v>-8.3692399999999996</v>
      </c>
      <c r="W96" s="204">
        <v>18.709409999999998</v>
      </c>
      <c r="X96" s="204">
        <v>-6.59945</v>
      </c>
      <c r="Z96" s="66" t="s">
        <v>22</v>
      </c>
    </row>
    <row r="97" spans="1:26" x14ac:dyDescent="0.25">
      <c r="A97" t="s">
        <v>40</v>
      </c>
      <c r="B97" s="204">
        <v>-7112</v>
      </c>
      <c r="C97" s="204">
        <v>-5199</v>
      </c>
      <c r="D97" s="204">
        <v>2482</v>
      </c>
      <c r="E97" s="205"/>
      <c r="F97" s="204">
        <v>1418</v>
      </c>
      <c r="G97" s="204">
        <v>1184</v>
      </c>
      <c r="H97" s="204">
        <v>15</v>
      </c>
      <c r="I97" s="204">
        <v>1607</v>
      </c>
      <c r="J97" s="205"/>
      <c r="K97" s="204">
        <v>910</v>
      </c>
      <c r="L97" s="204">
        <v>-932</v>
      </c>
      <c r="M97" s="204">
        <v>-669</v>
      </c>
      <c r="N97" s="204">
        <v>608</v>
      </c>
      <c r="O97" s="205"/>
      <c r="P97" s="204">
        <v>2061.7992800000002</v>
      </c>
      <c r="Q97" s="204">
        <v>40.269410000000001</v>
      </c>
      <c r="R97" s="204">
        <v>61.077309999999997</v>
      </c>
      <c r="S97" s="204">
        <v>901.94343000000003</v>
      </c>
      <c r="T97" s="205"/>
      <c r="U97" s="204">
        <v>727.97691999999995</v>
      </c>
      <c r="V97" s="204">
        <v>95.597120000000004</v>
      </c>
      <c r="W97" s="204">
        <v>309.69054</v>
      </c>
      <c r="X97" s="204">
        <v>-390.10523000000001</v>
      </c>
      <c r="Z97" s="66" t="s">
        <v>40</v>
      </c>
    </row>
    <row r="98" spans="1:26" x14ac:dyDescent="0.25">
      <c r="A98" t="s">
        <v>16</v>
      </c>
      <c r="B98" s="204">
        <v>847.40499999999997</v>
      </c>
      <c r="C98" s="204">
        <v>-197.584</v>
      </c>
      <c r="D98" s="206">
        <v>1450.818</v>
      </c>
      <c r="E98" s="207"/>
      <c r="F98" s="204">
        <v>22.24</v>
      </c>
      <c r="G98" s="204">
        <v>291.17599999999999</v>
      </c>
      <c r="H98" s="204">
        <v>-52.609000000000002</v>
      </c>
      <c r="I98" s="204">
        <v>421.38299999999998</v>
      </c>
      <c r="J98" s="205"/>
      <c r="K98" s="204">
        <v>653.58399999999995</v>
      </c>
      <c r="L98" s="204">
        <v>-656.76700000000005</v>
      </c>
      <c r="M98" s="204">
        <v>-1060.4280000000001</v>
      </c>
      <c r="N98" s="204">
        <v>-125.03700000000001</v>
      </c>
      <c r="O98" s="205"/>
      <c r="P98" s="204" t="s">
        <v>403</v>
      </c>
      <c r="Q98" s="204">
        <v>214.13</v>
      </c>
      <c r="R98" s="204">
        <v>254.857</v>
      </c>
      <c r="S98" s="204">
        <v>469.88600000000002</v>
      </c>
      <c r="T98" s="205"/>
      <c r="U98" s="204">
        <v>663.98500000000001</v>
      </c>
      <c r="V98" s="204">
        <v>-720.9</v>
      </c>
      <c r="W98" s="204">
        <v>15.762</v>
      </c>
      <c r="X98" s="204">
        <v>-738.56299999999999</v>
      </c>
      <c r="Z98" s="66" t="s">
        <v>16</v>
      </c>
    </row>
    <row r="99" spans="1:26" x14ac:dyDescent="0.25">
      <c r="A99" t="s">
        <v>71</v>
      </c>
      <c r="B99" s="204">
        <v>858.30399999999997</v>
      </c>
      <c r="C99" s="204">
        <v>731.23800000000006</v>
      </c>
      <c r="D99" s="206">
        <v>807.98500000000001</v>
      </c>
      <c r="E99" s="207"/>
      <c r="F99" s="204">
        <v>895.96501999999998</v>
      </c>
      <c r="G99" s="204">
        <v>510.19472999999999</v>
      </c>
      <c r="H99" s="204">
        <v>452.71800000000002</v>
      </c>
      <c r="I99" s="204">
        <v>423.21499999999997</v>
      </c>
      <c r="J99" s="205"/>
      <c r="K99" s="204">
        <v>484.46620000000001</v>
      </c>
      <c r="L99" s="204">
        <v>-269.85557</v>
      </c>
      <c r="M99" s="204">
        <v>-159.19166999999999</v>
      </c>
      <c r="N99" s="204">
        <v>-112.23196</v>
      </c>
      <c r="O99" s="205"/>
      <c r="P99" s="204">
        <v>-98.40258</v>
      </c>
      <c r="Q99" s="204">
        <v>33.119840000000003</v>
      </c>
      <c r="R99" s="204">
        <v>117.52892</v>
      </c>
      <c r="S99" s="204">
        <v>18.207640000000001</v>
      </c>
      <c r="T99" s="205"/>
      <c r="U99" s="204">
        <v>104.52914</v>
      </c>
      <c r="V99" s="204">
        <v>44.682969999999997</v>
      </c>
      <c r="W99" s="204">
        <v>88.835220000000007</v>
      </c>
      <c r="X99" s="204">
        <v>-92.847989999999996</v>
      </c>
      <c r="Z99" s="66" t="s">
        <v>71</v>
      </c>
    </row>
    <row r="100" spans="1:26" x14ac:dyDescent="0.25">
      <c r="A100" t="s">
        <v>72</v>
      </c>
      <c r="B100" s="204">
        <v>-214.74799999999999</v>
      </c>
      <c r="C100" s="204">
        <v>-1797.2470000000001</v>
      </c>
      <c r="D100" s="206">
        <v>-402.84800000000001</v>
      </c>
      <c r="E100" s="207"/>
      <c r="F100" s="204">
        <v>-258.178</v>
      </c>
      <c r="G100" s="204">
        <v>312.70499999999998</v>
      </c>
      <c r="H100" s="204">
        <v>201.446</v>
      </c>
      <c r="I100" s="204">
        <v>516.91999999999996</v>
      </c>
      <c r="J100" s="205"/>
      <c r="K100" s="204">
        <v>282.27600000000001</v>
      </c>
      <c r="L100" s="204">
        <v>-205.20500000000001</v>
      </c>
      <c r="M100" s="204">
        <v>-90.174000000000007</v>
      </c>
      <c r="N100" s="218">
        <v>-586.57899999999995</v>
      </c>
      <c r="O100" s="205"/>
      <c r="P100" s="204">
        <v>-547.69399999999996</v>
      </c>
      <c r="Q100" s="204">
        <v>77.031000000000006</v>
      </c>
      <c r="R100" s="204">
        <v>26.398</v>
      </c>
      <c r="S100" s="224">
        <v>-120.636</v>
      </c>
      <c r="T100" s="225"/>
      <c r="U100" s="224">
        <v>-277.10899999999998</v>
      </c>
      <c r="V100" s="224">
        <v>-21.105</v>
      </c>
      <c r="W100" s="224">
        <v>7.5780000000000003</v>
      </c>
      <c r="X100" s="224">
        <v>-340.78300000000002</v>
      </c>
      <c r="Z100" s="66" t="s">
        <v>72</v>
      </c>
    </row>
    <row r="101" spans="1:26" x14ac:dyDescent="0.25">
      <c r="A101" t="s">
        <v>38</v>
      </c>
      <c r="B101" s="204">
        <v>271.65670999999998</v>
      </c>
      <c r="C101" s="204">
        <v>312.83195000000001</v>
      </c>
      <c r="D101" s="206">
        <v>-214.22022000000001</v>
      </c>
      <c r="E101" s="207"/>
      <c r="F101" s="204">
        <v>-77.570059999999998</v>
      </c>
      <c r="G101" s="204">
        <v>379.83377000000002</v>
      </c>
      <c r="H101" s="204">
        <v>263.86640999999997</v>
      </c>
      <c r="I101" s="204">
        <v>258.82616999999999</v>
      </c>
      <c r="J101" s="205"/>
      <c r="K101" s="204">
        <v>-16.13532</v>
      </c>
      <c r="L101" s="204">
        <v>30.616019999999999</v>
      </c>
      <c r="M101" s="204">
        <v>-125.81035</v>
      </c>
      <c r="N101" s="204">
        <v>-95.954650000000001</v>
      </c>
      <c r="O101" s="205"/>
      <c r="P101" s="204">
        <v>21.969380000000001</v>
      </c>
      <c r="Q101" s="204">
        <v>152.80104</v>
      </c>
      <c r="R101" s="204">
        <v>-42.08099</v>
      </c>
      <c r="S101" s="204">
        <v>-41.882800000000003</v>
      </c>
      <c r="T101" s="205"/>
      <c r="U101" s="204">
        <v>-64.86533</v>
      </c>
      <c r="V101" s="204">
        <v>-21.183420000000002</v>
      </c>
      <c r="W101" s="204">
        <v>15.37391</v>
      </c>
      <c r="X101" s="204">
        <v>-16.832909999999998</v>
      </c>
      <c r="Z101" s="66" t="s">
        <v>38</v>
      </c>
    </row>
    <row r="102" spans="1:26" x14ac:dyDescent="0.25">
      <c r="A102" t="s">
        <v>62</v>
      </c>
      <c r="B102" s="204">
        <v>-361.13400000000001</v>
      </c>
      <c r="C102" s="204">
        <v>-141.55600000000001</v>
      </c>
      <c r="D102" s="206">
        <v>270.08452999999997</v>
      </c>
      <c r="E102" s="207"/>
      <c r="F102" s="204">
        <v>173.68800999999999</v>
      </c>
      <c r="G102" s="204">
        <v>270.58703000000003</v>
      </c>
      <c r="H102" s="204">
        <v>-18.656890000000001</v>
      </c>
      <c r="I102" s="204">
        <v>227.57427000000001</v>
      </c>
      <c r="J102" s="205"/>
      <c r="K102" s="204">
        <v>94.910049999999998</v>
      </c>
      <c r="L102" s="204">
        <v>171.06032999999999</v>
      </c>
      <c r="M102" s="204">
        <v>69.990030000000004</v>
      </c>
      <c r="N102" s="204">
        <v>88.239590000000007</v>
      </c>
      <c r="O102" s="205"/>
      <c r="P102" s="204">
        <v>-411.21755000000002</v>
      </c>
      <c r="Q102" s="204">
        <v>16.87434</v>
      </c>
      <c r="R102" s="204">
        <v>46.547179999999997</v>
      </c>
      <c r="S102" s="204">
        <v>-77.780090000000001</v>
      </c>
      <c r="T102" s="205"/>
      <c r="U102" s="204">
        <v>23.839359999999999</v>
      </c>
      <c r="V102" s="204">
        <v>19.957439999999998</v>
      </c>
      <c r="W102" s="204">
        <v>34.514780000000002</v>
      </c>
      <c r="X102" s="204">
        <v>78.998729999999995</v>
      </c>
      <c r="Z102" s="66" t="s">
        <v>62</v>
      </c>
    </row>
    <row r="103" spans="1:26" x14ac:dyDescent="0.25">
      <c r="A103" t="s">
        <v>42</v>
      </c>
      <c r="B103" s="204">
        <v>479.101</v>
      </c>
      <c r="C103" s="204">
        <v>357.959</v>
      </c>
      <c r="D103" s="206">
        <v>186.249</v>
      </c>
      <c r="E103" s="207"/>
      <c r="F103" s="204">
        <v>368.96499999999997</v>
      </c>
      <c r="G103" s="204">
        <v>159.74799999999999</v>
      </c>
      <c r="H103" s="204">
        <v>81.995999999999995</v>
      </c>
      <c r="I103" s="204">
        <v>-22.224</v>
      </c>
      <c r="J103" s="205"/>
      <c r="K103" s="204">
        <v>116.32899999999999</v>
      </c>
      <c r="L103" s="204">
        <v>-13.834</v>
      </c>
      <c r="M103" s="204">
        <v>33.817999999999998</v>
      </c>
      <c r="N103" s="204">
        <v>0.30599999999999999</v>
      </c>
      <c r="O103" s="205"/>
      <c r="P103" s="204">
        <v>27.228000000000002</v>
      </c>
      <c r="Q103" s="204">
        <v>20.309999999999999</v>
      </c>
      <c r="R103" s="204">
        <v>-13.182</v>
      </c>
      <c r="S103" s="204">
        <v>-19.803999999999998</v>
      </c>
      <c r="T103" s="205"/>
      <c r="U103" s="204">
        <v>3.6749999999999998</v>
      </c>
      <c r="V103" s="204">
        <v>12.696</v>
      </c>
      <c r="W103" s="204">
        <v>10.087999999999999</v>
      </c>
      <c r="X103" s="204">
        <v>4.2130000000000001</v>
      </c>
      <c r="Z103" s="66" t="s">
        <v>42</v>
      </c>
    </row>
    <row r="104" spans="1:26" x14ac:dyDescent="0.25">
      <c r="A104" t="s">
        <v>25</v>
      </c>
      <c r="B104" s="204">
        <v>5709.8779999999997</v>
      </c>
      <c r="C104" s="204">
        <v>4126.5379999999996</v>
      </c>
      <c r="D104" s="206">
        <v>6993.3620000000001</v>
      </c>
      <c r="E104" s="207"/>
      <c r="F104" s="204">
        <v>937.10199999999998</v>
      </c>
      <c r="G104" s="204">
        <v>639.26599999999996</v>
      </c>
      <c r="H104" s="204">
        <v>609.87</v>
      </c>
      <c r="I104" s="204">
        <v>410.45400000000001</v>
      </c>
      <c r="J104" s="205"/>
      <c r="K104" s="204">
        <v>365.63099999999997</v>
      </c>
      <c r="L104" s="204">
        <v>303.12900000000002</v>
      </c>
      <c r="M104" s="204">
        <v>352.81799999999998</v>
      </c>
      <c r="N104" s="204">
        <v>747.26400000000001</v>
      </c>
      <c r="O104" s="205"/>
      <c r="P104" s="204">
        <v>723.48800000000006</v>
      </c>
      <c r="Q104" s="204">
        <v>420.41199999999998</v>
      </c>
      <c r="R104" s="204">
        <v>20.451000000000001</v>
      </c>
      <c r="S104" s="204">
        <v>177.64699999999999</v>
      </c>
      <c r="T104" s="205"/>
      <c r="U104" s="204">
        <v>23.62</v>
      </c>
      <c r="V104" s="204">
        <v>44.527000000000001</v>
      </c>
      <c r="W104" s="204">
        <v>168.54400000000001</v>
      </c>
      <c r="X104" s="204">
        <v>81.040000000000006</v>
      </c>
      <c r="Z104" s="66" t="s">
        <v>25</v>
      </c>
    </row>
    <row r="105" spans="1:26" x14ac:dyDescent="0.25">
      <c r="A105" t="s">
        <v>80</v>
      </c>
      <c r="B105" s="204">
        <v>197.72069999999999</v>
      </c>
      <c r="C105" s="204">
        <v>-36.071300000000001</v>
      </c>
      <c r="D105" s="206">
        <v>72.636009999999999</v>
      </c>
      <c r="E105" s="207"/>
      <c r="F105" s="204">
        <v>394.44092999999998</v>
      </c>
      <c r="G105" s="204">
        <v>38.43694</v>
      </c>
      <c r="H105" s="204">
        <v>37.549849999999999</v>
      </c>
      <c r="I105" s="204">
        <v>-100.64673999999999</v>
      </c>
      <c r="J105" s="205"/>
      <c r="K105" s="204">
        <v>117.30734</v>
      </c>
      <c r="L105" s="204">
        <v>32.793889999999998</v>
      </c>
      <c r="M105" s="204">
        <v>16.36093</v>
      </c>
      <c r="N105" s="204">
        <v>-50.002279999999999</v>
      </c>
      <c r="O105" s="205"/>
      <c r="P105" s="204">
        <v>-81.554289999999995</v>
      </c>
      <c r="Q105" s="204">
        <v>50.119190000000003</v>
      </c>
      <c r="R105" s="204">
        <v>-75.293899999999994</v>
      </c>
      <c r="S105" s="204">
        <v>15.97242</v>
      </c>
      <c r="T105" s="205"/>
      <c r="U105" s="204">
        <v>1018.4373900000001</v>
      </c>
      <c r="V105" s="204">
        <v>-90.97484</v>
      </c>
      <c r="W105" s="204">
        <v>-12.8179</v>
      </c>
      <c r="X105" s="204">
        <v>-313.10539999999997</v>
      </c>
      <c r="Z105" s="66" t="s">
        <v>80</v>
      </c>
    </row>
    <row r="106" spans="1:26" x14ac:dyDescent="0.25">
      <c r="A106" s="68" t="s">
        <v>122</v>
      </c>
      <c r="B106" s="208">
        <v>150.58361299999999</v>
      </c>
      <c r="C106" s="208">
        <v>-125.041505</v>
      </c>
      <c r="D106" s="209">
        <v>1162.2162510000001</v>
      </c>
      <c r="E106" s="209"/>
      <c r="F106" s="208">
        <v>402.39183599999996</v>
      </c>
      <c r="G106" s="208">
        <v>403.13224100000002</v>
      </c>
      <c r="H106" s="208">
        <v>176.544107</v>
      </c>
      <c r="I106" s="208">
        <v>371.65756999999996</v>
      </c>
      <c r="J106" s="208"/>
      <c r="K106" s="208">
        <v>337.40266699999995</v>
      </c>
      <c r="L106" s="208">
        <v>-156.94962800000002</v>
      </c>
      <c r="M106" s="208">
        <v>-167.61488000000003</v>
      </c>
      <c r="N106" s="208">
        <v>42.405331000000004</v>
      </c>
      <c r="O106" s="208"/>
      <c r="P106" s="208">
        <v>196.93567555555558</v>
      </c>
      <c r="Q106" s="208">
        <v>108.166685</v>
      </c>
      <c r="R106" s="208">
        <v>52.174662999999995</v>
      </c>
      <c r="S106" s="208">
        <v>127.860142</v>
      </c>
      <c r="T106" s="208"/>
      <c r="U106" s="208">
        <v>216.38808699999998</v>
      </c>
      <c r="V106" s="208">
        <v>-64.507196999999991</v>
      </c>
      <c r="W106" s="208">
        <v>65.627796000000004</v>
      </c>
      <c r="X106" s="208">
        <v>-173.45852500000001</v>
      </c>
      <c r="Y106" s="210"/>
      <c r="Z106" s="76" t="s">
        <v>123</v>
      </c>
    </row>
    <row r="107" spans="1:26" x14ac:dyDescent="0.25">
      <c r="B107" s="204"/>
      <c r="C107" s="204"/>
      <c r="D107" s="206"/>
      <c r="E107" s="207"/>
      <c r="F107" s="204"/>
      <c r="G107" s="204"/>
      <c r="H107" s="204"/>
      <c r="I107" s="204"/>
      <c r="J107" s="205"/>
      <c r="K107" s="204"/>
      <c r="L107" s="204"/>
      <c r="M107" s="204"/>
      <c r="N107" s="204"/>
      <c r="O107" s="205"/>
      <c r="P107" s="204"/>
      <c r="Q107" s="204"/>
      <c r="R107" s="204"/>
      <c r="S107" s="204"/>
      <c r="T107" s="205"/>
      <c r="U107" s="204"/>
      <c r="V107" s="204"/>
      <c r="W107" s="204"/>
      <c r="X107" s="204"/>
    </row>
    <row r="108" spans="1:26" x14ac:dyDescent="0.25">
      <c r="A108" s="56" t="s">
        <v>132</v>
      </c>
      <c r="B108" s="211"/>
      <c r="C108" s="211"/>
      <c r="D108" s="211"/>
      <c r="E108" s="211"/>
      <c r="F108" s="211"/>
      <c r="G108" s="211"/>
      <c r="H108" s="211"/>
      <c r="I108" s="211"/>
      <c r="J108" s="212"/>
      <c r="K108" s="211"/>
      <c r="L108" s="211"/>
      <c r="M108" s="211"/>
      <c r="N108" s="211"/>
      <c r="O108" s="212"/>
      <c r="P108" s="211"/>
      <c r="Q108" s="211"/>
      <c r="R108" s="211"/>
      <c r="S108" s="211"/>
      <c r="T108" s="212"/>
      <c r="U108" s="211"/>
      <c r="V108" s="211"/>
      <c r="W108" s="211"/>
      <c r="X108" s="211"/>
      <c r="Y108" s="213"/>
      <c r="Z108" s="86"/>
    </row>
    <row r="109" spans="1:26" x14ac:dyDescent="0.25">
      <c r="A109" t="s">
        <v>65</v>
      </c>
      <c r="B109" s="204">
        <v>152.45572999999999</v>
      </c>
      <c r="C109" s="204">
        <v>59.307360000000003</v>
      </c>
      <c r="D109" s="204">
        <v>144.36427</v>
      </c>
      <c r="E109" s="205"/>
      <c r="F109" s="204">
        <v>204.08196000000001</v>
      </c>
      <c r="G109" s="204">
        <v>66.530969999999996</v>
      </c>
      <c r="H109" s="204">
        <v>99.971299999999999</v>
      </c>
      <c r="I109" s="204">
        <v>81.080590000000001</v>
      </c>
      <c r="J109" s="205"/>
      <c r="K109" s="204">
        <v>238.80364</v>
      </c>
      <c r="L109" s="204">
        <v>37.386490000000002</v>
      </c>
      <c r="M109" s="204">
        <v>48.302300000000002</v>
      </c>
      <c r="N109" s="204">
        <v>46.260509999999996</v>
      </c>
      <c r="O109" s="205"/>
      <c r="P109" s="204">
        <v>54.1783</v>
      </c>
      <c r="Q109" s="204">
        <v>29.343810000000001</v>
      </c>
      <c r="R109" s="204">
        <v>38.190860000000001</v>
      </c>
      <c r="S109" s="204">
        <v>67.773960000000002</v>
      </c>
      <c r="T109" s="205"/>
      <c r="U109" s="204">
        <v>121.02784</v>
      </c>
      <c r="V109" s="204">
        <v>14.24165</v>
      </c>
      <c r="W109" s="204">
        <v>23.30545</v>
      </c>
      <c r="X109" s="204">
        <v>33.518569999999997</v>
      </c>
      <c r="Z109" s="66" t="s">
        <v>65</v>
      </c>
    </row>
    <row r="110" spans="1:26" x14ac:dyDescent="0.25">
      <c r="A110" s="68" t="s">
        <v>122</v>
      </c>
      <c r="B110" s="208">
        <v>152.45572999999999</v>
      </c>
      <c r="C110" s="208">
        <v>59.307360000000003</v>
      </c>
      <c r="D110" s="208">
        <v>144.36427</v>
      </c>
      <c r="E110" s="208"/>
      <c r="F110" s="208">
        <v>204.08196000000001</v>
      </c>
      <c r="G110" s="208">
        <v>66.530969999999996</v>
      </c>
      <c r="H110" s="208">
        <v>99.971299999999999</v>
      </c>
      <c r="I110" s="208">
        <v>81.080590000000001</v>
      </c>
      <c r="J110" s="208"/>
      <c r="K110" s="208">
        <v>238.80364</v>
      </c>
      <c r="L110" s="208">
        <v>37.386490000000002</v>
      </c>
      <c r="M110" s="208">
        <v>48.302300000000002</v>
      </c>
      <c r="N110" s="208">
        <v>46.260509999999996</v>
      </c>
      <c r="O110" s="208"/>
      <c r="P110" s="208">
        <v>54.1783</v>
      </c>
      <c r="Q110" s="208">
        <v>29.343810000000001</v>
      </c>
      <c r="R110" s="208">
        <v>38.190860000000001</v>
      </c>
      <c r="S110" s="208">
        <v>67.773960000000002</v>
      </c>
      <c r="T110" s="208"/>
      <c r="U110" s="208">
        <v>121.02784</v>
      </c>
      <c r="V110" s="208">
        <v>14.24165</v>
      </c>
      <c r="W110" s="208">
        <v>23.30545</v>
      </c>
      <c r="X110" s="208">
        <v>33.518569999999997</v>
      </c>
      <c r="Y110" s="210"/>
      <c r="Z110" s="76" t="s">
        <v>123</v>
      </c>
    </row>
    <row r="111" spans="1:26" x14ac:dyDescent="0.25">
      <c r="B111" s="204"/>
      <c r="C111" s="204"/>
      <c r="D111" s="206"/>
      <c r="E111" s="207"/>
      <c r="F111" s="204"/>
      <c r="G111" s="204"/>
      <c r="H111" s="204"/>
      <c r="I111" s="204"/>
      <c r="J111" s="205"/>
      <c r="K111" s="204"/>
      <c r="L111" s="204"/>
      <c r="M111" s="204"/>
      <c r="N111" s="204"/>
      <c r="O111" s="205"/>
      <c r="P111" s="204"/>
      <c r="Q111" s="204"/>
      <c r="R111" s="204"/>
      <c r="S111" s="204"/>
      <c r="T111" s="205"/>
      <c r="U111" s="204"/>
      <c r="V111" s="204"/>
      <c r="W111" s="204"/>
      <c r="X111" s="204"/>
    </row>
    <row r="112" spans="1:26" x14ac:dyDescent="0.25">
      <c r="A112" s="56" t="s">
        <v>133</v>
      </c>
      <c r="B112" s="211"/>
      <c r="C112" s="211"/>
      <c r="D112" s="211"/>
      <c r="E112" s="212"/>
      <c r="F112" s="211"/>
      <c r="G112" s="211"/>
      <c r="H112" s="211"/>
      <c r="I112" s="211"/>
      <c r="J112" s="212"/>
      <c r="K112" s="211"/>
      <c r="L112" s="211"/>
      <c r="M112" s="211"/>
      <c r="N112" s="211"/>
      <c r="O112" s="212"/>
      <c r="P112" s="211"/>
      <c r="Q112" s="211"/>
      <c r="R112" s="211"/>
      <c r="S112" s="211"/>
      <c r="T112" s="212"/>
      <c r="U112" s="211"/>
      <c r="V112" s="211"/>
      <c r="W112" s="211"/>
      <c r="X112" s="211"/>
      <c r="Y112" s="213"/>
      <c r="Z112" s="86"/>
    </row>
    <row r="113" spans="1:26" x14ac:dyDescent="0.25">
      <c r="A113" t="s">
        <v>12</v>
      </c>
      <c r="B113" s="204">
        <v>54578.708486656498</v>
      </c>
      <c r="C113" s="214">
        <v>30468.8915110872</v>
      </c>
      <c r="D113" s="204">
        <v>20714.078016805899</v>
      </c>
      <c r="E113" s="205"/>
      <c r="F113" s="204">
        <v>15457.6384640299</v>
      </c>
      <c r="G113" s="226">
        <v>17133.7951807229</v>
      </c>
      <c r="H113" s="226">
        <v>15573.5192990873</v>
      </c>
      <c r="I113" s="204">
        <v>12747.740293485</v>
      </c>
      <c r="J113" s="205"/>
      <c r="K113" s="204">
        <v>2400.1009251471801</v>
      </c>
      <c r="L113" s="204">
        <v>16951.5137552819</v>
      </c>
      <c r="M113" s="204">
        <v>14047.669279797499</v>
      </c>
      <c r="N113" s="204">
        <v>9158.7934781372005</v>
      </c>
      <c r="O113" s="205"/>
      <c r="P113" s="204">
        <v>-31412.204906549701</v>
      </c>
      <c r="Q113" s="204">
        <v>7476.1190026487202</v>
      </c>
      <c r="R113" s="204">
        <v>16652.348703330499</v>
      </c>
      <c r="S113" s="204">
        <v>4710.5797396911903</v>
      </c>
      <c r="T113" s="205"/>
      <c r="U113" s="204">
        <v>2045.55688622755</v>
      </c>
      <c r="V113" s="204">
        <v>7943.3876468359203</v>
      </c>
      <c r="W113" s="204">
        <v>12556.2410153202</v>
      </c>
      <c r="X113" s="204">
        <v>6543.4716752499198</v>
      </c>
      <c r="Z113" s="66" t="s">
        <v>12</v>
      </c>
    </row>
    <row r="114" spans="1:26" x14ac:dyDescent="0.25">
      <c r="A114" t="s">
        <v>14</v>
      </c>
      <c r="B114" s="204">
        <v>-13677</v>
      </c>
      <c r="C114" s="204">
        <v>-8372</v>
      </c>
      <c r="D114" s="204">
        <v>3460</v>
      </c>
      <c r="E114" s="205"/>
      <c r="F114" s="204">
        <v>1989</v>
      </c>
      <c r="G114" s="204">
        <v>2026</v>
      </c>
      <c r="H114" s="204">
        <v>1660</v>
      </c>
      <c r="I114" s="204">
        <v>1955</v>
      </c>
      <c r="J114" s="205"/>
      <c r="K114" s="204">
        <v>1504</v>
      </c>
      <c r="L114" s="204">
        <v>746</v>
      </c>
      <c r="M114" s="204">
        <v>800</v>
      </c>
      <c r="N114" s="204">
        <v>925</v>
      </c>
      <c r="O114" s="205"/>
      <c r="P114" s="204">
        <v>646</v>
      </c>
      <c r="Q114" s="204">
        <v>801</v>
      </c>
      <c r="R114" s="204">
        <v>928</v>
      </c>
      <c r="S114" s="204">
        <v>1028</v>
      </c>
      <c r="T114" s="205"/>
      <c r="U114" s="204">
        <v>1029</v>
      </c>
      <c r="V114" s="204">
        <v>839</v>
      </c>
      <c r="W114" s="204">
        <v>916</v>
      </c>
      <c r="X114" s="204">
        <v>889</v>
      </c>
      <c r="Z114" s="66" t="s">
        <v>14</v>
      </c>
    </row>
    <row r="115" spans="1:26" x14ac:dyDescent="0.25">
      <c r="A115" t="s">
        <v>70</v>
      </c>
      <c r="B115" s="204">
        <v>-7827</v>
      </c>
      <c r="C115" s="204">
        <v>-4953</v>
      </c>
      <c r="D115" s="206">
        <v>220</v>
      </c>
      <c r="E115" s="207"/>
      <c r="F115" s="204">
        <v>-365.92329999999998</v>
      </c>
      <c r="G115" s="204">
        <v>717.07866999999999</v>
      </c>
      <c r="H115" s="204" t="s">
        <v>403</v>
      </c>
      <c r="I115" s="204" t="s">
        <v>403</v>
      </c>
      <c r="J115" s="205"/>
      <c r="K115" s="204" t="s">
        <v>403</v>
      </c>
      <c r="L115" s="204" t="s">
        <v>403</v>
      </c>
      <c r="M115" s="204" t="s">
        <v>403</v>
      </c>
      <c r="N115" s="204" t="s">
        <v>403</v>
      </c>
      <c r="O115" s="205"/>
      <c r="P115" s="204" t="s">
        <v>403</v>
      </c>
      <c r="Q115" s="204" t="s">
        <v>403</v>
      </c>
      <c r="R115" s="204" t="s">
        <v>403</v>
      </c>
      <c r="S115" s="204" t="s">
        <v>403</v>
      </c>
      <c r="T115" s="205"/>
      <c r="U115" s="204" t="s">
        <v>403</v>
      </c>
      <c r="V115" s="204" t="s">
        <v>403</v>
      </c>
      <c r="W115" s="204" t="s">
        <v>403</v>
      </c>
      <c r="X115" s="204" t="s">
        <v>403</v>
      </c>
      <c r="Z115" s="66" t="s">
        <v>70</v>
      </c>
    </row>
    <row r="116" spans="1:26" x14ac:dyDescent="0.25">
      <c r="A116" t="s">
        <v>52</v>
      </c>
      <c r="B116" s="204">
        <v>47.288989999999998</v>
      </c>
      <c r="C116" s="204">
        <v>534.86848999999995</v>
      </c>
      <c r="D116" s="206">
        <v>18.19088</v>
      </c>
      <c r="E116" s="207"/>
      <c r="F116" s="204">
        <v>-22.661740000000002</v>
      </c>
      <c r="G116" s="204">
        <v>214.5795</v>
      </c>
      <c r="H116" s="204">
        <v>-16.969809999999999</v>
      </c>
      <c r="I116" s="204">
        <v>-855.41684999999995</v>
      </c>
      <c r="J116" s="205"/>
      <c r="K116" s="204">
        <v>-320.02888000000002</v>
      </c>
      <c r="L116" s="204">
        <v>-355.23043000000001</v>
      </c>
      <c r="M116" s="204">
        <v>-240.49304000000001</v>
      </c>
      <c r="N116" s="204">
        <v>-509.7373</v>
      </c>
      <c r="O116" s="205"/>
      <c r="P116" s="204">
        <v>178.4984</v>
      </c>
      <c r="Q116" s="204">
        <v>-121.59520000000001</v>
      </c>
      <c r="R116" s="204">
        <v>565.10359000000005</v>
      </c>
      <c r="S116" s="204">
        <v>469.23970000000003</v>
      </c>
      <c r="T116" s="205"/>
      <c r="U116" s="204">
        <v>375.13835</v>
      </c>
      <c r="V116" s="204">
        <v>249.36904000000001</v>
      </c>
      <c r="W116" s="204">
        <v>220.62164999999999</v>
      </c>
      <c r="X116" s="204">
        <v>-41.027349999999998</v>
      </c>
      <c r="Z116" s="66" t="s">
        <v>52</v>
      </c>
    </row>
    <row r="117" spans="1:26" x14ac:dyDescent="0.25">
      <c r="A117" s="108" t="s">
        <v>122</v>
      </c>
      <c r="B117" s="227">
        <v>8280.4993691641248</v>
      </c>
      <c r="C117" s="227">
        <v>4419.6900002718003</v>
      </c>
      <c r="D117" s="228">
        <v>6103.0672242014743</v>
      </c>
      <c r="E117" s="228"/>
      <c r="F117" s="227">
        <v>4264.5133560074755</v>
      </c>
      <c r="G117" s="227">
        <v>5022.8633376807247</v>
      </c>
      <c r="H117" s="227">
        <v>5738.8498296957669</v>
      </c>
      <c r="I117" s="227">
        <v>4615.7744811616667</v>
      </c>
      <c r="J117" s="227"/>
      <c r="K117" s="227">
        <v>1194.6906817157267</v>
      </c>
      <c r="L117" s="227">
        <v>5780.7611084273003</v>
      </c>
      <c r="M117" s="227">
        <v>4869.0587465991666</v>
      </c>
      <c r="N117" s="227">
        <v>3191.3520593790668</v>
      </c>
      <c r="O117" s="227"/>
      <c r="P117" s="227">
        <v>-10195.9021688499</v>
      </c>
      <c r="Q117" s="227">
        <v>2718.5079342162403</v>
      </c>
      <c r="R117" s="227">
        <v>6048.4840977768326</v>
      </c>
      <c r="S117" s="227">
        <v>2069.2731465637303</v>
      </c>
      <c r="T117" s="227"/>
      <c r="U117" s="227">
        <v>1149.89841207585</v>
      </c>
      <c r="V117" s="227">
        <v>3010.5855622786398</v>
      </c>
      <c r="W117" s="227">
        <v>4564.2875551067327</v>
      </c>
      <c r="X117" s="227">
        <v>2463.8147750833064</v>
      </c>
      <c r="Y117" s="229"/>
      <c r="Z117" s="116" t="s">
        <v>123</v>
      </c>
    </row>
    <row r="118" spans="1:26" x14ac:dyDescent="0.25">
      <c r="A118" s="121"/>
      <c r="B118" s="204"/>
      <c r="C118" s="204"/>
      <c r="D118" s="206"/>
      <c r="E118" s="207"/>
      <c r="F118" s="204"/>
      <c r="G118" s="204"/>
      <c r="H118" s="204"/>
      <c r="I118" s="204"/>
      <c r="J118" s="205"/>
      <c r="K118" s="204"/>
      <c r="L118" s="204"/>
      <c r="M118" s="204"/>
      <c r="N118" s="204"/>
      <c r="O118" s="205"/>
      <c r="P118" s="204"/>
      <c r="Q118" s="204"/>
      <c r="R118" s="204"/>
      <c r="S118" s="204"/>
      <c r="T118" s="205"/>
      <c r="U118" s="204"/>
      <c r="V118" s="204"/>
      <c r="W118" s="204"/>
      <c r="X118" s="204"/>
      <c r="Z118" s="119"/>
    </row>
    <row r="119" spans="1:26" x14ac:dyDescent="0.25">
      <c r="A119" s="121" t="s">
        <v>135</v>
      </c>
      <c r="B119" s="204"/>
      <c r="C119" s="204"/>
      <c r="D119" s="204"/>
      <c r="E119" s="205"/>
      <c r="F119" s="204"/>
      <c r="G119" s="204"/>
      <c r="H119" s="204"/>
      <c r="I119" s="204"/>
      <c r="J119" s="205"/>
      <c r="K119" s="204"/>
      <c r="L119" s="204"/>
      <c r="M119" s="204"/>
      <c r="N119" s="204"/>
      <c r="O119" s="205"/>
      <c r="P119" s="204"/>
      <c r="Q119" s="204"/>
      <c r="R119" s="204"/>
      <c r="S119" s="204"/>
      <c r="T119" s="205"/>
      <c r="U119" s="204"/>
      <c r="V119" s="204"/>
      <c r="W119" s="204"/>
      <c r="X119" s="204"/>
      <c r="Z119" s="119"/>
    </row>
  </sheetData>
  <mergeCells count="22">
    <mergeCell ref="Z88:Z89"/>
    <mergeCell ref="A88:A89"/>
    <mergeCell ref="B88:D88"/>
    <mergeCell ref="F88:I88"/>
    <mergeCell ref="K88:N88"/>
    <mergeCell ref="P88:S88"/>
    <mergeCell ref="U88:X88"/>
    <mergeCell ref="Z4:Z5"/>
    <mergeCell ref="A6:D6"/>
    <mergeCell ref="A42:A43"/>
    <mergeCell ref="B42:D42"/>
    <mergeCell ref="F42:I42"/>
    <mergeCell ref="K42:N42"/>
    <mergeCell ref="P42:S42"/>
    <mergeCell ref="U42:X42"/>
    <mergeCell ref="Z42:Z43"/>
    <mergeCell ref="A4:A5"/>
    <mergeCell ref="B4:D4"/>
    <mergeCell ref="F4:I4"/>
    <mergeCell ref="K4:N4"/>
    <mergeCell ref="P4:S4"/>
    <mergeCell ref="U4:X4"/>
  </mergeCells>
  <pageMargins left="0" right="0" top="0.65" bottom="0.5" header="0.3" footer="0.3"/>
  <pageSetup scale="73"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topLeftCell="A19" zoomScaleNormal="100" zoomScaleSheetLayoutView="80" workbookViewId="0">
      <selection activeCell="A19" sqref="A1:XFD1048576"/>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0"/>
  </cols>
  <sheetData>
    <row r="1" spans="1:11" ht="26.25" x14ac:dyDescent="0.4">
      <c r="A1" s="177" t="s">
        <v>191</v>
      </c>
      <c r="B1" s="177"/>
    </row>
    <row r="2" spans="1:11" ht="9.75" customHeight="1" x14ac:dyDescent="0.25"/>
    <row r="3" spans="1:11" x14ac:dyDescent="0.25">
      <c r="A3" s="230" t="s">
        <v>95</v>
      </c>
      <c r="B3" s="230"/>
    </row>
    <row r="4" spans="1:11" ht="7.5" customHeight="1" x14ac:dyDescent="0.25"/>
    <row r="5" spans="1:11" ht="19.5" customHeight="1" x14ac:dyDescent="0.25">
      <c r="A5" s="231" t="s">
        <v>192</v>
      </c>
      <c r="B5" s="231"/>
      <c r="C5" s="232" t="s">
        <v>193</v>
      </c>
      <c r="D5" s="232"/>
      <c r="E5" s="232"/>
      <c r="F5" s="232"/>
      <c r="G5" s="232"/>
      <c r="H5" s="232"/>
      <c r="I5" s="232"/>
      <c r="J5" s="232"/>
      <c r="K5" s="232"/>
    </row>
    <row r="6" spans="1:11" ht="18.75" customHeight="1" x14ac:dyDescent="0.25">
      <c r="A6" s="231" t="s">
        <v>194</v>
      </c>
      <c r="B6" s="231"/>
      <c r="C6" s="232" t="s">
        <v>195</v>
      </c>
      <c r="D6" s="232"/>
      <c r="E6" s="232"/>
      <c r="F6" s="232"/>
      <c r="G6" s="232"/>
      <c r="H6" s="232"/>
      <c r="I6" s="232"/>
      <c r="J6" s="232"/>
      <c r="K6" s="232"/>
    </row>
    <row r="7" spans="1:11" ht="33" customHeight="1" x14ac:dyDescent="0.25">
      <c r="A7" s="231" t="s">
        <v>196</v>
      </c>
      <c r="B7" s="231"/>
      <c r="C7" s="233" t="s">
        <v>197</v>
      </c>
      <c r="D7" s="233"/>
      <c r="E7" s="233"/>
      <c r="F7" s="233"/>
      <c r="G7" s="233"/>
      <c r="H7" s="233"/>
      <c r="I7" s="233"/>
      <c r="J7" s="233"/>
      <c r="K7" s="233"/>
    </row>
    <row r="8" spans="1:11" ht="33.75" customHeight="1" x14ac:dyDescent="0.25">
      <c r="A8" s="231" t="s">
        <v>198</v>
      </c>
      <c r="B8" s="231"/>
      <c r="C8" s="233" t="s">
        <v>199</v>
      </c>
      <c r="D8" s="233"/>
      <c r="E8" s="233"/>
      <c r="F8" s="233"/>
      <c r="G8" s="233"/>
      <c r="H8" s="233"/>
      <c r="I8" s="233"/>
      <c r="J8" s="233"/>
      <c r="K8" s="233"/>
    </row>
    <row r="9" spans="1:11" ht="48" customHeight="1" x14ac:dyDescent="0.25">
      <c r="A9" s="231" t="s">
        <v>200</v>
      </c>
      <c r="B9" s="231"/>
      <c r="C9" s="233" t="s">
        <v>201</v>
      </c>
      <c r="D9" s="234"/>
      <c r="E9" s="234"/>
      <c r="F9" s="233"/>
      <c r="G9" s="233"/>
      <c r="H9" s="233"/>
      <c r="I9" s="233"/>
      <c r="J9" s="233"/>
      <c r="K9" s="233"/>
    </row>
    <row r="10" spans="1:11" ht="63" customHeight="1" x14ac:dyDescent="0.25">
      <c r="A10" s="231" t="s">
        <v>202</v>
      </c>
      <c r="B10" s="231"/>
      <c r="C10" s="233" t="s">
        <v>203</v>
      </c>
      <c r="D10" s="234"/>
      <c r="E10" s="234"/>
      <c r="F10" s="233"/>
      <c r="G10" s="233"/>
      <c r="H10" s="233"/>
      <c r="I10" s="233"/>
      <c r="J10" s="233"/>
      <c r="K10" s="233"/>
    </row>
    <row r="11" spans="1:11" ht="47.25" customHeight="1" x14ac:dyDescent="0.25">
      <c r="A11" s="231" t="s">
        <v>102</v>
      </c>
      <c r="B11" s="231"/>
      <c r="C11" s="233" t="s">
        <v>204</v>
      </c>
      <c r="D11" s="234"/>
      <c r="E11" s="234"/>
      <c r="F11" s="233"/>
      <c r="G11" s="233"/>
      <c r="H11" s="233"/>
      <c r="I11" s="233"/>
      <c r="J11" s="233"/>
      <c r="K11" s="233"/>
    </row>
    <row r="12" spans="1:11" ht="18.75" customHeight="1" x14ac:dyDescent="0.25">
      <c r="A12" s="231" t="s">
        <v>205</v>
      </c>
      <c r="B12" s="231"/>
      <c r="C12" s="232" t="s">
        <v>206</v>
      </c>
      <c r="D12" s="176"/>
      <c r="E12" s="176"/>
      <c r="F12" s="232"/>
      <c r="G12" s="232"/>
      <c r="H12" s="232"/>
      <c r="I12" s="232"/>
      <c r="J12" s="232"/>
      <c r="K12" s="232"/>
    </row>
    <row r="13" spans="1:11" ht="33" customHeight="1" x14ac:dyDescent="0.25">
      <c r="A13" s="231" t="s">
        <v>207</v>
      </c>
      <c r="B13" s="231"/>
      <c r="C13" s="233" t="s">
        <v>208</v>
      </c>
      <c r="D13" s="234"/>
      <c r="E13" s="234"/>
      <c r="F13" s="233"/>
      <c r="G13" s="233"/>
      <c r="H13" s="233"/>
      <c r="I13" s="233"/>
      <c r="J13" s="233"/>
      <c r="K13" s="233"/>
    </row>
    <row r="14" spans="1:11" ht="48" customHeight="1" x14ac:dyDescent="0.25">
      <c r="A14" s="231" t="s">
        <v>209</v>
      </c>
      <c r="B14" s="231"/>
      <c r="C14" s="233" t="s">
        <v>210</v>
      </c>
      <c r="D14" s="234"/>
      <c r="E14" s="234"/>
      <c r="F14" s="233"/>
      <c r="G14" s="233"/>
      <c r="H14" s="233"/>
      <c r="I14" s="233"/>
      <c r="J14" s="233"/>
      <c r="K14" s="233"/>
    </row>
    <row r="15" spans="1:11" ht="47.25" customHeight="1" x14ac:dyDescent="0.25">
      <c r="A15" s="231" t="s">
        <v>115</v>
      </c>
      <c r="B15" s="231"/>
      <c r="C15" s="233" t="s">
        <v>211</v>
      </c>
      <c r="D15" s="234"/>
      <c r="E15" s="234"/>
      <c r="F15" s="233"/>
      <c r="G15" s="233"/>
      <c r="H15" s="233"/>
      <c r="I15" s="233"/>
      <c r="J15" s="233"/>
      <c r="K15" s="233"/>
    </row>
    <row r="16" spans="1:11" ht="33" customHeight="1" x14ac:dyDescent="0.25">
      <c r="A16" s="231" t="s">
        <v>105</v>
      </c>
      <c r="B16" s="231"/>
      <c r="C16" s="233" t="s">
        <v>212</v>
      </c>
      <c r="D16" s="234"/>
      <c r="E16" s="234"/>
      <c r="F16" s="233"/>
      <c r="G16" s="233"/>
      <c r="H16" s="233"/>
      <c r="I16" s="233"/>
      <c r="J16" s="233"/>
      <c r="K16" s="233"/>
    </row>
    <row r="17" spans="1:56" ht="32.25" customHeight="1" x14ac:dyDescent="0.25">
      <c r="A17" s="231" t="s">
        <v>116</v>
      </c>
      <c r="B17" s="231"/>
      <c r="C17" s="235" t="s">
        <v>213</v>
      </c>
      <c r="D17" s="236"/>
      <c r="E17" s="236"/>
      <c r="F17" s="235"/>
      <c r="G17" s="235"/>
      <c r="H17" s="235"/>
      <c r="I17" s="235"/>
      <c r="J17" s="235"/>
      <c r="K17" s="235"/>
    </row>
    <row r="18" spans="1:56" ht="47.25" customHeight="1" x14ac:dyDescent="0.25">
      <c r="A18" s="231" t="s">
        <v>117</v>
      </c>
      <c r="B18" s="231"/>
      <c r="C18" s="233" t="s">
        <v>214</v>
      </c>
      <c r="D18" s="234"/>
      <c r="E18" s="234"/>
      <c r="F18" s="233"/>
      <c r="G18" s="233"/>
      <c r="H18" s="233"/>
      <c r="I18" s="233"/>
      <c r="J18" s="233"/>
      <c r="K18" s="233"/>
    </row>
    <row r="19" spans="1:56" ht="35.25" customHeight="1" x14ac:dyDescent="0.25">
      <c r="A19" s="231" t="s">
        <v>118</v>
      </c>
      <c r="B19" s="231"/>
      <c r="C19" s="233" t="s">
        <v>215</v>
      </c>
      <c r="D19" s="237"/>
      <c r="E19" s="237"/>
      <c r="F19" s="238"/>
      <c r="G19" s="238"/>
      <c r="H19" s="238"/>
      <c r="I19" s="238"/>
      <c r="J19" s="238"/>
      <c r="K19" s="238"/>
    </row>
    <row r="20" spans="1:56" ht="34.5" customHeight="1" x14ac:dyDescent="0.25">
      <c r="A20" s="231" t="s">
        <v>119</v>
      </c>
      <c r="B20" s="231"/>
      <c r="C20" s="233" t="s">
        <v>216</v>
      </c>
      <c r="D20" s="233"/>
      <c r="E20" s="233"/>
      <c r="F20" s="233"/>
      <c r="G20" s="233"/>
      <c r="H20" s="233"/>
      <c r="I20" s="233"/>
      <c r="J20" s="233"/>
      <c r="K20" s="233"/>
    </row>
    <row r="21" spans="1:56" ht="35.25" customHeight="1" x14ac:dyDescent="0.25">
      <c r="A21" s="231" t="s">
        <v>120</v>
      </c>
      <c r="B21" s="231"/>
      <c r="C21" s="233" t="s">
        <v>217</v>
      </c>
      <c r="D21" s="233"/>
      <c r="E21" s="233"/>
      <c r="F21" s="233"/>
      <c r="G21" s="233"/>
      <c r="H21" s="233"/>
      <c r="I21" s="233"/>
      <c r="J21" s="233"/>
      <c r="K21" s="233"/>
    </row>
    <row r="22" spans="1:56" x14ac:dyDescent="0.25">
      <c r="A22" s="230" t="s">
        <v>218</v>
      </c>
      <c r="B22" s="230"/>
    </row>
    <row r="23" spans="1:56" ht="9" customHeight="1" x14ac:dyDescent="0.25">
      <c r="D23" s="176"/>
      <c r="E23" s="176"/>
    </row>
    <row r="24" spans="1:56" ht="21" customHeight="1" x14ac:dyDescent="0.25">
      <c r="A24" s="239" t="s">
        <v>138</v>
      </c>
      <c r="B24" s="239"/>
      <c r="C24" s="232" t="s">
        <v>219</v>
      </c>
      <c r="D24" s="176"/>
      <c r="E24" s="176"/>
      <c r="F24" s="232"/>
      <c r="G24" s="232"/>
      <c r="H24" s="232"/>
      <c r="I24" s="232"/>
      <c r="J24" s="232"/>
      <c r="K24" s="232"/>
    </row>
    <row r="25" spans="1:56" ht="23.25" customHeight="1" x14ac:dyDescent="0.25">
      <c r="A25" s="239" t="s">
        <v>139</v>
      </c>
      <c r="B25" s="239"/>
      <c r="C25" s="232" t="s">
        <v>220</v>
      </c>
      <c r="D25" s="176"/>
      <c r="E25" s="176"/>
      <c r="F25" s="232"/>
      <c r="G25" s="232"/>
      <c r="H25" s="232"/>
      <c r="I25" s="232"/>
      <c r="J25" s="232"/>
      <c r="K25" s="232"/>
    </row>
    <row r="26" spans="1:56" ht="21" customHeight="1" x14ac:dyDescent="0.25">
      <c r="A26" s="231" t="s">
        <v>144</v>
      </c>
      <c r="B26" s="231"/>
      <c r="C26" s="232" t="s">
        <v>221</v>
      </c>
      <c r="D26" s="176"/>
      <c r="E26" s="176"/>
      <c r="F26" s="232"/>
      <c r="G26" s="232"/>
      <c r="H26" s="232"/>
      <c r="I26" s="232"/>
      <c r="J26" s="232"/>
      <c r="K26" s="232"/>
    </row>
    <row r="27" spans="1:56" ht="39" customHeight="1" x14ac:dyDescent="0.25">
      <c r="A27" s="240" t="s">
        <v>222</v>
      </c>
      <c r="B27" s="240"/>
      <c r="C27" s="233" t="s">
        <v>223</v>
      </c>
      <c r="D27" s="234"/>
      <c r="E27" s="234"/>
      <c r="F27" s="233"/>
      <c r="G27" s="233"/>
      <c r="H27" s="233"/>
      <c r="I27" s="233"/>
      <c r="J27" s="233"/>
      <c r="K27" s="233"/>
    </row>
    <row r="28" spans="1:56" ht="38.25" customHeight="1" x14ac:dyDescent="0.25">
      <c r="A28" s="231" t="s">
        <v>224</v>
      </c>
      <c r="B28" s="231"/>
      <c r="C28" s="233" t="s">
        <v>225</v>
      </c>
      <c r="D28" s="234"/>
      <c r="E28" s="234"/>
      <c r="F28" s="233"/>
      <c r="G28" s="233"/>
      <c r="H28" s="233"/>
      <c r="I28" s="233"/>
      <c r="J28" s="233"/>
      <c r="K28" s="233"/>
    </row>
    <row r="29" spans="1:56" ht="38.25" customHeight="1" x14ac:dyDescent="0.25">
      <c r="A29" s="231" t="s">
        <v>226</v>
      </c>
      <c r="B29" s="231"/>
      <c r="C29" s="233" t="s">
        <v>227</v>
      </c>
      <c r="D29" s="234"/>
      <c r="E29" s="234"/>
      <c r="F29" s="233"/>
      <c r="G29" s="233"/>
      <c r="H29" s="233"/>
      <c r="I29" s="233"/>
      <c r="J29" s="233"/>
      <c r="K29" s="233"/>
    </row>
    <row r="30" spans="1:56" ht="37.5" customHeight="1" x14ac:dyDescent="0.25">
      <c r="A30" s="231" t="s">
        <v>228</v>
      </c>
      <c r="B30" s="231"/>
      <c r="C30" s="241" t="s">
        <v>229</v>
      </c>
      <c r="D30" s="241"/>
      <c r="E30" s="241"/>
      <c r="F30" s="241"/>
      <c r="G30" s="241"/>
      <c r="H30" s="241"/>
      <c r="I30" s="241"/>
      <c r="J30" s="241"/>
      <c r="K30" s="241"/>
      <c r="L30" s="242" t="s">
        <v>230</v>
      </c>
      <c r="M30" s="242"/>
      <c r="N30" s="242"/>
      <c r="O30" s="242"/>
      <c r="P30" s="242"/>
      <c r="Q30" s="242"/>
      <c r="R30" s="242"/>
      <c r="S30" s="242"/>
      <c r="T30" s="242"/>
      <c r="U30" s="242"/>
      <c r="V30" s="242"/>
      <c r="W30" s="242"/>
      <c r="X30" s="242"/>
      <c r="Y30" s="242"/>
      <c r="Z30" s="242"/>
      <c r="AA30" s="242"/>
      <c r="AB30" s="242"/>
      <c r="AC30" s="242"/>
      <c r="AD30" s="242"/>
      <c r="AE30" s="242"/>
      <c r="AF30" s="242"/>
      <c r="AG30" s="242"/>
      <c r="AH30" s="242"/>
      <c r="AI30" s="242"/>
      <c r="AJ30" s="242"/>
      <c r="AK30" s="242"/>
      <c r="AL30" s="242"/>
      <c r="AM30" s="242"/>
      <c r="AN30" s="242"/>
      <c r="AO30" s="242"/>
      <c r="AP30" s="242"/>
      <c r="AQ30" s="242"/>
      <c r="AR30" s="242"/>
      <c r="AS30" s="242"/>
      <c r="AT30" s="242"/>
      <c r="AU30" s="242"/>
      <c r="AV30" s="242"/>
      <c r="AW30" s="242"/>
      <c r="AX30" s="242"/>
      <c r="AY30" s="242"/>
      <c r="AZ30" s="242"/>
      <c r="BA30" s="242"/>
      <c r="BB30" s="242"/>
      <c r="BC30" s="242"/>
      <c r="BD30" s="243"/>
    </row>
    <row r="31" spans="1:56" ht="36" customHeight="1" x14ac:dyDescent="0.25">
      <c r="A31" s="240" t="s">
        <v>231</v>
      </c>
      <c r="B31" s="240"/>
      <c r="C31" s="241" t="s">
        <v>232</v>
      </c>
      <c r="D31" s="241"/>
      <c r="E31" s="241"/>
      <c r="F31" s="241"/>
      <c r="G31" s="241"/>
      <c r="H31" s="241"/>
      <c r="I31" s="241"/>
      <c r="J31" s="241"/>
      <c r="K31" s="241"/>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c r="AP31" s="242"/>
      <c r="AQ31" s="242"/>
      <c r="AR31" s="242"/>
      <c r="AS31" s="242"/>
      <c r="AT31" s="242"/>
      <c r="AU31" s="242"/>
      <c r="AV31" s="242"/>
      <c r="AW31" s="242"/>
      <c r="AX31" s="242"/>
      <c r="AY31" s="242"/>
      <c r="AZ31" s="242"/>
      <c r="BA31" s="242"/>
      <c r="BB31" s="242"/>
      <c r="BC31" s="242"/>
      <c r="BD31" s="244"/>
    </row>
    <row r="32" spans="1:56" ht="37.5" customHeight="1" x14ac:dyDescent="0.25">
      <c r="A32" s="231" t="s">
        <v>233</v>
      </c>
      <c r="B32" s="231"/>
      <c r="C32" s="245" t="s">
        <v>234</v>
      </c>
      <c r="D32" s="245"/>
      <c r="E32" s="245"/>
      <c r="F32" s="245"/>
      <c r="G32" s="245"/>
      <c r="H32" s="245"/>
      <c r="I32" s="245"/>
      <c r="J32" s="245"/>
      <c r="K32" s="245"/>
      <c r="L32" s="246"/>
      <c r="M32" s="246"/>
      <c r="N32" s="246"/>
      <c r="O32" s="246"/>
      <c r="P32" s="246"/>
      <c r="Q32" s="246"/>
      <c r="R32" s="246"/>
      <c r="S32" s="246"/>
      <c r="T32" s="246"/>
      <c r="U32" s="246"/>
      <c r="V32" s="246"/>
      <c r="W32" s="246"/>
      <c r="X32" s="246"/>
      <c r="Y32" s="246"/>
      <c r="Z32" s="246"/>
      <c r="AA32" s="247"/>
      <c r="AB32" s="247"/>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4"/>
    </row>
    <row r="33" spans="1:56" ht="37.5" customHeight="1" x14ac:dyDescent="0.25">
      <c r="A33" s="231" t="s">
        <v>235</v>
      </c>
      <c r="B33" s="231"/>
      <c r="C33" s="245" t="s">
        <v>236</v>
      </c>
      <c r="D33" s="234"/>
      <c r="E33" s="234"/>
      <c r="F33" s="245"/>
      <c r="G33" s="245"/>
      <c r="H33" s="245"/>
      <c r="I33" s="245"/>
      <c r="J33" s="245"/>
      <c r="K33" s="245"/>
      <c r="L33" s="246"/>
      <c r="M33" s="246"/>
      <c r="N33" s="246"/>
      <c r="O33" s="246"/>
      <c r="P33" s="246"/>
      <c r="Q33" s="246"/>
      <c r="R33" s="246"/>
      <c r="S33" s="246"/>
      <c r="T33" s="246"/>
      <c r="U33" s="246"/>
      <c r="V33" s="246"/>
      <c r="W33" s="246"/>
      <c r="X33" s="246"/>
      <c r="Y33" s="246"/>
      <c r="Z33" s="246"/>
      <c r="AA33" s="247"/>
      <c r="AB33" s="247"/>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4"/>
    </row>
    <row r="34" spans="1:56" ht="36.75" customHeight="1" x14ac:dyDescent="0.25">
      <c r="A34" s="231" t="s">
        <v>237</v>
      </c>
      <c r="B34" s="231"/>
      <c r="C34" s="245" t="s">
        <v>238</v>
      </c>
      <c r="D34" s="234"/>
      <c r="E34" s="234"/>
      <c r="F34" s="245"/>
      <c r="G34" s="245"/>
      <c r="H34" s="245"/>
      <c r="I34" s="245"/>
      <c r="J34" s="245"/>
      <c r="K34" s="245"/>
      <c r="L34" s="248"/>
      <c r="M34" s="248"/>
      <c r="N34" s="248"/>
      <c r="O34" s="248"/>
      <c r="P34" s="248"/>
      <c r="Q34" s="248"/>
      <c r="R34" s="248"/>
      <c r="S34" s="248"/>
      <c r="T34" s="248"/>
      <c r="U34" s="248"/>
      <c r="V34" s="248"/>
      <c r="W34" s="248"/>
      <c r="X34" s="248"/>
      <c r="Y34" s="248"/>
      <c r="Z34" s="248"/>
      <c r="AA34" s="249"/>
      <c r="AB34" s="249"/>
      <c r="AC34" s="248"/>
      <c r="AD34" s="248"/>
      <c r="AE34" s="248"/>
      <c r="AF34" s="248"/>
      <c r="AG34" s="248"/>
      <c r="AH34" s="248"/>
      <c r="AI34" s="248"/>
      <c r="AJ34" s="248"/>
      <c r="AK34" s="248"/>
      <c r="AL34" s="248"/>
      <c r="AM34" s="248"/>
      <c r="AN34" s="248"/>
      <c r="AO34" s="248"/>
      <c r="AP34" s="248"/>
      <c r="AQ34" s="248"/>
      <c r="AR34" s="248"/>
      <c r="AS34" s="248"/>
      <c r="AT34" s="248"/>
      <c r="AU34" s="248"/>
      <c r="AV34" s="248"/>
      <c r="AW34" s="248"/>
      <c r="AX34" s="248"/>
      <c r="AY34" s="248"/>
      <c r="AZ34" s="248"/>
      <c r="BA34" s="248"/>
      <c r="BB34" s="248"/>
      <c r="BC34" s="248"/>
      <c r="BD34" s="244"/>
    </row>
    <row r="35" spans="1:56" ht="37.5" customHeight="1" x14ac:dyDescent="0.25">
      <c r="A35" s="231" t="s">
        <v>153</v>
      </c>
      <c r="B35" s="231"/>
      <c r="C35" s="245" t="s">
        <v>239</v>
      </c>
      <c r="D35" s="234"/>
      <c r="E35" s="234"/>
      <c r="F35" s="245"/>
      <c r="G35" s="245"/>
      <c r="H35" s="245"/>
      <c r="I35" s="245"/>
      <c r="J35" s="245"/>
      <c r="K35" s="245"/>
      <c r="L35" s="246"/>
      <c r="M35" s="246"/>
      <c r="N35" s="246"/>
      <c r="O35" s="246"/>
      <c r="P35" s="246"/>
      <c r="Q35" s="246"/>
      <c r="R35" s="246"/>
      <c r="S35" s="246"/>
      <c r="T35" s="246"/>
      <c r="U35" s="246"/>
      <c r="V35" s="246"/>
      <c r="W35" s="246"/>
      <c r="X35" s="246"/>
      <c r="Y35" s="246"/>
      <c r="Z35" s="246"/>
      <c r="AA35" s="247"/>
      <c r="AB35" s="247"/>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4"/>
    </row>
    <row r="36" spans="1:56" ht="51" customHeight="1" x14ac:dyDescent="0.25">
      <c r="A36" s="240" t="s">
        <v>240</v>
      </c>
      <c r="B36" s="240"/>
      <c r="C36" s="245" t="s">
        <v>241</v>
      </c>
      <c r="D36" s="234"/>
      <c r="E36" s="234"/>
      <c r="F36" s="245"/>
      <c r="G36" s="245"/>
      <c r="H36" s="245"/>
      <c r="I36" s="245"/>
      <c r="J36" s="245"/>
      <c r="K36" s="245"/>
      <c r="L36" s="246"/>
      <c r="M36" s="246"/>
      <c r="N36" s="246"/>
      <c r="O36" s="246"/>
      <c r="P36" s="246"/>
      <c r="Q36" s="246"/>
      <c r="R36" s="246"/>
      <c r="S36" s="246"/>
      <c r="T36" s="246"/>
      <c r="U36" s="246"/>
      <c r="V36" s="246"/>
      <c r="W36" s="246"/>
      <c r="X36" s="246"/>
      <c r="Y36" s="246"/>
      <c r="Z36" s="246"/>
      <c r="AA36" s="247"/>
      <c r="AB36" s="247"/>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4"/>
    </row>
    <row r="37" spans="1:56" ht="45" customHeight="1" x14ac:dyDescent="0.25">
      <c r="A37" s="231" t="s">
        <v>242</v>
      </c>
      <c r="B37" s="231"/>
      <c r="C37" s="245" t="s">
        <v>243</v>
      </c>
      <c r="D37" s="234"/>
      <c r="E37" s="234"/>
      <c r="F37" s="245"/>
      <c r="G37" s="245"/>
      <c r="H37" s="245"/>
      <c r="I37" s="245"/>
      <c r="J37" s="245"/>
      <c r="K37" s="245"/>
      <c r="L37" s="246"/>
      <c r="M37" s="246"/>
      <c r="N37" s="246"/>
      <c r="O37" s="246"/>
      <c r="P37" s="246"/>
      <c r="Q37" s="246"/>
      <c r="R37" s="246"/>
      <c r="S37" s="246"/>
      <c r="T37" s="246"/>
      <c r="U37" s="246"/>
      <c r="V37" s="246"/>
      <c r="W37" s="246"/>
      <c r="X37" s="246"/>
      <c r="Y37" s="246"/>
      <c r="Z37" s="246"/>
      <c r="AA37" s="247"/>
      <c r="AB37" s="247"/>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4"/>
    </row>
    <row r="38" spans="1:56" ht="36.75" customHeight="1" x14ac:dyDescent="0.25">
      <c r="A38" s="231" t="s">
        <v>244</v>
      </c>
      <c r="B38" s="231"/>
      <c r="C38" s="245" t="s">
        <v>245</v>
      </c>
      <c r="D38" s="234"/>
      <c r="E38" s="234"/>
      <c r="F38" s="245"/>
      <c r="G38" s="245"/>
      <c r="H38" s="245"/>
      <c r="I38" s="245"/>
      <c r="J38" s="245"/>
      <c r="K38" s="245"/>
      <c r="L38" s="248"/>
      <c r="M38" s="248"/>
      <c r="N38" s="248"/>
      <c r="O38" s="248"/>
      <c r="P38" s="248"/>
      <c r="Q38" s="248"/>
      <c r="R38" s="248"/>
      <c r="S38" s="248"/>
      <c r="T38" s="248"/>
      <c r="U38" s="248"/>
      <c r="V38" s="248"/>
      <c r="W38" s="248"/>
      <c r="X38" s="248"/>
      <c r="Y38" s="248"/>
      <c r="Z38" s="248"/>
      <c r="AA38" s="249"/>
      <c r="AB38" s="249"/>
      <c r="AC38" s="248"/>
      <c r="AD38" s="248"/>
      <c r="AE38" s="248"/>
      <c r="AF38" s="248"/>
      <c r="AG38" s="248"/>
      <c r="AH38" s="248"/>
      <c r="AI38" s="248"/>
      <c r="AJ38" s="248"/>
      <c r="AK38" s="248"/>
      <c r="AL38" s="248"/>
      <c r="AM38" s="248"/>
      <c r="AN38" s="248"/>
      <c r="AO38" s="248"/>
      <c r="AP38" s="248"/>
      <c r="AQ38" s="248"/>
      <c r="AR38" s="248"/>
      <c r="AS38" s="248"/>
      <c r="AT38" s="248"/>
      <c r="AU38" s="248"/>
      <c r="AV38" s="248"/>
      <c r="AW38" s="248"/>
      <c r="AX38" s="248"/>
      <c r="AY38" s="248"/>
      <c r="AZ38" s="248"/>
      <c r="BA38" s="248"/>
      <c r="BB38" s="248"/>
      <c r="BC38" s="248"/>
      <c r="BD38" s="244"/>
    </row>
    <row r="39" spans="1:56" ht="36.75" customHeight="1" x14ac:dyDescent="0.25">
      <c r="A39" s="240" t="s">
        <v>246</v>
      </c>
      <c r="B39" s="240"/>
      <c r="C39" s="245" t="s">
        <v>247</v>
      </c>
      <c r="D39" s="234"/>
      <c r="E39" s="234"/>
      <c r="F39" s="245"/>
      <c r="G39" s="245"/>
      <c r="H39" s="245"/>
      <c r="I39" s="245"/>
      <c r="J39" s="245"/>
      <c r="K39" s="245"/>
      <c r="L39" s="250"/>
      <c r="M39" s="250"/>
      <c r="N39" s="250"/>
      <c r="O39" s="250"/>
      <c r="P39" s="250"/>
      <c r="Q39" s="250"/>
      <c r="R39" s="250"/>
      <c r="S39" s="250"/>
      <c r="T39" s="250"/>
      <c r="U39" s="250"/>
      <c r="V39" s="250"/>
      <c r="W39" s="250"/>
      <c r="X39" s="250"/>
      <c r="Y39" s="250"/>
      <c r="Z39" s="250"/>
      <c r="AA39" s="251"/>
      <c r="AB39" s="251"/>
      <c r="AC39" s="250"/>
      <c r="AD39" s="250"/>
      <c r="AE39" s="250"/>
      <c r="AF39" s="250"/>
      <c r="AG39" s="250"/>
      <c r="AH39" s="250"/>
      <c r="AI39" s="250"/>
      <c r="AJ39" s="250"/>
      <c r="AK39" s="250"/>
      <c r="AL39" s="250"/>
      <c r="AM39" s="250"/>
      <c r="AN39" s="250"/>
      <c r="AO39" s="250"/>
      <c r="AP39" s="250"/>
      <c r="AQ39" s="250"/>
      <c r="AR39" s="250"/>
      <c r="AS39" s="250"/>
      <c r="AT39" s="250"/>
      <c r="AU39" s="250"/>
      <c r="AV39" s="250"/>
      <c r="AW39" s="250"/>
      <c r="AX39" s="250"/>
      <c r="AY39" s="250"/>
      <c r="AZ39" s="250"/>
      <c r="BA39" s="250"/>
      <c r="BB39" s="250"/>
      <c r="BC39" s="250"/>
      <c r="BD39" s="244"/>
    </row>
    <row r="40" spans="1:56" ht="20.25" customHeight="1" x14ac:dyDescent="0.25">
      <c r="A40" s="240" t="s">
        <v>158</v>
      </c>
      <c r="B40" s="240"/>
      <c r="C40" s="252" t="s">
        <v>248</v>
      </c>
      <c r="D40" s="236"/>
      <c r="E40" s="236"/>
      <c r="F40" s="252"/>
      <c r="G40" s="252"/>
      <c r="H40" s="252"/>
      <c r="I40" s="252"/>
      <c r="J40" s="252"/>
      <c r="K40" s="252"/>
      <c r="L40" s="253"/>
      <c r="M40" s="253"/>
      <c r="N40" s="253"/>
      <c r="O40" s="253"/>
      <c r="P40" s="253"/>
      <c r="Q40" s="253"/>
      <c r="R40" s="253"/>
      <c r="S40" s="253"/>
      <c r="T40" s="253"/>
      <c r="U40" s="253"/>
      <c r="V40" s="253"/>
      <c r="W40" s="253"/>
      <c r="X40" s="253"/>
      <c r="Y40" s="253"/>
      <c r="Z40" s="253"/>
      <c r="AA40" s="254"/>
      <c r="AB40" s="254"/>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44"/>
    </row>
    <row r="41" spans="1:56" ht="21" customHeight="1" x14ac:dyDescent="0.25">
      <c r="A41" s="231" t="s">
        <v>159</v>
      </c>
      <c r="B41" s="231"/>
      <c r="C41" s="255" t="s">
        <v>249</v>
      </c>
      <c r="D41" s="255"/>
      <c r="E41" s="255"/>
      <c r="F41" s="255"/>
      <c r="G41" s="255"/>
      <c r="H41" s="255"/>
      <c r="I41" s="255"/>
      <c r="J41" s="255"/>
      <c r="K41" s="255"/>
      <c r="L41" s="248"/>
      <c r="M41" s="248"/>
      <c r="N41" s="248"/>
      <c r="O41" s="248"/>
      <c r="P41" s="248"/>
      <c r="Q41" s="248"/>
      <c r="R41" s="248"/>
      <c r="S41" s="248"/>
      <c r="T41" s="248"/>
      <c r="U41" s="248"/>
      <c r="V41" s="248"/>
      <c r="W41" s="248"/>
      <c r="X41" s="248"/>
      <c r="Y41" s="248"/>
      <c r="Z41" s="248"/>
      <c r="AA41" s="249"/>
      <c r="AB41" s="249"/>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4"/>
    </row>
    <row r="42" spans="1:56" ht="19.5" customHeight="1" x14ac:dyDescent="0.25">
      <c r="A42" s="231" t="s">
        <v>160</v>
      </c>
      <c r="B42" s="231"/>
      <c r="C42" s="255" t="s">
        <v>250</v>
      </c>
      <c r="D42" s="255"/>
      <c r="E42" s="255"/>
      <c r="F42" s="255"/>
      <c r="G42" s="255"/>
      <c r="H42" s="255"/>
      <c r="I42" s="255"/>
      <c r="J42" s="255"/>
      <c r="K42" s="255"/>
      <c r="L42" s="246"/>
      <c r="M42" s="246"/>
      <c r="N42" s="246"/>
      <c r="O42" s="246"/>
      <c r="P42" s="246"/>
      <c r="Q42" s="246"/>
      <c r="R42" s="246"/>
      <c r="S42" s="246"/>
      <c r="T42" s="246"/>
      <c r="U42" s="246"/>
      <c r="V42" s="246"/>
      <c r="W42" s="246"/>
      <c r="X42" s="246"/>
      <c r="Y42" s="246"/>
      <c r="Z42" s="246"/>
      <c r="AA42" s="247"/>
      <c r="AB42" s="247"/>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4"/>
    </row>
    <row r="43" spans="1:56" ht="21" customHeight="1" x14ac:dyDescent="0.25">
      <c r="A43" s="231" t="s">
        <v>251</v>
      </c>
      <c r="B43" s="231"/>
      <c r="C43" s="255" t="s">
        <v>252</v>
      </c>
      <c r="D43" s="255"/>
      <c r="E43" s="255"/>
      <c r="F43" s="255"/>
      <c r="G43" s="255"/>
      <c r="H43" s="255"/>
      <c r="I43" s="255"/>
      <c r="J43" s="255"/>
      <c r="K43" s="255"/>
      <c r="L43" s="246"/>
      <c r="M43" s="246"/>
      <c r="N43" s="246"/>
      <c r="O43" s="246"/>
      <c r="P43" s="246"/>
      <c r="Q43" s="246"/>
      <c r="R43" s="246"/>
      <c r="S43" s="246"/>
      <c r="T43" s="246"/>
      <c r="U43" s="246"/>
      <c r="V43" s="246"/>
      <c r="W43" s="246"/>
      <c r="X43" s="246"/>
      <c r="Y43" s="246"/>
      <c r="Z43" s="246"/>
      <c r="AA43" s="247"/>
      <c r="AB43" s="247"/>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4"/>
    </row>
    <row r="44" spans="1:56" ht="18.75" customHeight="1" x14ac:dyDescent="0.25">
      <c r="A44" s="231" t="s">
        <v>162</v>
      </c>
      <c r="B44" s="231"/>
      <c r="C44" s="255" t="s">
        <v>253</v>
      </c>
      <c r="D44" s="255"/>
      <c r="E44" s="255"/>
      <c r="F44" s="255"/>
      <c r="G44" s="255"/>
      <c r="H44" s="255"/>
      <c r="I44" s="255"/>
      <c r="J44" s="255"/>
      <c r="K44" s="255"/>
      <c r="L44" s="246"/>
      <c r="M44" s="246"/>
      <c r="N44" s="246"/>
      <c r="O44" s="246"/>
      <c r="P44" s="246"/>
      <c r="Q44" s="246"/>
      <c r="R44" s="246"/>
      <c r="S44" s="246"/>
      <c r="T44" s="246"/>
      <c r="U44" s="246"/>
      <c r="V44" s="246"/>
      <c r="W44" s="246"/>
      <c r="X44" s="246"/>
      <c r="Y44" s="246"/>
      <c r="Z44" s="246"/>
      <c r="AA44" s="247"/>
      <c r="AB44" s="247"/>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4"/>
    </row>
    <row r="45" spans="1:56" ht="18.75" customHeight="1" x14ac:dyDescent="0.25">
      <c r="A45" s="256"/>
      <c r="B45" s="256"/>
      <c r="C45" s="257"/>
      <c r="D45" s="257"/>
      <c r="E45" s="257"/>
      <c r="F45" s="257"/>
      <c r="G45" s="257"/>
      <c r="H45" s="257"/>
      <c r="I45" s="257"/>
      <c r="J45" s="257"/>
      <c r="K45" s="257"/>
      <c r="L45" s="246"/>
      <c r="M45" s="246"/>
      <c r="N45" s="246"/>
      <c r="O45" s="246"/>
      <c r="P45" s="246"/>
      <c r="Q45" s="246"/>
      <c r="R45" s="246"/>
      <c r="S45" s="246"/>
      <c r="T45" s="246"/>
      <c r="U45" s="246"/>
      <c r="V45" s="246"/>
      <c r="W45" s="246"/>
      <c r="X45" s="246"/>
      <c r="Y45" s="246"/>
      <c r="Z45" s="246"/>
      <c r="AA45" s="247"/>
      <c r="AB45" s="247"/>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4"/>
    </row>
    <row r="46" spans="1:56" ht="15.75" x14ac:dyDescent="0.25">
      <c r="A46" s="258" t="s">
        <v>254</v>
      </c>
      <c r="B46" s="259"/>
      <c r="C46" s="242"/>
      <c r="D46" s="242"/>
      <c r="E46" s="242"/>
      <c r="F46" s="242"/>
      <c r="G46" s="242"/>
      <c r="H46" s="242"/>
      <c r="I46" s="242"/>
      <c r="J46" s="242"/>
      <c r="K46" s="242"/>
      <c r="L46" s="242"/>
      <c r="M46" s="242"/>
      <c r="N46" s="242"/>
      <c r="O46" s="242"/>
      <c r="P46" s="242"/>
      <c r="Q46" s="242"/>
      <c r="R46" s="242"/>
      <c r="S46" s="242"/>
      <c r="T46" s="242"/>
      <c r="U46" s="242"/>
      <c r="V46" s="242"/>
      <c r="W46" s="242"/>
      <c r="X46" s="242"/>
      <c r="Y46" s="242"/>
      <c r="Z46" s="242"/>
      <c r="AA46" s="242"/>
      <c r="AB46" s="242"/>
      <c r="AC46" s="242"/>
      <c r="AD46" s="242"/>
      <c r="AE46" s="242"/>
      <c r="AF46" s="242"/>
      <c r="AG46" s="242"/>
      <c r="AH46" s="242"/>
      <c r="AI46" s="242"/>
      <c r="AJ46" s="242"/>
      <c r="AK46" s="242"/>
      <c r="AL46" s="242"/>
      <c r="AM46" s="242"/>
      <c r="AN46" s="242"/>
      <c r="AO46" s="242"/>
      <c r="AP46" s="242"/>
      <c r="AQ46" s="242"/>
      <c r="AR46" s="242"/>
      <c r="AS46" s="242"/>
      <c r="AT46" s="242"/>
      <c r="AU46" s="242"/>
      <c r="AV46" s="242"/>
      <c r="AW46" s="242"/>
      <c r="AX46" s="242"/>
      <c r="AY46" s="242"/>
      <c r="AZ46" s="242"/>
      <c r="BA46" s="242"/>
      <c r="BB46" s="242"/>
      <c r="BC46" s="242"/>
      <c r="BD46" s="244"/>
    </row>
    <row r="47" spans="1:56" x14ac:dyDescent="0.25">
      <c r="A47" s="260"/>
      <c r="B47" s="260"/>
      <c r="C47" s="260"/>
      <c r="D47" s="261"/>
      <c r="E47" s="261"/>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2"/>
      <c r="AW47" s="262"/>
      <c r="AX47" s="262"/>
      <c r="AY47" s="263"/>
      <c r="AZ47" s="263"/>
      <c r="BA47" s="263"/>
      <c r="BB47" s="263"/>
      <c r="BC47" s="263"/>
      <c r="BD47" s="264"/>
    </row>
    <row r="48" spans="1:56" s="30" customFormat="1" ht="18.75" x14ac:dyDescent="0.25">
      <c r="A48" s="265" t="s">
        <v>4</v>
      </c>
      <c r="B48" s="266" t="s">
        <v>255</v>
      </c>
      <c r="C48" s="36"/>
      <c r="D48" s="267"/>
      <c r="E48" s="268"/>
      <c r="F48" s="265" t="s">
        <v>4</v>
      </c>
      <c r="G48" s="266" t="s">
        <v>255</v>
      </c>
      <c r="H48" s="269"/>
      <c r="I48" s="269"/>
      <c r="J48" s="269"/>
      <c r="K48" s="269"/>
      <c r="L48" s="270"/>
      <c r="M48" s="270"/>
      <c r="N48" s="270"/>
      <c r="O48" s="270"/>
      <c r="P48" s="270"/>
      <c r="Q48" s="270"/>
      <c r="R48" s="270"/>
      <c r="S48" s="270"/>
      <c r="T48" s="270"/>
      <c r="U48" s="270"/>
      <c r="V48" s="271"/>
      <c r="W48" s="271"/>
      <c r="X48" s="271"/>
      <c r="Y48" s="271"/>
      <c r="AA48" s="270"/>
      <c r="AC48" s="270"/>
      <c r="AD48" s="270"/>
      <c r="AE48" s="270"/>
      <c r="AF48" s="270"/>
      <c r="AG48" s="270"/>
      <c r="AH48" s="270"/>
      <c r="AI48" s="270"/>
      <c r="AQ48" s="270"/>
      <c r="AR48" s="270"/>
      <c r="AS48" s="270"/>
      <c r="AT48" s="270"/>
      <c r="AU48" s="270"/>
      <c r="AV48" s="270"/>
      <c r="AW48" s="270"/>
      <c r="AX48" s="270"/>
      <c r="AY48" s="270"/>
      <c r="AZ48" s="272"/>
      <c r="BA48" s="273"/>
      <c r="BB48" s="273"/>
      <c r="BC48" s="273"/>
      <c r="BD48" s="274"/>
    </row>
    <row r="49" spans="1:56" ht="15.75" x14ac:dyDescent="0.25">
      <c r="A49" s="275" t="s">
        <v>76</v>
      </c>
      <c r="B49" s="276" t="s">
        <v>256</v>
      </c>
      <c r="D49" s="176"/>
      <c r="E49" s="277"/>
      <c r="F49" s="278" t="s">
        <v>9</v>
      </c>
      <c r="G49" s="279" t="s">
        <v>404</v>
      </c>
      <c r="H49" s="280"/>
      <c r="I49" s="280"/>
      <c r="J49" s="280"/>
      <c r="K49" s="280"/>
      <c r="L49" s="280"/>
      <c r="M49" s="280"/>
      <c r="N49" s="280"/>
      <c r="O49" s="280"/>
      <c r="P49" s="280"/>
      <c r="Q49" s="280"/>
      <c r="R49" s="280"/>
      <c r="S49" s="280"/>
      <c r="T49" s="280"/>
      <c r="U49" s="280"/>
      <c r="V49" s="280"/>
      <c r="W49" s="280"/>
      <c r="X49" s="280"/>
      <c r="Y49" s="280"/>
      <c r="AA49" s="281"/>
      <c r="AC49" s="282"/>
      <c r="AD49" s="282"/>
      <c r="AE49" s="282"/>
      <c r="AF49" s="282"/>
      <c r="AG49" s="280"/>
      <c r="AH49" s="280"/>
      <c r="AI49" s="280"/>
      <c r="AQ49" s="280"/>
      <c r="AR49" s="280"/>
      <c r="AS49" s="280"/>
      <c r="AT49" s="280"/>
      <c r="AU49" s="280"/>
      <c r="AV49" s="283"/>
      <c r="AW49" s="283"/>
      <c r="AX49" s="283"/>
      <c r="AY49" s="284"/>
      <c r="AZ49" s="284"/>
      <c r="BA49" s="263"/>
      <c r="BB49" s="263"/>
      <c r="BC49" s="263"/>
      <c r="BD49" s="264"/>
    </row>
    <row r="50" spans="1:56" ht="15.75" x14ac:dyDescent="0.25">
      <c r="A50" s="275" t="s">
        <v>57</v>
      </c>
      <c r="B50" s="285" t="s">
        <v>257</v>
      </c>
      <c r="D50" s="176"/>
      <c r="E50" s="277"/>
      <c r="F50" s="278" t="s">
        <v>18</v>
      </c>
      <c r="G50" s="276" t="s">
        <v>405</v>
      </c>
      <c r="H50" s="280"/>
      <c r="I50" s="280"/>
      <c r="J50" s="280"/>
      <c r="K50" s="280"/>
      <c r="L50" s="280"/>
      <c r="M50" s="280"/>
      <c r="N50" s="280"/>
      <c r="O50" s="280"/>
      <c r="P50" s="280"/>
      <c r="Q50" s="280"/>
      <c r="R50" s="280"/>
      <c r="S50" s="280"/>
      <c r="T50" s="280"/>
      <c r="U50" s="280"/>
      <c r="V50" s="280"/>
      <c r="W50" s="280"/>
      <c r="X50" s="280"/>
      <c r="Y50" s="280"/>
      <c r="AA50" s="281"/>
      <c r="AC50" s="282"/>
      <c r="AD50" s="280"/>
      <c r="AE50" s="280"/>
      <c r="AF50" s="280"/>
      <c r="AG50" s="280"/>
      <c r="AH50" s="280"/>
      <c r="AI50" s="280"/>
      <c r="AQ50" s="280"/>
      <c r="AR50" s="280"/>
      <c r="AS50" s="280"/>
      <c r="AT50" s="280"/>
      <c r="AU50" s="280"/>
      <c r="AV50" s="283"/>
      <c r="AW50" s="283"/>
      <c r="AX50" s="283"/>
      <c r="AY50" s="284"/>
      <c r="AZ50" s="284"/>
      <c r="BA50" s="263"/>
      <c r="BB50" s="263"/>
      <c r="BC50" s="263"/>
      <c r="BD50" s="264"/>
    </row>
    <row r="51" spans="1:56" ht="15.75" x14ac:dyDescent="0.25">
      <c r="A51" s="275" t="s">
        <v>23</v>
      </c>
      <c r="B51" s="285" t="s">
        <v>258</v>
      </c>
      <c r="D51" s="176"/>
      <c r="E51" s="277"/>
      <c r="F51" s="275" t="s">
        <v>56</v>
      </c>
      <c r="G51" s="276" t="s">
        <v>406</v>
      </c>
      <c r="H51" s="280"/>
      <c r="I51" s="280"/>
      <c r="J51" s="280"/>
      <c r="K51" s="280"/>
      <c r="L51" s="280"/>
      <c r="M51" s="280"/>
      <c r="N51" s="280"/>
      <c r="O51" s="280"/>
      <c r="P51" s="280"/>
      <c r="Q51" s="280"/>
      <c r="R51" s="280"/>
      <c r="S51" s="280"/>
      <c r="T51" s="280"/>
      <c r="U51" s="280"/>
      <c r="V51" s="280"/>
      <c r="W51" s="280"/>
      <c r="X51" s="280"/>
      <c r="Y51" s="280"/>
      <c r="AA51" s="286"/>
      <c r="AC51" s="280"/>
      <c r="AD51" s="280"/>
      <c r="AE51" s="280"/>
      <c r="AF51" s="280"/>
      <c r="AG51" s="280"/>
      <c r="AH51" s="280"/>
      <c r="AI51" s="280"/>
      <c r="AQ51" s="280"/>
      <c r="AR51" s="280"/>
      <c r="AS51" s="280"/>
      <c r="AT51" s="280"/>
      <c r="AU51" s="280"/>
      <c r="AV51" s="283"/>
      <c r="AW51" s="283"/>
      <c r="AX51" s="283"/>
      <c r="AY51" s="284"/>
      <c r="AZ51" s="284"/>
      <c r="BA51" s="263"/>
      <c r="BB51" s="263"/>
      <c r="BC51" s="263"/>
      <c r="BD51" s="264"/>
    </row>
    <row r="52" spans="1:56" ht="15.75" x14ac:dyDescent="0.25">
      <c r="A52" s="275" t="s">
        <v>45</v>
      </c>
      <c r="B52" s="285" t="s">
        <v>259</v>
      </c>
      <c r="D52" s="176"/>
      <c r="E52" s="277"/>
      <c r="F52" s="275" t="s">
        <v>31</v>
      </c>
      <c r="G52" s="276" t="s">
        <v>407</v>
      </c>
      <c r="H52" s="280"/>
      <c r="I52" s="280"/>
      <c r="J52" s="260"/>
      <c r="K52" s="260"/>
      <c r="L52" s="260"/>
      <c r="M52" s="260"/>
      <c r="N52" s="280"/>
      <c r="O52" s="280"/>
      <c r="P52" s="280"/>
      <c r="Q52" s="280"/>
      <c r="R52" s="280"/>
      <c r="S52" s="280"/>
      <c r="T52" s="280"/>
      <c r="U52" s="280"/>
      <c r="V52" s="280"/>
      <c r="W52" s="280"/>
      <c r="X52" s="280"/>
      <c r="Y52" s="280"/>
      <c r="AA52" s="286"/>
      <c r="AC52" s="280"/>
      <c r="AD52" s="280"/>
      <c r="AE52" s="280"/>
      <c r="AF52" s="280"/>
      <c r="AG52" s="280"/>
      <c r="AH52" s="280"/>
      <c r="AI52" s="280"/>
      <c r="AQ52" s="280"/>
      <c r="AR52" s="280"/>
      <c r="AS52" s="280"/>
      <c r="AT52" s="280"/>
      <c r="AU52" s="280"/>
      <c r="AV52" s="283"/>
      <c r="AW52" s="283"/>
      <c r="AX52" s="283"/>
      <c r="AY52" s="284"/>
      <c r="AZ52" s="284"/>
      <c r="BA52" s="263"/>
      <c r="BB52" s="263"/>
      <c r="BC52" s="263"/>
      <c r="BD52" s="264"/>
    </row>
    <row r="53" spans="1:56" ht="15.75" x14ac:dyDescent="0.25">
      <c r="A53" s="275" t="s">
        <v>64</v>
      </c>
      <c r="B53" s="285" t="s">
        <v>260</v>
      </c>
      <c r="D53" s="176"/>
      <c r="E53" s="277"/>
      <c r="F53" s="275" t="s">
        <v>34</v>
      </c>
      <c r="G53" s="276" t="s">
        <v>408</v>
      </c>
      <c r="H53" s="280"/>
      <c r="I53" s="280"/>
      <c r="J53" s="280"/>
      <c r="K53" s="280"/>
      <c r="L53" s="280"/>
      <c r="M53" s="280"/>
      <c r="N53" s="280"/>
      <c r="O53" s="280"/>
      <c r="P53" s="280"/>
      <c r="Q53" s="280"/>
      <c r="R53" s="280"/>
      <c r="S53" s="280"/>
      <c r="T53" s="280"/>
      <c r="U53" s="280"/>
      <c r="V53" s="280"/>
      <c r="W53" s="280"/>
      <c r="X53" s="280"/>
      <c r="Y53" s="280"/>
      <c r="AA53" s="286"/>
      <c r="AC53" s="280"/>
      <c r="AD53" s="280"/>
      <c r="AE53" s="280"/>
      <c r="AF53" s="280"/>
      <c r="AG53" s="280"/>
      <c r="AH53" s="280"/>
      <c r="AI53" s="280"/>
      <c r="AQ53" s="280"/>
      <c r="AR53" s="280"/>
      <c r="AS53" s="280"/>
      <c r="AT53" s="280"/>
      <c r="AU53" s="280"/>
      <c r="AV53" s="283"/>
      <c r="AW53" s="283"/>
      <c r="AX53" s="283"/>
      <c r="AY53" s="284"/>
      <c r="AZ53" s="284"/>
      <c r="BA53" s="263"/>
      <c r="BB53" s="263"/>
      <c r="BC53" s="263"/>
      <c r="BD53" s="264"/>
    </row>
    <row r="54" spans="1:56" ht="15.75" x14ac:dyDescent="0.25">
      <c r="A54" s="275" t="s">
        <v>68</v>
      </c>
      <c r="B54" s="285" t="s">
        <v>261</v>
      </c>
      <c r="D54" s="176"/>
      <c r="E54" s="277"/>
      <c r="F54" s="275" t="s">
        <v>37</v>
      </c>
      <c r="G54" s="276" t="s">
        <v>409</v>
      </c>
      <c r="H54" s="280"/>
      <c r="I54" s="280"/>
      <c r="J54" s="280"/>
      <c r="K54" s="280"/>
      <c r="L54" s="280"/>
      <c r="M54" s="280"/>
      <c r="N54" s="280"/>
      <c r="O54" s="280"/>
      <c r="P54" s="280"/>
      <c r="Q54" s="280"/>
      <c r="R54" s="280"/>
      <c r="S54" s="280"/>
      <c r="T54" s="280"/>
      <c r="U54" s="280"/>
      <c r="V54" s="280"/>
      <c r="W54" s="280"/>
      <c r="X54" s="280"/>
      <c r="Y54" s="280"/>
      <c r="AA54" s="286"/>
      <c r="AC54" s="280"/>
      <c r="AD54" s="280"/>
      <c r="AE54" s="280"/>
      <c r="AF54" s="280"/>
      <c r="AG54" s="280"/>
      <c r="AH54" s="280"/>
      <c r="AI54" s="280"/>
      <c r="AQ54" s="280"/>
      <c r="AR54" s="280"/>
      <c r="AS54" s="280"/>
      <c r="AT54" s="280"/>
      <c r="AU54" s="280"/>
      <c r="AV54" s="283"/>
      <c r="AW54" s="283"/>
      <c r="AX54" s="283"/>
      <c r="AY54" s="284"/>
      <c r="AZ54" s="284"/>
      <c r="BA54" s="263"/>
      <c r="BB54" s="263"/>
      <c r="BC54" s="263"/>
      <c r="BD54" s="264"/>
    </row>
    <row r="55" spans="1:56" ht="15.75" x14ac:dyDescent="0.25">
      <c r="A55" s="275" t="s">
        <v>65</v>
      </c>
      <c r="B55" s="285" t="s">
        <v>262</v>
      </c>
      <c r="E55" s="280"/>
      <c r="F55" s="275" t="s">
        <v>39</v>
      </c>
      <c r="G55" s="276" t="s">
        <v>410</v>
      </c>
      <c r="H55" s="280"/>
      <c r="I55" s="280"/>
      <c r="J55" s="280"/>
      <c r="K55" s="280"/>
      <c r="L55" s="280"/>
      <c r="M55" s="280"/>
      <c r="N55" s="280"/>
      <c r="O55" s="280"/>
      <c r="P55" s="280"/>
      <c r="Q55" s="280"/>
      <c r="R55" s="280"/>
      <c r="S55" s="280"/>
      <c r="T55" s="280"/>
      <c r="U55" s="280"/>
      <c r="V55" s="280"/>
      <c r="W55" s="280"/>
      <c r="X55" s="280"/>
      <c r="Y55" s="280"/>
      <c r="AA55" s="286"/>
      <c r="AC55" s="280"/>
      <c r="AD55" s="280"/>
      <c r="AE55" s="280"/>
      <c r="AF55" s="280"/>
      <c r="AG55" s="280"/>
      <c r="AH55" s="280"/>
      <c r="AI55" s="280"/>
      <c r="AQ55" s="280"/>
      <c r="AR55" s="280"/>
      <c r="AS55" s="280"/>
      <c r="AT55" s="280"/>
      <c r="AU55" s="280"/>
      <c r="AV55" s="283"/>
      <c r="AW55" s="283"/>
      <c r="AX55" s="283"/>
      <c r="AY55" s="284"/>
      <c r="AZ55" s="284"/>
      <c r="BA55" s="263"/>
      <c r="BB55" s="263"/>
      <c r="BC55" s="263"/>
      <c r="BD55" s="264"/>
    </row>
    <row r="56" spans="1:56" ht="15.75" x14ac:dyDescent="0.25">
      <c r="A56" s="275" t="s">
        <v>36</v>
      </c>
      <c r="B56" s="285" t="s">
        <v>263</v>
      </c>
      <c r="E56" s="280"/>
      <c r="F56" s="275" t="s">
        <v>8</v>
      </c>
      <c r="G56" s="276" t="s">
        <v>411</v>
      </c>
      <c r="H56" s="280"/>
      <c r="I56" s="280"/>
      <c r="J56" s="280"/>
      <c r="K56" s="280"/>
      <c r="L56" s="280"/>
      <c r="M56" s="280"/>
      <c r="N56" s="280"/>
      <c r="O56" s="280"/>
      <c r="P56" s="280"/>
      <c r="Q56" s="280"/>
      <c r="R56" s="280"/>
      <c r="S56" s="280"/>
      <c r="T56" s="280"/>
      <c r="U56" s="280"/>
      <c r="V56" s="280"/>
      <c r="W56" s="280"/>
      <c r="X56" s="280"/>
      <c r="Y56" s="280"/>
      <c r="AA56" s="286"/>
      <c r="AC56" s="280"/>
      <c r="AD56" s="280"/>
      <c r="AE56" s="280"/>
      <c r="AF56" s="280"/>
      <c r="AG56" s="280"/>
      <c r="AH56" s="280"/>
      <c r="AI56" s="280"/>
      <c r="AQ56" s="280"/>
      <c r="AR56" s="280"/>
      <c r="AS56" s="280"/>
      <c r="AT56" s="280"/>
      <c r="AU56" s="280"/>
      <c r="AV56" s="283"/>
      <c r="AW56" s="283"/>
      <c r="AX56" s="283"/>
      <c r="AY56" s="284"/>
      <c r="AZ56" s="284"/>
      <c r="BA56" s="263"/>
      <c r="BB56" s="263"/>
      <c r="BC56" s="263"/>
      <c r="BD56" s="264"/>
    </row>
    <row r="57" spans="1:56" ht="15.75" x14ac:dyDescent="0.25">
      <c r="A57" s="275" t="s">
        <v>58</v>
      </c>
      <c r="B57" s="285" t="s">
        <v>264</v>
      </c>
      <c r="E57" s="280"/>
      <c r="F57" s="287" t="s">
        <v>73</v>
      </c>
      <c r="G57" s="276" t="s">
        <v>412</v>
      </c>
      <c r="H57" s="280"/>
      <c r="I57" s="280"/>
      <c r="J57" s="280"/>
      <c r="K57" s="280"/>
      <c r="L57" s="280"/>
      <c r="M57" s="280"/>
      <c r="N57" s="280"/>
      <c r="O57" s="280"/>
      <c r="P57" s="280"/>
      <c r="Q57" s="280"/>
      <c r="R57" s="280"/>
      <c r="S57" s="280"/>
      <c r="T57" s="280"/>
      <c r="U57" s="280"/>
      <c r="V57" s="280"/>
      <c r="W57" s="280"/>
      <c r="X57" s="280"/>
      <c r="Y57" s="280"/>
      <c r="AA57" s="288"/>
      <c r="AC57" s="280"/>
      <c r="AD57" s="280"/>
      <c r="AE57" s="280"/>
      <c r="AF57" s="280"/>
      <c r="AG57" s="280"/>
      <c r="AH57" s="280"/>
      <c r="AI57" s="280"/>
      <c r="AQ57" s="280"/>
      <c r="AR57" s="280"/>
      <c r="AS57" s="280"/>
      <c r="AT57" s="280"/>
      <c r="AU57" s="280"/>
      <c r="AV57" s="283"/>
      <c r="AW57" s="283"/>
      <c r="AX57" s="283"/>
      <c r="AY57" s="284"/>
      <c r="AZ57" s="284"/>
      <c r="BA57" s="263"/>
      <c r="BB57" s="263"/>
      <c r="BC57" s="263"/>
      <c r="BD57" s="264"/>
    </row>
    <row r="58" spans="1:56" ht="15.75" x14ac:dyDescent="0.25">
      <c r="A58" s="275" t="s">
        <v>60</v>
      </c>
      <c r="B58" s="276" t="s">
        <v>265</v>
      </c>
      <c r="D58" s="176"/>
      <c r="E58" s="277"/>
      <c r="F58" s="275" t="s">
        <v>28</v>
      </c>
      <c r="G58" s="285" t="s">
        <v>266</v>
      </c>
      <c r="H58" s="280"/>
      <c r="I58" s="280"/>
      <c r="J58" s="280"/>
      <c r="K58" s="280"/>
      <c r="L58" s="280"/>
      <c r="M58" s="280"/>
      <c r="N58" s="280"/>
      <c r="O58" s="280"/>
      <c r="P58" s="280"/>
      <c r="Q58" s="280"/>
      <c r="R58" s="280"/>
      <c r="S58" s="280"/>
      <c r="T58" s="280"/>
      <c r="U58" s="280"/>
      <c r="V58" s="280"/>
      <c r="W58" s="280"/>
      <c r="X58" s="280"/>
      <c r="Y58" s="280"/>
      <c r="AA58" s="288"/>
      <c r="AC58" s="289"/>
      <c r="AD58" s="280"/>
      <c r="AE58" s="280"/>
      <c r="AF58" s="280"/>
      <c r="AG58" s="280"/>
      <c r="AH58" s="280"/>
      <c r="AI58" s="280"/>
      <c r="AQ58" s="280"/>
      <c r="AR58" s="280"/>
      <c r="AS58" s="280"/>
      <c r="AT58" s="280"/>
      <c r="AU58" s="280"/>
      <c r="AV58" s="283"/>
      <c r="AW58" s="283"/>
      <c r="AX58" s="283"/>
      <c r="AY58" s="284"/>
      <c r="AZ58" s="284"/>
      <c r="BA58" s="263"/>
      <c r="BB58" s="263"/>
      <c r="BC58" s="263"/>
      <c r="BD58" s="264"/>
    </row>
    <row r="59" spans="1:56" ht="15.75" x14ac:dyDescent="0.25">
      <c r="A59" s="275" t="s">
        <v>21</v>
      </c>
      <c r="B59" s="285" t="s">
        <v>267</v>
      </c>
      <c r="D59" s="176"/>
      <c r="E59" s="277"/>
      <c r="F59" s="287" t="s">
        <v>72</v>
      </c>
      <c r="G59" s="276" t="s">
        <v>413</v>
      </c>
      <c r="H59" s="280"/>
      <c r="I59" s="280"/>
      <c r="J59" s="280"/>
      <c r="K59" s="280"/>
      <c r="L59" s="280"/>
      <c r="M59" s="280"/>
      <c r="N59" s="280"/>
      <c r="O59" s="280"/>
      <c r="P59" s="280"/>
      <c r="Q59" s="280"/>
      <c r="R59" s="280"/>
      <c r="S59" s="280"/>
      <c r="T59" s="280"/>
      <c r="U59" s="280"/>
      <c r="V59" s="280"/>
      <c r="W59" s="280"/>
      <c r="X59" s="280"/>
      <c r="Y59" s="280"/>
      <c r="AA59" s="288"/>
      <c r="AC59" s="280"/>
      <c r="AD59" s="282"/>
      <c r="AE59" s="280"/>
      <c r="AF59" s="280"/>
      <c r="AG59" s="280"/>
      <c r="AH59" s="280"/>
      <c r="AI59" s="280"/>
      <c r="AQ59" s="280"/>
      <c r="AR59" s="280"/>
      <c r="AS59" s="280"/>
      <c r="AT59" s="280"/>
      <c r="AU59" s="280"/>
      <c r="AV59" s="283"/>
      <c r="AW59" s="283"/>
      <c r="AX59" s="283"/>
      <c r="AY59" s="284"/>
      <c r="AZ59" s="284"/>
      <c r="BA59" s="263"/>
      <c r="BB59" s="263"/>
      <c r="BC59" s="263"/>
      <c r="BD59" s="264"/>
    </row>
    <row r="60" spans="1:56" ht="15.75" x14ac:dyDescent="0.25">
      <c r="A60" s="275" t="s">
        <v>61</v>
      </c>
      <c r="B60" s="285" t="s">
        <v>268</v>
      </c>
      <c r="D60" s="176"/>
      <c r="E60" s="277"/>
      <c r="F60" s="287" t="s">
        <v>48</v>
      </c>
      <c r="G60" s="276" t="s">
        <v>414</v>
      </c>
      <c r="H60" s="280"/>
      <c r="I60" s="280"/>
      <c r="J60" s="280"/>
      <c r="K60" s="280"/>
      <c r="L60" s="280"/>
      <c r="M60" s="280"/>
      <c r="N60" s="280"/>
      <c r="O60" s="280"/>
      <c r="P60" s="280"/>
      <c r="Q60" s="280"/>
      <c r="R60" s="280"/>
      <c r="S60" s="280"/>
      <c r="T60" s="280"/>
      <c r="U60" s="280"/>
      <c r="V60" s="280"/>
      <c r="W60" s="280"/>
      <c r="X60" s="280"/>
      <c r="Y60" s="280"/>
      <c r="AA60" s="288"/>
      <c r="AC60" s="280"/>
      <c r="AD60" s="280"/>
      <c r="AE60" s="280"/>
      <c r="AF60" s="280"/>
      <c r="AG60" s="280"/>
      <c r="AH60" s="280"/>
      <c r="AI60" s="280"/>
      <c r="AQ60" s="280"/>
      <c r="AR60" s="280"/>
      <c r="AS60" s="280"/>
      <c r="AT60" s="280"/>
      <c r="AU60" s="280"/>
      <c r="AV60" s="283"/>
      <c r="AW60" s="283"/>
      <c r="AX60" s="283"/>
      <c r="AY60" s="284"/>
      <c r="AZ60" s="284"/>
      <c r="BA60" s="263"/>
      <c r="BB60" s="263"/>
      <c r="BC60" s="263"/>
      <c r="BD60" s="264"/>
    </row>
    <row r="61" spans="1:56" ht="15.75" x14ac:dyDescent="0.25">
      <c r="A61" s="275" t="s">
        <v>62</v>
      </c>
      <c r="B61" s="285" t="s">
        <v>269</v>
      </c>
      <c r="D61" s="176"/>
      <c r="E61" s="277"/>
      <c r="F61" s="287" t="s">
        <v>30</v>
      </c>
      <c r="G61" s="276" t="s">
        <v>415</v>
      </c>
      <c r="H61" s="280"/>
      <c r="I61" s="280"/>
      <c r="J61" s="280"/>
      <c r="K61" s="280"/>
      <c r="L61" s="280"/>
      <c r="M61" s="280"/>
      <c r="N61" s="280"/>
      <c r="O61" s="280"/>
      <c r="P61" s="280"/>
      <c r="Q61" s="280"/>
      <c r="R61" s="280"/>
      <c r="S61" s="280"/>
      <c r="T61" s="280"/>
      <c r="U61" s="280"/>
      <c r="V61" s="280"/>
      <c r="W61" s="280"/>
      <c r="X61" s="280"/>
      <c r="Y61" s="280"/>
      <c r="AA61" s="290"/>
      <c r="AC61" s="291"/>
      <c r="AD61" s="280"/>
      <c r="AE61" s="280"/>
      <c r="AF61" s="280"/>
      <c r="AG61" s="280"/>
      <c r="AH61" s="280"/>
      <c r="AI61" s="280"/>
      <c r="AQ61" s="280"/>
      <c r="AR61" s="280"/>
      <c r="AS61" s="280"/>
      <c r="AT61" s="280"/>
      <c r="AU61" s="280"/>
      <c r="AV61" s="283"/>
      <c r="AW61" s="283"/>
      <c r="AX61" s="283"/>
      <c r="AY61" s="284"/>
      <c r="AZ61" s="284"/>
      <c r="BA61" s="263"/>
      <c r="BB61" s="263"/>
      <c r="BC61" s="263"/>
      <c r="BD61" s="264"/>
    </row>
    <row r="62" spans="1:56" ht="15.75" x14ac:dyDescent="0.25">
      <c r="A62" s="275" t="s">
        <v>78</v>
      </c>
      <c r="B62" s="285" t="s">
        <v>270</v>
      </c>
      <c r="D62" s="176"/>
      <c r="E62" s="277"/>
      <c r="F62" s="292" t="s">
        <v>26</v>
      </c>
      <c r="G62" s="276" t="s">
        <v>416</v>
      </c>
      <c r="H62" s="280"/>
      <c r="I62" s="280"/>
      <c r="J62" s="280"/>
      <c r="K62" s="280"/>
      <c r="L62" s="280"/>
      <c r="M62" s="280"/>
      <c r="N62" s="280"/>
      <c r="O62" s="280"/>
      <c r="P62" s="280"/>
      <c r="Q62" s="280"/>
      <c r="R62" s="280"/>
      <c r="S62" s="280"/>
      <c r="T62" s="280"/>
      <c r="U62" s="280"/>
      <c r="V62" s="280"/>
      <c r="W62" s="280"/>
      <c r="X62" s="280"/>
      <c r="Y62" s="280"/>
      <c r="AA62" s="288"/>
      <c r="AC62" s="280"/>
      <c r="AD62" s="280"/>
      <c r="AE62" s="280"/>
      <c r="AF62" s="280"/>
      <c r="AG62" s="280"/>
      <c r="AH62" s="280"/>
      <c r="AI62" s="280"/>
      <c r="AQ62" s="280"/>
      <c r="AR62" s="280"/>
      <c r="AS62" s="280"/>
      <c r="AT62" s="280"/>
      <c r="AU62" s="280"/>
      <c r="AV62" s="283"/>
      <c r="AW62" s="283"/>
      <c r="AX62" s="283"/>
      <c r="AY62" s="284"/>
      <c r="AZ62" s="284"/>
      <c r="BA62" s="263"/>
      <c r="BB62" s="263"/>
      <c r="BC62" s="263"/>
      <c r="BD62" s="264"/>
    </row>
    <row r="63" spans="1:56" ht="15.75" x14ac:dyDescent="0.25">
      <c r="A63" s="275" t="s">
        <v>80</v>
      </c>
      <c r="B63" s="285" t="s">
        <v>271</v>
      </c>
      <c r="D63" s="176"/>
      <c r="E63" s="277"/>
      <c r="F63" s="287" t="s">
        <v>43</v>
      </c>
      <c r="G63" s="276" t="s">
        <v>417</v>
      </c>
      <c r="H63" s="280"/>
      <c r="I63" s="280"/>
      <c r="J63" s="280"/>
      <c r="K63" s="280"/>
      <c r="L63" s="280"/>
      <c r="M63" s="280"/>
      <c r="N63" s="280"/>
      <c r="O63" s="280"/>
      <c r="P63" s="280"/>
      <c r="Q63" s="280"/>
      <c r="R63" s="280"/>
      <c r="S63" s="280"/>
      <c r="T63" s="280"/>
      <c r="U63" s="280"/>
      <c r="V63" s="280"/>
      <c r="W63" s="280"/>
      <c r="X63" s="280"/>
      <c r="Y63" s="280"/>
      <c r="AA63" s="288"/>
      <c r="AC63" s="280"/>
      <c r="AD63" s="280"/>
      <c r="AE63" s="280"/>
      <c r="AF63" s="280"/>
      <c r="AG63" s="280"/>
      <c r="AH63" s="280"/>
      <c r="AI63" s="280"/>
      <c r="AQ63" s="280"/>
      <c r="AR63" s="280"/>
      <c r="AS63" s="280"/>
      <c r="AT63" s="280"/>
      <c r="AU63" s="280"/>
      <c r="AV63" s="283"/>
      <c r="AW63" s="283"/>
      <c r="AX63" s="283"/>
      <c r="AY63" s="284"/>
      <c r="AZ63" s="284"/>
      <c r="BA63" s="263"/>
      <c r="BB63" s="263"/>
      <c r="BC63" s="263"/>
      <c r="BD63" s="264"/>
    </row>
    <row r="64" spans="1:56" ht="15.75" x14ac:dyDescent="0.25">
      <c r="A64" s="275" t="s">
        <v>41</v>
      </c>
      <c r="B64" s="285" t="s">
        <v>272</v>
      </c>
      <c r="D64" s="176"/>
      <c r="E64" s="277"/>
      <c r="F64" s="287" t="s">
        <v>55</v>
      </c>
      <c r="G64" s="276" t="s">
        <v>418</v>
      </c>
      <c r="H64" s="280"/>
      <c r="I64" s="280"/>
      <c r="J64" s="280"/>
      <c r="K64" s="280"/>
      <c r="L64" s="280"/>
      <c r="M64" s="280"/>
      <c r="N64" s="280"/>
      <c r="O64" s="280"/>
      <c r="P64" s="280"/>
      <c r="Q64" s="280"/>
      <c r="R64" s="280"/>
      <c r="S64" s="280"/>
      <c r="T64" s="280"/>
      <c r="U64" s="280"/>
      <c r="V64" s="280"/>
      <c r="W64" s="280"/>
      <c r="X64" s="280"/>
      <c r="Y64" s="280"/>
      <c r="AA64" s="288"/>
      <c r="AC64" s="280"/>
      <c r="AD64" s="280"/>
      <c r="AE64" s="280"/>
      <c r="AF64" s="280"/>
      <c r="AG64" s="280"/>
      <c r="AH64" s="280"/>
      <c r="AI64" s="280"/>
      <c r="AQ64" s="280"/>
      <c r="AR64" s="280"/>
      <c r="AS64" s="280"/>
      <c r="AT64" s="280"/>
      <c r="AU64" s="280"/>
      <c r="AV64" s="283"/>
      <c r="AW64" s="283"/>
      <c r="AX64" s="283"/>
      <c r="AY64" s="284"/>
      <c r="AZ64" s="284"/>
      <c r="BA64" s="263"/>
      <c r="BB64" s="263"/>
      <c r="BC64" s="263"/>
      <c r="BD64" s="264"/>
    </row>
    <row r="65" spans="1:56" ht="15.75" x14ac:dyDescent="0.25">
      <c r="A65" s="275" t="s">
        <v>25</v>
      </c>
      <c r="B65" s="285" t="s">
        <v>273</v>
      </c>
      <c r="D65" s="176"/>
      <c r="E65" s="277"/>
      <c r="F65" s="287" t="s">
        <v>40</v>
      </c>
      <c r="G65" s="276" t="s">
        <v>419</v>
      </c>
      <c r="H65" s="280"/>
      <c r="I65" s="280"/>
      <c r="J65" s="280"/>
      <c r="K65" s="280"/>
      <c r="L65" s="280"/>
      <c r="M65" s="280"/>
      <c r="N65" s="280"/>
      <c r="O65" s="280"/>
      <c r="P65" s="280"/>
      <c r="Q65" s="280"/>
      <c r="R65" s="280"/>
      <c r="S65" s="280"/>
      <c r="T65" s="280"/>
      <c r="U65" s="280"/>
      <c r="V65" s="280"/>
      <c r="W65" s="280"/>
      <c r="X65" s="280"/>
      <c r="Y65" s="280"/>
      <c r="AA65" s="288"/>
      <c r="AC65" s="280"/>
      <c r="AD65" s="280"/>
      <c r="AE65" s="280"/>
      <c r="AF65" s="280"/>
      <c r="AG65" s="280"/>
      <c r="AH65" s="280"/>
      <c r="AI65" s="280"/>
      <c r="AQ65" s="280"/>
      <c r="AR65" s="280"/>
      <c r="AS65" s="280"/>
      <c r="AT65" s="280"/>
      <c r="AU65" s="280"/>
      <c r="AV65" s="283"/>
      <c r="AW65" s="283"/>
      <c r="AX65" s="283"/>
      <c r="AY65" s="284"/>
      <c r="AZ65" s="284"/>
      <c r="BA65" s="263"/>
      <c r="BB65" s="263"/>
      <c r="BC65" s="263"/>
      <c r="BD65" s="264"/>
    </row>
    <row r="66" spans="1:56" ht="15.75" x14ac:dyDescent="0.25">
      <c r="A66" s="275" t="s">
        <v>38</v>
      </c>
      <c r="B66" s="285" t="s">
        <v>274</v>
      </c>
      <c r="D66" s="176"/>
      <c r="E66" s="277"/>
      <c r="F66" s="287" t="s">
        <v>24</v>
      </c>
      <c r="G66" s="276" t="s">
        <v>420</v>
      </c>
      <c r="H66" s="280"/>
      <c r="I66" s="280"/>
      <c r="J66" s="280"/>
      <c r="K66" s="280"/>
      <c r="L66" s="280"/>
      <c r="M66" s="280"/>
      <c r="N66" s="280"/>
      <c r="O66" s="280"/>
      <c r="P66" s="280"/>
      <c r="Q66" s="280"/>
      <c r="R66" s="280"/>
      <c r="S66" s="280"/>
      <c r="T66" s="280"/>
      <c r="U66" s="280"/>
      <c r="V66" s="280"/>
      <c r="W66" s="280"/>
      <c r="X66" s="280"/>
      <c r="Y66" s="280"/>
      <c r="AA66" s="288"/>
      <c r="AC66" s="280"/>
      <c r="AD66" s="280"/>
      <c r="AE66" s="280"/>
      <c r="AF66" s="280"/>
      <c r="AG66" s="280"/>
      <c r="AH66" s="280"/>
      <c r="AI66" s="280"/>
      <c r="AQ66" s="280"/>
      <c r="AR66" s="280"/>
      <c r="AS66" s="280"/>
      <c r="AT66" s="280"/>
      <c r="AU66" s="280"/>
      <c r="AV66" s="283"/>
      <c r="AW66" s="283"/>
      <c r="AX66" s="283"/>
      <c r="AY66" s="284"/>
      <c r="AZ66" s="284"/>
      <c r="BA66" s="263"/>
      <c r="BB66" s="263"/>
      <c r="BC66" s="263"/>
      <c r="BD66" s="264"/>
    </row>
    <row r="67" spans="1:56" ht="15.75" x14ac:dyDescent="0.25">
      <c r="A67" s="275" t="s">
        <v>47</v>
      </c>
      <c r="B67" s="285" t="s">
        <v>275</v>
      </c>
      <c r="D67" s="176"/>
      <c r="E67" s="277"/>
      <c r="F67" s="287" t="s">
        <v>44</v>
      </c>
      <c r="G67" s="276" t="s">
        <v>421</v>
      </c>
      <c r="H67" s="280"/>
      <c r="I67" s="280"/>
      <c r="J67" s="280"/>
      <c r="K67" s="280"/>
      <c r="L67" s="280"/>
      <c r="M67" s="280"/>
      <c r="N67" s="280"/>
      <c r="O67" s="280"/>
      <c r="P67" s="280"/>
      <c r="Q67" s="280"/>
      <c r="R67" s="280"/>
      <c r="S67" s="280"/>
      <c r="T67" s="280"/>
      <c r="U67" s="280"/>
      <c r="V67" s="280"/>
      <c r="W67" s="280"/>
      <c r="X67" s="280"/>
      <c r="Y67" s="280"/>
      <c r="AA67" s="288"/>
      <c r="AC67" s="280"/>
      <c r="AD67" s="280"/>
      <c r="AE67" s="260"/>
      <c r="AF67" s="280"/>
      <c r="AG67" s="280"/>
      <c r="AH67" s="280"/>
      <c r="AI67" s="280"/>
      <c r="AQ67" s="280"/>
      <c r="AR67" s="280"/>
      <c r="AS67" s="280"/>
      <c r="AT67" s="280"/>
      <c r="AU67" s="280"/>
      <c r="AV67" s="283"/>
      <c r="AW67" s="283"/>
      <c r="AX67" s="283"/>
      <c r="AY67" s="284"/>
      <c r="AZ67" s="284"/>
      <c r="BA67" s="263"/>
      <c r="BB67" s="263"/>
      <c r="BC67" s="263"/>
      <c r="BD67" s="264"/>
    </row>
    <row r="68" spans="1:56" ht="15.75" x14ac:dyDescent="0.25">
      <c r="A68" s="275" t="s">
        <v>50</v>
      </c>
      <c r="B68" s="276" t="s">
        <v>276</v>
      </c>
      <c r="E68" s="280"/>
      <c r="F68" s="287" t="s">
        <v>35</v>
      </c>
      <c r="G68" s="276" t="s">
        <v>422</v>
      </c>
      <c r="H68" s="280"/>
      <c r="I68" s="280"/>
      <c r="J68" s="280"/>
      <c r="K68" s="280"/>
      <c r="L68" s="280"/>
      <c r="M68" s="280"/>
      <c r="N68" s="280"/>
      <c r="O68" s="280"/>
      <c r="P68" s="280"/>
      <c r="Q68" s="280"/>
      <c r="R68" s="280"/>
      <c r="S68" s="280"/>
      <c r="T68" s="280"/>
      <c r="U68" s="280"/>
      <c r="V68" s="280"/>
      <c r="W68" s="280"/>
      <c r="X68" s="280"/>
      <c r="Y68" s="280"/>
      <c r="AA68" s="288"/>
      <c r="AC68" s="280"/>
      <c r="AD68" s="280"/>
      <c r="AE68" s="280"/>
      <c r="AF68" s="280"/>
      <c r="AG68" s="260"/>
      <c r="AH68" s="260"/>
      <c r="AI68" s="280"/>
      <c r="AQ68" s="280"/>
      <c r="AR68" s="280"/>
      <c r="AS68" s="280"/>
      <c r="AT68" s="280"/>
      <c r="AU68" s="280"/>
      <c r="AV68" s="283"/>
      <c r="AW68" s="283"/>
      <c r="AX68" s="283"/>
      <c r="AY68" s="284"/>
      <c r="AZ68" s="284"/>
      <c r="BA68" s="263"/>
      <c r="BB68" s="263"/>
      <c r="BC68" s="263"/>
      <c r="BD68" s="264"/>
    </row>
    <row r="69" spans="1:56" ht="15.75" x14ac:dyDescent="0.25">
      <c r="A69" s="275" t="s">
        <v>15</v>
      </c>
      <c r="B69" s="276" t="s">
        <v>277</v>
      </c>
      <c r="E69" s="280"/>
      <c r="F69" s="287" t="s">
        <v>7</v>
      </c>
      <c r="G69" s="276" t="s">
        <v>423</v>
      </c>
      <c r="H69" s="280"/>
      <c r="I69" s="280"/>
      <c r="J69" s="280"/>
      <c r="K69" s="280"/>
      <c r="L69" s="280"/>
      <c r="M69" s="280"/>
      <c r="N69" s="280"/>
      <c r="O69" s="280"/>
      <c r="P69" s="280"/>
      <c r="Q69" s="280"/>
      <c r="R69" s="280"/>
      <c r="S69" s="280"/>
      <c r="T69" s="280"/>
      <c r="U69" s="280"/>
      <c r="V69" s="280"/>
      <c r="W69" s="280"/>
      <c r="X69" s="280"/>
      <c r="Y69" s="280"/>
      <c r="AA69" s="288"/>
      <c r="AC69" s="280"/>
      <c r="AD69" s="280"/>
      <c r="AE69" s="280"/>
      <c r="AF69" s="260"/>
      <c r="AG69" s="280"/>
      <c r="AH69" s="280"/>
      <c r="AI69" s="280"/>
      <c r="AQ69" s="280"/>
      <c r="AR69" s="280"/>
      <c r="AS69" s="280"/>
      <c r="AT69" s="280"/>
      <c r="AU69" s="280"/>
      <c r="AV69" s="283"/>
      <c r="AW69" s="283"/>
      <c r="AX69" s="283"/>
      <c r="AY69" s="284"/>
      <c r="AZ69" s="284"/>
      <c r="BA69" s="263"/>
      <c r="BB69" s="263"/>
      <c r="BC69" s="263"/>
      <c r="BD69" s="264"/>
    </row>
    <row r="70" spans="1:56" ht="15.75" x14ac:dyDescent="0.25">
      <c r="A70" s="275" t="s">
        <v>10</v>
      </c>
      <c r="B70" s="276" t="s">
        <v>278</v>
      </c>
      <c r="E70" s="280"/>
      <c r="F70" s="287" t="s">
        <v>75</v>
      </c>
      <c r="G70" s="276" t="s">
        <v>424</v>
      </c>
      <c r="H70" s="280"/>
      <c r="I70" s="280"/>
      <c r="J70" s="280"/>
      <c r="K70" s="280"/>
      <c r="L70" s="280"/>
      <c r="M70" s="280"/>
      <c r="N70" s="280"/>
      <c r="O70" s="280"/>
      <c r="P70" s="280"/>
      <c r="Q70" s="280"/>
      <c r="R70" s="280"/>
      <c r="S70" s="280"/>
      <c r="T70" s="280"/>
      <c r="U70" s="280"/>
      <c r="V70" s="280"/>
      <c r="W70" s="280"/>
      <c r="X70" s="280"/>
      <c r="Y70" s="280"/>
      <c r="AA70" s="288"/>
      <c r="AC70" s="280"/>
      <c r="AD70" s="280"/>
      <c r="AE70" s="280"/>
      <c r="AF70" s="280"/>
      <c r="AG70" s="280"/>
      <c r="AH70" s="280"/>
      <c r="AI70" s="280"/>
      <c r="AQ70" s="280"/>
      <c r="AR70" s="280"/>
      <c r="AS70" s="280"/>
      <c r="AT70" s="280"/>
      <c r="AU70" s="280"/>
      <c r="AV70" s="283"/>
      <c r="AW70" s="283"/>
      <c r="AX70" s="283"/>
      <c r="AY70" s="284"/>
      <c r="AZ70" s="284"/>
      <c r="BA70" s="263"/>
      <c r="BB70" s="263"/>
      <c r="BC70" s="263"/>
      <c r="BD70" s="264"/>
    </row>
    <row r="71" spans="1:56" ht="15.75" x14ac:dyDescent="0.25">
      <c r="A71" s="275" t="s">
        <v>70</v>
      </c>
      <c r="B71" s="276" t="s">
        <v>279</v>
      </c>
      <c r="D71" s="176"/>
      <c r="E71" s="277"/>
      <c r="F71" s="287" t="s">
        <v>11</v>
      </c>
      <c r="G71" s="276" t="s">
        <v>425</v>
      </c>
      <c r="H71" s="260"/>
      <c r="I71" s="260"/>
      <c r="J71" s="280"/>
      <c r="K71" s="280"/>
      <c r="L71" s="280"/>
      <c r="M71" s="280"/>
      <c r="N71" s="280"/>
      <c r="O71" s="280"/>
      <c r="P71" s="280"/>
      <c r="Q71" s="280"/>
      <c r="R71" s="280"/>
      <c r="S71" s="280"/>
      <c r="T71" s="280"/>
      <c r="U71" s="280"/>
      <c r="V71" s="280"/>
      <c r="W71" s="280"/>
      <c r="X71" s="280"/>
      <c r="Y71" s="280"/>
      <c r="AA71" s="288"/>
      <c r="AC71" s="280"/>
      <c r="AD71" s="280"/>
      <c r="AE71" s="280"/>
      <c r="AF71" s="280"/>
      <c r="AG71" s="280"/>
      <c r="AH71" s="280"/>
      <c r="AI71" s="280"/>
      <c r="AQ71" s="280"/>
      <c r="AR71" s="280"/>
      <c r="AS71" s="280"/>
      <c r="AT71" s="280"/>
      <c r="AU71" s="280"/>
      <c r="AV71" s="283"/>
      <c r="AW71" s="283"/>
      <c r="AX71" s="283"/>
      <c r="AY71" s="284"/>
      <c r="AZ71" s="284"/>
      <c r="BA71" s="263"/>
      <c r="BB71" s="263"/>
      <c r="BC71" s="263"/>
      <c r="BD71" s="264"/>
    </row>
    <row r="72" spans="1:56" ht="15.75" x14ac:dyDescent="0.25">
      <c r="A72" s="275" t="s">
        <v>42</v>
      </c>
      <c r="B72" s="276" t="s">
        <v>280</v>
      </c>
      <c r="D72" s="176"/>
      <c r="E72" s="277"/>
      <c r="F72" s="287" t="s">
        <v>29</v>
      </c>
      <c r="G72" s="276" t="s">
        <v>426</v>
      </c>
      <c r="H72" s="280"/>
      <c r="I72" s="280"/>
      <c r="J72" s="280"/>
      <c r="K72" s="280"/>
      <c r="L72" s="280"/>
      <c r="M72" s="280"/>
      <c r="N72" s="280"/>
      <c r="O72" s="280"/>
      <c r="P72" s="280"/>
      <c r="Q72" s="280"/>
      <c r="R72" s="280"/>
      <c r="S72" s="280"/>
      <c r="T72" s="280"/>
      <c r="U72" s="280"/>
      <c r="V72" s="280"/>
      <c r="W72" s="280"/>
      <c r="X72" s="280"/>
      <c r="Y72" s="280"/>
      <c r="AA72" s="288"/>
      <c r="AC72" s="280"/>
      <c r="AD72" s="280"/>
      <c r="AE72" s="280"/>
      <c r="AF72" s="280"/>
      <c r="AG72" s="280"/>
      <c r="AH72" s="280"/>
      <c r="AI72" s="280"/>
      <c r="AQ72" s="280"/>
      <c r="AR72" s="280"/>
      <c r="AS72" s="280"/>
      <c r="AT72" s="280"/>
      <c r="AU72" s="280"/>
      <c r="AV72" s="283"/>
      <c r="AW72" s="283"/>
      <c r="AX72" s="283"/>
      <c r="AY72" s="284"/>
      <c r="AZ72" s="284"/>
      <c r="BA72" s="263"/>
      <c r="BB72" s="263"/>
      <c r="BC72" s="263"/>
      <c r="BD72" s="264"/>
    </row>
    <row r="73" spans="1:56" ht="15.75" x14ac:dyDescent="0.25">
      <c r="A73" s="275" t="s">
        <v>27</v>
      </c>
      <c r="B73" s="276" t="s">
        <v>281</v>
      </c>
      <c r="D73" s="176"/>
      <c r="E73" s="277"/>
      <c r="F73" s="292" t="s">
        <v>46</v>
      </c>
      <c r="G73" s="276" t="s">
        <v>427</v>
      </c>
      <c r="H73" s="280"/>
      <c r="I73" s="280"/>
      <c r="J73" s="280"/>
      <c r="K73" s="280"/>
      <c r="L73" s="280"/>
      <c r="M73" s="280"/>
      <c r="N73" s="280"/>
      <c r="O73" s="280"/>
      <c r="P73" s="280"/>
      <c r="Q73" s="280"/>
      <c r="R73" s="280"/>
      <c r="S73" s="280"/>
      <c r="T73" s="280"/>
      <c r="U73" s="280"/>
      <c r="V73" s="280"/>
      <c r="W73" s="280"/>
      <c r="X73" s="280"/>
      <c r="Y73" s="280"/>
      <c r="AA73" s="290"/>
      <c r="AC73" s="280"/>
      <c r="AD73" s="280"/>
      <c r="AE73" s="280"/>
      <c r="AF73" s="280"/>
      <c r="AG73" s="280"/>
      <c r="AH73" s="280"/>
      <c r="AI73" s="280"/>
      <c r="AQ73" s="280"/>
      <c r="AR73" s="280"/>
      <c r="AS73" s="280"/>
      <c r="AT73" s="280"/>
      <c r="AU73" s="280"/>
      <c r="AV73" s="283"/>
      <c r="AW73" s="283"/>
      <c r="AX73" s="283"/>
      <c r="AY73" s="284"/>
      <c r="AZ73" s="284"/>
      <c r="BA73" s="263"/>
      <c r="BB73" s="263"/>
      <c r="BC73" s="263"/>
      <c r="BD73" s="264"/>
    </row>
    <row r="74" spans="1:56" ht="15.75" x14ac:dyDescent="0.25">
      <c r="A74" s="275" t="s">
        <v>59</v>
      </c>
      <c r="B74" s="276" t="s">
        <v>282</v>
      </c>
      <c r="D74" s="176"/>
      <c r="E74" s="277"/>
      <c r="F74" s="287" t="s">
        <v>33</v>
      </c>
      <c r="G74" s="276" t="s">
        <v>428</v>
      </c>
      <c r="H74" s="280"/>
      <c r="I74" s="280"/>
      <c r="J74" s="280"/>
      <c r="K74" s="280"/>
      <c r="L74" s="280"/>
      <c r="M74" s="280"/>
      <c r="N74" s="280"/>
      <c r="O74" s="280"/>
      <c r="P74" s="280"/>
      <c r="Q74" s="280"/>
      <c r="R74" s="280"/>
      <c r="S74" s="280"/>
      <c r="T74" s="280"/>
      <c r="U74" s="280"/>
      <c r="V74" s="280"/>
      <c r="W74" s="280"/>
      <c r="X74" s="280"/>
      <c r="Y74" s="280"/>
      <c r="AA74" s="288"/>
      <c r="AC74" s="280"/>
      <c r="AD74" s="280"/>
      <c r="AE74" s="280"/>
      <c r="AF74" s="280"/>
      <c r="AG74" s="280"/>
      <c r="AH74" s="280"/>
      <c r="AI74" s="280"/>
      <c r="AQ74" s="280"/>
      <c r="AR74" s="280"/>
      <c r="AS74" s="280"/>
      <c r="AT74" s="280"/>
      <c r="AU74" s="280"/>
      <c r="AV74" s="283"/>
      <c r="AW74" s="283"/>
      <c r="AX74" s="283"/>
      <c r="AY74" s="284"/>
      <c r="AZ74" s="284"/>
      <c r="BA74" s="263"/>
      <c r="BB74" s="263"/>
      <c r="BC74" s="263"/>
      <c r="BD74" s="264"/>
    </row>
    <row r="75" spans="1:56" ht="15.75" x14ac:dyDescent="0.25">
      <c r="A75" s="275" t="s">
        <v>16</v>
      </c>
      <c r="B75" s="276" t="s">
        <v>283</v>
      </c>
      <c r="E75" s="280"/>
      <c r="F75" s="287" t="s">
        <v>63</v>
      </c>
      <c r="G75" s="276" t="s">
        <v>429</v>
      </c>
      <c r="H75" s="280"/>
      <c r="I75" s="280"/>
      <c r="J75" s="280"/>
      <c r="K75" s="280"/>
      <c r="L75" s="280"/>
      <c r="M75" s="280"/>
      <c r="N75" s="280"/>
      <c r="O75" s="280"/>
      <c r="P75" s="280"/>
      <c r="Q75" s="280"/>
      <c r="R75" s="280"/>
      <c r="S75" s="280"/>
      <c r="T75" s="280"/>
      <c r="U75" s="280"/>
      <c r="V75" s="280"/>
      <c r="W75" s="280"/>
      <c r="X75" s="280"/>
      <c r="Y75" s="280"/>
      <c r="AA75" s="288"/>
      <c r="AC75" s="280"/>
      <c r="AD75" s="280"/>
      <c r="AE75" s="280"/>
      <c r="AF75" s="280"/>
      <c r="AG75" s="280"/>
      <c r="AH75" s="280"/>
      <c r="AI75" s="280"/>
      <c r="AQ75" s="280"/>
      <c r="AR75" s="280"/>
      <c r="AS75" s="280"/>
      <c r="AT75" s="280"/>
      <c r="AU75" s="280"/>
      <c r="AV75" s="283"/>
      <c r="AW75" s="283"/>
      <c r="AX75" s="283"/>
      <c r="AY75" s="284"/>
      <c r="AZ75" s="284"/>
      <c r="BA75" s="263"/>
      <c r="BB75" s="263"/>
      <c r="BC75" s="263"/>
      <c r="BD75" s="264"/>
    </row>
    <row r="76" spans="1:56" ht="15.75" x14ac:dyDescent="0.25">
      <c r="A76" s="275" t="s">
        <v>66</v>
      </c>
      <c r="B76" s="276" t="s">
        <v>284</v>
      </c>
      <c r="E76" s="280"/>
      <c r="F76" s="287" t="s">
        <v>14</v>
      </c>
      <c r="G76" s="276" t="s">
        <v>430</v>
      </c>
      <c r="H76" s="280"/>
      <c r="I76" s="280"/>
      <c r="J76" s="280"/>
      <c r="K76" s="280"/>
      <c r="L76" s="280"/>
      <c r="M76" s="280"/>
      <c r="N76" s="280"/>
      <c r="O76" s="280"/>
      <c r="P76" s="280"/>
      <c r="Q76" s="280"/>
      <c r="R76" s="280"/>
      <c r="S76" s="280"/>
      <c r="T76" s="280"/>
      <c r="U76" s="280"/>
      <c r="V76" s="280"/>
      <c r="W76" s="280"/>
      <c r="X76" s="280"/>
      <c r="Y76" s="280"/>
      <c r="AA76" s="288"/>
      <c r="AC76" s="280"/>
      <c r="AD76" s="280"/>
      <c r="AE76" s="280"/>
      <c r="AF76" s="280"/>
      <c r="AG76" s="280"/>
      <c r="AH76" s="280"/>
      <c r="AI76" s="280"/>
      <c r="AQ76" s="280"/>
      <c r="AR76" s="280"/>
      <c r="AS76" s="280"/>
      <c r="AT76" s="280"/>
      <c r="AU76" s="280"/>
      <c r="AV76" s="283"/>
      <c r="AW76" s="283"/>
      <c r="AX76" s="283"/>
      <c r="AY76" s="284"/>
      <c r="AZ76" s="284"/>
      <c r="BA76" s="263"/>
      <c r="BB76" s="263"/>
      <c r="BC76" s="263"/>
      <c r="BD76" s="264"/>
    </row>
    <row r="77" spans="1:56" ht="15.75" x14ac:dyDescent="0.25">
      <c r="A77" s="275" t="s">
        <v>79</v>
      </c>
      <c r="B77" s="276" t="s">
        <v>285</v>
      </c>
      <c r="E77" s="280"/>
      <c r="F77" s="287" t="s">
        <v>12</v>
      </c>
      <c r="G77" s="276" t="s">
        <v>431</v>
      </c>
      <c r="H77" s="280"/>
      <c r="I77" s="280"/>
      <c r="J77" s="280"/>
      <c r="K77" s="280"/>
      <c r="L77" s="280"/>
      <c r="M77" s="280"/>
      <c r="N77" s="280"/>
      <c r="O77" s="280"/>
      <c r="P77" s="280"/>
      <c r="Q77" s="280"/>
      <c r="R77" s="280"/>
      <c r="S77" s="280"/>
      <c r="T77" s="280"/>
      <c r="U77" s="280"/>
      <c r="V77" s="280"/>
      <c r="W77" s="280"/>
      <c r="X77" s="280"/>
      <c r="Y77" s="280"/>
      <c r="AA77" s="288"/>
      <c r="AC77" s="280"/>
      <c r="AD77" s="280"/>
      <c r="AE77" s="280"/>
      <c r="AF77" s="280"/>
      <c r="AG77" s="280"/>
      <c r="AH77" s="280"/>
      <c r="AI77" s="280"/>
      <c r="AQ77" s="280"/>
      <c r="AR77" s="280"/>
      <c r="AS77" s="280"/>
      <c r="AT77" s="280"/>
      <c r="AU77" s="280"/>
      <c r="AV77" s="283"/>
      <c r="AW77" s="283"/>
      <c r="AX77" s="283"/>
      <c r="AY77" s="284"/>
      <c r="AZ77" s="284"/>
      <c r="BA77" s="263"/>
      <c r="BB77" s="263"/>
      <c r="BC77" s="263"/>
      <c r="BD77" s="264"/>
    </row>
    <row r="78" spans="1:56" ht="15.75" x14ac:dyDescent="0.25">
      <c r="A78" s="275" t="s">
        <v>69</v>
      </c>
      <c r="B78" s="276" t="s">
        <v>286</v>
      </c>
      <c r="D78" s="176"/>
      <c r="E78" s="277"/>
      <c r="F78" s="287" t="s">
        <v>81</v>
      </c>
      <c r="G78" s="276" t="s">
        <v>432</v>
      </c>
      <c r="H78" s="280"/>
      <c r="I78" s="280"/>
      <c r="J78" s="280"/>
      <c r="K78" s="280"/>
      <c r="L78" s="280"/>
      <c r="M78" s="280"/>
      <c r="N78" s="280"/>
      <c r="O78" s="280"/>
      <c r="P78" s="280"/>
      <c r="Q78" s="280"/>
      <c r="R78" s="280"/>
      <c r="S78" s="280"/>
      <c r="T78" s="280"/>
      <c r="U78" s="280"/>
      <c r="V78" s="280"/>
      <c r="W78" s="280"/>
      <c r="X78" s="280"/>
      <c r="Y78" s="280"/>
      <c r="AA78" s="288"/>
      <c r="AC78" s="280"/>
      <c r="AD78" s="280"/>
      <c r="AE78" s="280"/>
      <c r="AF78" s="280"/>
      <c r="AG78" s="280"/>
      <c r="AH78" s="280"/>
      <c r="AI78" s="280"/>
      <c r="AQ78" s="280"/>
      <c r="AR78" s="280"/>
      <c r="AS78" s="280"/>
      <c r="AT78" s="280"/>
      <c r="AU78" s="280"/>
      <c r="AV78" s="283"/>
      <c r="AW78" s="283"/>
      <c r="AX78" s="283"/>
      <c r="AY78" s="284"/>
      <c r="AZ78" s="284"/>
      <c r="BA78" s="263"/>
      <c r="BB78" s="263"/>
      <c r="BC78" s="263"/>
      <c r="BD78" s="264"/>
    </row>
    <row r="79" spans="1:56" ht="15.75" x14ac:dyDescent="0.25">
      <c r="A79" s="275" t="s">
        <v>20</v>
      </c>
      <c r="B79" s="276" t="s">
        <v>287</v>
      </c>
      <c r="D79" s="176"/>
      <c r="E79" s="277"/>
      <c r="F79" s="287" t="s">
        <v>49</v>
      </c>
      <c r="G79" s="276" t="s">
        <v>433</v>
      </c>
      <c r="H79" s="280"/>
      <c r="I79" s="280"/>
      <c r="J79" s="280"/>
      <c r="K79" s="280"/>
      <c r="L79" s="280"/>
      <c r="M79" s="280"/>
      <c r="N79" s="280"/>
      <c r="O79" s="280"/>
      <c r="P79" s="280"/>
      <c r="Q79" s="280"/>
      <c r="R79" s="280"/>
      <c r="S79" s="280"/>
      <c r="T79" s="280"/>
      <c r="U79" s="280"/>
      <c r="V79" s="280"/>
      <c r="W79" s="280"/>
      <c r="X79" s="280"/>
      <c r="Y79" s="280"/>
      <c r="AA79" s="288"/>
      <c r="AC79" s="280"/>
      <c r="AD79" s="280"/>
      <c r="AE79" s="280"/>
      <c r="AF79" s="280"/>
      <c r="AG79" s="280"/>
      <c r="AH79" s="280"/>
      <c r="AI79" s="280"/>
      <c r="AQ79" s="280"/>
      <c r="AR79" s="280"/>
      <c r="AS79" s="280"/>
      <c r="AT79" s="280"/>
      <c r="AU79" s="280"/>
      <c r="AV79" s="283"/>
      <c r="AW79" s="283"/>
      <c r="AX79" s="283"/>
      <c r="AY79" s="284"/>
      <c r="AZ79" s="284"/>
      <c r="BA79" s="263"/>
      <c r="BB79" s="263"/>
      <c r="BC79" s="263"/>
      <c r="BD79" s="264"/>
    </row>
    <row r="80" spans="1:56" ht="15.75" x14ac:dyDescent="0.25">
      <c r="A80" s="275" t="s">
        <v>53</v>
      </c>
      <c r="B80" s="276" t="s">
        <v>288</v>
      </c>
      <c r="D80" s="176"/>
      <c r="E80" s="277"/>
      <c r="F80" s="287" t="s">
        <v>19</v>
      </c>
      <c r="G80" s="276" t="s">
        <v>434</v>
      </c>
      <c r="H80" s="280"/>
      <c r="I80" s="280"/>
      <c r="J80" s="280"/>
      <c r="K80" s="280"/>
      <c r="L80" s="280"/>
      <c r="M80" s="280"/>
      <c r="N80" s="280"/>
      <c r="O80" s="280"/>
      <c r="P80" s="280"/>
      <c r="Q80" s="280"/>
      <c r="R80" s="280"/>
      <c r="S80" s="280"/>
      <c r="T80" s="280"/>
      <c r="U80" s="280"/>
      <c r="V80" s="280"/>
      <c r="W80" s="280"/>
      <c r="X80" s="280"/>
      <c r="Y80" s="280"/>
      <c r="AA80" s="288"/>
      <c r="AC80" s="280"/>
      <c r="AD80" s="280"/>
      <c r="AE80" s="280"/>
      <c r="AF80" s="280"/>
      <c r="AG80" s="280"/>
      <c r="AH80" s="280"/>
      <c r="AI80" s="280"/>
      <c r="AQ80" s="280"/>
      <c r="AR80" s="280"/>
      <c r="AS80" s="280"/>
      <c r="AT80" s="280"/>
      <c r="AU80" s="280"/>
      <c r="AV80" s="283"/>
      <c r="AW80" s="283"/>
      <c r="AX80" s="283"/>
      <c r="AY80" s="284"/>
      <c r="AZ80" s="284"/>
      <c r="BA80" s="263"/>
      <c r="BB80" s="263"/>
      <c r="BC80" s="263"/>
      <c r="BD80" s="264"/>
    </row>
    <row r="81" spans="1:56" ht="15.75" x14ac:dyDescent="0.25">
      <c r="A81" s="275" t="s">
        <v>22</v>
      </c>
      <c r="B81" s="276" t="s">
        <v>289</v>
      </c>
      <c r="D81" s="176"/>
      <c r="E81" s="277"/>
      <c r="F81" s="287" t="s">
        <v>71</v>
      </c>
      <c r="G81" s="276" t="s">
        <v>435</v>
      </c>
      <c r="H81" s="280"/>
      <c r="I81" s="280"/>
      <c r="J81" s="280"/>
      <c r="K81" s="280"/>
      <c r="L81" s="280"/>
      <c r="M81" s="280"/>
      <c r="N81" s="280"/>
      <c r="O81" s="280"/>
      <c r="P81" s="280"/>
      <c r="Q81" s="280"/>
      <c r="R81" s="280"/>
      <c r="S81" s="280"/>
      <c r="T81" s="280"/>
      <c r="U81" s="280"/>
      <c r="V81" s="280"/>
      <c r="W81" s="280"/>
      <c r="X81" s="280"/>
      <c r="Y81" s="280"/>
      <c r="AA81" s="288"/>
      <c r="AC81" s="280"/>
      <c r="AD81" s="280"/>
      <c r="AE81" s="280"/>
      <c r="AF81" s="280"/>
      <c r="AG81" s="280"/>
      <c r="AH81" s="280"/>
      <c r="AI81" s="280"/>
      <c r="AQ81" s="280"/>
      <c r="AR81" s="280"/>
      <c r="AS81" s="280"/>
      <c r="AT81" s="280"/>
      <c r="AU81" s="280"/>
      <c r="AV81" s="283"/>
      <c r="AW81" s="283"/>
      <c r="AX81" s="283"/>
      <c r="AY81" s="284"/>
      <c r="AZ81" s="284"/>
      <c r="BA81" s="263"/>
      <c r="BB81" s="263"/>
      <c r="BC81" s="263"/>
      <c r="BD81" s="264"/>
    </row>
    <row r="82" spans="1:56" ht="15.75" x14ac:dyDescent="0.25">
      <c r="A82" s="275" t="s">
        <v>52</v>
      </c>
      <c r="B82" s="276" t="s">
        <v>290</v>
      </c>
      <c r="D82" s="176"/>
      <c r="E82" s="277"/>
      <c r="F82" s="287" t="s">
        <v>17</v>
      </c>
      <c r="G82" s="276" t="s">
        <v>436</v>
      </c>
      <c r="H82" s="280"/>
      <c r="I82" s="280"/>
      <c r="J82" s="280"/>
      <c r="K82" s="280"/>
      <c r="L82" s="280"/>
      <c r="M82" s="280"/>
      <c r="N82" s="280"/>
      <c r="O82" s="280"/>
      <c r="P82" s="280"/>
      <c r="Q82" s="280"/>
      <c r="R82" s="280"/>
      <c r="S82" s="280"/>
      <c r="T82" s="280"/>
      <c r="U82" s="280"/>
      <c r="V82" s="280"/>
      <c r="W82" s="280"/>
      <c r="X82" s="280"/>
      <c r="Y82" s="280"/>
      <c r="AA82" s="288"/>
      <c r="AC82" s="280"/>
      <c r="AD82" s="280"/>
      <c r="AE82" s="280"/>
      <c r="AF82" s="280"/>
      <c r="AG82" s="280"/>
      <c r="AH82" s="280"/>
      <c r="AI82" s="280"/>
      <c r="AQ82" s="280"/>
      <c r="AR82" s="280"/>
      <c r="AS82" s="280"/>
      <c r="AT82" s="280"/>
      <c r="AU82" s="280"/>
      <c r="AV82" s="283"/>
      <c r="AW82" s="283"/>
      <c r="AX82" s="283"/>
      <c r="AY82" s="284"/>
      <c r="AZ82" s="284"/>
      <c r="BA82" s="263"/>
      <c r="BB82" s="263"/>
      <c r="BC82" s="263"/>
      <c r="BD82" s="264"/>
    </row>
    <row r="83" spans="1:56" ht="15.75" x14ac:dyDescent="0.25">
      <c r="A83" s="275" t="s">
        <v>77</v>
      </c>
      <c r="B83" s="276" t="s">
        <v>291</v>
      </c>
      <c r="D83" s="176"/>
      <c r="E83" s="277"/>
      <c r="F83" s="287" t="s">
        <v>67</v>
      </c>
      <c r="G83" s="276" t="s">
        <v>437</v>
      </c>
      <c r="H83" s="280"/>
      <c r="I83" s="280"/>
      <c r="J83" s="280"/>
      <c r="K83" s="280"/>
      <c r="L83" s="280"/>
      <c r="M83" s="280"/>
      <c r="N83" s="280"/>
      <c r="O83" s="280"/>
      <c r="P83" s="280"/>
      <c r="Q83" s="280"/>
      <c r="R83" s="280"/>
      <c r="S83" s="280"/>
      <c r="T83" s="280"/>
      <c r="U83" s="280"/>
      <c r="V83" s="280"/>
      <c r="W83" s="280"/>
      <c r="X83" s="280"/>
      <c r="Y83" s="280"/>
      <c r="AA83" s="288"/>
      <c r="AC83" s="280"/>
      <c r="AD83" s="280"/>
      <c r="AE83" s="280"/>
      <c r="AF83" s="280"/>
      <c r="AG83" s="280"/>
      <c r="AH83" s="280"/>
      <c r="AI83" s="280"/>
      <c r="AQ83" s="280"/>
      <c r="AR83" s="280"/>
      <c r="AS83" s="280"/>
      <c r="AT83" s="280"/>
      <c r="AU83" s="280"/>
      <c r="AV83" s="283"/>
      <c r="AW83" s="283"/>
      <c r="AX83" s="283"/>
      <c r="AY83" s="284"/>
      <c r="AZ83" s="284"/>
      <c r="BA83" s="263"/>
      <c r="BB83" s="263"/>
      <c r="BC83" s="263"/>
      <c r="BD83" s="264"/>
    </row>
    <row r="84" spans="1:56" ht="15.75" x14ac:dyDescent="0.25">
      <c r="A84" s="275" t="s">
        <v>32</v>
      </c>
      <c r="B84" s="276" t="s">
        <v>292</v>
      </c>
      <c r="D84" s="176"/>
      <c r="E84" s="277"/>
      <c r="F84" s="287" t="s">
        <v>74</v>
      </c>
      <c r="G84" s="276" t="s">
        <v>438</v>
      </c>
      <c r="H84" s="280"/>
      <c r="I84" s="280"/>
      <c r="J84" s="280"/>
      <c r="K84" s="280"/>
      <c r="L84" s="280"/>
      <c r="M84" s="280"/>
      <c r="N84" s="280"/>
      <c r="O84" s="280"/>
      <c r="P84" s="280"/>
      <c r="Q84" s="280"/>
      <c r="R84" s="280"/>
      <c r="S84" s="280"/>
      <c r="T84" s="280"/>
      <c r="U84" s="280"/>
      <c r="V84" s="280"/>
      <c r="W84" s="280"/>
      <c r="X84" s="280"/>
      <c r="Y84" s="280"/>
      <c r="AA84" s="288"/>
      <c r="AC84" s="280"/>
      <c r="AD84" s="280"/>
      <c r="AE84" s="282"/>
      <c r="AF84" s="280"/>
      <c r="AG84" s="280"/>
      <c r="AH84" s="280"/>
      <c r="AI84" s="280"/>
      <c r="AQ84" s="280"/>
      <c r="AR84" s="280"/>
      <c r="AS84" s="280"/>
      <c r="AT84" s="280"/>
      <c r="AU84" s="280"/>
      <c r="AV84" s="283"/>
      <c r="AW84" s="283"/>
      <c r="AX84" s="283"/>
      <c r="AY84" s="284"/>
      <c r="AZ84" s="284"/>
      <c r="BA84" s="263"/>
      <c r="BB84" s="263"/>
      <c r="BC84" s="263"/>
      <c r="BD84" s="264"/>
    </row>
    <row r="85" spans="1:56" ht="15.75" x14ac:dyDescent="0.25">
      <c r="A85" s="275" t="s">
        <v>54</v>
      </c>
      <c r="B85" s="276" t="s">
        <v>293</v>
      </c>
      <c r="D85" s="176"/>
      <c r="E85" s="277"/>
      <c r="F85" s="292" t="s">
        <v>51</v>
      </c>
      <c r="G85" s="276" t="s">
        <v>439</v>
      </c>
      <c r="H85" s="280"/>
      <c r="I85" s="280"/>
      <c r="J85" s="280"/>
      <c r="K85" s="280"/>
      <c r="L85" s="280"/>
      <c r="M85" s="280"/>
      <c r="N85" s="280"/>
      <c r="O85" s="280"/>
      <c r="P85" s="280"/>
      <c r="Q85" s="280"/>
      <c r="R85" s="280"/>
      <c r="S85" s="280"/>
      <c r="T85" s="280"/>
      <c r="U85" s="280"/>
      <c r="V85" s="280"/>
      <c r="W85" s="280"/>
      <c r="X85" s="280"/>
      <c r="Y85" s="280"/>
      <c r="AA85" s="288"/>
      <c r="AC85" s="280"/>
      <c r="AD85" s="282"/>
      <c r="AE85" s="282"/>
      <c r="AF85" s="280"/>
      <c r="AG85" s="280"/>
      <c r="AH85" s="280"/>
      <c r="AI85" s="260"/>
      <c r="AQ85" s="260"/>
      <c r="AR85" s="260"/>
      <c r="AS85" s="260"/>
      <c r="AT85" s="280"/>
      <c r="AU85" s="280"/>
      <c r="AV85" s="283"/>
      <c r="AW85" s="283"/>
      <c r="AX85" s="283"/>
      <c r="AY85" s="284"/>
      <c r="AZ85" s="284"/>
      <c r="BA85" s="263"/>
      <c r="BB85" s="263"/>
      <c r="BC85" s="263"/>
      <c r="BD85" s="264"/>
    </row>
    <row r="86" spans="1:56" ht="15.75" x14ac:dyDescent="0.25">
      <c r="A86" s="292" t="s">
        <v>13</v>
      </c>
      <c r="B86" s="276" t="s">
        <v>294</v>
      </c>
      <c r="D86" s="176"/>
      <c r="E86" s="293"/>
      <c r="H86" s="280"/>
      <c r="I86" s="280"/>
      <c r="J86" s="280"/>
      <c r="K86" s="280"/>
      <c r="L86" s="280"/>
      <c r="M86" s="280"/>
      <c r="N86" s="280"/>
      <c r="O86" s="280"/>
      <c r="P86" s="280"/>
      <c r="Q86" s="280"/>
      <c r="R86" s="280"/>
      <c r="S86" s="280"/>
      <c r="T86" s="280"/>
      <c r="U86" s="280"/>
      <c r="V86" s="280"/>
      <c r="W86" s="280"/>
      <c r="X86" s="280"/>
      <c r="Y86" s="280"/>
      <c r="AA86" s="288"/>
      <c r="AC86" s="280"/>
      <c r="AD86" s="282"/>
      <c r="AE86" s="282"/>
      <c r="AF86" s="282"/>
      <c r="AG86" s="282"/>
      <c r="AH86" s="282"/>
      <c r="AI86" s="282"/>
      <c r="AQ86" s="282"/>
      <c r="AR86" s="282"/>
      <c r="AS86" s="282"/>
      <c r="AT86" s="280"/>
      <c r="AU86" s="280"/>
      <c r="AV86" s="283"/>
      <c r="AW86" s="283"/>
      <c r="AX86" s="283"/>
      <c r="AY86" s="284"/>
      <c r="AZ86" s="284"/>
      <c r="BA86" s="263"/>
      <c r="BB86" s="263"/>
      <c r="BC86" s="263"/>
      <c r="BD86" s="264"/>
    </row>
    <row r="87" spans="1:56" ht="15.75" x14ac:dyDescent="0.25">
      <c r="A87" s="292"/>
      <c r="B87" s="294"/>
      <c r="D87" s="176"/>
      <c r="E87" s="293"/>
      <c r="H87" s="280"/>
      <c r="I87" s="280"/>
      <c r="J87" s="280"/>
      <c r="K87" s="280"/>
      <c r="L87" s="280"/>
      <c r="M87" s="280"/>
      <c r="N87" s="280"/>
      <c r="O87" s="280"/>
      <c r="P87" s="280"/>
      <c r="Q87" s="280"/>
      <c r="R87" s="280"/>
      <c r="S87" s="280"/>
      <c r="T87" s="280"/>
      <c r="U87" s="280"/>
      <c r="V87" s="280"/>
      <c r="W87" s="280"/>
      <c r="X87" s="280"/>
      <c r="Y87" s="280"/>
      <c r="AA87" s="288"/>
      <c r="AC87" s="280"/>
      <c r="AD87" s="282"/>
      <c r="AE87" s="282"/>
      <c r="AF87" s="282"/>
      <c r="AG87" s="282"/>
      <c r="AH87" s="282"/>
      <c r="AI87" s="282"/>
      <c r="AQ87" s="282"/>
      <c r="AR87" s="282"/>
      <c r="AS87" s="282"/>
      <c r="AT87" s="280"/>
      <c r="AU87" s="280"/>
      <c r="AV87" s="283"/>
      <c r="AW87" s="283"/>
      <c r="AX87" s="283"/>
      <c r="AY87" s="284"/>
      <c r="AZ87" s="284"/>
      <c r="BA87" s="263"/>
      <c r="BB87" s="263"/>
      <c r="BC87" s="263"/>
      <c r="BD87" s="264"/>
    </row>
    <row r="88" spans="1:56" ht="15.75" x14ac:dyDescent="0.25">
      <c r="A88" s="258" t="s">
        <v>295</v>
      </c>
      <c r="B88" s="295"/>
      <c r="D88" s="296"/>
      <c r="E88" s="280"/>
      <c r="F88" s="28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59" t="s">
        <v>296</v>
      </c>
      <c r="AO88" s="260"/>
      <c r="AP88" s="260"/>
      <c r="AQ88" s="260"/>
      <c r="AR88" s="260"/>
      <c r="AS88" s="260"/>
      <c r="AT88" s="260"/>
      <c r="AU88" s="260"/>
      <c r="AV88" s="262"/>
      <c r="AW88" s="262"/>
      <c r="AX88" s="262"/>
      <c r="AY88" s="263"/>
      <c r="AZ88" s="263"/>
      <c r="BA88" s="263"/>
      <c r="BB88" s="263"/>
      <c r="BC88" s="263"/>
      <c r="BD88" s="264"/>
    </row>
    <row r="89" spans="1:56" ht="6" customHeight="1" x14ac:dyDescent="0.25">
      <c r="A89" s="295"/>
      <c r="B89" s="295"/>
      <c r="C89" s="297"/>
      <c r="D89" s="296"/>
      <c r="E89" s="280"/>
      <c r="F89" s="28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c r="AF89" s="260"/>
      <c r="AG89" s="260"/>
      <c r="AH89" s="260"/>
      <c r="AI89" s="260"/>
      <c r="AJ89" s="260"/>
      <c r="AK89" s="260"/>
      <c r="AL89" s="260"/>
      <c r="AM89" s="260"/>
      <c r="AN89" s="260"/>
      <c r="AO89" s="260"/>
      <c r="AP89" s="260"/>
      <c r="AQ89" s="260"/>
      <c r="AR89" s="260"/>
      <c r="AS89" s="260"/>
      <c r="AT89" s="260"/>
      <c r="AU89" s="260"/>
      <c r="AV89" s="262"/>
      <c r="AW89" s="262"/>
      <c r="AX89" s="262"/>
      <c r="AY89" s="263"/>
      <c r="AZ89" s="263"/>
      <c r="BA89" s="263"/>
      <c r="BB89" s="263"/>
      <c r="BC89" s="263"/>
      <c r="BD89" s="264"/>
    </row>
    <row r="90" spans="1:56" ht="15.75" x14ac:dyDescent="0.25">
      <c r="A90" s="298" t="s">
        <v>297</v>
      </c>
      <c r="B90" s="298"/>
      <c r="C90" s="299"/>
      <c r="D90" s="296"/>
      <c r="E90" s="298" t="s">
        <v>298</v>
      </c>
      <c r="F90" s="298"/>
      <c r="G90" s="299"/>
      <c r="H90" s="223"/>
      <c r="I90" s="298" t="s">
        <v>299</v>
      </c>
      <c r="J90" s="298"/>
      <c r="L90" s="260"/>
      <c r="M90" s="260"/>
      <c r="N90" s="260"/>
      <c r="O90" s="260"/>
      <c r="P90" s="260"/>
      <c r="Q90" s="30"/>
      <c r="R90" s="300"/>
      <c r="S90" s="300"/>
      <c r="T90" s="300"/>
      <c r="U90" s="300"/>
      <c r="V90" s="260"/>
      <c r="W90" s="260"/>
      <c r="X90" s="260"/>
      <c r="Y90" s="260"/>
      <c r="Z90" s="260"/>
      <c r="AC90" s="30"/>
      <c r="AD90" s="300"/>
      <c r="AE90" s="300"/>
      <c r="AF90" s="260"/>
      <c r="AG90" s="260"/>
      <c r="AH90" s="260"/>
      <c r="AI90" s="260"/>
      <c r="AJ90" s="260"/>
      <c r="AK90" s="260"/>
      <c r="AL90" s="260"/>
      <c r="AM90" s="260"/>
      <c r="AN90" s="301" t="s">
        <v>300</v>
      </c>
      <c r="AO90" s="260"/>
      <c r="AP90" s="260"/>
      <c r="AQ90" s="260"/>
      <c r="AR90" s="260"/>
      <c r="AS90" s="260"/>
      <c r="AT90" s="260"/>
      <c r="AU90" s="260"/>
      <c r="AV90" s="262"/>
      <c r="AW90" s="262"/>
      <c r="AX90" s="262"/>
      <c r="AY90" s="263"/>
      <c r="AZ90" s="263"/>
      <c r="BA90" s="263"/>
      <c r="BB90" s="263"/>
      <c r="BC90" s="263"/>
      <c r="BD90" s="264"/>
    </row>
    <row r="91" spans="1:56" ht="15.75" x14ac:dyDescent="0.25">
      <c r="A91" s="302" t="s">
        <v>4</v>
      </c>
      <c r="B91" s="303" t="s">
        <v>301</v>
      </c>
      <c r="C91" s="30"/>
      <c r="D91" s="296"/>
      <c r="E91" s="302" t="s">
        <v>4</v>
      </c>
      <c r="F91" s="303" t="s">
        <v>301</v>
      </c>
      <c r="G91" s="299"/>
      <c r="H91" s="223"/>
      <c r="I91" s="302" t="s">
        <v>4</v>
      </c>
      <c r="J91" s="303" t="s">
        <v>301</v>
      </c>
      <c r="L91" s="260"/>
      <c r="M91" s="260"/>
      <c r="N91" s="260"/>
      <c r="O91" s="260"/>
      <c r="P91" s="260"/>
      <c r="Q91" s="30"/>
      <c r="R91" s="304"/>
      <c r="S91" s="30"/>
      <c r="T91" s="304"/>
      <c r="U91" s="304"/>
      <c r="V91" s="260"/>
      <c r="W91" s="260"/>
      <c r="X91" s="260"/>
      <c r="Y91" s="260"/>
      <c r="Z91" s="260"/>
      <c r="AC91" s="30"/>
      <c r="AD91" s="304"/>
      <c r="AE91" s="304"/>
      <c r="AF91" s="260"/>
      <c r="AG91" s="260"/>
      <c r="AH91" s="260"/>
      <c r="AI91" s="260"/>
      <c r="AJ91" s="260"/>
      <c r="AK91" s="260"/>
      <c r="AL91" s="260"/>
      <c r="AM91" s="260"/>
      <c r="AN91" s="260"/>
      <c r="AO91" s="260"/>
      <c r="AP91" s="260"/>
      <c r="AQ91" s="260"/>
      <c r="AR91" s="260"/>
      <c r="AS91" s="260"/>
      <c r="AT91" s="260"/>
      <c r="AU91" s="260"/>
      <c r="AV91" s="262"/>
      <c r="AW91" s="262"/>
      <c r="AX91" s="262"/>
      <c r="AY91" s="263"/>
      <c r="AZ91" s="263"/>
      <c r="BA91" s="263"/>
      <c r="BB91" s="263"/>
      <c r="BC91" s="263"/>
      <c r="BD91" s="264"/>
    </row>
    <row r="92" spans="1:56" ht="15.75" x14ac:dyDescent="0.25">
      <c r="A92" s="37" t="s">
        <v>77</v>
      </c>
      <c r="B92" s="305">
        <v>0.17580000000000001</v>
      </c>
      <c r="C92" s="37"/>
      <c r="D92" s="296"/>
      <c r="E92" s="37" t="s">
        <v>77</v>
      </c>
      <c r="F92" s="305">
        <v>0.1973</v>
      </c>
      <c r="G92" s="290"/>
      <c r="H92" s="223"/>
      <c r="I92" s="37" t="s">
        <v>77</v>
      </c>
      <c r="J92" s="305">
        <v>0.16520000000000001</v>
      </c>
      <c r="L92" s="260"/>
      <c r="M92" s="260"/>
      <c r="N92" s="260"/>
      <c r="O92" s="260"/>
      <c r="P92" s="260"/>
      <c r="Q92" s="30"/>
      <c r="R92" s="306"/>
      <c r="S92" s="30"/>
      <c r="T92" s="307"/>
      <c r="U92" s="307"/>
      <c r="V92" s="260"/>
      <c r="W92" s="260"/>
      <c r="X92" s="260"/>
      <c r="Y92" s="260"/>
      <c r="Z92" s="260"/>
      <c r="AC92" s="30"/>
      <c r="AD92" s="307"/>
      <c r="AE92" s="307"/>
      <c r="AF92" s="260"/>
      <c r="AG92" s="260"/>
      <c r="AH92" s="260"/>
      <c r="AI92" s="260"/>
      <c r="AJ92" s="260"/>
      <c r="AK92" s="260"/>
      <c r="AL92" s="260"/>
      <c r="AM92" s="260"/>
      <c r="AN92" s="301" t="s">
        <v>61</v>
      </c>
      <c r="AO92" s="260"/>
      <c r="AP92" s="260"/>
      <c r="AQ92" s="301" t="s">
        <v>53</v>
      </c>
      <c r="AR92" s="260"/>
      <c r="AS92" s="260"/>
      <c r="AT92" s="301" t="s">
        <v>73</v>
      </c>
      <c r="AU92" s="260"/>
      <c r="AV92" s="262"/>
      <c r="AW92" s="262"/>
      <c r="AX92" s="262"/>
      <c r="AY92" s="263"/>
      <c r="AZ92" s="263"/>
      <c r="BA92" s="263"/>
      <c r="BB92" s="263"/>
      <c r="BC92" s="263"/>
      <c r="BD92" s="264"/>
    </row>
    <row r="93" spans="1:56" ht="15.75" x14ac:dyDescent="0.25">
      <c r="A93" s="37" t="s">
        <v>23</v>
      </c>
      <c r="B93" s="305">
        <v>9.0700000000000003E-2</v>
      </c>
      <c r="C93" s="37"/>
      <c r="D93" s="308"/>
      <c r="E93" s="309" t="s">
        <v>302</v>
      </c>
      <c r="F93" s="305">
        <v>9.6100000000000005E-2</v>
      </c>
      <c r="G93" s="290"/>
      <c r="H93" s="223"/>
      <c r="I93" s="37" t="s">
        <v>23</v>
      </c>
      <c r="J93" s="305">
        <v>8.5300000000000001E-2</v>
      </c>
      <c r="L93" s="260"/>
      <c r="M93" s="260"/>
      <c r="N93" s="260"/>
      <c r="O93" s="260"/>
      <c r="P93" s="260"/>
      <c r="R93" s="282"/>
      <c r="T93" s="310"/>
      <c r="U93" s="310"/>
      <c r="V93" s="260"/>
      <c r="W93" s="260"/>
      <c r="X93" s="260"/>
      <c r="Y93" s="260"/>
      <c r="Z93" s="260"/>
      <c r="AD93" s="310"/>
      <c r="AE93" s="310"/>
      <c r="AF93" s="260"/>
      <c r="AG93" s="260"/>
      <c r="AH93" s="260"/>
      <c r="AI93" s="260"/>
      <c r="AJ93" s="260"/>
      <c r="AK93" s="260"/>
      <c r="AL93" s="260"/>
      <c r="AM93" s="260"/>
      <c r="AN93" s="301" t="s">
        <v>79</v>
      </c>
      <c r="AO93" s="260"/>
      <c r="AP93" s="260"/>
      <c r="AQ93" s="301" t="s">
        <v>34</v>
      </c>
      <c r="AR93" s="260"/>
      <c r="AS93" s="260"/>
      <c r="AT93" s="260"/>
      <c r="AU93" s="260"/>
      <c r="AV93" s="262"/>
      <c r="AW93" s="262"/>
      <c r="AX93" s="262"/>
      <c r="AY93" s="263"/>
      <c r="AZ93" s="263"/>
      <c r="BA93" s="263"/>
      <c r="BB93" s="263"/>
      <c r="BC93" s="263"/>
      <c r="BD93" s="264"/>
    </row>
    <row r="94" spans="1:56" ht="15.75" x14ac:dyDescent="0.25">
      <c r="A94" s="37" t="s">
        <v>302</v>
      </c>
      <c r="B94" s="305">
        <v>8.5599999999999996E-2</v>
      </c>
      <c r="C94" s="37"/>
      <c r="D94" s="308"/>
      <c r="E94" s="309" t="s">
        <v>68</v>
      </c>
      <c r="F94" s="305">
        <v>9.1300000000000006E-2</v>
      </c>
      <c r="G94" s="290"/>
      <c r="H94" s="223"/>
      <c r="I94" s="37" t="s">
        <v>302</v>
      </c>
      <c r="J94" s="305">
        <v>8.0399999999999999E-2</v>
      </c>
      <c r="L94" s="260"/>
      <c r="M94" s="260"/>
      <c r="N94" s="260"/>
      <c r="O94" s="260"/>
      <c r="P94" s="260"/>
      <c r="R94" s="311"/>
      <c r="T94" s="312"/>
      <c r="U94" s="312"/>
      <c r="V94" s="260"/>
      <c r="W94" s="260"/>
      <c r="X94" s="260"/>
      <c r="Y94" s="260"/>
      <c r="Z94" s="260"/>
      <c r="AD94" s="312"/>
      <c r="AE94" s="312"/>
      <c r="AF94" s="260"/>
      <c r="AG94" s="260"/>
      <c r="AH94" s="260"/>
      <c r="AI94" s="260"/>
      <c r="AJ94" s="260"/>
      <c r="AK94" s="260"/>
      <c r="AL94" s="260"/>
      <c r="AM94" s="260"/>
      <c r="AN94" s="260"/>
      <c r="AO94" s="260"/>
      <c r="AP94" s="260"/>
      <c r="AQ94" s="260"/>
      <c r="AR94" s="260"/>
      <c r="AS94" s="260"/>
      <c r="AT94" s="260"/>
      <c r="AU94" s="260"/>
      <c r="AV94" s="262"/>
      <c r="AW94" s="262"/>
      <c r="AX94" s="262"/>
      <c r="AY94" s="263"/>
      <c r="AZ94" s="263"/>
      <c r="BA94" s="263"/>
      <c r="BB94" s="263"/>
      <c r="BC94" s="263"/>
      <c r="BD94" s="264"/>
    </row>
    <row r="95" spans="1:56" ht="15.75" x14ac:dyDescent="0.25">
      <c r="A95" s="37" t="s">
        <v>68</v>
      </c>
      <c r="B95" s="305">
        <v>8.1299999999999997E-2</v>
      </c>
      <c r="C95" s="37"/>
      <c r="D95" s="296"/>
      <c r="E95" s="37" t="s">
        <v>51</v>
      </c>
      <c r="F95" s="305">
        <v>8.1799999999999998E-2</v>
      </c>
      <c r="G95" s="290"/>
      <c r="H95" s="223"/>
      <c r="I95" s="37" t="s">
        <v>68</v>
      </c>
      <c r="J95" s="305">
        <v>7.6399999999999996E-2</v>
      </c>
      <c r="L95" s="260"/>
      <c r="M95" s="260"/>
      <c r="N95" s="260"/>
      <c r="O95" s="260"/>
      <c r="P95" s="260"/>
      <c r="R95" s="282"/>
      <c r="T95" s="310"/>
      <c r="U95" s="310"/>
      <c r="V95" s="260"/>
      <c r="W95" s="260"/>
      <c r="X95" s="260"/>
      <c r="Y95" s="260"/>
      <c r="Z95" s="260"/>
      <c r="AD95" s="310"/>
      <c r="AE95" s="310"/>
      <c r="AF95" s="260"/>
      <c r="AG95" s="260"/>
      <c r="AH95" s="260"/>
      <c r="AI95" s="260"/>
      <c r="AJ95" s="260"/>
      <c r="AK95" s="260"/>
      <c r="AL95" s="260"/>
      <c r="AM95" s="260"/>
      <c r="AN95" s="260"/>
      <c r="AO95" s="260"/>
      <c r="AP95" s="260"/>
      <c r="AQ95" s="260"/>
      <c r="AR95" s="260"/>
      <c r="AS95" s="260"/>
      <c r="AT95" s="260"/>
      <c r="AU95" s="260"/>
      <c r="AV95" s="262"/>
      <c r="AW95" s="262"/>
      <c r="AX95" s="262"/>
      <c r="AY95" s="263"/>
      <c r="AZ95" s="263"/>
      <c r="BA95" s="263"/>
      <c r="BB95" s="263"/>
      <c r="BC95" s="263"/>
      <c r="BD95" s="264"/>
    </row>
    <row r="96" spans="1:56" ht="15.75" x14ac:dyDescent="0.25">
      <c r="A96" s="37" t="s">
        <v>51</v>
      </c>
      <c r="B96" s="305">
        <v>7.2800000000000004E-2</v>
      </c>
      <c r="C96" s="37"/>
      <c r="D96" s="296"/>
      <c r="E96" s="37" t="s">
        <v>40</v>
      </c>
      <c r="F96" s="305">
        <v>8.0600000000000005E-2</v>
      </c>
      <c r="G96" s="290"/>
      <c r="H96" s="223"/>
      <c r="I96" s="37" t="s">
        <v>51</v>
      </c>
      <c r="J96" s="305">
        <v>6.8400000000000002E-2</v>
      </c>
      <c r="L96" s="260"/>
      <c r="M96" s="260"/>
      <c r="N96" s="260"/>
      <c r="O96" s="260"/>
      <c r="P96" s="260"/>
      <c r="R96" s="311"/>
      <c r="T96" s="312"/>
      <c r="U96" s="312"/>
      <c r="V96" s="260"/>
      <c r="W96" s="260"/>
      <c r="X96" s="260"/>
      <c r="Y96" s="260"/>
      <c r="Z96" s="260"/>
      <c r="AD96" s="312"/>
      <c r="AE96" s="312"/>
      <c r="AF96" s="260"/>
      <c r="AG96" s="260"/>
      <c r="AH96" s="260"/>
      <c r="AI96" s="260"/>
      <c r="AJ96" s="260"/>
      <c r="AK96" s="260"/>
      <c r="AL96" s="260"/>
      <c r="AM96" s="260"/>
      <c r="AN96" s="260"/>
      <c r="AO96" s="260"/>
      <c r="AP96" s="260"/>
      <c r="AQ96" s="260"/>
      <c r="AR96" s="260"/>
      <c r="AS96" s="260"/>
      <c r="AT96" s="260"/>
      <c r="AU96" s="260"/>
      <c r="AV96" s="262"/>
      <c r="AW96" s="262"/>
      <c r="AX96" s="262"/>
      <c r="AY96" s="263"/>
      <c r="AZ96" s="263"/>
      <c r="BA96" s="263"/>
      <c r="BB96" s="263"/>
      <c r="BC96" s="263"/>
      <c r="BD96" s="264"/>
    </row>
    <row r="97" spans="1:56" ht="15.75" x14ac:dyDescent="0.25">
      <c r="A97" s="37" t="s">
        <v>40</v>
      </c>
      <c r="B97" s="305">
        <v>7.1800000000000003E-2</v>
      </c>
      <c r="C97" s="37"/>
      <c r="D97" s="296"/>
      <c r="E97" s="37" t="s">
        <v>25</v>
      </c>
      <c r="F97" s="305">
        <v>5.45E-2</v>
      </c>
      <c r="G97" s="290"/>
      <c r="H97" s="223"/>
      <c r="I97" s="37" t="s">
        <v>40</v>
      </c>
      <c r="J97" s="305">
        <v>6.7500000000000004E-2</v>
      </c>
      <c r="L97" s="260"/>
      <c r="M97" s="260"/>
      <c r="N97" s="260"/>
      <c r="O97" s="260"/>
      <c r="P97" s="260"/>
      <c r="R97" s="282"/>
      <c r="T97" s="310"/>
      <c r="U97" s="310"/>
      <c r="V97" s="260"/>
      <c r="W97" s="260"/>
      <c r="X97" s="260"/>
      <c r="Y97" s="260"/>
      <c r="Z97" s="260"/>
      <c r="AD97" s="310"/>
      <c r="AE97" s="310"/>
      <c r="AF97" s="260"/>
      <c r="AG97" s="260"/>
      <c r="AH97" s="260"/>
      <c r="AI97" s="260"/>
      <c r="AJ97" s="260"/>
      <c r="AK97" s="260"/>
      <c r="AL97" s="260"/>
      <c r="AM97" s="260"/>
      <c r="AN97" s="260"/>
      <c r="AO97" s="260"/>
      <c r="AP97" s="260"/>
      <c r="AQ97" s="260"/>
      <c r="AR97" s="260"/>
      <c r="AS97" s="260"/>
      <c r="AT97" s="260"/>
      <c r="AU97" s="260"/>
      <c r="AV97" s="262"/>
      <c r="AW97" s="262"/>
      <c r="AX97" s="262"/>
      <c r="AY97" s="263"/>
      <c r="AZ97" s="263"/>
      <c r="BA97" s="263"/>
      <c r="BB97" s="263"/>
      <c r="BC97" s="263"/>
      <c r="BD97" s="264"/>
    </row>
    <row r="98" spans="1:56" ht="15.75" x14ac:dyDescent="0.25">
      <c r="A98" s="37" t="s">
        <v>25</v>
      </c>
      <c r="B98" s="305">
        <v>4.8500000000000001E-2</v>
      </c>
      <c r="C98" s="37"/>
      <c r="D98" s="308"/>
      <c r="E98" s="309" t="s">
        <v>60</v>
      </c>
      <c r="F98" s="305">
        <v>5.0099999999999999E-2</v>
      </c>
      <c r="G98" s="290"/>
      <c r="H98" s="223"/>
      <c r="I98" s="37" t="s">
        <v>25</v>
      </c>
      <c r="J98" s="305">
        <v>4.5600000000000002E-2</v>
      </c>
      <c r="L98" s="260"/>
      <c r="M98" s="260"/>
      <c r="N98" s="260"/>
      <c r="O98" s="260"/>
      <c r="P98" s="260" t="s">
        <v>403</v>
      </c>
      <c r="R98" s="311"/>
      <c r="T98" s="312"/>
      <c r="U98" s="312"/>
      <c r="V98" s="260"/>
      <c r="W98" s="260"/>
      <c r="X98" s="260"/>
      <c r="Y98" s="260"/>
      <c r="Z98" s="260"/>
      <c r="AD98" s="312"/>
      <c r="AE98" s="312"/>
      <c r="AF98" s="260"/>
      <c r="AG98" s="260"/>
      <c r="AH98" s="260"/>
      <c r="AI98" s="260"/>
      <c r="AJ98" s="260"/>
      <c r="AK98" s="260"/>
      <c r="AL98" s="260"/>
      <c r="AM98" s="260"/>
      <c r="AN98" s="260"/>
      <c r="AO98" s="260"/>
      <c r="AP98" s="260"/>
      <c r="AQ98" s="260"/>
      <c r="AR98" s="260"/>
      <c r="AS98" s="260"/>
      <c r="AT98" s="260"/>
      <c r="AU98" s="260"/>
      <c r="AV98" s="262"/>
      <c r="AW98" s="262"/>
      <c r="AX98" s="262"/>
      <c r="AY98" s="263"/>
      <c r="AZ98" s="263"/>
      <c r="BA98" s="263"/>
      <c r="BB98" s="263"/>
      <c r="BC98" s="263"/>
      <c r="BD98" s="264"/>
    </row>
    <row r="99" spans="1:56" ht="15.75" x14ac:dyDescent="0.25">
      <c r="A99" s="37" t="s">
        <v>60</v>
      </c>
      <c r="B99" s="305">
        <v>4.4600000000000001E-2</v>
      </c>
      <c r="C99" s="37"/>
      <c r="D99" s="308"/>
      <c r="E99" s="309" t="s">
        <v>19</v>
      </c>
      <c r="F99" s="305">
        <v>4.1599999999999998E-2</v>
      </c>
      <c r="G99" s="290"/>
      <c r="H99" s="223"/>
      <c r="I99" s="37" t="s">
        <v>60</v>
      </c>
      <c r="J99" s="305">
        <v>4.19E-2</v>
      </c>
      <c r="L99" s="260"/>
      <c r="M99" s="260"/>
      <c r="N99" s="260"/>
      <c r="O99" s="260"/>
      <c r="P99" s="260"/>
      <c r="R99" s="282"/>
      <c r="T99" s="310"/>
      <c r="U99" s="310"/>
      <c r="V99" s="260"/>
      <c r="W99" s="260"/>
      <c r="X99" s="260"/>
      <c r="Y99" s="260"/>
      <c r="Z99" s="260"/>
      <c r="AD99" s="310"/>
      <c r="AE99" s="310"/>
      <c r="AF99" s="260"/>
      <c r="AG99" s="260"/>
      <c r="AH99" s="260"/>
      <c r="AI99" s="260"/>
      <c r="AJ99" s="260"/>
      <c r="AK99" s="260"/>
      <c r="AL99" s="260"/>
      <c r="AM99" s="260"/>
      <c r="AN99" s="260"/>
      <c r="AO99" s="260"/>
      <c r="AP99" s="260"/>
      <c r="AQ99" s="260"/>
      <c r="AR99" s="260"/>
      <c r="AS99" s="260"/>
      <c r="AT99" s="260"/>
      <c r="AU99" s="260"/>
      <c r="AV99" s="262"/>
      <c r="AW99" s="262"/>
      <c r="AX99" s="262"/>
      <c r="AY99" s="263"/>
      <c r="AZ99" s="263"/>
      <c r="BA99" s="263"/>
      <c r="BB99" s="263"/>
      <c r="BC99" s="263"/>
      <c r="BD99" s="264"/>
    </row>
    <row r="100" spans="1:56" ht="15.75" x14ac:dyDescent="0.25">
      <c r="A100" s="37" t="s">
        <v>19</v>
      </c>
      <c r="B100" s="305">
        <v>3.7100000000000001E-2</v>
      </c>
      <c r="C100" s="37"/>
      <c r="D100" s="308"/>
      <c r="E100" s="309" t="s">
        <v>57</v>
      </c>
      <c r="F100" s="305">
        <v>3.9600000000000003E-2</v>
      </c>
      <c r="G100" s="290"/>
      <c r="H100" s="223"/>
      <c r="I100" s="37" t="s">
        <v>19</v>
      </c>
      <c r="J100" s="305">
        <v>3.4799999999999998E-2</v>
      </c>
      <c r="L100" s="260"/>
      <c r="M100" s="260"/>
      <c r="N100" s="260"/>
      <c r="O100" s="260"/>
      <c r="P100" s="260"/>
      <c r="R100" s="311"/>
      <c r="T100" s="312"/>
      <c r="U100" s="312"/>
      <c r="V100" s="260"/>
      <c r="W100" s="260"/>
      <c r="X100" s="260"/>
      <c r="Y100" s="260"/>
      <c r="Z100" s="260"/>
      <c r="AD100" s="312"/>
      <c r="AE100" s="312"/>
      <c r="AF100" s="260"/>
      <c r="AG100" s="260"/>
      <c r="AH100" s="260"/>
      <c r="AI100" s="260"/>
      <c r="AJ100" s="260"/>
      <c r="AK100" s="260"/>
      <c r="AL100" s="260"/>
      <c r="AM100" s="260"/>
      <c r="AN100" s="260"/>
      <c r="AO100" s="260"/>
      <c r="AP100" s="260"/>
      <c r="AQ100" s="260"/>
      <c r="AR100" s="260"/>
      <c r="AS100" s="260"/>
      <c r="AT100" s="260"/>
      <c r="AU100" s="260"/>
      <c r="AV100" s="262"/>
      <c r="AW100" s="262"/>
      <c r="AX100" s="262"/>
      <c r="AY100" s="263"/>
      <c r="AZ100" s="263"/>
      <c r="BA100" s="263"/>
      <c r="BB100" s="263"/>
      <c r="BC100" s="263"/>
      <c r="BD100" s="264"/>
    </row>
    <row r="101" spans="1:56" ht="15.75" x14ac:dyDescent="0.25">
      <c r="A101" s="37" t="s">
        <v>57</v>
      </c>
      <c r="B101" s="305">
        <v>3.5299999999999998E-2</v>
      </c>
      <c r="C101" s="37"/>
      <c r="D101" s="308"/>
      <c r="E101" s="309" t="s">
        <v>71</v>
      </c>
      <c r="F101" s="305">
        <v>3.95E-2</v>
      </c>
      <c r="G101" s="290"/>
      <c r="H101" s="223"/>
      <c r="I101" s="37" t="s">
        <v>57</v>
      </c>
      <c r="J101" s="305">
        <v>3.32E-2</v>
      </c>
      <c r="L101" s="260"/>
      <c r="M101" s="260"/>
      <c r="N101" s="260"/>
      <c r="O101" s="260"/>
      <c r="P101" s="260"/>
      <c r="R101" s="282"/>
      <c r="T101" s="310"/>
      <c r="U101" s="310"/>
      <c r="V101" s="260"/>
      <c r="W101" s="260"/>
      <c r="X101" s="260"/>
      <c r="Y101" s="260"/>
      <c r="Z101" s="260"/>
      <c r="AD101" s="310"/>
      <c r="AE101" s="310"/>
      <c r="AF101" s="260"/>
      <c r="AG101" s="260"/>
      <c r="AH101" s="260"/>
      <c r="AI101" s="260"/>
      <c r="AJ101" s="260"/>
      <c r="AK101" s="260"/>
      <c r="AL101" s="260"/>
      <c r="AM101" s="260"/>
      <c r="AN101" s="260"/>
      <c r="AO101" s="260"/>
      <c r="AP101" s="260"/>
      <c r="AQ101" s="260"/>
      <c r="AR101" s="260"/>
      <c r="AS101" s="260"/>
      <c r="AT101" s="260"/>
      <c r="AU101" s="260"/>
      <c r="AV101" s="262"/>
      <c r="AW101" s="262"/>
      <c r="AX101" s="262"/>
      <c r="AY101" s="263"/>
      <c r="AZ101" s="263"/>
      <c r="BA101" s="263"/>
      <c r="BB101" s="263"/>
      <c r="BC101" s="263"/>
      <c r="BD101" s="264"/>
    </row>
    <row r="102" spans="1:56" ht="15.75" x14ac:dyDescent="0.25">
      <c r="A102" s="37" t="s">
        <v>71</v>
      </c>
      <c r="B102" s="305">
        <v>3.5200000000000002E-2</v>
      </c>
      <c r="C102" s="37"/>
      <c r="D102" s="308"/>
      <c r="E102" s="309" t="s">
        <v>67</v>
      </c>
      <c r="F102" s="305">
        <v>3.6999999999999998E-2</v>
      </c>
      <c r="G102" s="290"/>
      <c r="H102" s="223"/>
      <c r="I102" s="37" t="s">
        <v>71</v>
      </c>
      <c r="J102" s="305">
        <v>3.3099999999999997E-2</v>
      </c>
      <c r="L102" s="260"/>
      <c r="M102" s="260"/>
      <c r="N102" s="260"/>
      <c r="O102" s="260"/>
      <c r="P102" s="260"/>
      <c r="R102" s="311"/>
      <c r="T102" s="312"/>
      <c r="U102" s="312"/>
      <c r="V102" s="260"/>
      <c r="W102" s="260"/>
      <c r="X102" s="260"/>
      <c r="Y102" s="260"/>
      <c r="Z102" s="260"/>
      <c r="AD102" s="312"/>
      <c r="AE102" s="312"/>
      <c r="AF102" s="260"/>
      <c r="AG102" s="260"/>
      <c r="AH102" s="260"/>
      <c r="AI102" s="260"/>
      <c r="AJ102" s="260"/>
      <c r="AK102" s="260"/>
      <c r="AL102" s="260"/>
      <c r="AM102" s="260"/>
      <c r="AN102" s="260"/>
      <c r="AO102" s="260"/>
      <c r="AP102" s="260"/>
      <c r="AQ102" s="260"/>
      <c r="AR102" s="260"/>
      <c r="AS102" s="260"/>
      <c r="AT102" s="260"/>
      <c r="AU102" s="260"/>
      <c r="AV102" s="262"/>
      <c r="AW102" s="262"/>
      <c r="AX102" s="262"/>
      <c r="AY102" s="263"/>
      <c r="AZ102" s="263"/>
      <c r="BA102" s="263"/>
      <c r="BB102" s="263"/>
      <c r="BC102" s="263"/>
      <c r="BD102" s="264"/>
    </row>
    <row r="103" spans="1:56" ht="15.75" x14ac:dyDescent="0.25">
      <c r="A103" s="37" t="s">
        <v>17</v>
      </c>
      <c r="B103" s="305">
        <v>3.4799999999999998E-2</v>
      </c>
      <c r="C103" s="37"/>
      <c r="D103" s="308"/>
      <c r="E103" s="309" t="s">
        <v>74</v>
      </c>
      <c r="F103" s="305">
        <v>3.3700000000000001E-2</v>
      </c>
      <c r="G103" s="290"/>
      <c r="H103" s="223"/>
      <c r="I103" s="37" t="s">
        <v>17</v>
      </c>
      <c r="J103" s="305">
        <v>3.27E-2</v>
      </c>
      <c r="L103" s="260"/>
      <c r="M103" s="260"/>
      <c r="N103" s="260"/>
      <c r="O103" s="260"/>
      <c r="P103" s="260"/>
      <c r="R103" s="282"/>
      <c r="T103" s="310"/>
      <c r="U103" s="310"/>
      <c r="V103" s="260"/>
      <c r="W103" s="260"/>
      <c r="X103" s="260"/>
      <c r="Y103" s="260"/>
      <c r="Z103" s="260"/>
      <c r="AD103" s="310"/>
      <c r="AE103" s="310"/>
      <c r="AF103" s="260"/>
      <c r="AG103" s="260"/>
      <c r="AH103" s="260"/>
      <c r="AI103" s="260"/>
      <c r="AJ103" s="260"/>
      <c r="AK103" s="260"/>
      <c r="AL103" s="260"/>
      <c r="AM103" s="260"/>
      <c r="AN103" s="260"/>
      <c r="AO103" s="260"/>
      <c r="AP103" s="260"/>
      <c r="AQ103" s="260"/>
      <c r="AR103" s="260"/>
      <c r="AS103" s="260"/>
      <c r="AT103" s="260"/>
      <c r="AU103" s="260"/>
      <c r="AV103" s="262"/>
      <c r="AW103" s="262"/>
      <c r="AX103" s="262"/>
      <c r="AY103" s="263"/>
      <c r="AZ103" s="263"/>
      <c r="BA103" s="263"/>
      <c r="BB103" s="263"/>
      <c r="BC103" s="263"/>
      <c r="BD103" s="264"/>
    </row>
    <row r="104" spans="1:56" ht="15.75" x14ac:dyDescent="0.25">
      <c r="A104" s="37" t="s">
        <v>67</v>
      </c>
      <c r="B104" s="305">
        <v>3.3000000000000002E-2</v>
      </c>
      <c r="C104" s="37"/>
      <c r="D104" s="308"/>
      <c r="E104" s="309" t="s">
        <v>20</v>
      </c>
      <c r="F104" s="305">
        <v>2.9000000000000001E-2</v>
      </c>
      <c r="G104" s="290"/>
      <c r="H104" s="223"/>
      <c r="I104" s="37" t="s">
        <v>67</v>
      </c>
      <c r="J104" s="305">
        <v>3.1E-2</v>
      </c>
      <c r="L104" s="260"/>
      <c r="M104" s="260"/>
      <c r="N104" s="260"/>
      <c r="O104" s="260"/>
      <c r="P104" s="260"/>
      <c r="R104" s="311"/>
      <c r="T104" s="312"/>
      <c r="U104" s="312"/>
      <c r="V104" s="260"/>
      <c r="W104" s="260"/>
      <c r="X104" s="260"/>
      <c r="Y104" s="260"/>
      <c r="Z104" s="260"/>
      <c r="AD104" s="312"/>
      <c r="AE104" s="312"/>
      <c r="AF104" s="260"/>
      <c r="AG104" s="260"/>
      <c r="AH104" s="260"/>
      <c r="AI104" s="260"/>
      <c r="AJ104" s="260"/>
      <c r="AK104" s="260"/>
      <c r="AL104" s="260"/>
      <c r="AM104" s="260"/>
      <c r="AN104" s="260"/>
      <c r="AO104" s="260"/>
      <c r="AP104" s="260"/>
      <c r="AQ104" s="260"/>
      <c r="AR104" s="260"/>
      <c r="AS104" s="260"/>
      <c r="AT104" s="260"/>
      <c r="AU104" s="260"/>
      <c r="AV104" s="262"/>
      <c r="AW104" s="262"/>
      <c r="AX104" s="262"/>
      <c r="AY104" s="263"/>
      <c r="AZ104" s="263"/>
      <c r="BA104" s="263"/>
      <c r="BB104" s="263"/>
      <c r="BC104" s="263"/>
      <c r="BD104" s="264"/>
    </row>
    <row r="105" spans="1:56" ht="15.75" x14ac:dyDescent="0.25">
      <c r="A105" s="37" t="s">
        <v>74</v>
      </c>
      <c r="B105" s="305">
        <v>0.03</v>
      </c>
      <c r="C105" s="37"/>
      <c r="D105" s="308"/>
      <c r="E105" s="309" t="s">
        <v>49</v>
      </c>
      <c r="F105" s="305">
        <v>2.4E-2</v>
      </c>
      <c r="G105" s="290"/>
      <c r="H105" s="223"/>
      <c r="I105" s="37" t="s">
        <v>74</v>
      </c>
      <c r="J105" s="305">
        <v>2.8199999999999999E-2</v>
      </c>
      <c r="L105" s="260"/>
      <c r="M105" s="260"/>
      <c r="N105" s="260"/>
      <c r="O105" s="260"/>
      <c r="P105" s="260"/>
      <c r="R105" s="282"/>
      <c r="T105" s="310"/>
      <c r="U105" s="310"/>
      <c r="V105" s="260"/>
      <c r="W105" s="260"/>
      <c r="X105" s="260"/>
      <c r="Y105" s="260"/>
      <c r="Z105" s="260"/>
      <c r="AD105" s="310"/>
      <c r="AE105" s="310"/>
      <c r="AF105" s="260"/>
      <c r="AG105" s="260"/>
      <c r="AH105" s="260"/>
      <c r="AI105" s="260"/>
      <c r="AJ105" s="260"/>
      <c r="AK105" s="260"/>
      <c r="AL105" s="260"/>
      <c r="AM105" s="260"/>
      <c r="AN105" s="260"/>
      <c r="AO105" s="260"/>
      <c r="AP105" s="260"/>
      <c r="AQ105" s="260"/>
      <c r="AR105" s="260"/>
      <c r="AS105" s="260"/>
      <c r="AT105" s="260"/>
      <c r="AU105" s="260"/>
      <c r="AV105" s="262"/>
      <c r="AW105" s="262"/>
      <c r="AX105" s="262"/>
      <c r="AY105" s="263"/>
      <c r="AZ105" s="263"/>
      <c r="BA105" s="263"/>
      <c r="BB105" s="263"/>
      <c r="BC105" s="263"/>
      <c r="BD105" s="264"/>
    </row>
    <row r="106" spans="1:56" ht="15.75" x14ac:dyDescent="0.25">
      <c r="A106" s="37" t="s">
        <v>20</v>
      </c>
      <c r="B106" s="305">
        <v>2.58E-2</v>
      </c>
      <c r="C106" s="37"/>
      <c r="D106" s="308"/>
      <c r="E106" s="309" t="s">
        <v>16</v>
      </c>
      <c r="F106" s="305">
        <v>2.3900000000000001E-2</v>
      </c>
      <c r="G106" s="290"/>
      <c r="H106" s="223"/>
      <c r="I106" s="37" t="s">
        <v>20</v>
      </c>
      <c r="J106" s="305">
        <v>2.4299999999999999E-2</v>
      </c>
      <c r="L106" s="260"/>
      <c r="M106" s="260"/>
      <c r="N106" s="260"/>
      <c r="O106" s="260"/>
      <c r="P106" s="260"/>
      <c r="R106" s="311"/>
      <c r="T106" s="312"/>
      <c r="U106" s="312"/>
      <c r="V106" s="260"/>
      <c r="W106" s="260"/>
      <c r="X106" s="260"/>
      <c r="Y106" s="260"/>
      <c r="Z106" s="260"/>
      <c r="AD106" s="312"/>
      <c r="AE106" s="312"/>
      <c r="AF106" s="260"/>
      <c r="AG106" s="260"/>
      <c r="AH106" s="260"/>
      <c r="AI106" s="260"/>
      <c r="AJ106" s="260"/>
      <c r="AK106" s="260"/>
      <c r="AL106" s="260"/>
      <c r="AM106" s="260"/>
      <c r="AN106" s="260"/>
      <c r="AO106" s="260"/>
      <c r="AP106" s="260"/>
      <c r="AQ106" s="260"/>
      <c r="AR106" s="260"/>
      <c r="AS106" s="260"/>
      <c r="AT106" s="260"/>
      <c r="AU106" s="260"/>
      <c r="AV106" s="262"/>
      <c r="AW106" s="262"/>
      <c r="AX106" s="262"/>
      <c r="AY106" s="263"/>
      <c r="AZ106" s="263"/>
      <c r="BA106" s="263"/>
      <c r="BB106" s="263"/>
      <c r="BC106" s="263"/>
      <c r="BD106" s="264"/>
    </row>
    <row r="107" spans="1:56" ht="15.75" x14ac:dyDescent="0.25">
      <c r="A107" s="37" t="s">
        <v>49</v>
      </c>
      <c r="B107" s="305">
        <v>2.1299999999999999E-2</v>
      </c>
      <c r="C107" s="37"/>
      <c r="D107" s="308"/>
      <c r="E107" s="309" t="s">
        <v>70</v>
      </c>
      <c r="F107" s="305">
        <v>2.2200000000000001E-2</v>
      </c>
      <c r="G107" s="290"/>
      <c r="H107" s="223"/>
      <c r="I107" s="37" t="s">
        <v>49</v>
      </c>
      <c r="J107" s="305">
        <v>0.02</v>
      </c>
      <c r="L107" s="260"/>
      <c r="M107" s="260"/>
      <c r="N107" s="260"/>
      <c r="O107" s="260"/>
      <c r="P107" s="260"/>
      <c r="R107" s="282"/>
      <c r="T107" s="310"/>
      <c r="U107" s="310"/>
      <c r="V107" s="260"/>
      <c r="W107" s="260"/>
      <c r="X107" s="260"/>
      <c r="Y107" s="260"/>
      <c r="Z107" s="260"/>
      <c r="AD107" s="310"/>
      <c r="AE107" s="310"/>
      <c r="AF107" s="260"/>
      <c r="AG107" s="260"/>
      <c r="AH107" s="260"/>
      <c r="AI107" s="260"/>
      <c r="AJ107" s="260"/>
      <c r="AK107" s="260"/>
      <c r="AL107" s="260"/>
      <c r="AM107" s="260"/>
      <c r="AN107" s="260"/>
      <c r="AO107" s="260"/>
      <c r="AP107" s="260"/>
      <c r="AQ107" s="260"/>
      <c r="AR107" s="260"/>
      <c r="AS107" s="260"/>
      <c r="AT107" s="260"/>
      <c r="AU107" s="260"/>
      <c r="AV107" s="262"/>
      <c r="AW107" s="262"/>
      <c r="AX107" s="262"/>
      <c r="AY107" s="263"/>
      <c r="AZ107" s="263"/>
      <c r="BA107" s="263"/>
      <c r="BB107" s="263"/>
      <c r="BC107" s="263"/>
      <c r="BD107" s="264"/>
    </row>
    <row r="108" spans="1:56" ht="15.75" x14ac:dyDescent="0.25">
      <c r="A108" s="37" t="s">
        <v>16</v>
      </c>
      <c r="B108" s="305">
        <v>2.1299999999999999E-2</v>
      </c>
      <c r="C108" s="37"/>
      <c r="D108" s="296"/>
      <c r="E108" s="37" t="s">
        <v>48</v>
      </c>
      <c r="F108" s="305">
        <v>2.0500000000000001E-2</v>
      </c>
      <c r="G108" s="290"/>
      <c r="H108" s="223"/>
      <c r="I108" s="37" t="s">
        <v>16</v>
      </c>
      <c r="J108" s="305">
        <v>0.02</v>
      </c>
      <c r="L108" s="260"/>
      <c r="M108" s="260"/>
      <c r="N108" s="260"/>
      <c r="O108" s="260"/>
      <c r="P108" s="260"/>
      <c r="R108" s="311"/>
      <c r="T108" s="312"/>
      <c r="U108" s="312"/>
      <c r="V108" s="260"/>
      <c r="W108" s="260"/>
      <c r="X108" s="260"/>
      <c r="Y108" s="260"/>
      <c r="Z108" s="260"/>
      <c r="AD108" s="312"/>
      <c r="AE108" s="312"/>
      <c r="AF108" s="260"/>
      <c r="AG108" s="260"/>
      <c r="AH108" s="260"/>
      <c r="AI108" s="260"/>
      <c r="AJ108" s="260"/>
      <c r="AK108" s="260"/>
      <c r="AL108" s="260"/>
      <c r="AM108" s="260"/>
      <c r="AN108" s="260"/>
      <c r="AO108" s="260"/>
      <c r="AP108" s="260"/>
      <c r="AQ108" s="260"/>
      <c r="AR108" s="260"/>
      <c r="AS108" s="260"/>
      <c r="AT108" s="260"/>
      <c r="AU108" s="260"/>
      <c r="AV108" s="262"/>
      <c r="AW108" s="262"/>
      <c r="AX108" s="262"/>
      <c r="AY108" s="263"/>
      <c r="AZ108" s="263"/>
      <c r="BA108" s="263"/>
      <c r="BB108" s="263"/>
      <c r="BC108" s="263"/>
      <c r="BD108" s="264"/>
    </row>
    <row r="109" spans="1:56" ht="15.75" x14ac:dyDescent="0.25">
      <c r="A109" s="37" t="s">
        <v>70</v>
      </c>
      <c r="B109" s="305">
        <v>1.9800000000000002E-2</v>
      </c>
      <c r="C109" s="37"/>
      <c r="D109" s="296"/>
      <c r="E109" s="37" t="s">
        <v>50</v>
      </c>
      <c r="F109" s="305">
        <v>1.9099999999999999E-2</v>
      </c>
      <c r="G109" s="290"/>
      <c r="H109" s="223"/>
      <c r="I109" s="37" t="s">
        <v>70</v>
      </c>
      <c r="J109" s="305">
        <v>1.8599999999999998E-2</v>
      </c>
      <c r="L109" s="260"/>
      <c r="M109" s="260"/>
      <c r="N109" s="260"/>
      <c r="O109" s="260"/>
      <c r="P109" s="260"/>
      <c r="R109" s="281"/>
      <c r="S109" s="30"/>
      <c r="T109" s="313"/>
      <c r="U109" s="313"/>
      <c r="V109" s="260"/>
      <c r="W109" s="260"/>
      <c r="X109" s="260"/>
      <c r="Y109" s="260"/>
      <c r="Z109" s="260"/>
      <c r="AC109" s="30"/>
      <c r="AD109" s="313"/>
      <c r="AE109" s="313"/>
      <c r="AF109" s="260"/>
      <c r="AG109" s="260"/>
      <c r="AH109" s="260"/>
      <c r="AI109" s="260"/>
      <c r="AJ109" s="260"/>
      <c r="AK109" s="260"/>
      <c r="AL109" s="260"/>
      <c r="AM109" s="260"/>
      <c r="AN109" s="260"/>
      <c r="AO109" s="260"/>
      <c r="AP109" s="260"/>
      <c r="AQ109" s="260"/>
      <c r="AR109" s="260"/>
      <c r="AS109" s="260"/>
      <c r="AT109" s="260"/>
      <c r="AU109" s="260"/>
      <c r="AV109" s="262"/>
      <c r="AW109" s="262"/>
      <c r="AX109" s="262"/>
      <c r="AY109" s="263"/>
      <c r="AZ109" s="263"/>
      <c r="BA109" s="263"/>
      <c r="BB109" s="263"/>
      <c r="BC109" s="263"/>
      <c r="BD109" s="264"/>
    </row>
    <row r="110" spans="1:56" ht="15.75" x14ac:dyDescent="0.25">
      <c r="A110" s="37" t="s">
        <v>48</v>
      </c>
      <c r="B110" s="305">
        <v>1.83E-2</v>
      </c>
      <c r="C110" s="37"/>
      <c r="D110" s="296"/>
      <c r="E110" s="314" t="s">
        <v>15</v>
      </c>
      <c r="F110" s="315">
        <v>1.8100000000000002E-2</v>
      </c>
      <c r="G110" s="290"/>
      <c r="H110" s="223"/>
      <c r="I110" s="37" t="s">
        <v>48</v>
      </c>
      <c r="J110" s="305">
        <v>1.72E-2</v>
      </c>
      <c r="L110" s="260"/>
      <c r="M110" s="260"/>
      <c r="N110" s="260"/>
      <c r="O110" s="260"/>
      <c r="P110" s="260"/>
      <c r="R110" s="306"/>
      <c r="S110" s="30"/>
      <c r="T110" s="307"/>
      <c r="U110" s="307"/>
      <c r="V110" s="260"/>
      <c r="W110" s="260"/>
      <c r="X110" s="260"/>
      <c r="Y110" s="260"/>
      <c r="Z110" s="260"/>
      <c r="AC110" s="30"/>
      <c r="AD110" s="307"/>
      <c r="AE110" s="307"/>
      <c r="AF110" s="260"/>
      <c r="AG110" s="260"/>
      <c r="AH110" s="260"/>
      <c r="AI110" s="260"/>
      <c r="AJ110" s="260"/>
      <c r="AK110" s="260"/>
      <c r="AL110" s="260"/>
      <c r="AM110" s="260"/>
      <c r="AN110" s="260"/>
      <c r="AO110" s="260"/>
      <c r="AP110" s="260"/>
      <c r="AQ110" s="260"/>
      <c r="AR110" s="260"/>
      <c r="AS110" s="260"/>
      <c r="AT110" s="260"/>
      <c r="AU110" s="260"/>
      <c r="AV110" s="262"/>
      <c r="AW110" s="262"/>
      <c r="AX110" s="262"/>
      <c r="AY110" s="263"/>
      <c r="AZ110" s="263"/>
      <c r="BA110" s="263"/>
      <c r="BB110" s="263"/>
      <c r="BC110" s="263"/>
      <c r="BD110" s="264"/>
    </row>
    <row r="111" spans="1:56" ht="15.75" x14ac:dyDescent="0.25">
      <c r="A111" s="314" t="s">
        <v>50</v>
      </c>
      <c r="B111" s="315">
        <v>1.7000000000000001E-2</v>
      </c>
      <c r="C111" s="37"/>
      <c r="D111" s="308"/>
      <c r="E111" s="277"/>
      <c r="F111" s="37"/>
      <c r="G111" s="290"/>
      <c r="H111" s="223"/>
      <c r="I111" s="37" t="s">
        <v>50</v>
      </c>
      <c r="J111" s="305">
        <v>1.6E-2</v>
      </c>
      <c r="L111" s="260"/>
      <c r="M111" s="260"/>
      <c r="N111" s="260"/>
      <c r="O111" s="260"/>
      <c r="P111" s="260"/>
      <c r="Q111" s="260"/>
      <c r="R111" s="260"/>
      <c r="S111" s="260"/>
      <c r="T111" s="260"/>
      <c r="U111" s="260"/>
      <c r="V111" s="260"/>
      <c r="W111" s="260"/>
      <c r="X111" s="260"/>
      <c r="Y111" s="260"/>
      <c r="Z111" s="260"/>
      <c r="AC111" s="30"/>
      <c r="AD111" s="313"/>
      <c r="AE111" s="313"/>
      <c r="AF111" s="260"/>
      <c r="AG111" s="260"/>
      <c r="AH111" s="260"/>
      <c r="AI111" s="260"/>
      <c r="AJ111" s="260"/>
      <c r="AK111" s="260"/>
      <c r="AL111" s="260"/>
      <c r="AM111" s="260"/>
      <c r="AN111" s="260"/>
      <c r="AO111" s="260"/>
      <c r="AP111" s="260"/>
      <c r="AQ111" s="260"/>
      <c r="AR111" s="260"/>
      <c r="AS111" s="260"/>
      <c r="AT111" s="260"/>
      <c r="AU111" s="260"/>
      <c r="AV111" s="262"/>
      <c r="AW111" s="262"/>
      <c r="AX111" s="262"/>
      <c r="AY111" s="263"/>
      <c r="AZ111" s="263"/>
      <c r="BA111" s="263"/>
      <c r="BB111" s="263"/>
      <c r="BC111" s="263"/>
      <c r="BD111" s="264"/>
    </row>
    <row r="112" spans="1:56" ht="15.75" x14ac:dyDescent="0.25">
      <c r="A112" s="295"/>
      <c r="B112" s="295"/>
      <c r="C112" s="295"/>
      <c r="D112" s="296"/>
      <c r="E112" s="280"/>
      <c r="F112" s="37"/>
      <c r="G112" s="290"/>
      <c r="H112" s="223"/>
      <c r="I112" s="37" t="s">
        <v>15</v>
      </c>
      <c r="J112" s="305">
        <v>1.52E-2</v>
      </c>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260"/>
      <c r="AL112" s="260"/>
      <c r="AM112" s="260"/>
      <c r="AN112" s="260"/>
      <c r="AO112" s="260"/>
      <c r="AP112" s="260"/>
      <c r="AQ112" s="260"/>
      <c r="AR112" s="260"/>
      <c r="AS112" s="260"/>
      <c r="AT112" s="260"/>
      <c r="AU112" s="260"/>
      <c r="AV112" s="262"/>
      <c r="AW112" s="262"/>
      <c r="AX112" s="262"/>
      <c r="AY112" s="263"/>
      <c r="AZ112" s="263"/>
      <c r="BA112" s="263"/>
      <c r="BB112" s="263"/>
      <c r="BC112" s="263"/>
      <c r="BD112" s="264"/>
    </row>
    <row r="113" spans="1:56" ht="15.75" x14ac:dyDescent="0.25">
      <c r="A113" s="316" t="s">
        <v>303</v>
      </c>
      <c r="B113" s="295"/>
      <c r="C113" s="295"/>
      <c r="D113" s="296"/>
      <c r="E113" s="280"/>
      <c r="F113" s="37"/>
      <c r="G113" s="290"/>
      <c r="H113" s="223"/>
      <c r="I113" s="37" t="s">
        <v>14</v>
      </c>
      <c r="J113" s="305">
        <v>1.3100000000000001E-2</v>
      </c>
      <c r="L113" s="260"/>
      <c r="M113" s="260"/>
      <c r="N113" s="260"/>
      <c r="O113" s="260"/>
      <c r="P113" s="260"/>
      <c r="Q113" s="260"/>
      <c r="R113" s="260"/>
      <c r="S113" s="260"/>
      <c r="T113" s="260"/>
      <c r="U113" s="260"/>
      <c r="V113" s="260"/>
      <c r="W113" s="260"/>
      <c r="X113" s="260"/>
      <c r="Y113" s="260"/>
      <c r="Z113" s="260"/>
      <c r="AA113" s="260"/>
      <c r="AB113" s="260"/>
      <c r="AC113" s="260"/>
      <c r="AD113" s="260"/>
      <c r="AE113" s="260"/>
      <c r="AF113" s="260"/>
      <c r="AG113" s="260"/>
      <c r="AH113" s="260"/>
      <c r="AI113" s="260"/>
      <c r="AJ113" s="260"/>
      <c r="AK113" s="260"/>
      <c r="AL113" s="260"/>
      <c r="AM113" s="260"/>
      <c r="AN113" s="260"/>
      <c r="AO113" s="260"/>
      <c r="AP113" s="260"/>
      <c r="AQ113" s="260"/>
      <c r="AR113" s="260"/>
      <c r="AS113" s="260"/>
      <c r="AT113" s="260"/>
      <c r="AU113" s="260"/>
      <c r="AV113" s="262"/>
      <c r="AW113" s="262"/>
      <c r="AX113" s="262"/>
      <c r="AY113" s="263"/>
      <c r="AZ113" s="263"/>
      <c r="BA113" s="263"/>
      <c r="BB113" s="263"/>
      <c r="BC113" s="263"/>
      <c r="BD113" s="264"/>
    </row>
    <row r="114" spans="1:56" ht="15.75" x14ac:dyDescent="0.25">
      <c r="A114" s="296" t="s">
        <v>304</v>
      </c>
      <c r="B114" s="295"/>
      <c r="C114" s="295"/>
      <c r="D114" s="296"/>
      <c r="E114" s="280"/>
      <c r="F114" s="37"/>
      <c r="G114" s="290"/>
      <c r="H114" s="223"/>
      <c r="I114" s="37" t="s">
        <v>8</v>
      </c>
      <c r="J114" s="305">
        <v>1.23E-2</v>
      </c>
      <c r="L114" s="260"/>
      <c r="M114" s="260"/>
      <c r="N114" s="260"/>
      <c r="O114" s="260"/>
      <c r="P114" s="260"/>
      <c r="Q114" s="260"/>
      <c r="R114" s="260"/>
      <c r="S114" s="260"/>
      <c r="T114" s="260"/>
      <c r="U114" s="260"/>
      <c r="V114" s="260"/>
      <c r="W114" s="260"/>
      <c r="X114" s="260"/>
      <c r="Y114" s="260"/>
      <c r="Z114" s="260"/>
      <c r="AA114" s="260"/>
      <c r="AB114" s="260"/>
      <c r="AC114" s="260"/>
      <c r="AD114" s="260"/>
      <c r="AE114" s="260"/>
      <c r="AF114" s="260"/>
      <c r="AG114" s="260"/>
      <c r="AH114" s="260"/>
      <c r="AI114" s="260"/>
      <c r="AJ114" s="260"/>
      <c r="AK114" s="260"/>
      <c r="AL114" s="260"/>
      <c r="AM114" s="260"/>
      <c r="AN114" s="260"/>
      <c r="AO114" s="260"/>
      <c r="AP114" s="260"/>
      <c r="AQ114" s="260"/>
      <c r="AR114" s="260"/>
      <c r="AS114" s="260"/>
      <c r="AT114" s="260"/>
      <c r="AU114" s="260"/>
      <c r="AV114" s="262"/>
      <c r="AW114" s="262"/>
      <c r="AX114" s="262"/>
      <c r="AY114" s="263"/>
      <c r="AZ114" s="263"/>
      <c r="BA114" s="263"/>
      <c r="BB114" s="263"/>
      <c r="BC114" s="263"/>
      <c r="BD114" s="264"/>
    </row>
    <row r="115" spans="1:56" ht="15.75" x14ac:dyDescent="0.25">
      <c r="B115" s="295"/>
      <c r="C115" s="295"/>
      <c r="D115" s="308"/>
      <c r="E115" s="277"/>
      <c r="F115" s="37"/>
      <c r="G115" s="290"/>
      <c r="H115" s="223"/>
      <c r="I115" s="37" t="s">
        <v>72</v>
      </c>
      <c r="J115" s="305">
        <v>0.01</v>
      </c>
      <c r="L115" s="260"/>
      <c r="M115" s="260"/>
      <c r="N115" s="260"/>
      <c r="O115" s="260"/>
      <c r="P115" s="260"/>
      <c r="Q115" s="260"/>
      <c r="R115" s="260"/>
      <c r="S115" s="260"/>
      <c r="T115" s="260"/>
      <c r="U115" s="260"/>
      <c r="V115" s="260"/>
      <c r="W115" s="260"/>
      <c r="X115" s="260"/>
      <c r="Y115" s="260"/>
      <c r="Z115" s="260"/>
      <c r="AA115" s="260"/>
      <c r="AB115" s="260"/>
      <c r="AC115" s="260"/>
      <c r="AD115" s="260"/>
      <c r="AE115" s="260"/>
      <c r="AF115" s="260"/>
      <c r="AG115" s="260"/>
      <c r="AH115" s="260"/>
      <c r="AI115" s="260"/>
      <c r="AJ115" s="260"/>
      <c r="AK115" s="260"/>
      <c r="AL115" s="260"/>
      <c r="AM115" s="260"/>
      <c r="AN115" s="260"/>
      <c r="AO115" s="260"/>
      <c r="AP115" s="260"/>
      <c r="AQ115" s="260"/>
      <c r="AR115" s="260"/>
      <c r="AS115" s="260"/>
      <c r="AT115" s="260"/>
      <c r="AU115" s="260"/>
      <c r="AV115" s="262"/>
      <c r="AW115" s="262"/>
      <c r="AX115" s="262"/>
      <c r="AY115" s="263"/>
      <c r="AZ115" s="263"/>
      <c r="BA115" s="263"/>
      <c r="BB115" s="263"/>
      <c r="BC115" s="263"/>
      <c r="BD115" s="264"/>
    </row>
    <row r="116" spans="1:56" ht="15.75" x14ac:dyDescent="0.25">
      <c r="A116" s="37"/>
      <c r="B116" s="295"/>
      <c r="C116" s="295"/>
      <c r="D116" s="308"/>
      <c r="E116" s="277"/>
      <c r="F116" s="223"/>
      <c r="G116" s="290"/>
      <c r="H116" s="223"/>
      <c r="I116" s="314" t="s">
        <v>42</v>
      </c>
      <c r="J116" s="315">
        <v>9.7999999999999997E-3</v>
      </c>
      <c r="L116" s="260"/>
      <c r="M116" s="260"/>
      <c r="N116" s="260"/>
      <c r="O116" s="260"/>
      <c r="P116" s="260"/>
      <c r="Q116" s="260"/>
      <c r="R116" s="260"/>
      <c r="S116" s="260"/>
      <c r="T116" s="260"/>
      <c r="U116" s="260"/>
      <c r="V116" s="260"/>
      <c r="W116" s="260"/>
      <c r="X116" s="260"/>
      <c r="Y116" s="260"/>
      <c r="Z116" s="260"/>
      <c r="AA116" s="260"/>
      <c r="AB116" s="260"/>
      <c r="AC116" s="260"/>
      <c r="AD116" s="260"/>
      <c r="AE116" s="260"/>
      <c r="AF116" s="260"/>
      <c r="AG116" s="260"/>
      <c r="AH116" s="260"/>
      <c r="AI116" s="260"/>
      <c r="AJ116" s="260"/>
      <c r="AK116" s="260"/>
      <c r="AL116" s="260"/>
      <c r="AM116" s="260"/>
      <c r="AN116" s="260"/>
      <c r="AO116" s="260"/>
      <c r="AP116" s="260"/>
      <c r="AQ116" s="260"/>
      <c r="AR116" s="260"/>
      <c r="AS116" s="260"/>
      <c r="AT116" s="260"/>
      <c r="AU116" s="260"/>
      <c r="AV116" s="262"/>
      <c r="AW116" s="262"/>
      <c r="AX116" s="262"/>
      <c r="AY116" s="263"/>
      <c r="AZ116" s="263"/>
      <c r="BA116" s="263"/>
      <c r="BB116" s="263"/>
      <c r="BC116" s="263"/>
      <c r="BD116" s="264"/>
    </row>
    <row r="117" spans="1:56" ht="15.75" x14ac:dyDescent="0.25">
      <c r="A117" s="258" t="s">
        <v>305</v>
      </c>
      <c r="B117" s="316"/>
      <c r="D117" s="176"/>
      <c r="E117" s="308"/>
      <c r="F117" s="316"/>
      <c r="G117" s="286"/>
      <c r="H117" s="286"/>
      <c r="I117" s="286"/>
      <c r="J117" s="316"/>
      <c r="K117" s="316"/>
      <c r="L117" s="316"/>
      <c r="M117" s="316"/>
      <c r="N117" s="316"/>
      <c r="O117" s="316"/>
      <c r="P117" s="316"/>
      <c r="Q117" s="316"/>
      <c r="R117" s="316"/>
      <c r="S117" s="316"/>
      <c r="T117" s="316"/>
      <c r="U117" s="316"/>
      <c r="V117" s="316"/>
      <c r="W117" s="260"/>
      <c r="X117" s="260"/>
      <c r="Y117" s="260"/>
      <c r="Z117" s="260"/>
      <c r="AA117" s="260"/>
      <c r="AB117" s="260"/>
      <c r="AC117" s="260"/>
      <c r="AD117" s="260"/>
      <c r="AE117" s="260"/>
      <c r="AF117" s="260"/>
      <c r="AG117" s="260"/>
      <c r="AH117" s="260"/>
      <c r="AI117" s="260"/>
      <c r="AJ117" s="260"/>
      <c r="AK117" s="260"/>
      <c r="AL117" s="260"/>
      <c r="AM117" s="260"/>
      <c r="AN117" s="260"/>
      <c r="AO117" s="260"/>
      <c r="AP117" s="260"/>
      <c r="AQ117" s="260"/>
      <c r="AR117" s="260"/>
      <c r="AS117" s="260"/>
      <c r="AT117" s="260"/>
      <c r="AU117" s="260"/>
      <c r="AV117" s="262"/>
      <c r="AW117" s="262"/>
      <c r="AX117" s="262"/>
      <c r="AY117" s="263"/>
      <c r="AZ117" s="263"/>
      <c r="BA117" s="263"/>
      <c r="BB117" s="263"/>
      <c r="BC117" s="263"/>
      <c r="BD117" s="264"/>
    </row>
    <row r="118" spans="1:56" ht="9" customHeight="1" x14ac:dyDescent="0.25">
      <c r="D118" s="176"/>
      <c r="E118" s="176"/>
    </row>
    <row r="119" spans="1:56" x14ac:dyDescent="0.25">
      <c r="A119" s="265" t="s">
        <v>4</v>
      </c>
      <c r="B119" s="266" t="s">
        <v>255</v>
      </c>
      <c r="E119" s="265" t="s">
        <v>4</v>
      </c>
      <c r="F119" s="266" t="s">
        <v>255</v>
      </c>
      <c r="I119" s="265" t="s">
        <v>4</v>
      </c>
      <c r="J119" s="266" t="s">
        <v>255</v>
      </c>
    </row>
    <row r="120" spans="1:56" x14ac:dyDescent="0.25">
      <c r="A120" t="s">
        <v>306</v>
      </c>
      <c r="B120" s="317" t="s">
        <v>307</v>
      </c>
      <c r="E120" t="s">
        <v>308</v>
      </c>
      <c r="F120" s="317" t="s">
        <v>309</v>
      </c>
      <c r="I120" t="s">
        <v>310</v>
      </c>
      <c r="J120" s="318" t="s">
        <v>311</v>
      </c>
    </row>
    <row r="121" spans="1:56" x14ac:dyDescent="0.25">
      <c r="A121" t="s">
        <v>312</v>
      </c>
      <c r="B121" s="317" t="s">
        <v>313</v>
      </c>
      <c r="E121" t="s">
        <v>314</v>
      </c>
      <c r="F121" s="317" t="s">
        <v>315</v>
      </c>
      <c r="I121" t="s">
        <v>316</v>
      </c>
      <c r="J121" s="318" t="s">
        <v>317</v>
      </c>
    </row>
    <row r="122" spans="1:56" x14ac:dyDescent="0.25">
      <c r="A122" t="s">
        <v>318</v>
      </c>
      <c r="B122" s="317" t="s">
        <v>319</v>
      </c>
      <c r="E122" t="s">
        <v>320</v>
      </c>
      <c r="F122" s="317" t="s">
        <v>321</v>
      </c>
      <c r="I122" t="s">
        <v>322</v>
      </c>
      <c r="J122" s="318" t="s">
        <v>266</v>
      </c>
    </row>
    <row r="123" spans="1:56" x14ac:dyDescent="0.25">
      <c r="A123" t="s">
        <v>323</v>
      </c>
      <c r="B123" s="317" t="s">
        <v>324</v>
      </c>
      <c r="E123" t="s">
        <v>325</v>
      </c>
      <c r="F123" s="317" t="s">
        <v>326</v>
      </c>
      <c r="I123" t="s">
        <v>327</v>
      </c>
      <c r="J123" s="318" t="s">
        <v>328</v>
      </c>
    </row>
    <row r="124" spans="1:56" x14ac:dyDescent="0.25">
      <c r="A124" t="s">
        <v>329</v>
      </c>
      <c r="B124" s="317" t="s">
        <v>330</v>
      </c>
      <c r="E124" t="s">
        <v>331</v>
      </c>
      <c r="F124" s="317" t="s">
        <v>332</v>
      </c>
      <c r="I124" t="s">
        <v>333</v>
      </c>
      <c r="J124" s="318" t="s">
        <v>334</v>
      </c>
    </row>
    <row r="125" spans="1:56" x14ac:dyDescent="0.25">
      <c r="A125" t="s">
        <v>335</v>
      </c>
      <c r="B125" s="317" t="s">
        <v>336</v>
      </c>
      <c r="E125" t="s">
        <v>337</v>
      </c>
      <c r="F125" s="317" t="s">
        <v>338</v>
      </c>
      <c r="I125" t="s">
        <v>339</v>
      </c>
      <c r="J125" s="318" t="s">
        <v>340</v>
      </c>
    </row>
    <row r="126" spans="1:56" x14ac:dyDescent="0.25">
      <c r="A126" t="s">
        <v>341</v>
      </c>
      <c r="B126" s="317" t="s">
        <v>342</v>
      </c>
      <c r="E126" t="s">
        <v>343</v>
      </c>
      <c r="F126" s="317" t="s">
        <v>344</v>
      </c>
      <c r="I126" t="s">
        <v>345</v>
      </c>
      <c r="J126" s="318" t="s">
        <v>346</v>
      </c>
    </row>
    <row r="127" spans="1:56" x14ac:dyDescent="0.25">
      <c r="A127" t="s">
        <v>347</v>
      </c>
      <c r="B127" s="317" t="s">
        <v>348</v>
      </c>
      <c r="E127" t="s">
        <v>349</v>
      </c>
      <c r="F127" s="317" t="s">
        <v>350</v>
      </c>
      <c r="I127" t="s">
        <v>351</v>
      </c>
      <c r="J127" s="318" t="s">
        <v>352</v>
      </c>
    </row>
    <row r="128" spans="1:56" x14ac:dyDescent="0.25">
      <c r="A128" t="s">
        <v>353</v>
      </c>
      <c r="B128" s="317" t="s">
        <v>354</v>
      </c>
      <c r="E128" t="s">
        <v>355</v>
      </c>
      <c r="F128" s="317" t="s">
        <v>356</v>
      </c>
      <c r="I128" t="s">
        <v>357</v>
      </c>
      <c r="J128" s="318" t="s">
        <v>358</v>
      </c>
    </row>
    <row r="129" spans="1:11" x14ac:dyDescent="0.25">
      <c r="A129" t="s">
        <v>359</v>
      </c>
      <c r="B129" s="317" t="s">
        <v>360</v>
      </c>
      <c r="E129" t="s">
        <v>361</v>
      </c>
      <c r="F129" s="317" t="s">
        <v>362</v>
      </c>
      <c r="I129" t="s">
        <v>363</v>
      </c>
      <c r="J129" s="318" t="s">
        <v>364</v>
      </c>
    </row>
    <row r="130" spans="1:11" x14ac:dyDescent="0.25">
      <c r="A130" t="s">
        <v>365</v>
      </c>
      <c r="B130" s="317" t="s">
        <v>366</v>
      </c>
      <c r="E130" t="s">
        <v>367</v>
      </c>
      <c r="F130" s="317" t="s">
        <v>368</v>
      </c>
      <c r="I130" t="s">
        <v>369</v>
      </c>
      <c r="J130" s="318" t="s">
        <v>370</v>
      </c>
    </row>
    <row r="131" spans="1:11" x14ac:dyDescent="0.25">
      <c r="A131" s="30"/>
      <c r="B131" s="30"/>
      <c r="C131" s="30"/>
      <c r="D131" s="30"/>
      <c r="E131" s="30"/>
      <c r="F131" s="30"/>
      <c r="G131" s="30"/>
      <c r="H131" s="30"/>
      <c r="I131" s="30"/>
      <c r="J131" s="30"/>
    </row>
    <row r="132" spans="1:11" x14ac:dyDescent="0.25">
      <c r="A132" s="30"/>
      <c r="B132" s="30"/>
      <c r="C132" s="30"/>
      <c r="D132" s="30"/>
      <c r="E132" s="30"/>
      <c r="F132" s="30"/>
      <c r="G132" s="30"/>
      <c r="H132" s="30"/>
      <c r="I132" s="30"/>
      <c r="J132" s="30"/>
    </row>
    <row r="133" spans="1:11" x14ac:dyDescent="0.25">
      <c r="A133" s="30"/>
      <c r="B133" s="30"/>
      <c r="C133" s="30"/>
      <c r="D133" s="30"/>
      <c r="E133" s="30"/>
      <c r="F133" s="30"/>
      <c r="G133" s="30"/>
      <c r="H133" s="30"/>
      <c r="I133" s="30"/>
      <c r="J133" s="30"/>
    </row>
    <row r="134" spans="1:11" x14ac:dyDescent="0.25">
      <c r="A134" s="30"/>
      <c r="B134" s="30"/>
      <c r="C134" s="30"/>
      <c r="D134" s="30"/>
      <c r="E134" s="30"/>
      <c r="F134" s="30"/>
      <c r="G134" s="30"/>
      <c r="H134" s="30"/>
      <c r="I134" s="30"/>
      <c r="J134" s="30"/>
      <c r="K134" s="30"/>
    </row>
    <row r="135" spans="1:11" x14ac:dyDescent="0.25">
      <c r="A135" s="319" t="s">
        <v>1</v>
      </c>
      <c r="B135" s="30"/>
      <c r="C135" s="30"/>
      <c r="D135" s="30"/>
      <c r="E135" s="30"/>
      <c r="F135" s="30"/>
      <c r="G135" s="30"/>
      <c r="H135" s="30"/>
      <c r="I135" s="30"/>
      <c r="J135" s="30"/>
      <c r="K135" s="30"/>
    </row>
    <row r="136" spans="1:11" x14ac:dyDescent="0.25">
      <c r="A136" s="30"/>
      <c r="B136" s="30"/>
      <c r="C136" s="30"/>
      <c r="D136" s="30"/>
      <c r="E136" s="30"/>
      <c r="F136" s="30"/>
      <c r="G136" s="30"/>
      <c r="H136" s="30"/>
      <c r="I136" s="30"/>
      <c r="J136" s="30"/>
      <c r="K136" s="30"/>
    </row>
    <row r="137" spans="1:11" x14ac:dyDescent="0.25">
      <c r="A137" s="30" t="s">
        <v>371</v>
      </c>
      <c r="C137" s="30"/>
      <c r="D137" s="30"/>
      <c r="E137" s="30"/>
      <c r="F137" s="30"/>
      <c r="G137" s="30"/>
      <c r="H137" s="30"/>
      <c r="I137" s="30"/>
      <c r="J137" s="30"/>
      <c r="K137" s="30"/>
    </row>
    <row r="138" spans="1:11" x14ac:dyDescent="0.25">
      <c r="A138" s="30"/>
      <c r="C138" s="30"/>
      <c r="D138" s="30"/>
      <c r="E138" s="30"/>
      <c r="F138" s="30"/>
      <c r="G138" s="30"/>
      <c r="H138" s="30"/>
      <c r="I138" s="30"/>
      <c r="J138" s="30"/>
      <c r="K138" s="30"/>
    </row>
    <row r="139" spans="1:11" x14ac:dyDescent="0.25">
      <c r="A139" s="30"/>
      <c r="B139" s="61">
        <v>0.2</v>
      </c>
      <c r="C139" s="30"/>
      <c r="D139" s="30"/>
      <c r="E139" s="30"/>
      <c r="F139" s="30"/>
      <c r="G139" s="30"/>
      <c r="H139" s="30"/>
      <c r="I139" s="30"/>
      <c r="J139" s="30"/>
      <c r="K139" s="30"/>
    </row>
    <row r="140" spans="1:11" x14ac:dyDescent="0.25">
      <c r="A140" s="30"/>
      <c r="B140" s="61">
        <v>0.15000000000000002</v>
      </c>
      <c r="C140" s="30"/>
      <c r="D140" s="30"/>
      <c r="E140" s="30"/>
      <c r="F140" s="30"/>
      <c r="G140" s="30"/>
      <c r="H140" s="30"/>
      <c r="I140" s="30"/>
      <c r="J140" s="30"/>
      <c r="K140" s="30"/>
    </row>
    <row r="141" spans="1:11" x14ac:dyDescent="0.25">
      <c r="A141" s="30"/>
      <c r="B141" s="61">
        <v>0.10000000000000002</v>
      </c>
      <c r="C141" s="30"/>
      <c r="D141" s="30"/>
      <c r="E141" s="30"/>
      <c r="F141" s="30"/>
      <c r="G141" s="30"/>
      <c r="H141" s="30"/>
      <c r="I141" s="30"/>
      <c r="J141" s="30"/>
      <c r="K141" s="30"/>
    </row>
    <row r="142" spans="1:11" x14ac:dyDescent="0.25">
      <c r="A142" s="30"/>
      <c r="B142" s="61">
        <v>5.0000000000000017E-2</v>
      </c>
      <c r="C142" s="30"/>
      <c r="D142" s="30"/>
      <c r="E142" s="30"/>
      <c r="F142" s="30"/>
      <c r="G142" s="30"/>
      <c r="H142" s="30"/>
      <c r="I142" s="30"/>
      <c r="J142" s="30"/>
      <c r="K142" s="30"/>
    </row>
    <row r="143" spans="1:11" x14ac:dyDescent="0.25">
      <c r="A143" s="30"/>
      <c r="B143" s="61">
        <v>-0.05</v>
      </c>
      <c r="C143" s="30"/>
      <c r="D143" s="30"/>
      <c r="E143" s="30"/>
      <c r="F143" s="30"/>
      <c r="G143" s="30"/>
      <c r="H143" s="30"/>
      <c r="I143" s="30"/>
      <c r="J143" s="30"/>
      <c r="K143" s="30"/>
    </row>
    <row r="144" spans="1:11" x14ac:dyDescent="0.25">
      <c r="A144" s="30"/>
      <c r="B144" s="61">
        <v>-0.1</v>
      </c>
      <c r="C144" s="30"/>
      <c r="D144" s="30"/>
      <c r="E144" s="30"/>
      <c r="F144" s="30"/>
      <c r="G144" s="30"/>
      <c r="H144" s="30"/>
      <c r="I144" s="30"/>
      <c r="J144" s="30"/>
      <c r="K144" s="30"/>
    </row>
    <row r="145" spans="1:11" x14ac:dyDescent="0.25">
      <c r="A145" s="30"/>
      <c r="B145" s="61">
        <v>-0.15000000000000002</v>
      </c>
      <c r="C145" s="30"/>
      <c r="D145" s="30"/>
      <c r="E145" s="30"/>
      <c r="F145" s="30"/>
      <c r="G145" s="30"/>
      <c r="H145" s="30"/>
      <c r="I145" s="30"/>
      <c r="J145" s="30"/>
      <c r="K145" s="30"/>
    </row>
    <row r="146" spans="1:11" x14ac:dyDescent="0.25">
      <c r="A146" s="30"/>
      <c r="B146" s="61">
        <v>-0.2</v>
      </c>
      <c r="C146" s="30"/>
      <c r="D146" s="30"/>
      <c r="E146" s="30"/>
      <c r="F146" s="30"/>
      <c r="G146" s="30"/>
      <c r="H146" s="30"/>
      <c r="I146" s="30"/>
      <c r="J146" s="30"/>
      <c r="K146" s="30"/>
    </row>
    <row r="147" spans="1:11" x14ac:dyDescent="0.25">
      <c r="A147" s="30"/>
      <c r="C147" s="30"/>
      <c r="D147" s="30"/>
      <c r="E147" s="30"/>
      <c r="F147" s="30"/>
      <c r="G147" s="30"/>
      <c r="H147" s="30"/>
      <c r="I147" s="30"/>
      <c r="J147" s="30"/>
      <c r="K147" s="30"/>
    </row>
    <row r="148" spans="1:11" x14ac:dyDescent="0.25">
      <c r="A148" s="30"/>
      <c r="C148" s="30"/>
      <c r="D148" s="30"/>
      <c r="E148" s="30"/>
      <c r="F148" s="30"/>
      <c r="G148" s="30"/>
      <c r="H148" s="30"/>
      <c r="I148" s="30"/>
      <c r="J148" s="30"/>
      <c r="K148" s="30"/>
    </row>
    <row r="149" spans="1:11" x14ac:dyDescent="0.25">
      <c r="A149" s="30"/>
      <c r="C149" s="30"/>
      <c r="D149" s="30"/>
      <c r="E149" s="30"/>
      <c r="F149" s="30"/>
      <c r="G149" s="30"/>
      <c r="H149" s="30"/>
      <c r="I149" s="30"/>
      <c r="J149" s="30"/>
      <c r="K149" s="30"/>
    </row>
    <row r="150" spans="1:11" x14ac:dyDescent="0.25">
      <c r="A150" s="30"/>
      <c r="B150" s="30"/>
      <c r="C150" s="30"/>
      <c r="D150" s="30"/>
      <c r="E150" s="30"/>
      <c r="F150" s="30"/>
      <c r="G150" s="30"/>
      <c r="H150" s="30"/>
      <c r="I150" s="30"/>
      <c r="J150" s="30"/>
      <c r="K150" s="30"/>
    </row>
    <row r="151" spans="1:11" x14ac:dyDescent="0.25">
      <c r="A151" s="30"/>
      <c r="B151" s="30"/>
      <c r="C151" s="30"/>
      <c r="D151" s="30"/>
      <c r="E151" s="30"/>
      <c r="F151" s="30"/>
      <c r="G151" s="30"/>
      <c r="H151" s="30"/>
      <c r="I151" s="30"/>
      <c r="J151" s="30"/>
      <c r="K151" s="30"/>
    </row>
    <row r="152" spans="1:11" x14ac:dyDescent="0.25">
      <c r="A152" s="30"/>
      <c r="B152" s="30"/>
      <c r="C152" s="30"/>
      <c r="D152" s="30"/>
      <c r="E152" s="30"/>
      <c r="F152" s="30"/>
      <c r="G152" s="30"/>
      <c r="H152" s="30"/>
      <c r="I152" s="30"/>
      <c r="J152" s="30"/>
      <c r="K152" s="30"/>
    </row>
  </sheetData>
  <mergeCells count="73">
    <mergeCell ref="A44:B44"/>
    <mergeCell ref="C44:K44"/>
    <mergeCell ref="A90:B90"/>
    <mergeCell ref="E90:F90"/>
    <mergeCell ref="I90:J90"/>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2" right="0.2" top="0.25" bottom="0.25" header="0.3" footer="0.3"/>
  <pageSetup scale="81"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39"/>
  <sheetViews>
    <sheetView zoomScaleNormal="100" zoomScaleSheetLayoutView="100" workbookViewId="0">
      <selection activeCell="X9" sqref="X9"/>
    </sheetView>
  </sheetViews>
  <sheetFormatPr baseColWidth="10" defaultRowHeight="15" x14ac:dyDescent="0.25"/>
  <cols>
    <col min="7" max="7" width="4.5703125" customWidth="1"/>
    <col min="9" max="9" width="14" customWidth="1"/>
    <col min="10" max="11" width="2.28515625" customWidth="1"/>
    <col min="12" max="18" width="2.7109375" customWidth="1"/>
    <col min="19" max="19" width="3" customWidth="1"/>
  </cols>
  <sheetData>
    <row r="2" spans="1:38" x14ac:dyDescent="0.25">
      <c r="AI2" s="320"/>
      <c r="AJ2" s="320"/>
      <c r="AK2" s="320"/>
      <c r="AL2" s="320"/>
    </row>
    <row r="9" spans="1:38" x14ac:dyDescent="0.25">
      <c r="D9" s="176"/>
      <c r="E9" s="176"/>
    </row>
    <row r="10" spans="1:38" x14ac:dyDescent="0.25">
      <c r="D10" s="176"/>
      <c r="E10" s="176"/>
    </row>
    <row r="11" spans="1:38" x14ac:dyDescent="0.25">
      <c r="D11" s="176"/>
      <c r="E11" s="176"/>
    </row>
    <row r="12" spans="1:38" ht="15" customHeight="1" x14ac:dyDescent="0.25">
      <c r="D12" s="176"/>
      <c r="E12" s="176"/>
    </row>
    <row r="13" spans="1:38" x14ac:dyDescent="0.25">
      <c r="D13" s="176"/>
      <c r="E13" s="176"/>
    </row>
    <row r="14" spans="1:38" x14ac:dyDescent="0.25">
      <c r="D14" s="176"/>
      <c r="E14" s="176"/>
    </row>
    <row r="15" spans="1:38" ht="15" customHeight="1" x14ac:dyDescent="0.25">
      <c r="A15" s="321" t="s">
        <v>372</v>
      </c>
      <c r="B15" s="321"/>
      <c r="C15" s="321"/>
      <c r="D15" s="322"/>
      <c r="E15" s="322"/>
      <c r="F15" s="321"/>
      <c r="G15" s="321"/>
      <c r="H15" s="321"/>
      <c r="I15" s="321"/>
      <c r="J15" s="321"/>
      <c r="K15" s="323"/>
      <c r="L15" s="324" t="s">
        <v>373</v>
      </c>
      <c r="M15" s="325"/>
      <c r="N15" s="326"/>
      <c r="O15" s="326"/>
      <c r="P15" s="326"/>
      <c r="Q15" s="326"/>
      <c r="R15" s="326"/>
      <c r="S15" s="326"/>
    </row>
    <row r="16" spans="1:38" x14ac:dyDescent="0.25">
      <c r="A16" s="321"/>
      <c r="B16" s="321"/>
      <c r="C16" s="321"/>
      <c r="D16" s="322"/>
      <c r="E16" s="322"/>
      <c r="F16" s="321"/>
      <c r="G16" s="321"/>
      <c r="H16" s="321"/>
      <c r="I16" s="321"/>
      <c r="J16" s="321"/>
      <c r="K16" s="323"/>
      <c r="L16" s="324" t="s">
        <v>374</v>
      </c>
      <c r="M16" s="325"/>
      <c r="N16" s="325"/>
      <c r="O16" s="326"/>
      <c r="P16" s="326"/>
      <c r="Q16" s="326"/>
      <c r="R16" s="326"/>
      <c r="S16" s="326"/>
    </row>
    <row r="17" spans="1:23" x14ac:dyDescent="0.25">
      <c r="A17" s="321"/>
      <c r="B17" s="321"/>
      <c r="C17" s="321"/>
      <c r="D17" s="322"/>
      <c r="E17" s="322"/>
      <c r="F17" s="321"/>
      <c r="G17" s="321"/>
      <c r="H17" s="321"/>
      <c r="I17" s="321"/>
      <c r="J17" s="321"/>
      <c r="K17" s="323"/>
      <c r="L17" s="324" t="s">
        <v>375</v>
      </c>
      <c r="M17" s="325"/>
      <c r="N17" s="325"/>
      <c r="O17" s="326"/>
      <c r="P17" s="326"/>
      <c r="Q17" s="326"/>
      <c r="R17" s="326"/>
      <c r="S17" s="326"/>
    </row>
    <row r="18" spans="1:23" x14ac:dyDescent="0.25">
      <c r="A18" s="321"/>
      <c r="B18" s="321"/>
      <c r="C18" s="321"/>
      <c r="D18" s="322"/>
      <c r="E18" s="322"/>
      <c r="F18" s="321"/>
      <c r="G18" s="321"/>
      <c r="H18" s="321"/>
      <c r="I18" s="321"/>
      <c r="J18" s="321"/>
      <c r="K18" s="323"/>
      <c r="L18" s="324"/>
      <c r="M18" s="325"/>
      <c r="N18" s="325"/>
      <c r="O18" s="326"/>
      <c r="P18" s="326"/>
      <c r="Q18" s="326"/>
      <c r="R18" s="326"/>
      <c r="S18" s="326"/>
    </row>
    <row r="19" spans="1:23" x14ac:dyDescent="0.25">
      <c r="A19" s="321"/>
      <c r="B19" s="321"/>
      <c r="C19" s="321"/>
      <c r="D19" s="322"/>
      <c r="E19" s="322"/>
      <c r="F19" s="321"/>
      <c r="G19" s="321"/>
      <c r="H19" s="321"/>
      <c r="I19" s="321"/>
      <c r="J19" s="321"/>
      <c r="K19" s="323"/>
      <c r="L19" s="324" t="s">
        <v>376</v>
      </c>
      <c r="M19" s="325"/>
      <c r="N19" s="325"/>
      <c r="O19" s="326"/>
      <c r="P19" s="326"/>
      <c r="Q19" s="326"/>
      <c r="R19" s="326"/>
      <c r="S19" s="326"/>
    </row>
    <row r="20" spans="1:23" x14ac:dyDescent="0.25">
      <c r="A20" s="321"/>
      <c r="B20" s="321"/>
      <c r="C20" s="321"/>
      <c r="D20" s="321"/>
      <c r="E20" s="321"/>
      <c r="F20" s="321"/>
      <c r="G20" s="321"/>
      <c r="H20" s="321"/>
      <c r="I20" s="321"/>
      <c r="J20" s="321"/>
      <c r="K20" s="323"/>
      <c r="L20" s="324" t="s">
        <v>377</v>
      </c>
      <c r="M20" s="325"/>
      <c r="N20" s="325"/>
      <c r="O20" s="326"/>
      <c r="P20" s="326"/>
      <c r="Q20" s="326"/>
      <c r="R20" s="326"/>
      <c r="S20" s="326"/>
    </row>
    <row r="21" spans="1:23" x14ac:dyDescent="0.25">
      <c r="A21" s="321"/>
      <c r="B21" s="321"/>
      <c r="C21" s="321"/>
      <c r="D21" s="321"/>
      <c r="E21" s="321"/>
      <c r="F21" s="321"/>
      <c r="G21" s="321"/>
      <c r="H21" s="321"/>
      <c r="I21" s="321"/>
      <c r="J21" s="321"/>
      <c r="K21" s="323"/>
      <c r="L21" s="324" t="s">
        <v>378</v>
      </c>
      <c r="M21" s="325"/>
      <c r="N21" s="325"/>
      <c r="O21" s="326"/>
      <c r="P21" s="326"/>
      <c r="Q21" s="326"/>
      <c r="R21" s="326"/>
      <c r="S21" s="326"/>
    </row>
    <row r="22" spans="1:23" x14ac:dyDescent="0.25">
      <c r="A22" s="321"/>
      <c r="B22" s="321"/>
      <c r="C22" s="321"/>
      <c r="D22" s="321"/>
      <c r="E22" s="321"/>
      <c r="F22" s="321"/>
      <c r="G22" s="321"/>
      <c r="H22" s="321"/>
      <c r="I22" s="321"/>
      <c r="J22" s="321"/>
      <c r="K22" s="323"/>
      <c r="L22" s="327"/>
      <c r="M22" s="325"/>
      <c r="N22" s="325"/>
      <c r="O22" s="326"/>
      <c r="P22" s="326"/>
      <c r="Q22" s="326"/>
      <c r="R22" s="326"/>
      <c r="S22" s="326"/>
    </row>
    <row r="23" spans="1:23" x14ac:dyDescent="0.25">
      <c r="A23" s="321"/>
      <c r="B23" s="321"/>
      <c r="C23" s="321"/>
      <c r="D23" s="322"/>
      <c r="E23" s="322"/>
      <c r="F23" s="321"/>
      <c r="G23" s="321"/>
      <c r="H23" s="321"/>
      <c r="I23" s="321"/>
      <c r="J23" s="321"/>
      <c r="K23" s="323"/>
      <c r="L23" s="324" t="s">
        <v>379</v>
      </c>
      <c r="M23" s="326"/>
      <c r="N23" s="325"/>
      <c r="O23" s="326"/>
      <c r="P23" s="326"/>
      <c r="Q23" s="326"/>
      <c r="R23" s="326"/>
      <c r="S23" s="326"/>
    </row>
    <row r="24" spans="1:23" x14ac:dyDescent="0.25">
      <c r="A24" s="321"/>
      <c r="B24" s="321"/>
      <c r="C24" s="321"/>
      <c r="D24" s="322"/>
      <c r="E24" s="322"/>
      <c r="F24" s="321"/>
      <c r="G24" s="321"/>
      <c r="H24" s="321"/>
      <c r="I24" s="321"/>
      <c r="J24" s="321"/>
      <c r="K24" s="323"/>
      <c r="L24" s="324" t="s">
        <v>380</v>
      </c>
      <c r="M24" s="326"/>
      <c r="N24" s="326"/>
      <c r="O24" s="326"/>
      <c r="P24" s="326"/>
      <c r="Q24" s="326"/>
      <c r="R24" s="326"/>
      <c r="S24" s="326"/>
    </row>
    <row r="25" spans="1:23" x14ac:dyDescent="0.25">
      <c r="A25" s="321"/>
      <c r="B25" s="321"/>
      <c r="C25" s="321"/>
      <c r="D25" s="322"/>
      <c r="E25" s="322"/>
      <c r="F25" s="321"/>
      <c r="G25" s="321"/>
      <c r="H25" s="321"/>
      <c r="I25" s="321"/>
      <c r="J25" s="321"/>
      <c r="K25" s="323"/>
      <c r="L25" s="324" t="s">
        <v>381</v>
      </c>
      <c r="M25" s="326"/>
      <c r="N25" s="326"/>
      <c r="O25" s="326"/>
      <c r="P25" s="326"/>
      <c r="Q25" s="326"/>
      <c r="R25" s="326"/>
      <c r="S25" s="326"/>
    </row>
    <row r="26" spans="1:23" x14ac:dyDescent="0.25">
      <c r="A26" s="321"/>
      <c r="B26" s="321"/>
      <c r="C26" s="321"/>
      <c r="D26" s="322"/>
      <c r="E26" s="322"/>
      <c r="F26" s="321"/>
      <c r="G26" s="321"/>
      <c r="H26" s="321"/>
      <c r="I26" s="321"/>
      <c r="J26" s="321"/>
      <c r="K26" s="323"/>
      <c r="L26" s="327"/>
      <c r="M26" s="325"/>
      <c r="N26" s="325"/>
      <c r="O26" s="326"/>
      <c r="P26" s="326"/>
      <c r="Q26" s="326"/>
      <c r="R26" s="326"/>
      <c r="S26" s="326"/>
      <c r="W26" s="326"/>
    </row>
    <row r="27" spans="1:23" x14ac:dyDescent="0.25">
      <c r="A27" s="321"/>
      <c r="B27" s="321"/>
      <c r="C27" s="321"/>
      <c r="D27" s="322"/>
      <c r="E27" s="322"/>
      <c r="F27" s="321"/>
      <c r="G27" s="321"/>
      <c r="H27" s="321"/>
      <c r="I27" s="321"/>
      <c r="J27" s="321"/>
      <c r="K27" s="323"/>
      <c r="L27" s="327"/>
      <c r="M27" s="325"/>
      <c r="N27" s="328" t="s">
        <v>382</v>
      </c>
      <c r="O27" s="326"/>
      <c r="P27" s="326"/>
      <c r="Q27" s="326"/>
      <c r="R27" s="326"/>
      <c r="S27" s="326"/>
    </row>
    <row r="28" spans="1:23" x14ac:dyDescent="0.25">
      <c r="A28" s="321"/>
      <c r="B28" s="321"/>
      <c r="C28" s="321"/>
      <c r="D28" s="322"/>
      <c r="E28" s="322"/>
      <c r="F28" s="321"/>
      <c r="G28" s="321"/>
      <c r="H28" s="321"/>
      <c r="I28" s="321"/>
      <c r="J28" s="321"/>
      <c r="K28" s="323"/>
      <c r="L28" s="327"/>
      <c r="M28" s="325"/>
      <c r="N28" s="329"/>
      <c r="O28" s="326"/>
      <c r="P28" s="326"/>
      <c r="Q28" s="326"/>
      <c r="R28" s="326"/>
      <c r="S28" s="326"/>
    </row>
    <row r="29" spans="1:23" x14ac:dyDescent="0.25">
      <c r="A29" s="321"/>
      <c r="B29" s="321"/>
      <c r="C29" s="321"/>
      <c r="D29" s="322"/>
      <c r="E29" s="322"/>
      <c r="F29" s="321"/>
      <c r="G29" s="321"/>
      <c r="H29" s="321"/>
      <c r="I29" s="321"/>
      <c r="J29" s="321"/>
      <c r="K29" s="323"/>
      <c r="L29" s="327"/>
      <c r="M29" s="325"/>
      <c r="N29" s="329" t="s">
        <v>383</v>
      </c>
      <c r="O29" s="326"/>
      <c r="P29" s="326"/>
      <c r="Q29" s="326"/>
      <c r="R29" s="326"/>
      <c r="S29" s="326"/>
    </row>
    <row r="30" spans="1:23" x14ac:dyDescent="0.25">
      <c r="A30" s="321"/>
      <c r="B30" s="321"/>
      <c r="C30" s="321"/>
      <c r="D30" s="321"/>
      <c r="E30" s="321"/>
      <c r="F30" s="321"/>
      <c r="G30" s="321"/>
      <c r="H30" s="321"/>
      <c r="I30" s="321"/>
      <c r="J30" s="321"/>
      <c r="K30" s="323"/>
      <c r="L30" s="327"/>
      <c r="M30" s="325"/>
      <c r="N30" s="329"/>
      <c r="O30" s="326"/>
      <c r="P30" s="326"/>
      <c r="Q30" s="326"/>
      <c r="R30" s="326"/>
      <c r="S30" s="326"/>
    </row>
    <row r="31" spans="1:23" x14ac:dyDescent="0.25">
      <c r="A31" s="321"/>
      <c r="B31" s="321"/>
      <c r="C31" s="321"/>
      <c r="D31" s="321"/>
      <c r="E31" s="321"/>
      <c r="F31" s="321"/>
      <c r="G31" s="321"/>
      <c r="H31" s="321"/>
      <c r="I31" s="321"/>
      <c r="J31" s="321"/>
      <c r="K31" s="323"/>
      <c r="L31" s="327"/>
      <c r="M31" s="325"/>
      <c r="N31" s="329" t="s">
        <v>384</v>
      </c>
      <c r="O31" s="326"/>
      <c r="P31" s="326"/>
      <c r="Q31" s="326"/>
      <c r="R31" s="326"/>
      <c r="S31" s="326"/>
    </row>
    <row r="32" spans="1:23" x14ac:dyDescent="0.25">
      <c r="A32" s="321"/>
      <c r="B32" s="321"/>
      <c r="C32" s="321"/>
      <c r="D32" s="321"/>
      <c r="E32" s="321"/>
      <c r="F32" s="321"/>
      <c r="G32" s="321"/>
      <c r="H32" s="321"/>
      <c r="I32" s="321"/>
      <c r="J32" s="321"/>
      <c r="K32" s="323"/>
      <c r="L32" s="327"/>
      <c r="M32" s="325"/>
      <c r="N32" s="329"/>
      <c r="O32" s="326"/>
      <c r="P32" s="326"/>
      <c r="Q32" s="326"/>
      <c r="R32" s="326"/>
      <c r="S32" s="326"/>
    </row>
    <row r="33" spans="1:19" x14ac:dyDescent="0.25">
      <c r="A33" s="321"/>
      <c r="B33" s="321"/>
      <c r="C33" s="321"/>
      <c r="D33" s="322"/>
      <c r="E33" s="322"/>
      <c r="F33" s="321"/>
      <c r="G33" s="321"/>
      <c r="H33" s="321"/>
      <c r="I33" s="321"/>
      <c r="J33" s="321"/>
      <c r="K33" s="323"/>
      <c r="L33" s="327"/>
      <c r="M33" s="325"/>
      <c r="N33" s="329" t="s">
        <v>385</v>
      </c>
      <c r="O33" s="326"/>
      <c r="P33" s="326"/>
      <c r="Q33" s="326"/>
      <c r="R33" s="326"/>
      <c r="S33" s="326"/>
    </row>
    <row r="34" spans="1:19" x14ac:dyDescent="0.25">
      <c r="A34" s="321"/>
      <c r="B34" s="321"/>
      <c r="C34" s="321"/>
      <c r="D34" s="322"/>
      <c r="E34" s="322"/>
      <c r="F34" s="321"/>
      <c r="G34" s="321"/>
      <c r="H34" s="321"/>
      <c r="I34" s="321"/>
      <c r="J34" s="321"/>
      <c r="K34" s="323"/>
      <c r="L34" s="327"/>
      <c r="M34" s="325"/>
      <c r="N34" s="325"/>
      <c r="O34" s="326"/>
      <c r="P34" s="326"/>
      <c r="Q34" s="326"/>
      <c r="R34" s="326"/>
      <c r="S34" s="326"/>
    </row>
    <row r="35" spans="1:19" x14ac:dyDescent="0.25">
      <c r="D35" s="176"/>
      <c r="E35" s="176"/>
    </row>
    <row r="36" spans="1:19" x14ac:dyDescent="0.25">
      <c r="D36" s="176"/>
      <c r="E36" s="176"/>
    </row>
    <row r="37" spans="1:19" x14ac:dyDescent="0.25">
      <c r="D37" s="176"/>
      <c r="E37" s="176"/>
    </row>
    <row r="38" spans="1:19" x14ac:dyDescent="0.25">
      <c r="D38" s="176"/>
      <c r="E38" s="176"/>
    </row>
    <row r="39" spans="1:19" x14ac:dyDescent="0.25">
      <c r="D39" s="176"/>
      <c r="E39" s="176"/>
    </row>
    <row r="40" spans="1:19" x14ac:dyDescent="0.25">
      <c r="D40" s="176"/>
      <c r="E40" s="176"/>
    </row>
    <row r="47" spans="1:19" x14ac:dyDescent="0.25">
      <c r="D47" s="176"/>
      <c r="E47" s="176"/>
    </row>
    <row r="48" spans="1:19" x14ac:dyDescent="0.25">
      <c r="D48" s="176"/>
      <c r="E48" s="176"/>
    </row>
    <row r="49" spans="4:5" x14ac:dyDescent="0.25">
      <c r="D49" s="176"/>
      <c r="E49" s="176"/>
    </row>
    <row r="50" spans="4:5" x14ac:dyDescent="0.25">
      <c r="D50" s="176"/>
      <c r="E50" s="176"/>
    </row>
    <row r="51" spans="4:5" x14ac:dyDescent="0.25">
      <c r="D51" s="176"/>
      <c r="E51" s="176"/>
    </row>
    <row r="52" spans="4:5" x14ac:dyDescent="0.25">
      <c r="D52" s="176"/>
      <c r="E52" s="176"/>
    </row>
    <row r="53" spans="4:5" x14ac:dyDescent="0.25">
      <c r="D53" s="176"/>
      <c r="E53" s="176"/>
    </row>
    <row r="54" spans="4:5" x14ac:dyDescent="0.25">
      <c r="D54" s="176"/>
      <c r="E54" s="176"/>
    </row>
    <row r="57" spans="4:5" ht="13.5" customHeight="1" x14ac:dyDescent="0.25"/>
    <row r="58" spans="4:5" ht="2.25" hidden="1" customHeight="1" x14ac:dyDescent="0.25">
      <c r="D58" s="176"/>
      <c r="E58" s="176"/>
    </row>
    <row r="59" spans="4:5" x14ac:dyDescent="0.25">
      <c r="D59" s="176"/>
      <c r="E59" s="176"/>
    </row>
    <row r="60" spans="4:5" x14ac:dyDescent="0.25">
      <c r="D60" s="176"/>
      <c r="E60" s="176"/>
    </row>
    <row r="61" spans="4:5" x14ac:dyDescent="0.25">
      <c r="D61" s="176"/>
      <c r="E61" s="176"/>
    </row>
    <row r="62" spans="4:5" x14ac:dyDescent="0.25">
      <c r="D62" s="176"/>
      <c r="E62" s="176"/>
    </row>
    <row r="63" spans="4:5" x14ac:dyDescent="0.25">
      <c r="D63" s="176"/>
      <c r="E63" s="176"/>
    </row>
    <row r="64" spans="4:5" x14ac:dyDescent="0.25">
      <c r="D64" s="176"/>
      <c r="E64" s="176"/>
    </row>
    <row r="65" spans="4:5" x14ac:dyDescent="0.25">
      <c r="D65" s="176"/>
      <c r="E65" s="176"/>
    </row>
    <row r="66" spans="4:5" x14ac:dyDescent="0.25">
      <c r="D66" s="176"/>
      <c r="E66" s="176"/>
    </row>
    <row r="67" spans="4:5" x14ac:dyDescent="0.25">
      <c r="D67" s="176"/>
      <c r="E67" s="176"/>
    </row>
    <row r="71" spans="4:5" x14ac:dyDescent="0.25">
      <c r="D71" s="176"/>
      <c r="E71" s="176"/>
    </row>
    <row r="72" spans="4:5" x14ac:dyDescent="0.25">
      <c r="D72" s="176"/>
      <c r="E72" s="176"/>
    </row>
    <row r="73" spans="4:5" x14ac:dyDescent="0.25">
      <c r="D73" s="176"/>
      <c r="E73" s="176"/>
    </row>
    <row r="74" spans="4:5" x14ac:dyDescent="0.25">
      <c r="D74" s="176"/>
      <c r="E74" s="176"/>
    </row>
    <row r="78" spans="4:5" x14ac:dyDescent="0.25">
      <c r="D78" s="176"/>
      <c r="E78" s="176"/>
    </row>
    <row r="79" spans="4:5" x14ac:dyDescent="0.25">
      <c r="D79" s="176"/>
      <c r="E79" s="176"/>
    </row>
    <row r="80" spans="4:5" x14ac:dyDescent="0.25">
      <c r="D80" s="176"/>
      <c r="E80" s="176"/>
    </row>
    <row r="81" spans="4:5" x14ac:dyDescent="0.25">
      <c r="D81" s="176"/>
      <c r="E81" s="176"/>
    </row>
    <row r="82" spans="4:5" x14ac:dyDescent="0.25">
      <c r="D82" s="176"/>
      <c r="E82" s="176"/>
    </row>
    <row r="83" spans="4:5" x14ac:dyDescent="0.25">
      <c r="D83" s="176"/>
      <c r="E83" s="176"/>
    </row>
    <row r="84" spans="4:5" x14ac:dyDescent="0.25">
      <c r="D84" s="176"/>
      <c r="E84" s="176"/>
    </row>
    <row r="85" spans="4:5" x14ac:dyDescent="0.25">
      <c r="D85" s="176"/>
      <c r="E85" s="176"/>
    </row>
    <row r="86" spans="4:5" x14ac:dyDescent="0.25">
      <c r="D86" s="176"/>
      <c r="E86" s="176"/>
    </row>
    <row r="87" spans="4:5" x14ac:dyDescent="0.25">
      <c r="D87" s="176"/>
      <c r="E87" s="176"/>
    </row>
    <row r="93" spans="4:5" x14ac:dyDescent="0.25">
      <c r="D93" s="176"/>
      <c r="E93" s="176"/>
    </row>
    <row r="94" spans="4:5" x14ac:dyDescent="0.25">
      <c r="D94" s="176"/>
      <c r="E94" s="176"/>
    </row>
    <row r="98" spans="4:16" x14ac:dyDescent="0.25">
      <c r="D98" s="176"/>
      <c r="E98" s="176"/>
      <c r="P98" t="str">
        <f>IFERROR(VLOOKUP(B98,[1]Datos!$A:$E,5,FALSE)/1000000000,"-")</f>
        <v>-</v>
      </c>
    </row>
    <row r="99" spans="4:16" x14ac:dyDescent="0.25">
      <c r="D99" s="176"/>
      <c r="E99" s="176"/>
    </row>
    <row r="100" spans="4:16" x14ac:dyDescent="0.25">
      <c r="D100" s="176"/>
      <c r="E100" s="176"/>
    </row>
    <row r="101" spans="4:16" x14ac:dyDescent="0.25">
      <c r="D101" s="176"/>
      <c r="E101" s="176"/>
    </row>
    <row r="102" spans="4:16" x14ac:dyDescent="0.25">
      <c r="D102" s="176"/>
      <c r="E102" s="176"/>
    </row>
    <row r="103" spans="4:16" x14ac:dyDescent="0.25">
      <c r="D103" s="176"/>
      <c r="E103" s="176"/>
    </row>
    <row r="104" spans="4:16" x14ac:dyDescent="0.25">
      <c r="D104" s="176"/>
      <c r="E104" s="176"/>
    </row>
    <row r="105" spans="4:16" x14ac:dyDescent="0.25">
      <c r="D105" s="176"/>
      <c r="E105" s="176"/>
    </row>
    <row r="106" spans="4:16" x14ac:dyDescent="0.25">
      <c r="D106" s="176"/>
      <c r="E106" s="176"/>
    </row>
    <row r="107" spans="4:16" x14ac:dyDescent="0.25">
      <c r="D107" s="176"/>
      <c r="E107" s="176"/>
    </row>
    <row r="111" spans="4:16" x14ac:dyDescent="0.25">
      <c r="D111" s="176"/>
      <c r="E111" s="176"/>
    </row>
    <row r="115" spans="4:5" x14ac:dyDescent="0.25">
      <c r="D115" s="176"/>
      <c r="E115" s="176"/>
    </row>
    <row r="116" spans="4:5" x14ac:dyDescent="0.25">
      <c r="D116" s="176"/>
      <c r="E116" s="176"/>
    </row>
    <row r="117" spans="4:5" x14ac:dyDescent="0.25">
      <c r="D117" s="176"/>
      <c r="E117" s="176"/>
    </row>
    <row r="118" spans="4:5" x14ac:dyDescent="0.25">
      <c r="D118" s="176"/>
      <c r="E118" s="176"/>
    </row>
    <row r="421" ht="18.75" customHeight="1" x14ac:dyDescent="0.25"/>
    <row r="436" spans="2:2" x14ac:dyDescent="0.25">
      <c r="B436" t="s">
        <v>386</v>
      </c>
    </row>
    <row r="437" spans="2:2" x14ac:dyDescent="0.25">
      <c r="B437" t="s">
        <v>387</v>
      </c>
    </row>
    <row r="438" spans="2:2" x14ac:dyDescent="0.25">
      <c r="B438" t="s">
        <v>388</v>
      </c>
    </row>
    <row r="439" spans="2:2" x14ac:dyDescent="0.25">
      <c r="B439" t="s">
        <v>389</v>
      </c>
    </row>
  </sheetData>
  <mergeCells count="1">
    <mergeCell ref="A15:J34"/>
  </mergeCells>
  <printOptions horizontalCentered="1"/>
  <pageMargins left="0.25" right="0.25" top="0.75" bottom="0" header="0.3" footer="0"/>
  <pageSetup orientation="landscape" r:id="rId1"/>
  <headerFooter>
    <oddFooter>&amp;Cwww.invertironline.com&amp;R&amp;P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2019-03-08T21:03:59Z</dcterms:created>
  <dcterms:modified xsi:type="dcterms:W3CDTF">2019-03-08T21:06:09Z</dcterms:modified>
</cp:coreProperties>
</file>